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ckuwait-my.sharepoint.com/personal/farha_swishhh_net/Documents/Documents/"/>
    </mc:Choice>
  </mc:AlternateContent>
  <xr:revisionPtr revIDLastSave="0" documentId="8_{60BE5230-492F-474D-8195-1B87D519FEB3}" xr6:coauthVersionLast="47" xr6:coauthVersionMax="47" xr10:uidLastSave="{00000000-0000-0000-0000-000000000000}"/>
  <bookViews>
    <workbookView xWindow="-108" yWindow="-108" windowWidth="23256" windowHeight="12456" activeTab="1" xr2:uid="{A3348BC9-1441-4397-988A-6290612D9502}"/>
  </bookViews>
  <sheets>
    <sheet name="SWiSH Demand Forecast Sep-26" sheetId="1" r:id="rId1"/>
    <sheet name="SPS" sheetId="2" r:id="rId2"/>
  </sheets>
  <definedNames>
    <definedName name="_xlnm._FilterDatabase" localSheetId="1" hidden="1">SPS!$A$1:$AT$2246</definedName>
    <definedName name="_xlnm._FilterDatabase" localSheetId="0" hidden="1">'SWiSH Demand Forecast Sep-26'!$A$1:$G$2547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17" i="2"/>
  <c r="AT1018" i="2"/>
  <c r="AT1019" i="2"/>
  <c r="AT1020" i="2"/>
  <c r="AT1021" i="2"/>
  <c r="AT1022" i="2"/>
  <c r="AT1023" i="2"/>
  <c r="AT1024" i="2"/>
  <c r="AT1025" i="2"/>
  <c r="AT1026" i="2"/>
  <c r="AT1027" i="2"/>
  <c r="AT1028" i="2"/>
  <c r="AT1029" i="2"/>
  <c r="AT1030" i="2"/>
  <c r="AT1031" i="2"/>
  <c r="AT1032" i="2"/>
  <c r="AT1033" i="2"/>
  <c r="AT1034" i="2"/>
  <c r="AT1035" i="2"/>
  <c r="AT1036" i="2"/>
  <c r="AT1037" i="2"/>
  <c r="AT1038" i="2"/>
  <c r="AT1039" i="2"/>
  <c r="AT1040" i="2"/>
  <c r="AT1041" i="2"/>
  <c r="AT1042" i="2"/>
  <c r="AT1043" i="2"/>
  <c r="AT1044" i="2"/>
  <c r="AT1045" i="2"/>
  <c r="AT1046" i="2"/>
  <c r="AT1047" i="2"/>
  <c r="AT1048" i="2"/>
  <c r="AT1049" i="2"/>
  <c r="AT1050" i="2"/>
  <c r="AT1051" i="2"/>
  <c r="AT1052" i="2"/>
  <c r="AT1053" i="2"/>
  <c r="AT1054" i="2"/>
  <c r="AT1055" i="2"/>
  <c r="AT1056" i="2"/>
  <c r="AT1057" i="2"/>
  <c r="AT1058" i="2"/>
  <c r="AT105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75" i="2"/>
  <c r="AT1076" i="2"/>
  <c r="AT1077" i="2"/>
  <c r="AT1078" i="2"/>
  <c r="AT1079" i="2"/>
  <c r="AT1080" i="2"/>
  <c r="AT1081" i="2"/>
  <c r="AT1082" i="2"/>
  <c r="AT1083" i="2"/>
  <c r="AT1084" i="2"/>
  <c r="AT1085" i="2"/>
  <c r="AT1086" i="2"/>
  <c r="AT1087" i="2"/>
  <c r="AT1088" i="2"/>
  <c r="AT1089" i="2"/>
  <c r="AT1090" i="2"/>
  <c r="AT1091" i="2"/>
  <c r="AT1092" i="2"/>
  <c r="AT1093" i="2"/>
  <c r="AT1094" i="2"/>
  <c r="AT1095" i="2"/>
  <c r="AT1096" i="2"/>
  <c r="AT1097" i="2"/>
  <c r="AT1098" i="2"/>
  <c r="AT1099" i="2"/>
  <c r="AT1100" i="2"/>
  <c r="AT1101" i="2"/>
  <c r="AT1102" i="2"/>
  <c r="AT1103" i="2"/>
  <c r="AT1104" i="2"/>
  <c r="AT1105" i="2"/>
  <c r="AT1106" i="2"/>
  <c r="AT1107" i="2"/>
  <c r="AT1108" i="2"/>
  <c r="AT1109" i="2"/>
  <c r="AT1110" i="2"/>
  <c r="AT1111" i="2"/>
  <c r="AT1112" i="2"/>
  <c r="AT1113" i="2"/>
  <c r="AT1114" i="2"/>
  <c r="AT1115" i="2"/>
  <c r="AT1116" i="2"/>
  <c r="AT1117" i="2"/>
  <c r="AT1118" i="2"/>
  <c r="AT1119" i="2"/>
  <c r="AT1120" i="2"/>
  <c r="AT1121" i="2"/>
  <c r="AT1122" i="2"/>
  <c r="AT1123" i="2"/>
  <c r="AT1124" i="2"/>
  <c r="AT1125" i="2"/>
  <c r="AT1126" i="2"/>
  <c r="AT1127" i="2"/>
  <c r="AT1128" i="2"/>
  <c r="AT1129" i="2"/>
  <c r="AT1130" i="2"/>
  <c r="AT1131" i="2"/>
  <c r="AT1132" i="2"/>
  <c r="AT1133" i="2"/>
  <c r="AT1134" i="2"/>
  <c r="AT1135" i="2"/>
  <c r="AT1136" i="2"/>
  <c r="AT1137" i="2"/>
  <c r="AT1138" i="2"/>
  <c r="AT1139" i="2"/>
  <c r="AT1140" i="2"/>
  <c r="AT1141" i="2"/>
  <c r="AT1142" i="2"/>
  <c r="AT1143" i="2"/>
  <c r="AT1144" i="2"/>
  <c r="AT1145" i="2"/>
  <c r="AT1146" i="2"/>
  <c r="AT1147" i="2"/>
  <c r="AT1148" i="2"/>
  <c r="AT1149" i="2"/>
  <c r="AT1150" i="2"/>
  <c r="AT1151" i="2"/>
  <c r="AT1152" i="2"/>
  <c r="AT1153" i="2"/>
  <c r="AT1154" i="2"/>
  <c r="AT1155" i="2"/>
  <c r="AT1156" i="2"/>
  <c r="AT1157" i="2"/>
  <c r="AT1158" i="2"/>
  <c r="AT1159" i="2"/>
  <c r="AT1160" i="2"/>
  <c r="AT1161" i="2"/>
  <c r="AT1162" i="2"/>
  <c r="AT1163" i="2"/>
  <c r="AT1164" i="2"/>
  <c r="AT1165" i="2"/>
  <c r="AT1166" i="2"/>
  <c r="AT1167" i="2"/>
  <c r="AT1168" i="2"/>
  <c r="AT1169" i="2"/>
  <c r="AT1170" i="2"/>
  <c r="AT1171" i="2"/>
  <c r="AT1172" i="2"/>
  <c r="AT1173" i="2"/>
  <c r="AT1174" i="2"/>
  <c r="AT1175" i="2"/>
  <c r="AT1176" i="2"/>
  <c r="AT1177" i="2"/>
  <c r="AT1178" i="2"/>
  <c r="AT1179" i="2"/>
  <c r="AT1180" i="2"/>
  <c r="AT1181" i="2"/>
  <c r="AT1182" i="2"/>
  <c r="AT1183" i="2"/>
  <c r="AT1184" i="2"/>
  <c r="AT1185" i="2"/>
  <c r="AT1186" i="2"/>
  <c r="AT1187" i="2"/>
  <c r="AT1188" i="2"/>
  <c r="AT1189" i="2"/>
  <c r="AT1190" i="2"/>
  <c r="AT1191" i="2"/>
  <c r="AT1192" i="2"/>
  <c r="AT1193" i="2"/>
  <c r="AT1194" i="2"/>
  <c r="AT1195" i="2"/>
  <c r="AT1196" i="2"/>
  <c r="AT1197" i="2"/>
  <c r="AT1198" i="2"/>
  <c r="AT1199" i="2"/>
  <c r="AT1200" i="2"/>
  <c r="AT1201" i="2"/>
  <c r="AT1202" i="2"/>
  <c r="AT1203" i="2"/>
  <c r="AT1204" i="2"/>
  <c r="AT1205" i="2"/>
  <c r="AT1206" i="2"/>
  <c r="AT1207" i="2"/>
  <c r="AT1208" i="2"/>
  <c r="AT1209" i="2"/>
  <c r="AT1210" i="2"/>
  <c r="AT1211" i="2"/>
  <c r="AT1212" i="2"/>
  <c r="AT1213" i="2"/>
  <c r="AT1214" i="2"/>
  <c r="AT1215" i="2"/>
  <c r="AT1216" i="2"/>
  <c r="AT1217" i="2"/>
  <c r="AT1218" i="2"/>
  <c r="AT1219" i="2"/>
  <c r="AT1220" i="2"/>
  <c r="AT1221" i="2"/>
  <c r="AT1222" i="2"/>
  <c r="AT1223" i="2"/>
  <c r="AT1224" i="2"/>
  <c r="AT1225" i="2"/>
  <c r="AT1226" i="2"/>
  <c r="AT1227" i="2"/>
  <c r="AT1228" i="2"/>
  <c r="AT1229" i="2"/>
  <c r="AT1230" i="2"/>
  <c r="AT1231" i="2"/>
  <c r="AT1232" i="2"/>
  <c r="AT1233" i="2"/>
  <c r="AT1234" i="2"/>
  <c r="AT1235" i="2"/>
  <c r="AT1236" i="2"/>
  <c r="AT1237" i="2"/>
  <c r="AT1238" i="2"/>
  <c r="AT1239" i="2"/>
  <c r="AT1240" i="2"/>
  <c r="AT1241" i="2"/>
  <c r="AT1242" i="2"/>
  <c r="AT1243" i="2"/>
  <c r="AT1244" i="2"/>
  <c r="AT1245" i="2"/>
  <c r="AT1246" i="2"/>
  <c r="AT1247" i="2"/>
  <c r="AT1248" i="2"/>
  <c r="AT1249" i="2"/>
  <c r="AT1250" i="2"/>
  <c r="AT1251" i="2"/>
  <c r="AT1252" i="2"/>
  <c r="AT1253" i="2"/>
  <c r="AT1254" i="2"/>
  <c r="AT1255" i="2"/>
  <c r="AT1256" i="2"/>
  <c r="AT1257" i="2"/>
  <c r="AT1258" i="2"/>
  <c r="AT1259" i="2"/>
  <c r="AT1260" i="2"/>
  <c r="AT1261" i="2"/>
  <c r="AT1262" i="2"/>
  <c r="AT1263" i="2"/>
  <c r="AT1264" i="2"/>
  <c r="AT1265" i="2"/>
  <c r="AT1266" i="2"/>
  <c r="AT1267" i="2"/>
  <c r="AT1268" i="2"/>
  <c r="AT1269" i="2"/>
  <c r="AT1270" i="2"/>
  <c r="AT1271" i="2"/>
  <c r="AT1272" i="2"/>
  <c r="AT1273" i="2"/>
  <c r="AT1274" i="2"/>
  <c r="AT1275" i="2"/>
  <c r="AT1276" i="2"/>
  <c r="AT1277" i="2"/>
  <c r="AT1278" i="2"/>
  <c r="AT1279" i="2"/>
  <c r="AT1280" i="2"/>
  <c r="AT1281" i="2"/>
  <c r="AT1282" i="2"/>
  <c r="AT1283" i="2"/>
  <c r="AT1284" i="2"/>
  <c r="AT1285" i="2"/>
  <c r="AT1286" i="2"/>
  <c r="AT1287" i="2"/>
  <c r="AT1288" i="2"/>
  <c r="AT1289" i="2"/>
  <c r="AT1290" i="2"/>
  <c r="AT1291" i="2"/>
  <c r="AT1292" i="2"/>
  <c r="AT1293" i="2"/>
  <c r="AT1294" i="2"/>
  <c r="AT1295" i="2"/>
  <c r="AT1296" i="2"/>
  <c r="AT1297" i="2"/>
  <c r="AT1298" i="2"/>
  <c r="AT1299" i="2"/>
  <c r="AT1300" i="2"/>
  <c r="AT1301" i="2"/>
  <c r="AT1302" i="2"/>
  <c r="AT1303" i="2"/>
  <c r="AT1304" i="2"/>
  <c r="AT1305" i="2"/>
  <c r="AT1306" i="2"/>
  <c r="AT1307" i="2"/>
  <c r="AT1308" i="2"/>
  <c r="AT1309" i="2"/>
  <c r="AT1310" i="2"/>
  <c r="AT1311" i="2"/>
  <c r="AT1312" i="2"/>
  <c r="AT1313" i="2"/>
  <c r="AT1314" i="2"/>
  <c r="AT1315" i="2"/>
  <c r="AT1316" i="2"/>
  <c r="AT1317" i="2"/>
  <c r="AT1318" i="2"/>
  <c r="AT1319" i="2"/>
  <c r="AT1320" i="2"/>
  <c r="AT1321" i="2"/>
  <c r="AT1322" i="2"/>
  <c r="AT1323" i="2"/>
  <c r="AT1324" i="2"/>
  <c r="AT1325" i="2"/>
  <c r="AT1326" i="2"/>
  <c r="AT1327" i="2"/>
  <c r="AT1328" i="2"/>
  <c r="AT1329" i="2"/>
  <c r="AT1330" i="2"/>
  <c r="AT1331" i="2"/>
  <c r="AT1332" i="2"/>
  <c r="AT1333" i="2"/>
  <c r="AT1334" i="2"/>
  <c r="AT1335" i="2"/>
  <c r="AT1336" i="2"/>
  <c r="AT1337" i="2"/>
  <c r="AT1338" i="2"/>
  <c r="AT1339" i="2"/>
  <c r="AT1340" i="2"/>
  <c r="AT1341" i="2"/>
  <c r="AT1342" i="2"/>
  <c r="AT1343" i="2"/>
  <c r="AT1344" i="2"/>
  <c r="AT1345" i="2"/>
  <c r="AT1346" i="2"/>
  <c r="AT1347" i="2"/>
  <c r="AT1348" i="2"/>
  <c r="AT1349" i="2"/>
  <c r="AT1350" i="2"/>
  <c r="AT1351" i="2"/>
  <c r="AT1352" i="2"/>
  <c r="AT1353" i="2"/>
  <c r="AT1354" i="2"/>
  <c r="AT1355" i="2"/>
  <c r="AT1356" i="2"/>
  <c r="AT1357" i="2"/>
  <c r="AT1358" i="2"/>
  <c r="AT1359" i="2"/>
  <c r="AT1360" i="2"/>
  <c r="AT1361" i="2"/>
  <c r="AT1362" i="2"/>
  <c r="AT1363" i="2"/>
  <c r="AT1364" i="2"/>
  <c r="AT1365" i="2"/>
  <c r="AT1366" i="2"/>
  <c r="AT1367" i="2"/>
  <c r="AT1368" i="2"/>
  <c r="AT1369" i="2"/>
  <c r="AT1370" i="2"/>
  <c r="AT1371" i="2"/>
  <c r="AT1372" i="2"/>
  <c r="AT1373" i="2"/>
  <c r="AT1374" i="2"/>
  <c r="AT1375" i="2"/>
  <c r="AT1376" i="2"/>
  <c r="AT1377" i="2"/>
  <c r="AT1378" i="2"/>
  <c r="AT1379" i="2"/>
  <c r="AT1380" i="2"/>
  <c r="AT1381" i="2"/>
  <c r="AT1382" i="2"/>
  <c r="AT1383" i="2"/>
  <c r="AT1384" i="2"/>
  <c r="AT1385" i="2"/>
  <c r="AT1386" i="2"/>
  <c r="AT1387" i="2"/>
  <c r="AT1388" i="2"/>
  <c r="AT1389" i="2"/>
  <c r="AT1390" i="2"/>
  <c r="AT1391" i="2"/>
  <c r="AT1392" i="2"/>
  <c r="AT1393" i="2"/>
  <c r="AT1394" i="2"/>
  <c r="AT1395" i="2"/>
  <c r="AT1396" i="2"/>
  <c r="AT1397" i="2"/>
  <c r="AT1398" i="2"/>
  <c r="AT1399" i="2"/>
  <c r="AT1400" i="2"/>
  <c r="AT1401" i="2"/>
  <c r="AT1402" i="2"/>
  <c r="AT1403" i="2"/>
  <c r="AT1404" i="2"/>
  <c r="AT1405" i="2"/>
  <c r="AT1406" i="2"/>
  <c r="AT1407" i="2"/>
  <c r="AT1408" i="2"/>
  <c r="AT1409" i="2"/>
  <c r="AT1410" i="2"/>
  <c r="AT1411" i="2"/>
  <c r="AT1412" i="2"/>
  <c r="AT1413" i="2"/>
  <c r="AT1414" i="2"/>
  <c r="AT1415" i="2"/>
  <c r="AT1416" i="2"/>
  <c r="AT1417" i="2"/>
  <c r="AT1418" i="2"/>
  <c r="AT1419" i="2"/>
  <c r="AT1420" i="2"/>
  <c r="AT1421" i="2"/>
  <c r="AT1422" i="2"/>
  <c r="AT1423" i="2"/>
  <c r="AT1424" i="2"/>
  <c r="AT1425" i="2"/>
  <c r="AT1426" i="2"/>
  <c r="AT1427" i="2"/>
  <c r="AT1428" i="2"/>
  <c r="AT1429" i="2"/>
  <c r="AT1430" i="2"/>
  <c r="AT1431" i="2"/>
  <c r="AT1432" i="2"/>
  <c r="AT1433" i="2"/>
  <c r="AT1434" i="2"/>
  <c r="AT1435" i="2"/>
  <c r="AT1436" i="2"/>
  <c r="AT1437" i="2"/>
  <c r="AT1438" i="2"/>
  <c r="AT1439" i="2"/>
  <c r="AT1440" i="2"/>
  <c r="AT1441" i="2"/>
  <c r="AT1442" i="2"/>
  <c r="AT1443" i="2"/>
  <c r="AT1444" i="2"/>
  <c r="AT1445" i="2"/>
  <c r="AT1446" i="2"/>
  <c r="AT1447" i="2"/>
  <c r="AT1448" i="2"/>
  <c r="AT1449" i="2"/>
  <c r="AT1450" i="2"/>
  <c r="AT1451" i="2"/>
  <c r="AT1452" i="2"/>
  <c r="AT1453" i="2"/>
  <c r="AT1454" i="2"/>
  <c r="AT1455" i="2"/>
  <c r="AT1456" i="2"/>
  <c r="AT1457" i="2"/>
  <c r="AT1458" i="2"/>
  <c r="AT1459" i="2"/>
  <c r="AT1460" i="2"/>
  <c r="AT1461" i="2"/>
  <c r="AT1462" i="2"/>
  <c r="AT1463" i="2"/>
  <c r="AT1464" i="2"/>
  <c r="AT1465" i="2"/>
  <c r="AT1466" i="2"/>
  <c r="AT1467" i="2"/>
  <c r="AT1468" i="2"/>
  <c r="AT1469" i="2"/>
  <c r="AT1470" i="2"/>
  <c r="AT1471" i="2"/>
  <c r="AT1472" i="2"/>
  <c r="AT1473" i="2"/>
  <c r="AT1474" i="2"/>
  <c r="AT1475" i="2"/>
  <c r="AT1476" i="2"/>
  <c r="AT1477" i="2"/>
  <c r="AT1478" i="2"/>
  <c r="AT1479" i="2"/>
  <c r="AT1480" i="2"/>
  <c r="AT1481" i="2"/>
  <c r="AT1482" i="2"/>
  <c r="AT1483" i="2"/>
  <c r="AT1484" i="2"/>
  <c r="AT1485" i="2"/>
  <c r="AT1486" i="2"/>
  <c r="AT1487" i="2"/>
  <c r="AT1488" i="2"/>
  <c r="AT1489" i="2"/>
  <c r="AT1490" i="2"/>
  <c r="AT1491" i="2"/>
  <c r="AT1492" i="2"/>
  <c r="AT1493" i="2"/>
  <c r="AT1494" i="2"/>
  <c r="AT1495" i="2"/>
  <c r="AT1496" i="2"/>
  <c r="AT1497" i="2"/>
  <c r="AT1498" i="2"/>
  <c r="AT1499" i="2"/>
  <c r="AT1500" i="2"/>
  <c r="AT1501" i="2"/>
  <c r="AT1502" i="2"/>
  <c r="AT1503" i="2"/>
  <c r="AT1504" i="2"/>
  <c r="AT1505" i="2"/>
  <c r="AT1506" i="2"/>
  <c r="AT1507" i="2"/>
  <c r="AT1508" i="2"/>
  <c r="AT1509" i="2"/>
  <c r="AT1510" i="2"/>
  <c r="AT1511" i="2"/>
  <c r="AT1512" i="2"/>
  <c r="AT1513" i="2"/>
  <c r="AT1514" i="2"/>
  <c r="AT1515" i="2"/>
  <c r="AT1516" i="2"/>
  <c r="AT1517" i="2"/>
  <c r="AT1518" i="2"/>
  <c r="AT1519" i="2"/>
  <c r="AT1520" i="2"/>
  <c r="AT1521" i="2"/>
  <c r="AT1522" i="2"/>
  <c r="AT1523" i="2"/>
  <c r="AT1524" i="2"/>
  <c r="AT1525" i="2"/>
  <c r="AT1526" i="2"/>
  <c r="AT1527" i="2"/>
  <c r="AT1528" i="2"/>
  <c r="AT1529" i="2"/>
  <c r="AT1530" i="2"/>
  <c r="AT1531" i="2"/>
  <c r="AT1532" i="2"/>
  <c r="AT1533" i="2"/>
  <c r="AT1534" i="2"/>
  <c r="AT1535" i="2"/>
  <c r="AT1536" i="2"/>
  <c r="AT1537" i="2"/>
  <c r="AT1538" i="2"/>
  <c r="AT1539" i="2"/>
  <c r="AT1540" i="2"/>
  <c r="AT1541" i="2"/>
  <c r="AT1542" i="2"/>
  <c r="AT1543" i="2"/>
  <c r="AT1544" i="2"/>
  <c r="AT1545" i="2"/>
  <c r="AT1546" i="2"/>
  <c r="AT1547" i="2"/>
  <c r="AT1548" i="2"/>
  <c r="AT1549" i="2"/>
  <c r="AT1550" i="2"/>
  <c r="AT1551" i="2"/>
  <c r="AT1552" i="2"/>
  <c r="AT1553" i="2"/>
  <c r="AT1554" i="2"/>
  <c r="AT1555" i="2"/>
  <c r="AT1556" i="2"/>
  <c r="AT1557" i="2"/>
  <c r="AT1558" i="2"/>
  <c r="AT1559" i="2"/>
  <c r="AT1560" i="2"/>
  <c r="AT1561" i="2"/>
  <c r="AT1562" i="2"/>
  <c r="AT1563" i="2"/>
  <c r="AT1564" i="2"/>
  <c r="AT1565" i="2"/>
  <c r="AT1566" i="2"/>
  <c r="AT1567" i="2"/>
  <c r="AT1568" i="2"/>
  <c r="AT1569" i="2"/>
  <c r="AT1570" i="2"/>
  <c r="AT1571" i="2"/>
  <c r="AT1572" i="2"/>
  <c r="AT1573" i="2"/>
  <c r="AT1574" i="2"/>
  <c r="AT1575" i="2"/>
  <c r="AT1576" i="2"/>
  <c r="AT1577" i="2"/>
  <c r="AT1578" i="2"/>
  <c r="AT1579" i="2"/>
  <c r="AT1580" i="2"/>
  <c r="AT1581" i="2"/>
  <c r="AT1582" i="2"/>
  <c r="AT1583" i="2"/>
  <c r="AT1584" i="2"/>
  <c r="AT1585" i="2"/>
  <c r="AT1586" i="2"/>
  <c r="AT1587" i="2"/>
  <c r="AT1588" i="2"/>
  <c r="AT1589" i="2"/>
  <c r="AT1590" i="2"/>
  <c r="AT1591" i="2"/>
  <c r="AT1592" i="2"/>
  <c r="AT1593" i="2"/>
  <c r="AT1594" i="2"/>
  <c r="AT1595" i="2"/>
  <c r="AT1596" i="2"/>
  <c r="AT1597" i="2"/>
  <c r="AT1598" i="2"/>
  <c r="AT1599" i="2"/>
  <c r="AT1600" i="2"/>
  <c r="AT1601" i="2"/>
  <c r="AT1602" i="2"/>
  <c r="AT1603" i="2"/>
  <c r="AT1604" i="2"/>
  <c r="AT1605" i="2"/>
  <c r="AT1606" i="2"/>
  <c r="AT1607" i="2"/>
  <c r="AT1608" i="2"/>
  <c r="AT1609" i="2"/>
  <c r="AT1610" i="2"/>
  <c r="AT1611" i="2"/>
  <c r="AT1612" i="2"/>
  <c r="AT1613" i="2"/>
  <c r="AT1614" i="2"/>
  <c r="AT1615" i="2"/>
  <c r="AT1616" i="2"/>
  <c r="AT1617" i="2"/>
  <c r="AT1618" i="2"/>
  <c r="AT1619" i="2"/>
  <c r="AT1620" i="2"/>
  <c r="AT1621" i="2"/>
  <c r="AT1622" i="2"/>
  <c r="AT1623" i="2"/>
  <c r="AT1624" i="2"/>
  <c r="AT1625" i="2"/>
  <c r="AT1626" i="2"/>
  <c r="AT1627" i="2"/>
  <c r="AT1628" i="2"/>
  <c r="AT1629" i="2"/>
  <c r="AT1630" i="2"/>
  <c r="AT1631" i="2"/>
  <c r="AT1632" i="2"/>
  <c r="AT1633" i="2"/>
  <c r="AT1634" i="2"/>
  <c r="AT1635" i="2"/>
  <c r="AT1636" i="2"/>
  <c r="AT1637" i="2"/>
  <c r="AT1638" i="2"/>
  <c r="AT1639" i="2"/>
  <c r="AT1640" i="2"/>
  <c r="AT1641" i="2"/>
  <c r="AT1642" i="2"/>
  <c r="AT1643" i="2"/>
  <c r="AT1644" i="2"/>
  <c r="AT1645" i="2"/>
  <c r="AT1646" i="2"/>
  <c r="AT1647" i="2"/>
  <c r="AT1648" i="2"/>
  <c r="AT1649" i="2"/>
  <c r="AT1650" i="2"/>
  <c r="AT1651" i="2"/>
  <c r="AT1652" i="2"/>
  <c r="AT1653" i="2"/>
  <c r="AT1654" i="2"/>
  <c r="AT1655" i="2"/>
  <c r="AT1656" i="2"/>
  <c r="AT1657" i="2"/>
  <c r="AT1658" i="2"/>
  <c r="AT1659" i="2"/>
  <c r="AT1660" i="2"/>
  <c r="AT1661" i="2"/>
  <c r="AT1662" i="2"/>
  <c r="AT1663" i="2"/>
  <c r="AT1664" i="2"/>
  <c r="AT1665" i="2"/>
  <c r="AT1666" i="2"/>
  <c r="AT1667" i="2"/>
  <c r="AT1668" i="2"/>
  <c r="AT1669" i="2"/>
  <c r="AT1670" i="2"/>
  <c r="AT1671" i="2"/>
  <c r="AT1672" i="2"/>
  <c r="AT1673" i="2"/>
  <c r="AT1674" i="2"/>
  <c r="AT1675" i="2"/>
  <c r="AT1676" i="2"/>
  <c r="AT1677" i="2"/>
  <c r="AT1678" i="2"/>
  <c r="AT1679" i="2"/>
  <c r="AT1680" i="2"/>
  <c r="AT1681" i="2"/>
  <c r="AT1682" i="2"/>
  <c r="AT1683" i="2"/>
  <c r="AT1684" i="2"/>
  <c r="AT1685" i="2"/>
  <c r="AT1686" i="2"/>
  <c r="AT1687" i="2"/>
  <c r="AT1688" i="2"/>
  <c r="AT1689" i="2"/>
  <c r="AT1690" i="2"/>
  <c r="AT1691" i="2"/>
  <c r="AT1692" i="2"/>
  <c r="AT1693" i="2"/>
  <c r="AT1694" i="2"/>
  <c r="AT1695" i="2"/>
  <c r="AT1696" i="2"/>
  <c r="AT1697" i="2"/>
  <c r="AT1698" i="2"/>
  <c r="AT1699" i="2"/>
  <c r="AT1700" i="2"/>
  <c r="AT1701" i="2"/>
  <c r="AT1702" i="2"/>
  <c r="AT1703" i="2"/>
  <c r="AT1704" i="2"/>
  <c r="AT1705" i="2"/>
  <c r="AT1706" i="2"/>
  <c r="AT1707" i="2"/>
  <c r="AT1708" i="2"/>
  <c r="AT1709" i="2"/>
  <c r="AT1710" i="2"/>
  <c r="AT1711" i="2"/>
  <c r="AT1712" i="2"/>
  <c r="AT1713" i="2"/>
  <c r="AT1714" i="2"/>
  <c r="AT1715" i="2"/>
  <c r="AT1716" i="2"/>
  <c r="AT1717" i="2"/>
  <c r="AT1718" i="2"/>
  <c r="AT1719" i="2"/>
  <c r="AT1720" i="2"/>
  <c r="AT1721" i="2"/>
  <c r="AT1722" i="2"/>
  <c r="AT1723" i="2"/>
  <c r="AT1724" i="2"/>
  <c r="AT1725" i="2"/>
  <c r="AT1726" i="2"/>
  <c r="AT1727" i="2"/>
  <c r="AT1728" i="2"/>
  <c r="AT1729" i="2"/>
  <c r="AT1730" i="2"/>
  <c r="AT1731" i="2"/>
  <c r="AT1732" i="2"/>
  <c r="AT1733" i="2"/>
  <c r="AT1734" i="2"/>
  <c r="AT1735" i="2"/>
  <c r="AT1736" i="2"/>
  <c r="AT1737" i="2"/>
  <c r="AT1738" i="2"/>
  <c r="AT1739" i="2"/>
  <c r="AT1740" i="2"/>
  <c r="AT1741" i="2"/>
  <c r="AT1742" i="2"/>
  <c r="AT1743" i="2"/>
  <c r="AT1744" i="2"/>
  <c r="AT1745" i="2"/>
  <c r="AT1746" i="2"/>
  <c r="AT1747" i="2"/>
  <c r="AT1748" i="2"/>
  <c r="AT1749" i="2"/>
  <c r="AT1750" i="2"/>
  <c r="AT1751" i="2"/>
  <c r="AT1752" i="2"/>
  <c r="AT1753" i="2"/>
  <c r="AT1754" i="2"/>
  <c r="AT1755" i="2"/>
  <c r="AT1756" i="2"/>
  <c r="AT1757" i="2"/>
  <c r="AT1758" i="2"/>
  <c r="AT1759" i="2"/>
  <c r="AT1760" i="2"/>
  <c r="AT1761" i="2"/>
  <c r="AT1762" i="2"/>
  <c r="AT1763" i="2"/>
  <c r="AT1764" i="2"/>
  <c r="AT1765" i="2"/>
  <c r="AT1766" i="2"/>
  <c r="AT1767" i="2"/>
  <c r="AT1768" i="2"/>
  <c r="AT1769" i="2"/>
  <c r="AT1770" i="2"/>
  <c r="AT1771" i="2"/>
  <c r="AT1772" i="2"/>
  <c r="AT1773" i="2"/>
  <c r="AT1774" i="2"/>
  <c r="AT1775" i="2"/>
  <c r="AT1776" i="2"/>
  <c r="AT1777" i="2"/>
  <c r="AT1778" i="2"/>
  <c r="AT1779" i="2"/>
  <c r="AT1780" i="2"/>
  <c r="AT1781" i="2"/>
  <c r="AT1782" i="2"/>
  <c r="AT1783" i="2"/>
  <c r="AT1784" i="2"/>
  <c r="AT1785" i="2"/>
  <c r="AT1786" i="2"/>
  <c r="AT1787" i="2"/>
  <c r="AT1788" i="2"/>
  <c r="AT1789" i="2"/>
  <c r="AT1790" i="2"/>
  <c r="AT1791" i="2"/>
  <c r="AT1792" i="2"/>
  <c r="AT1793" i="2"/>
  <c r="AT1794" i="2"/>
  <c r="AT1795" i="2"/>
  <c r="AT1796" i="2"/>
  <c r="AT1797" i="2"/>
  <c r="AT1798" i="2"/>
  <c r="AT1799" i="2"/>
  <c r="AT1800" i="2"/>
  <c r="AT1801" i="2"/>
  <c r="AT1802" i="2"/>
  <c r="AT1803" i="2"/>
  <c r="AT1804" i="2"/>
  <c r="AT1805" i="2"/>
  <c r="AT1806" i="2"/>
  <c r="AT1807" i="2"/>
  <c r="AT1808" i="2"/>
  <c r="AT1809" i="2"/>
  <c r="AT1810" i="2"/>
  <c r="AT1811" i="2"/>
  <c r="AT1812" i="2"/>
  <c r="AT1813" i="2"/>
  <c r="AT1814" i="2"/>
  <c r="AT1815" i="2"/>
  <c r="AT1816" i="2"/>
  <c r="AT1817" i="2"/>
  <c r="AT1818" i="2"/>
  <c r="AT1819" i="2"/>
  <c r="AT1820" i="2"/>
  <c r="AT1821" i="2"/>
  <c r="AT1822" i="2"/>
  <c r="AT1823" i="2"/>
  <c r="AT1824" i="2"/>
  <c r="AT1825" i="2"/>
  <c r="AT1826" i="2"/>
  <c r="AT1827" i="2"/>
  <c r="AT1828" i="2"/>
  <c r="AT1829" i="2"/>
  <c r="AT1830" i="2"/>
  <c r="AT1831" i="2"/>
  <c r="AT1832" i="2"/>
  <c r="AT1833" i="2"/>
  <c r="AT1834" i="2"/>
  <c r="AT1835" i="2"/>
  <c r="AT1836" i="2"/>
  <c r="AT1837" i="2"/>
  <c r="AT1838" i="2"/>
  <c r="AT1839" i="2"/>
  <c r="AT1840" i="2"/>
  <c r="AT1841" i="2"/>
  <c r="AT1842" i="2"/>
  <c r="AT1843" i="2"/>
  <c r="AT1844" i="2"/>
  <c r="AT1845" i="2"/>
  <c r="AT1846" i="2"/>
  <c r="AT1847" i="2"/>
  <c r="AT1848" i="2"/>
  <c r="AT1849" i="2"/>
  <c r="AT1850" i="2"/>
  <c r="AT1851" i="2"/>
  <c r="AT1852" i="2"/>
  <c r="AT1853" i="2"/>
  <c r="AT1854" i="2"/>
  <c r="AT1855" i="2"/>
  <c r="AT1856" i="2"/>
  <c r="AT1857" i="2"/>
  <c r="AT1858" i="2"/>
  <c r="AT1859" i="2"/>
  <c r="AT1860" i="2"/>
  <c r="AT1861" i="2"/>
  <c r="AT1862" i="2"/>
  <c r="AT1863" i="2"/>
  <c r="AT1864" i="2"/>
  <c r="AT1865" i="2"/>
  <c r="AT1866" i="2"/>
  <c r="AT1867" i="2"/>
  <c r="AT1868" i="2"/>
  <c r="AT1869" i="2"/>
  <c r="AT1870" i="2"/>
  <c r="AT1871" i="2"/>
  <c r="AT1872" i="2"/>
  <c r="AT1873" i="2"/>
  <c r="AT1874" i="2"/>
  <c r="AT1875" i="2"/>
  <c r="AT1876" i="2"/>
  <c r="AT1877" i="2"/>
  <c r="AT1878" i="2"/>
  <c r="AT1879" i="2"/>
  <c r="AT1880" i="2"/>
  <c r="AT1881" i="2"/>
  <c r="AT1882" i="2"/>
  <c r="AT1883" i="2"/>
  <c r="AT1884" i="2"/>
  <c r="AT1885" i="2"/>
  <c r="AT1886" i="2"/>
  <c r="AT1887" i="2"/>
  <c r="AT1888" i="2"/>
  <c r="AT1889" i="2"/>
  <c r="AT1890" i="2"/>
  <c r="AT1891" i="2"/>
  <c r="AT1892" i="2"/>
  <c r="AT1893" i="2"/>
  <c r="AT1894" i="2"/>
  <c r="AT1895" i="2"/>
  <c r="AT1896" i="2"/>
  <c r="AT1897" i="2"/>
  <c r="AT1898" i="2"/>
  <c r="AT1899" i="2"/>
  <c r="AT1900" i="2"/>
  <c r="AT1901" i="2"/>
  <c r="AT1902" i="2"/>
  <c r="AT1903" i="2"/>
  <c r="AT1904" i="2"/>
  <c r="AT1905" i="2"/>
  <c r="AT1906" i="2"/>
  <c r="AT1907" i="2"/>
  <c r="AT1908" i="2"/>
  <c r="AT1909" i="2"/>
  <c r="AT1910" i="2"/>
  <c r="AT1911" i="2"/>
  <c r="AT1912" i="2"/>
  <c r="AT1913" i="2"/>
  <c r="AT1914" i="2"/>
  <c r="AT1915" i="2"/>
  <c r="AT1916" i="2"/>
  <c r="AT1917" i="2"/>
  <c r="AT1918" i="2"/>
  <c r="AT1919" i="2"/>
  <c r="AT1920" i="2"/>
  <c r="AT1921" i="2"/>
  <c r="AT1922" i="2"/>
  <c r="AT1923" i="2"/>
  <c r="AT1924" i="2"/>
  <c r="AT1925" i="2"/>
  <c r="AT1926" i="2"/>
  <c r="AT1927" i="2"/>
  <c r="AT1928" i="2"/>
  <c r="AT1929" i="2"/>
  <c r="AT1930" i="2"/>
  <c r="AT1931" i="2"/>
  <c r="AT1932" i="2"/>
  <c r="AT1933" i="2"/>
  <c r="AT1934" i="2"/>
  <c r="AT1935" i="2"/>
  <c r="AT1936" i="2"/>
  <c r="AT1937" i="2"/>
  <c r="AT1938" i="2"/>
  <c r="AT1939" i="2"/>
  <c r="AT1940" i="2"/>
  <c r="AT1941" i="2"/>
  <c r="AT1942" i="2"/>
  <c r="AT1943" i="2"/>
  <c r="AT1944" i="2"/>
  <c r="AT1945" i="2"/>
  <c r="AT1946" i="2"/>
  <c r="AT1947" i="2"/>
  <c r="AT1948" i="2"/>
  <c r="AT1949" i="2"/>
  <c r="AT1950" i="2"/>
  <c r="AT1951" i="2"/>
  <c r="AT1952" i="2"/>
  <c r="AT1953" i="2"/>
  <c r="AT1954" i="2"/>
  <c r="AT1955" i="2"/>
  <c r="AT1956" i="2"/>
  <c r="AT1957" i="2"/>
  <c r="AT1958" i="2"/>
  <c r="AT1959" i="2"/>
  <c r="AT1960" i="2"/>
  <c r="AT1961" i="2"/>
  <c r="AT1962" i="2"/>
  <c r="AT1963" i="2"/>
  <c r="AT1964" i="2"/>
  <c r="AT1965" i="2"/>
  <c r="AT1966" i="2"/>
  <c r="AT1967" i="2"/>
  <c r="AT1968" i="2"/>
  <c r="AT1969" i="2"/>
  <c r="AT1970" i="2"/>
  <c r="AT1971" i="2"/>
  <c r="AT1972" i="2"/>
  <c r="AT1973" i="2"/>
  <c r="AT1974" i="2"/>
  <c r="AT1975" i="2"/>
  <c r="AT1976" i="2"/>
  <c r="AT1977" i="2"/>
  <c r="AT1978" i="2"/>
  <c r="AT1979" i="2"/>
  <c r="AT1980" i="2"/>
  <c r="AT1981" i="2"/>
  <c r="AT1982" i="2"/>
  <c r="AT1983" i="2"/>
  <c r="AT1984" i="2"/>
  <c r="AT1985" i="2"/>
  <c r="AT1986" i="2"/>
  <c r="AT1987" i="2"/>
  <c r="AT1988" i="2"/>
  <c r="AT1989" i="2"/>
  <c r="AT1990" i="2"/>
  <c r="AT1991" i="2"/>
  <c r="AT1992" i="2"/>
  <c r="AT1993" i="2"/>
  <c r="AT1994" i="2"/>
  <c r="AT1995" i="2"/>
  <c r="AT1996" i="2"/>
  <c r="AT1997" i="2"/>
  <c r="AT1998" i="2"/>
  <c r="AT1999" i="2"/>
  <c r="AT2000" i="2"/>
  <c r="AT2001" i="2"/>
  <c r="AT2002" i="2"/>
  <c r="AT2003" i="2"/>
  <c r="AT2004" i="2"/>
  <c r="AT2005" i="2"/>
  <c r="AT2006" i="2"/>
  <c r="AT2007" i="2"/>
  <c r="AT2008" i="2"/>
  <c r="AT2009" i="2"/>
  <c r="AT2010" i="2"/>
  <c r="AT2011" i="2"/>
  <c r="AT2012" i="2"/>
  <c r="AT2013" i="2"/>
  <c r="AT2014" i="2"/>
  <c r="AT2015" i="2"/>
  <c r="AT2016" i="2"/>
  <c r="AT2017" i="2"/>
  <c r="AT2018" i="2"/>
  <c r="AT2019" i="2"/>
  <c r="AT2020" i="2"/>
  <c r="AT2021" i="2"/>
  <c r="AT2022" i="2"/>
  <c r="AT2023" i="2"/>
  <c r="AT2024" i="2"/>
  <c r="AT2025" i="2"/>
  <c r="AT2026" i="2"/>
  <c r="AT2027" i="2"/>
  <c r="AT2028" i="2"/>
  <c r="AT2029" i="2"/>
  <c r="AT2030" i="2"/>
  <c r="AT2031" i="2"/>
  <c r="AT2032" i="2"/>
  <c r="AT2033" i="2"/>
  <c r="AT2034" i="2"/>
  <c r="AT2035" i="2"/>
  <c r="AT2036" i="2"/>
  <c r="AT2037" i="2"/>
  <c r="AT2038" i="2"/>
  <c r="AT2039" i="2"/>
  <c r="AT2040" i="2"/>
  <c r="AT2041" i="2"/>
  <c r="AT2042" i="2"/>
  <c r="AT2043" i="2"/>
  <c r="AT2044" i="2"/>
  <c r="AT2045" i="2"/>
  <c r="AT2046" i="2"/>
  <c r="AT2047" i="2"/>
  <c r="AT2048" i="2"/>
  <c r="AT2049" i="2"/>
  <c r="AT2050" i="2"/>
  <c r="AT2051" i="2"/>
  <c r="AT2052" i="2"/>
  <c r="AT2053" i="2"/>
  <c r="AT2054" i="2"/>
  <c r="AT2055" i="2"/>
  <c r="AT2056" i="2"/>
  <c r="AT2057" i="2"/>
  <c r="AT2058" i="2"/>
  <c r="AT2059" i="2"/>
  <c r="AT2060" i="2"/>
  <c r="AT2061" i="2"/>
  <c r="AT2062" i="2"/>
  <c r="AT2063" i="2"/>
  <c r="AT2064" i="2"/>
  <c r="AT2065" i="2"/>
  <c r="AT2066" i="2"/>
  <c r="AT2067" i="2"/>
  <c r="AT2068" i="2"/>
  <c r="AT2069" i="2"/>
  <c r="AT2070" i="2"/>
  <c r="AT2071" i="2"/>
  <c r="AT2072" i="2"/>
  <c r="AT2073" i="2"/>
  <c r="AT2074" i="2"/>
  <c r="AT2075" i="2"/>
  <c r="AT2076" i="2"/>
  <c r="AT2077" i="2"/>
  <c r="AT2078" i="2"/>
  <c r="AT2079" i="2"/>
  <c r="AT2080" i="2"/>
  <c r="AT2081" i="2"/>
  <c r="AT2082" i="2"/>
  <c r="AT2083" i="2"/>
  <c r="AT2084" i="2"/>
  <c r="AT2085" i="2"/>
  <c r="AT2086" i="2"/>
  <c r="AT2087" i="2"/>
  <c r="AT2088" i="2"/>
  <c r="AT2089" i="2"/>
  <c r="AT2090" i="2"/>
  <c r="AT2091" i="2"/>
  <c r="AT2092" i="2"/>
  <c r="AT2093" i="2"/>
  <c r="AT2094" i="2"/>
  <c r="AT2095" i="2"/>
  <c r="AT2096" i="2"/>
  <c r="AT2097" i="2"/>
  <c r="AT2098" i="2"/>
  <c r="AT2099" i="2"/>
  <c r="AT2100" i="2"/>
  <c r="AT2101" i="2"/>
  <c r="AT2102" i="2"/>
  <c r="AT2103" i="2"/>
  <c r="AT2104" i="2"/>
  <c r="AT2105" i="2"/>
  <c r="AT2106" i="2"/>
  <c r="AT2107" i="2"/>
  <c r="AT2108" i="2"/>
  <c r="AT2109" i="2"/>
  <c r="AT2110" i="2"/>
  <c r="AT2111" i="2"/>
  <c r="AT2112" i="2"/>
  <c r="AT2113" i="2"/>
  <c r="AT2114" i="2"/>
  <c r="AT2115" i="2"/>
  <c r="AT2116" i="2"/>
  <c r="AT2117" i="2"/>
  <c r="AT2118" i="2"/>
  <c r="AT2119" i="2"/>
  <c r="AT2120" i="2"/>
  <c r="AT2121" i="2"/>
  <c r="AT2122" i="2"/>
  <c r="AT2123" i="2"/>
  <c r="AT2124" i="2"/>
  <c r="AT2125" i="2"/>
  <c r="AT2126" i="2"/>
  <c r="AT2127" i="2"/>
  <c r="AT2128" i="2"/>
  <c r="AT2129" i="2"/>
  <c r="AT2130" i="2"/>
  <c r="AT2131" i="2"/>
  <c r="AT2132" i="2"/>
  <c r="AT2133" i="2"/>
  <c r="AT2134" i="2"/>
  <c r="AT2135" i="2"/>
  <c r="AT2136" i="2"/>
  <c r="AT2137" i="2"/>
  <c r="AT2138" i="2"/>
  <c r="AT2139" i="2"/>
  <c r="AT2140" i="2"/>
  <c r="AT2141" i="2"/>
  <c r="AT2142" i="2"/>
  <c r="AT2143" i="2"/>
  <c r="AT2144" i="2"/>
  <c r="AT2145" i="2"/>
  <c r="AT2146" i="2"/>
  <c r="AT2147" i="2"/>
  <c r="AT2148" i="2"/>
  <c r="AT2149" i="2"/>
  <c r="AT2150" i="2"/>
  <c r="AT2151" i="2"/>
  <c r="AT2152" i="2"/>
  <c r="AT2153" i="2"/>
  <c r="AT2154" i="2"/>
  <c r="AT2155" i="2"/>
  <c r="AT2156" i="2"/>
  <c r="AT2157" i="2"/>
  <c r="AT2158" i="2"/>
  <c r="AT2159" i="2"/>
  <c r="AT2160" i="2"/>
  <c r="AT2161" i="2"/>
  <c r="AT2162" i="2"/>
  <c r="AT2163" i="2"/>
  <c r="AT2164" i="2"/>
  <c r="AT2165" i="2"/>
  <c r="AT2166" i="2"/>
  <c r="AT2167" i="2"/>
  <c r="AT2168" i="2"/>
  <c r="AT2169" i="2"/>
  <c r="AT2170" i="2"/>
  <c r="AT2171" i="2"/>
  <c r="AT2172" i="2"/>
  <c r="AT2173" i="2"/>
  <c r="AT2174" i="2"/>
  <c r="AT2175" i="2"/>
  <c r="AT2176" i="2"/>
  <c r="AT2177" i="2"/>
  <c r="AT2178" i="2"/>
  <c r="AT2179" i="2"/>
  <c r="AT2180" i="2"/>
  <c r="AT2181" i="2"/>
  <c r="AT2182" i="2"/>
  <c r="AT2183" i="2"/>
  <c r="AT2184" i="2"/>
  <c r="AT2185" i="2"/>
  <c r="AT2186" i="2"/>
  <c r="AT2187" i="2"/>
  <c r="AT2188" i="2"/>
  <c r="AT2189" i="2"/>
  <c r="AT2190" i="2"/>
  <c r="AT2191" i="2"/>
  <c r="AT2192" i="2"/>
  <c r="AT2193" i="2"/>
  <c r="AT2194" i="2"/>
  <c r="AT2195" i="2"/>
  <c r="AT2196" i="2"/>
  <c r="AT2197" i="2"/>
  <c r="AT2198" i="2"/>
  <c r="AT2199" i="2"/>
  <c r="AT2200" i="2"/>
  <c r="AT2201" i="2"/>
  <c r="AT2202" i="2"/>
  <c r="AT2203" i="2"/>
  <c r="AT2204" i="2"/>
  <c r="AT2205" i="2"/>
  <c r="AT2206" i="2"/>
  <c r="AT2207" i="2"/>
  <c r="AT2208" i="2"/>
  <c r="AT2209" i="2"/>
  <c r="AT2210" i="2"/>
  <c r="AT2211" i="2"/>
  <c r="AT2212" i="2"/>
  <c r="AT2213" i="2"/>
  <c r="AT2214" i="2"/>
  <c r="AT2215" i="2"/>
  <c r="AT2216" i="2"/>
  <c r="AT2217" i="2"/>
  <c r="AT2218" i="2"/>
  <c r="AT2219" i="2"/>
  <c r="AT2220" i="2"/>
  <c r="AT2221" i="2"/>
  <c r="AT2222" i="2"/>
  <c r="AT2223" i="2"/>
  <c r="AT2224" i="2"/>
  <c r="AT2225" i="2"/>
  <c r="AT2226" i="2"/>
  <c r="AT2227" i="2"/>
  <c r="AT2228" i="2"/>
  <c r="AT2229" i="2"/>
  <c r="AT2230" i="2"/>
  <c r="AT2231" i="2"/>
  <c r="AT2232" i="2"/>
  <c r="AT2233" i="2"/>
  <c r="AT2234" i="2"/>
  <c r="AT2235" i="2"/>
  <c r="AT2236" i="2"/>
  <c r="AT2237" i="2"/>
  <c r="AT2238" i="2"/>
  <c r="AT2239" i="2"/>
  <c r="AT2240" i="2"/>
  <c r="AT2241" i="2"/>
  <c r="AT2242" i="2"/>
  <c r="AT2243" i="2"/>
  <c r="AT2244" i="2"/>
  <c r="AT2245" i="2"/>
  <c r="AT2246" i="2"/>
  <c r="AT2" i="2"/>
</calcChain>
</file>

<file path=xl/sharedStrings.xml><?xml version="1.0" encoding="utf-8"?>
<sst xmlns="http://schemas.openxmlformats.org/spreadsheetml/2006/main" count="46223" uniqueCount="4132">
  <si>
    <t>Date</t>
  </si>
  <si>
    <t>Branch</t>
  </si>
  <si>
    <t>Recipe group</t>
  </si>
  <si>
    <t>Component</t>
  </si>
  <si>
    <t>Type</t>
  </si>
  <si>
    <t>Unit</t>
  </si>
  <si>
    <t>Forecast qty</t>
  </si>
  <si>
    <t>Shaker Final Food Recipes</t>
  </si>
  <si>
    <t>Shawarma Bread OSF</t>
  </si>
  <si>
    <t>PREP</t>
  </si>
  <si>
    <t>Each</t>
  </si>
  <si>
    <t>T.Final Food Recipe</t>
  </si>
  <si>
    <t>Tabel Bread</t>
  </si>
  <si>
    <t>RAW</t>
  </si>
  <si>
    <t>BBT Final Food Recipe</t>
  </si>
  <si>
    <t>Kids Fries Sleeves BBT Food Board 250gsm</t>
  </si>
  <si>
    <t>Marinated BBT Chicken tender (PA)</t>
  </si>
  <si>
    <t>PA</t>
  </si>
  <si>
    <t>Wrapping Sheet BBT 30 X 30</t>
  </si>
  <si>
    <t>Yelo Pizza Finished Product</t>
  </si>
  <si>
    <t>Hoagie Bread</t>
  </si>
  <si>
    <t>MM-Final Food Recipe</t>
  </si>
  <si>
    <t>Mishmash Mauve Printed Sheet (25*35) Small Size</t>
  </si>
  <si>
    <t>Fillaaa on Toast</t>
  </si>
  <si>
    <t>2 Oz Clear Souffle Cup W/Lid</t>
  </si>
  <si>
    <t>S/W Jacket 4x7x28cm Chicken - Shakir</t>
  </si>
  <si>
    <t>Sandwich Jacket 4x7x28cm - Beef shakir</t>
  </si>
  <si>
    <t>Combo Box BBT Currugated KBC225565</t>
  </si>
  <si>
    <t>Beef Portion 55 Gram (PA)</t>
  </si>
  <si>
    <t>Portion</t>
  </si>
  <si>
    <t>BBT Sesame Bun Loaf (PA)</t>
  </si>
  <si>
    <t>Sandwich Jacket 4x7x28cm - Beef Spicy shakir</t>
  </si>
  <si>
    <t>Sleeve For One Stop Combo Box BBT 45*15 CM</t>
  </si>
  <si>
    <t>Brined Chicken Breast For Chic Chunks</t>
  </si>
  <si>
    <t>Breaded Chicken Chunk</t>
  </si>
  <si>
    <t>Tabel Printed Paper Cutlery Fork</t>
  </si>
  <si>
    <t>Pita Bread White Small - 14cm</t>
  </si>
  <si>
    <t>Tabel Printed Paper Cutlery Spoon</t>
  </si>
  <si>
    <t>Saj Bread Mishmash</t>
  </si>
  <si>
    <t>Potato Jacket - (12 * 10 *3.5 cm) Shakir</t>
  </si>
  <si>
    <t>Clear Sauce Container</t>
  </si>
  <si>
    <t>Paper Cup Triple X BBT Sauce 4 OZ</t>
  </si>
  <si>
    <t>Wrapping Sheet Aluminum 30*30 Shakir Printed</t>
  </si>
  <si>
    <t>Tabel Beef Tikka Skewer</t>
  </si>
  <si>
    <t>Tabel Shish Tawook Skewer</t>
  </si>
  <si>
    <t>Shakir Shish Tawook Skewer</t>
  </si>
  <si>
    <t>Tabel Herbs Shish Tawouk</t>
  </si>
  <si>
    <t>Wax Paper 12 X 13cm Plain</t>
  </si>
  <si>
    <t>Tabel Printed Paper Sheet</t>
  </si>
  <si>
    <t>Yelo Side Box Small - KBC225294</t>
  </si>
  <si>
    <t>Lebanese Bread Mishmash</t>
  </si>
  <si>
    <t>Burger On Toast</t>
  </si>
  <si>
    <t>Shaker Finished Bev Recipe</t>
  </si>
  <si>
    <t>Straw Transperent</t>
  </si>
  <si>
    <t>Wrapping Sheet for Grilled Rolls Shakir 24*25cm</t>
  </si>
  <si>
    <t>Egyptain Bread (PA)</t>
  </si>
  <si>
    <t>Tabel Shawarma Pouch</t>
  </si>
  <si>
    <t>Mishmash Fries Box</t>
  </si>
  <si>
    <t>Mishmash Portion Cup 3.25 Oz</t>
  </si>
  <si>
    <t>MM-Shish Tawouk Skewer</t>
  </si>
  <si>
    <t>Mishmash Orange Printed Sheet (30*40) Big Size</t>
  </si>
  <si>
    <t>Pizza Stand</t>
  </si>
  <si>
    <t>Tabel Paper Cup 300 ML</t>
  </si>
  <si>
    <t>Mishmash Small Box (170*120*45)</t>
  </si>
  <si>
    <t>Tabel Medium Box</t>
  </si>
  <si>
    <t>Mishmash Printed Clear Spoon</t>
  </si>
  <si>
    <t>Mishmash Printed Clear Fork</t>
  </si>
  <si>
    <t>Pizza Box Liner - KBC217780 - 275x275mm</t>
  </si>
  <si>
    <t>Tabel Mini Shawarma Pouch 12Ã—7Ã—4 cm</t>
  </si>
  <si>
    <t>DELUXE BRIOCHE BURGER BUN</t>
  </si>
  <si>
    <t>Bun Glazed Burger 4"</t>
  </si>
  <si>
    <t>Mishmash Mauve Sleeve 9*40</t>
  </si>
  <si>
    <t>Hoagie Bread with garlic sauce (PA)</t>
  </si>
  <si>
    <t>Container White 150g Shaker</t>
  </si>
  <si>
    <t>Tabel Paper Cup 1100 ML</t>
  </si>
  <si>
    <t>Yelo Side Box Medium - KBC224882</t>
  </si>
  <si>
    <t>Tortilla 7" Flour</t>
  </si>
  <si>
    <t>Tabel Sticker Spicy Sauce 6*6</t>
  </si>
  <si>
    <t>patty patty Finished Items</t>
  </si>
  <si>
    <t>Hawaian Bun (PA)</t>
  </si>
  <si>
    <t>Sleeve for Beef Arayes 24*7.5*4cm</t>
  </si>
  <si>
    <t>Aluminium Foil Cool Ranch Yelo</t>
  </si>
  <si>
    <t>Pizza Ranch Sauce Portion (PA)</t>
  </si>
  <si>
    <t>4 Oz Clear Souffle Cup W/Lid</t>
  </si>
  <si>
    <t>Burger Box Bbt</t>
  </si>
  <si>
    <t>MM - Regular Strips (PA)</t>
  </si>
  <si>
    <t>Mishmash Sticker Ranch Sauce 6*6</t>
  </si>
  <si>
    <t>Pizza Box 11 inch - KBC218943</t>
  </si>
  <si>
    <t>Tabel Sticker Garlic Sauce 6*6</t>
  </si>
  <si>
    <t>Sheesh Tawooq Sticker 4X2.5 Cm SH</t>
  </si>
  <si>
    <t>Shaker Outlet Semi Finished</t>
  </si>
  <si>
    <t>Bun Glazed Burger 3.5"</t>
  </si>
  <si>
    <t>Medium NY Pizza Dough 250 G (PA)</t>
  </si>
  <si>
    <t>Cutllery Set ( F-K-S-N2 Ply) Shakir</t>
  </si>
  <si>
    <t>MM-Halloum With breading</t>
  </si>
  <si>
    <t>Beef Kabab Sticker 4X2.5 Cm SH</t>
  </si>
  <si>
    <t>Burger Box Red 250gsm MatLam - Pattie</t>
  </si>
  <si>
    <t>Pan Pizza Dough Square prep</t>
  </si>
  <si>
    <t>Pan Pizza Dough Square (PA)</t>
  </si>
  <si>
    <t>Aluminium Big Foil Cool Ranch 4.23oz</t>
  </si>
  <si>
    <t>Mishmash Round Clear Container 10 Oz</t>
  </si>
  <si>
    <t>Shakir Beef Kebab skewer</t>
  </si>
  <si>
    <t>Tabel Sticker Hummus 6*6</t>
  </si>
  <si>
    <t>Mish - Chicken Fillet Portion</t>
  </si>
  <si>
    <t>Coca Cola Can-250 ML</t>
  </si>
  <si>
    <t>Shakir Plater Box +2 Sauce KBC224040</t>
  </si>
  <si>
    <t>Buffalo Wings prep</t>
  </si>
  <si>
    <t>Shakir Tikka skewer</t>
  </si>
  <si>
    <t>Turky Bread with Sauce</t>
  </si>
  <si>
    <t>Shakir Garlic Sauce portion (PA)</t>
  </si>
  <si>
    <t>Aluminium Foil Shakir Garlic Sauce</t>
  </si>
  <si>
    <t>Sprite Can-250 ML</t>
  </si>
  <si>
    <t>Sticker Fillaaa Tender Sauce 5.7 CM BBT</t>
  </si>
  <si>
    <t>Hoagie Bun</t>
  </si>
  <si>
    <t>Diet Cola Can-250 ML</t>
  </si>
  <si>
    <t>Sticker Slaw Sauce 5.7 CM BBT</t>
  </si>
  <si>
    <t>Mishmash Printed Clear Knife</t>
  </si>
  <si>
    <t>Wax Paper 20 X 20cm Plain</t>
  </si>
  <si>
    <t>BBT Sesame Bun</t>
  </si>
  <si>
    <t>Sticker BBT Regular 2.75*5.5 CM</t>
  </si>
  <si>
    <t>Tabel Paper Cup 500 ML</t>
  </si>
  <si>
    <t>Container Aluminium ALC 1200 - Yelo</t>
  </si>
  <si>
    <t>Printed Paper Lid Container Aluminium ALC 1200 - Yelo</t>
  </si>
  <si>
    <t>Mishmash Medium Box (Hivc 290*170*45)</t>
  </si>
  <si>
    <t>Crayons Bbt</t>
  </si>
  <si>
    <t>Original Fries - Regular</t>
  </si>
  <si>
    <t>Slice Final Food Recipes</t>
  </si>
  <si>
    <t>Mini Pita Sleeves Slice Legendary 12*5*10</t>
  </si>
  <si>
    <t>Slider Sleeves Plain</t>
  </si>
  <si>
    <t>Mishmash Rect Clear Dish 1000 Ml</t>
  </si>
  <si>
    <t>Mishmash Sticker Spicy Ranch Sauce 6*6</t>
  </si>
  <si>
    <t>Fries Box Small  BBT</t>
  </si>
  <si>
    <t>Chicken Wings Cook (PA)</t>
  </si>
  <si>
    <t>Mishmash Sticker Garlic Sauce 6*6</t>
  </si>
  <si>
    <t>Wrapping Sheet BBT Cheese Burger 30 X 30</t>
  </si>
  <si>
    <t>Chicken Breast Uncalibrated Free Size</t>
  </si>
  <si>
    <t>Kilogram</t>
  </si>
  <si>
    <t>T&amp;M - Chicken Tender Breast Prep</t>
  </si>
  <si>
    <t>Tabel Sticker Sauce 6*6</t>
  </si>
  <si>
    <t>Pizza Box Liner Yellow - KBC209214</t>
  </si>
  <si>
    <t>Aluminium Foil Shakir Mashawi Sauce</t>
  </si>
  <si>
    <t>Kebab Sauce Portion (PA)</t>
  </si>
  <si>
    <t>Nuggets Box BBT</t>
  </si>
  <si>
    <t>Burger Box BBT Suuuper</t>
  </si>
  <si>
    <t>Bun Potato Sesame 4.5" - KFM</t>
  </si>
  <si>
    <t>Shakir new Crinkle Fries</t>
  </si>
  <si>
    <t>Cutlery Spoon White Wrapped</t>
  </si>
  <si>
    <t>Popcorn Box BBT</t>
  </si>
  <si>
    <t>Bun 3.5" Glazed - Broasted</t>
  </si>
  <si>
    <t>Cool Ranch Big Portion (PA)</t>
  </si>
  <si>
    <t>Burger Box Fillaaa BBT</t>
  </si>
  <si>
    <t>Sticker for Shakir Garlic Broasted 5.7 CM</t>
  </si>
  <si>
    <t>Regular Sauce 4 Chicken Broasted (PA)</t>
  </si>
  <si>
    <t>Sticker for Shakir Coleslaw 5.7 CM</t>
  </si>
  <si>
    <t>Shakir Coleslaw Portion</t>
  </si>
  <si>
    <t>Aluminium Foil Shakir Tahina</t>
  </si>
  <si>
    <t>Shakir Tahina Sauce portion (PA)</t>
  </si>
  <si>
    <t>Aluminium Foil BBQ Sauce BBT</t>
  </si>
  <si>
    <t>BBQ Sauce (PA)</t>
  </si>
  <si>
    <t>Yelo Side Box Big - KBC225295</t>
  </si>
  <si>
    <t>Marinated Chicken Shawarma (PA)</t>
  </si>
  <si>
    <t>Pepsi Cola Can</t>
  </si>
  <si>
    <t>Shakir Bread Dough</t>
  </si>
  <si>
    <t>Fries Frz - 2723</t>
  </si>
  <si>
    <t>Mishmash Sticker Honey Mustard Sauce 6*6</t>
  </si>
  <si>
    <t>MM-Final Bev Recipe</t>
  </si>
  <si>
    <t>MM-Ranch Sauce Portion</t>
  </si>
  <si>
    <t>BBT Marinated chicken burger (PA)</t>
  </si>
  <si>
    <t>Sprite Light Can-250 ML</t>
  </si>
  <si>
    <t>MM-Beef Tikka Skewer</t>
  </si>
  <si>
    <t>Chessy Garlic Bread prep</t>
  </si>
  <si>
    <t>Water</t>
  </si>
  <si>
    <t>Chicken Shawarma (Regular)</t>
  </si>
  <si>
    <t>Cutlery Fork White</t>
  </si>
  <si>
    <t>Fries Tray Box BBT</t>
  </si>
  <si>
    <t>Wax Paper 25 X 25 cm Plain</t>
  </si>
  <si>
    <t>Brioche Loaf Sliced Bread Mishmash</t>
  </si>
  <si>
    <t>Chicken Tender Inner Fillet</t>
  </si>
  <si>
    <t>Sleeve for Kebab Sandwich 24*7.5*4cm</t>
  </si>
  <si>
    <t>Long Box For Yelo KBC225690</t>
  </si>
  <si>
    <t>Wrapping Sheet BBT Little Wrap Fillaaa 30 X 30</t>
  </si>
  <si>
    <t>Wrapping Sheet Shakir Broasted 12 X 22</t>
  </si>
  <si>
    <t>Broasted Box Shakir 350gsm With Lam</t>
  </si>
  <si>
    <t>Crinckle Fries Slice Round / 2995</t>
  </si>
  <si>
    <t>Tortilla 8" Chili</t>
  </si>
  <si>
    <t>Arabi Sandwich</t>
  </si>
  <si>
    <t>Mishmash Sticker Hummus 6*6</t>
  </si>
  <si>
    <t>Mishmash Sticker Cheese Sauce 6*6</t>
  </si>
  <si>
    <t>BBT Final Bev Recipe</t>
  </si>
  <si>
    <t>Pepsi Cola Zero Can</t>
  </si>
  <si>
    <t>Flour All Purpose</t>
  </si>
  <si>
    <t>Coca-Cola Zero-250</t>
  </si>
  <si>
    <t>Chicken Fillaaaa</t>
  </si>
  <si>
    <t>Beef Topside</t>
  </si>
  <si>
    <t>Chicken Whole B/L S/O - Shawarma</t>
  </si>
  <si>
    <t>Sticker BBT K &amp; M 5.5 CM</t>
  </si>
  <si>
    <t>Quesadilla Bread</t>
  </si>
  <si>
    <t>New York Pizza Dough</t>
  </si>
  <si>
    <t>Marinated Shawarma  Meat CMM (PA)</t>
  </si>
  <si>
    <t>Burger Box Blue 250gsm MatLam - Pattie</t>
  </si>
  <si>
    <t>Aluminium Foil Ketchup Yelo</t>
  </si>
  <si>
    <t>Yelo Ketchup Portion (PA)</t>
  </si>
  <si>
    <t>Crinckle Wedges</t>
  </si>
  <si>
    <t>Kinza Cola</t>
  </si>
  <si>
    <t>Pizza UltraThin Crust</t>
  </si>
  <si>
    <t>Potato Fresh</t>
  </si>
  <si>
    <t>Aluminium Foil Shakir Spicy</t>
  </si>
  <si>
    <t>Shakir Spicy Sauce Portion (PA)</t>
  </si>
  <si>
    <t>Fries Sleeves 250gsm MatLam - Pattie</t>
  </si>
  <si>
    <t>MM.Frying Fries</t>
  </si>
  <si>
    <t>Wrapping Sheet BBT Little Chicken Burger 30 X 30</t>
  </si>
  <si>
    <t>Little Chicken Burger Tempura- BBT</t>
  </si>
  <si>
    <t>Sleeve For Combo Box BBT 45*15 CM</t>
  </si>
  <si>
    <t>Shawarma Shakir Small Container White Plastic</t>
  </si>
  <si>
    <t>Small French FRIES 80 G</t>
  </si>
  <si>
    <t>BBQ Chicken Wings Prep</t>
  </si>
  <si>
    <t>Chicken Mushab whole</t>
  </si>
  <si>
    <t>Pizza Box Thin Crust KBC225055</t>
  </si>
  <si>
    <t>Chicken Super Patty (PA)</t>
  </si>
  <si>
    <t>T&amp;M - Potato Sliced (PA)</t>
  </si>
  <si>
    <t>Tawook Skewer</t>
  </si>
  <si>
    <t>Pizza Box Yellow - KBC218081</t>
  </si>
  <si>
    <t>New York Pizza Dough 450 Gram (PA)</t>
  </si>
  <si>
    <t>Old Skool Sticker 3.6x5 cm</t>
  </si>
  <si>
    <t>Bun KFM Mini Fillet - Hotdog Sesame 6"</t>
  </si>
  <si>
    <t>Marinated Old Skool (PA)</t>
  </si>
  <si>
    <t>Fanta Strawberry Can -250 ML</t>
  </si>
  <si>
    <t>Slice Pita Bread (PA)</t>
  </si>
  <si>
    <t>Cleaned Beef Topside CK SSF</t>
  </si>
  <si>
    <t>Coloring Book</t>
  </si>
  <si>
    <t>BBT Coloring book (New) (PA)</t>
  </si>
  <si>
    <t>Sticker BBT Kids Meal</t>
  </si>
  <si>
    <t>Sticker BBT Kids Kit</t>
  </si>
  <si>
    <t>Shakir Regular Chicken Strips (PA)</t>
  </si>
  <si>
    <t>Sticker BBT RANCH SAUCE 5.7 CM</t>
  </si>
  <si>
    <t>Potato Fries Private Reserve / 2949</t>
  </si>
  <si>
    <t>Mishmash Tray Meal Box</t>
  </si>
  <si>
    <t>Spicy Ranch Sauce Portion (PA)</t>
  </si>
  <si>
    <t>Aluminium Foil Spicy Ranch Yelo</t>
  </si>
  <si>
    <t>Mayonnaise American Gourmet</t>
  </si>
  <si>
    <t>Liter</t>
  </si>
  <si>
    <t>Chicken Whole 900gm</t>
  </si>
  <si>
    <t>Sticker BBT Medium 2.75*5.5 CM</t>
  </si>
  <si>
    <t>Duck</t>
  </si>
  <si>
    <t>Kinza Diet Cola</t>
  </si>
  <si>
    <t>Tray For Pizza Box One For All</t>
  </si>
  <si>
    <t>Tabel Large Box ( 50*1 BDL )</t>
  </si>
  <si>
    <t>Wax Paper 30 x 31 Arabic Bread Shakir</t>
  </si>
  <si>
    <t>Tabel Small Aluminium Plate</t>
  </si>
  <si>
    <t>Turky Bread</t>
  </si>
  <si>
    <t>Burger Box Yellow 250gsm MatLam - Pattie</t>
  </si>
  <si>
    <t>Pink Pasta</t>
  </si>
  <si>
    <t>Slice Mini Pita Bread (PA)</t>
  </si>
  <si>
    <t>White Sauce Container Lid</t>
  </si>
  <si>
    <t>Spicy Ranch Big Portion (PA)</t>
  </si>
  <si>
    <t>Shawarma Shakir Big Container White Plastic</t>
  </si>
  <si>
    <t>Cutlery Spoon Black</t>
  </si>
  <si>
    <t>Water for Recipe</t>
  </si>
  <si>
    <t>Pumpkin Burger Bun Mishmash</t>
  </si>
  <si>
    <t>Sticker Shakir Juice Bottle</t>
  </si>
  <si>
    <t>Bottle 450ml White- Shakir Juice</t>
  </si>
  <si>
    <t>Mishmash Sleeve For Meal Box</t>
  </si>
  <si>
    <t>T&amp;M -- Whole Marinated Chicken (PA)</t>
  </si>
  <si>
    <t>BBT Canes Sauce (PA)</t>
  </si>
  <si>
    <t>Mishmash Printed Tissue Box</t>
  </si>
  <si>
    <t>Beef Patty 130G</t>
  </si>
  <si>
    <t>Hawaian Bun 3 -inch (PA)</t>
  </si>
  <si>
    <t>Shakir Spicy Chicken Strips (PA)</t>
  </si>
  <si>
    <t>Tawook Wrap</t>
  </si>
  <si>
    <t>Chilipepper Final Product</t>
  </si>
  <si>
    <t>Water Bottle Aquafina 600 ML</t>
  </si>
  <si>
    <t>Mishmash Sticker Nashville Sauce 4.5 CM</t>
  </si>
  <si>
    <t>Eggs</t>
  </si>
  <si>
    <t>Sticker BBT Lowkey Spicy 5.5 CM</t>
  </si>
  <si>
    <t>BBT Tortilla Cut (4*7)</t>
  </si>
  <si>
    <t>Dynamite Stick Box BBT</t>
  </si>
  <si>
    <t>White Sauce Container</t>
  </si>
  <si>
    <t>BBT Low Key Spicy Sauce Portion</t>
  </si>
  <si>
    <t>T. Final Bev Recipe</t>
  </si>
  <si>
    <t>Sticker BBT Suuuper 2.75*5.5 CM</t>
  </si>
  <si>
    <t>Mishmash Sticker Ketchup 6*6</t>
  </si>
  <si>
    <t>Little Chicken Burger</t>
  </si>
  <si>
    <t>Printed Paper Lid for Alu. Cont. No.420 Yelo Pizza</t>
  </si>
  <si>
    <t>Container Aluminium No.420</t>
  </si>
  <si>
    <t>Mini Saj Sleeve Slice Legendary 17*4*7</t>
  </si>
  <si>
    <t>Shakir Spicy Garlic Sauce Portion (PA)</t>
  </si>
  <si>
    <t>Fries Sleeve Slice BAAAAM Red</t>
  </si>
  <si>
    <t>Shawarma Meat OSF cooked</t>
  </si>
  <si>
    <t>T-Roasted Potato Cooked</t>
  </si>
  <si>
    <t>Sticker BBT Hot 3 CM</t>
  </si>
  <si>
    <t>BBT Tortilla 7" Spicy</t>
  </si>
  <si>
    <t>Spicy Chicken shawarma</t>
  </si>
  <si>
    <t>chicken shawarma Cooked</t>
  </si>
  <si>
    <t>Flour for Pizza Dough</t>
  </si>
  <si>
    <t>Fried Crinkle-Fries</t>
  </si>
  <si>
    <t>Pan Pizza Dough Base (PA)</t>
  </si>
  <si>
    <t>PP Shrimp</t>
  </si>
  <si>
    <t>Cheese Mozzarella Shredded - Cantadora</t>
  </si>
  <si>
    <t>Kids Box Bbt</t>
  </si>
  <si>
    <t>Ranch Sauce Prep</t>
  </si>
  <si>
    <t>Mishmash Coleslaw Peanut Butter Sticker</t>
  </si>
  <si>
    <t>shakir Musahab marinaded chicken  (PA)</t>
  </si>
  <si>
    <t>Mish - Chicken Flour Mix (PA)</t>
  </si>
  <si>
    <t>Fatoosh Sticker 5.5 Cm SH</t>
  </si>
  <si>
    <t>Aluminium Foil Shakir Hummus</t>
  </si>
  <si>
    <t>Flour 0000</t>
  </si>
  <si>
    <t>SUUUBER CHICKEN</t>
  </si>
  <si>
    <t>T&amp;M - Marinated Shish Tawooq (PA)</t>
  </si>
  <si>
    <t>Mix Cheese (PA)</t>
  </si>
  <si>
    <t>Cheese Mozzarella Prep</t>
  </si>
  <si>
    <t>Chicken Wings Cook Outlet</t>
  </si>
  <si>
    <t>Fanta Orange Can -250ML</t>
  </si>
  <si>
    <t>Sticker Chedder Sauce BBT 5 CM</t>
  </si>
  <si>
    <t>Sticker For Tortilla Wrap Fillaaa BBT</t>
  </si>
  <si>
    <t>TBL - Marinated White Shish Tawooq Herb  (PA)</t>
  </si>
  <si>
    <t>Kinza Zero Sugar Lemon</t>
  </si>
  <si>
    <t>Mish - Chicken Bites Prep (PA)</t>
  </si>
  <si>
    <t>Slice Craft White Bowl Printed</t>
  </si>
  <si>
    <t>Fried Fries BBT</t>
  </si>
  <si>
    <t>Appetizer Box 250gsm MatLam - Pattie</t>
  </si>
  <si>
    <t>Tomato Fresh</t>
  </si>
  <si>
    <t>Marianted Debond Chicken (PA)</t>
  </si>
  <si>
    <t>Pepsi Cola Diet Can</t>
  </si>
  <si>
    <t>BBT Chicken Dredge (PA)</t>
  </si>
  <si>
    <t>CPUSH Sunflower Oil</t>
  </si>
  <si>
    <t>Marianted Spicy Chicken Broast (PA)</t>
  </si>
  <si>
    <t>MM-Cheese Sauce portion</t>
  </si>
  <si>
    <t>Mix cheese 4 Pan Pizza (PA)</t>
  </si>
  <si>
    <t>Yelo Mix Cheese</t>
  </si>
  <si>
    <t>TBL - Marinated Beef Tikka (PA)</t>
  </si>
  <si>
    <t>PP Y Apple Juice</t>
  </si>
  <si>
    <t>Cheese Sauce Portion</t>
  </si>
  <si>
    <t>Egyptian Bread</t>
  </si>
  <si>
    <t>Beef Tenderloin Paraquay Chin Off</t>
  </si>
  <si>
    <t>T-Brown Rice Cooked</t>
  </si>
  <si>
    <t>Kinza Lemon</t>
  </si>
  <si>
    <t>Sleeve for Shish Tawooq Sandwich 24*7.5*4cm</t>
  </si>
  <si>
    <t>Little Cheese Burger FP</t>
  </si>
  <si>
    <t>Shakir Chicken Kebab Skewer</t>
  </si>
  <si>
    <t>Sticker Shakir Mix Platter for 1 Person 7*3 cm</t>
  </si>
  <si>
    <t>Regular Tawouk Grilled Wrap</t>
  </si>
  <si>
    <t>Bottle Juice BBT White 200ml</t>
  </si>
  <si>
    <t>Sticker BBT Juice 9x5cm</t>
  </si>
  <si>
    <t>Chicken Leg Shawarma B/L Skin On</t>
  </si>
  <si>
    <t>Chicken Mushab leg</t>
  </si>
  <si>
    <t>Saj Bread</t>
  </si>
  <si>
    <t>Patty-Patty Honey Mustard Sauce Portion (PA)</t>
  </si>
  <si>
    <t>Aluminium Foil Honey Mustard Pattie</t>
  </si>
  <si>
    <t>Beef Shawarma (Regular)</t>
  </si>
  <si>
    <t>T&amp;M - Beef Tenderloin Prep</t>
  </si>
  <si>
    <t>FM Chicken breast prep</t>
  </si>
  <si>
    <t>Sunflower Mazola Oil Drained</t>
  </si>
  <si>
    <t>Pepperoni Garlic Bread prep</t>
  </si>
  <si>
    <t>Pizza Box Liner All For One</t>
  </si>
  <si>
    <t>Pizza Box One For All KBC224201</t>
  </si>
  <si>
    <t>Pizza Tomato Sauce (PA)</t>
  </si>
  <si>
    <t>Mishmash Bottle Juice 330Ml</t>
  </si>
  <si>
    <t>Corn on Cob prep</t>
  </si>
  <si>
    <t>Corn on Cob (PA)</t>
  </si>
  <si>
    <t>T&amp;M -Marinated  Chicken Shawarma (PA)</t>
  </si>
  <si>
    <t>Cutlery Fork Black</t>
  </si>
  <si>
    <t>MM-Rice Cooked</t>
  </si>
  <si>
    <t>T&amp;M - Hummus (PA)</t>
  </si>
  <si>
    <t>7 Up Can</t>
  </si>
  <si>
    <t>Orange Juice 123 KDD 125ML</t>
  </si>
  <si>
    <t>Potato Fries (9 X 18)</t>
  </si>
  <si>
    <t>Shakir Tahina Garlic portion (PA)</t>
  </si>
  <si>
    <t>Sticker Shakir Tahina Garlic Sauce</t>
  </si>
  <si>
    <t>Shakir Marinated Shish Tawook (PA)</t>
  </si>
  <si>
    <t>Cheese Mozzarella Block</t>
  </si>
  <si>
    <t>Tabel Sticker Tahini Sauce 6*6</t>
  </si>
  <si>
    <t>T-2 Chicken Shawarma</t>
  </si>
  <si>
    <t>Micro Cont. 32 Oz</t>
  </si>
  <si>
    <t>Wrapping Sheet Printed Chili 34 X 34 - Turquoise</t>
  </si>
  <si>
    <t>Garlic Sauce for Lebanese sandwich</t>
  </si>
  <si>
    <t>Saj Mini</t>
  </si>
  <si>
    <t>Marianted Regluar Chicken Broasted (PA)</t>
  </si>
  <si>
    <t>Chicken Wings</t>
  </si>
  <si>
    <t>Tabel Kebab</t>
  </si>
  <si>
    <t>Paper Cup 24 Oz BBT Soda W Flat Lid Red</t>
  </si>
  <si>
    <t>Straw Red 7mm 22 cm</t>
  </si>
  <si>
    <t>CPU Peeled Tomato</t>
  </si>
  <si>
    <t>Shani Strawberry Can</t>
  </si>
  <si>
    <t>Mishmash Sticker Vinaigrette Roll</t>
  </si>
  <si>
    <t>Beef Ground Chuck Wolverine</t>
  </si>
  <si>
    <t>Frozen Finger Fries 13 x 13 / 2950</t>
  </si>
  <si>
    <t>Shakir Marinated Beef Kebab (PA)</t>
  </si>
  <si>
    <t>Mishmash Sticker Bottle Juice</t>
  </si>
  <si>
    <t>Tortilla 12" Flour</t>
  </si>
  <si>
    <t>SUUUBER BEEF</t>
  </si>
  <si>
    <t>Orange</t>
  </si>
  <si>
    <t>Sticker Shakir Taouk Platter 7*3 cm</t>
  </si>
  <si>
    <t>Sticker Shakir Tikka Platter 7*3 cm</t>
  </si>
  <si>
    <t>Beef Ground Chuck Mr.Cleaver</t>
  </si>
  <si>
    <t>Tenders Texas Toast</t>
  </si>
  <si>
    <t>Ketchup US</t>
  </si>
  <si>
    <t>Milk Full Cream</t>
  </si>
  <si>
    <t>Sticker BBQ Sauce 5cm - Slice</t>
  </si>
  <si>
    <t>BBT Beef prep</t>
  </si>
  <si>
    <t>Beef  Wolverine prep</t>
  </si>
  <si>
    <t>BBT Beef MR Clever Prep</t>
  </si>
  <si>
    <t>Tomato Prep</t>
  </si>
  <si>
    <t>BBT Beef Dynamite (PA)</t>
  </si>
  <si>
    <t>Onion Red Fresh</t>
  </si>
  <si>
    <t>Saj &amp; Pita Box 350 GS FB Slice</t>
  </si>
  <si>
    <t>Beef Kebab</t>
  </si>
  <si>
    <t>Tahina Sauce CMM SH (PA)</t>
  </si>
  <si>
    <t>Honey Mustard Sauce (PA)</t>
  </si>
  <si>
    <t>Aluminium Foil Honey Mustard BBT</t>
  </si>
  <si>
    <t>Tabboulah Dressing Portion</t>
  </si>
  <si>
    <t>Parsley Leaves Fresh</t>
  </si>
  <si>
    <t>Lettuce Iceberg Fresh</t>
  </si>
  <si>
    <t>Shakir Plater Box +1 Sauce KBC224052</t>
  </si>
  <si>
    <t>Shakir NewTahina Garlic Sauce (PA)</t>
  </si>
  <si>
    <t>Sticker for Shakir Garlic spicy Broasted 5.7 CM</t>
  </si>
  <si>
    <t>Spicy Sauce 4 Chicken Broasted (PA)</t>
  </si>
  <si>
    <t>Tortilla 6" Corn Flour</t>
  </si>
  <si>
    <t>Kids Fries Sleeves BBT GP shachet</t>
  </si>
  <si>
    <t>Slice Final Bev Recipes</t>
  </si>
  <si>
    <t>Cutlery Fork Clear</t>
  </si>
  <si>
    <t>Pink Pasta Sauce (PA)</t>
  </si>
  <si>
    <t>Shakir Rect Black Dish 1000 Ml</t>
  </si>
  <si>
    <t>Sleeve for Shakir Rice Meal 8.7cm x 39.8 cm</t>
  </si>
  <si>
    <t>Mish - Choco Cookies (PA)</t>
  </si>
  <si>
    <t>Penne pasta (PA)</t>
  </si>
  <si>
    <t>Mishmash Sticker Ketchup &amp; Mayo 6*6</t>
  </si>
  <si>
    <t>Chicken Wings Prep</t>
  </si>
  <si>
    <t>Fries Box Medium BBT</t>
  </si>
  <si>
    <t>Mishmash Sticker Caesar Sauce 6*6</t>
  </si>
  <si>
    <t>Just C Final Food Recipes</t>
  </si>
  <si>
    <t>Beef 100 Gram (PA)</t>
  </si>
  <si>
    <t>Beef Chuck Shoulder</t>
  </si>
  <si>
    <t>Kids Meal Juice Tang BBT CMM (PA)</t>
  </si>
  <si>
    <t>T&amp;M Boiled Chick peas Sub</t>
  </si>
  <si>
    <t>Sweet Chilli Sauce (PA)</t>
  </si>
  <si>
    <t>Aluminium Foil Sweet Chili BBT</t>
  </si>
  <si>
    <t>T&amp;M  - Garlic Sauce (PA)</t>
  </si>
  <si>
    <t>Sticker Shakir Kabab Platter 7*3 cm</t>
  </si>
  <si>
    <t>Onion White Fresh</t>
  </si>
  <si>
    <t>Sticker BBT Not So Ranch Sauce 5.7 CM</t>
  </si>
  <si>
    <t>Single Extra Box BBT FoodBoard 300 Gsm</t>
  </si>
  <si>
    <t>Regular Shish Tawouk</t>
  </si>
  <si>
    <t>Ranch sauce &amp; Bacon Big Portion (PA)</t>
  </si>
  <si>
    <t>Aluminium Big Foil Bacon Ranch 4.23oz</t>
  </si>
  <si>
    <t>Yelo Cookie (PA)</t>
  </si>
  <si>
    <t>Chicken Bites Wrap</t>
  </si>
  <si>
    <t>Ranch honey mustard Big Portion (PA)</t>
  </si>
  <si>
    <t>Aluminium Big Foil Honey Mustard 4.23oz</t>
  </si>
  <si>
    <t>Sticker White For Yelo Pizza - Chili Flakes</t>
  </si>
  <si>
    <t>7 Up Diet Can</t>
  </si>
  <si>
    <t>Shoulder Beef Prep</t>
  </si>
  <si>
    <t>New Mix Mayo</t>
  </si>
  <si>
    <t>Bun Martins Potato 3.5"</t>
  </si>
  <si>
    <t>Cheese Sliced American - Schreiber</t>
  </si>
  <si>
    <t>Tabel Xl Box</t>
  </si>
  <si>
    <t>MM-Outlet Semi-Finished items</t>
  </si>
  <si>
    <t>T&amp;M --Marinated Spicy Whole Chicken (PA)</t>
  </si>
  <si>
    <t>Pita Bread Sleeve Slice BAAAAM</t>
  </si>
  <si>
    <t>Kids Meal Box Pattie Pattie</t>
  </si>
  <si>
    <t>Tray for Appetizer Box 250gsm - Pattie</t>
  </si>
  <si>
    <t>Patty Patty Sauce Portion (PA)</t>
  </si>
  <si>
    <t>Shakir New Garlic Sauce</t>
  </si>
  <si>
    <t>Marinated Beef Arayes (PA)</t>
  </si>
  <si>
    <t>Chicken Pop Cron Perfect</t>
  </si>
  <si>
    <t>Ranch Truffle Big Portion (PA)</t>
  </si>
  <si>
    <t>Aluminium Big Foil Truffle Ranch 4.23oz</t>
  </si>
  <si>
    <t>Frying Shakir Finger Potato</t>
  </si>
  <si>
    <t>BBT Chicken Dynamite (PA)</t>
  </si>
  <si>
    <t>Chicken Wings Cooked</t>
  </si>
  <si>
    <t>Mirinda Orange Can</t>
  </si>
  <si>
    <t>Sticker Shakir Musahab 2.5 CM</t>
  </si>
  <si>
    <t>Tabel Tawouk Wrap (Regular)</t>
  </si>
  <si>
    <t>Aluminium Foil Yelo BBQ Ranch</t>
  </si>
  <si>
    <t>Yelo BBQ Ranch Portion (PA)</t>
  </si>
  <si>
    <t>Sleeve for Chicken Arayes 24*7.5*4cm</t>
  </si>
  <si>
    <t>Chicken Arayes Sandwich</t>
  </si>
  <si>
    <t>Hummus portion</t>
  </si>
  <si>
    <t>Meat Arayes Sandwich</t>
  </si>
  <si>
    <t>Hummus Sticker 5.5 Cm SH</t>
  </si>
  <si>
    <t>Lettuce iceberg prep (PA)</t>
  </si>
  <si>
    <t>TBL - Tahina Slimmed Sauce (PA)</t>
  </si>
  <si>
    <t>Kabab Grilled Wrap</t>
  </si>
  <si>
    <t>Chicken Wings Marinate (Hafe Cooked)</t>
  </si>
  <si>
    <t>Sticker Logo Chili Pepper</t>
  </si>
  <si>
    <t>Tabel Bottle Juice 250 ML</t>
  </si>
  <si>
    <t>Tabel Sticker Juice</t>
  </si>
  <si>
    <t>T&amp;M  - Garlic Sauce</t>
  </si>
  <si>
    <t>Cool Ranch Sauce</t>
  </si>
  <si>
    <t>Aluminium Big Foil Skinny Ranch 4.23oz</t>
  </si>
  <si>
    <t>Skinny Ranch portion (PA)</t>
  </si>
  <si>
    <t>Tahina Shimali - Sh</t>
  </si>
  <si>
    <t>Shakir Salad Sticker 5.5 Cm</t>
  </si>
  <si>
    <t>Mish - Chicken Fillet  Prep (PA)</t>
  </si>
  <si>
    <t>Yoghurt - Zabadi</t>
  </si>
  <si>
    <t>Pizza UltraThin Crust 13"</t>
  </si>
  <si>
    <t>Mish - Phily Steak (PA)</t>
  </si>
  <si>
    <t>Tortilla 6" Flour</t>
  </si>
  <si>
    <t>Aluminium Foil Pattie Pattie Ranch</t>
  </si>
  <si>
    <t>Patty Patty Ranch sauce Portion (PA)</t>
  </si>
  <si>
    <t>Potato Fries Really Crunchy ( 6 X 6 )</t>
  </si>
  <si>
    <t>Vimto Mix Shakir OSF</t>
  </si>
  <si>
    <t>Pizza Box Square</t>
  </si>
  <si>
    <t>Wrapping Sheet Aluminium 20 X 30</t>
  </si>
  <si>
    <t>White Onion prep</t>
  </si>
  <si>
    <t>Mish - Tomato Prep</t>
  </si>
  <si>
    <t>TBL - Tabel Spicy Sauce (PA)</t>
  </si>
  <si>
    <t>Brown Rice - Moosa</t>
  </si>
  <si>
    <t>T&amp;M - Beef  Shawarma (PA)</t>
  </si>
  <si>
    <t>Fresh Lamb Leg</t>
  </si>
  <si>
    <t>Mish - Corn Flour Mixture</t>
  </si>
  <si>
    <t>Kids Meal Nesqik BBT CMM (PA)</t>
  </si>
  <si>
    <t>TBL - Tabel Sauce</t>
  </si>
  <si>
    <t>Mexican Quesadilla for Medium Feast</t>
  </si>
  <si>
    <t>Parsely Sumac Mix OSF</t>
  </si>
  <si>
    <t>Tabel Sticker Khishkhash Sauce 6*6</t>
  </si>
  <si>
    <t>Kinza Citrus</t>
  </si>
  <si>
    <t>Micro Rectangular Blk 24 Oz</t>
  </si>
  <si>
    <t>Sticker For Burger  Just C</t>
  </si>
  <si>
    <t>Beef Doner</t>
  </si>
  <si>
    <t>Aluminum Sheet BBT Rolls Beef 30*30</t>
  </si>
  <si>
    <t>BBT Sauce Batch (PA)</t>
  </si>
  <si>
    <t>MM-Cheeseburger</t>
  </si>
  <si>
    <t>Bufflo ranch sauce Big Portion (PA)</t>
  </si>
  <si>
    <t>Aluminium Big Foil Buffalo Ranch 4.23oz</t>
  </si>
  <si>
    <t>Slice fries frying</t>
  </si>
  <si>
    <t>BBT Coleslaw Mix (PA)</t>
  </si>
  <si>
    <t>Shakir &amp; BBT Ranch Sauce  (PA)</t>
  </si>
  <si>
    <t>Mishmash Sticker Mayonnaise 6*6</t>
  </si>
  <si>
    <t>MM-Classic Chicken Fillet</t>
  </si>
  <si>
    <t>Cutlery I/C Spoon White</t>
  </si>
  <si>
    <t>Pesto Ranch Sauce Portion (PA)</t>
  </si>
  <si>
    <t>Mishmash Sticker Mutabal</t>
  </si>
  <si>
    <t>Topside Beef ERMG</t>
  </si>
  <si>
    <t>American Cheese Slice Yellow ERMG</t>
  </si>
  <si>
    <t>Mish - Ranch Sauce (PA)</t>
  </si>
  <si>
    <t>Butter 100 Gms / 1KG</t>
  </si>
  <si>
    <t>Sugar Cane Cup 8.5 Oz</t>
  </si>
  <si>
    <t>Tabel Choconafa Sleeve</t>
  </si>
  <si>
    <t>TBL - Kunafa Jar (PA)</t>
  </si>
  <si>
    <t>BBT Chicken Breast Prep</t>
  </si>
  <si>
    <t>Mishmash Sticker Slimmed Down</t>
  </si>
  <si>
    <t>MM - Regular chicken strips</t>
  </si>
  <si>
    <t>T-Potato Cubes (PA)</t>
  </si>
  <si>
    <t>Peanut Butter Coleslaw</t>
  </si>
  <si>
    <t>Mishmash Sticker Bbq Sauce Sticker 6*6</t>
  </si>
  <si>
    <t>MM-Ranch Sauce</t>
  </si>
  <si>
    <t>Sweet Potato Egypt</t>
  </si>
  <si>
    <t>Shakir Marinated Beef Tikka (PA)</t>
  </si>
  <si>
    <t>Tabel Sticker Yoghurt Sauce 6*6</t>
  </si>
  <si>
    <t>Sticker Special Sauce 5cm - Slice</t>
  </si>
  <si>
    <t>Cleaned Lamb Meat CK SSF</t>
  </si>
  <si>
    <t>Chicken Shawarma (Spicy)</t>
  </si>
  <si>
    <t>Urfa Kebab</t>
  </si>
  <si>
    <t>Hummus Shawarma Lahm Sticker 5.5 CM SH</t>
  </si>
  <si>
    <t>Mishmash Burger</t>
  </si>
  <si>
    <t>Sticker Shakir Hummus 8x8cm</t>
  </si>
  <si>
    <t>T&amp;M - Fattoush Salad Mix (PA)</t>
  </si>
  <si>
    <t>T-Grilled Tomato</t>
  </si>
  <si>
    <t>Sticker Signature Fries 9.1 cm Fries Slice</t>
  </si>
  <si>
    <t>Mish - Grilled Chicken Steak (PA)</t>
  </si>
  <si>
    <t>Shakir Box For 4 Person KBC224045</t>
  </si>
  <si>
    <t>T&amp;M - Beef Topside Prep</t>
  </si>
  <si>
    <t>Sleeve for wedges Yelo</t>
  </si>
  <si>
    <t>Olive Oil</t>
  </si>
  <si>
    <t>Blended Red Onion CMM</t>
  </si>
  <si>
    <t>BBT Corn  Dynamite (PA)</t>
  </si>
  <si>
    <t>Small CURLY FRIES 80 G</t>
  </si>
  <si>
    <t>Mish - Cheese Sauce (PA)</t>
  </si>
  <si>
    <t>Penne Pasta No 22 KFM</t>
  </si>
  <si>
    <t>Sticker Rice Bowl 9.1 cm Fries Slice</t>
  </si>
  <si>
    <t>Cutlery Spoon Clear</t>
  </si>
  <si>
    <t>Sweet Potato prep (PA)</t>
  </si>
  <si>
    <t>T-Chicken Shawarma Regular</t>
  </si>
  <si>
    <t>Shakir Beef Tenderlion prep</t>
  </si>
  <si>
    <t>MM Mayonnaise</t>
  </si>
  <si>
    <t>Tea Bags</t>
  </si>
  <si>
    <t>Straw Red 10mm 23 cm</t>
  </si>
  <si>
    <t>Aluminium Big Foil BBQ Ranch 4.23oz</t>
  </si>
  <si>
    <t>BBQ Ranch Big Portion (PA)</t>
  </si>
  <si>
    <t>Garlic Bread</t>
  </si>
  <si>
    <t>Regular Shawarma FP</t>
  </si>
  <si>
    <t>MM-OG Burger</t>
  </si>
  <si>
    <t>Spicy Ranch Sauce prep</t>
  </si>
  <si>
    <t>TBL - Tabel Sauce (PA)</t>
  </si>
  <si>
    <t>Tahina Seedawi</t>
  </si>
  <si>
    <t>Pickled Whole Cucumber</t>
  </si>
  <si>
    <t>Orange Juice SSF CPU</t>
  </si>
  <si>
    <t>Chicken Nuggets BBT</t>
  </si>
  <si>
    <t>Mish - Lettuce Iceberg Prep</t>
  </si>
  <si>
    <t>Hawaian bun side dough recipe</t>
  </si>
  <si>
    <t>Slice Beef Doner Cooked</t>
  </si>
  <si>
    <t>MM-Spicy Ranch Portion</t>
  </si>
  <si>
    <t>Kids Box Slice</t>
  </si>
  <si>
    <t>Kinza Cola 185ml</t>
  </si>
  <si>
    <t>Coca-Cola can 150 ML</t>
  </si>
  <si>
    <t>Sprite Can 150 ML</t>
  </si>
  <si>
    <t>Mish - Sour Cream Sauce</t>
  </si>
  <si>
    <t>Mish - Tahina Sauce</t>
  </si>
  <si>
    <t>Fried Fries PP</t>
  </si>
  <si>
    <t>TBL - Tabel Mushroom Sauce (PA)</t>
  </si>
  <si>
    <t>Rice Daawat</t>
  </si>
  <si>
    <t>T&amp;M - Sweet Potato prep</t>
  </si>
  <si>
    <t>Cut Parsley CMM (PA)</t>
  </si>
  <si>
    <t>Kids Meal Fries Sleeves Pattie</t>
  </si>
  <si>
    <t>Tabel Paper Bag Small Size</t>
  </si>
  <si>
    <t>Mutabal Sticker 5.5 Cm SH</t>
  </si>
  <si>
    <t>Mish - Honey Mustard Sauce (PA)</t>
  </si>
  <si>
    <t>Coca-Cola Zero Can 150 ML</t>
  </si>
  <si>
    <t>PP Mayonnaise Portion (PA)</t>
  </si>
  <si>
    <t>Mish -Marination Sauce Chicken Fillet</t>
  </si>
  <si>
    <t>CPU Mayonnaise</t>
  </si>
  <si>
    <t>Family Fries Box 350gsm Pattie</t>
  </si>
  <si>
    <t>Garlic Sauce for Lebanese sandwich (PA)</t>
  </si>
  <si>
    <t>Mish - Chicken Steak (PA)</t>
  </si>
  <si>
    <t>Beef Shawarma - Spicy</t>
  </si>
  <si>
    <t>Kinza Lemon 185 ML</t>
  </si>
  <si>
    <t>Frying Slice Potato</t>
  </si>
  <si>
    <t>Cabbage White Fresh</t>
  </si>
  <si>
    <t>Beef Fat Frozen</t>
  </si>
  <si>
    <t>Capri-Sun 100% Juice - Apple 200ml</t>
  </si>
  <si>
    <t>Mishmash Saj Bread Plastic Bags 30*28</t>
  </si>
  <si>
    <t>TBL - Marinated Chicken Wings (PA)</t>
  </si>
  <si>
    <t>Cucumber Fresh</t>
  </si>
  <si>
    <t>T-Grilled onion</t>
  </si>
  <si>
    <t>BBT Kinza Diet Lemon</t>
  </si>
  <si>
    <t>Chicken Doner</t>
  </si>
  <si>
    <t>Large Original Fries</t>
  </si>
  <si>
    <t>Chicken Bites - Regular</t>
  </si>
  <si>
    <t>MM-Honey Mustard Sauce</t>
  </si>
  <si>
    <t>Ketchup And Mayonnaise</t>
  </si>
  <si>
    <t>Blanched Tomato CK SSF</t>
  </si>
  <si>
    <t>Mish - Marinated Beef Tikka (PA)</t>
  </si>
  <si>
    <t>Potato Fries Sure Crispy Max 7x7 / 2830</t>
  </si>
  <si>
    <t>Paper Cup 24 Oz W/ Red Lid - Pattie Pattie</t>
  </si>
  <si>
    <t>Straw Clear Flexible 6mm</t>
  </si>
  <si>
    <t>Sugar 50kg</t>
  </si>
  <si>
    <t>Fanta Orange Can 150 ML</t>
  </si>
  <si>
    <t>Shakir Coleslaw Mix (PA)</t>
  </si>
  <si>
    <t>Capri-Sun 100% Juice - Orange 200ml</t>
  </si>
  <si>
    <t>Cheese Montery Jack</t>
  </si>
  <si>
    <t>Tomato Puree</t>
  </si>
  <si>
    <t>Bag W/O Handle Chili Pepper 30X19X10 - Nacho</t>
  </si>
  <si>
    <t>Eggplant Long</t>
  </si>
  <si>
    <t>Mish - Spicy ranch sauce (PA)</t>
  </si>
  <si>
    <t>Mish - Lettuce For Burger (PA)</t>
  </si>
  <si>
    <t>Fresh Lamb Fat</t>
  </si>
  <si>
    <t>Grilled Chicken Burger</t>
  </si>
  <si>
    <t>Corn Starch</t>
  </si>
  <si>
    <t>T-Potato Cubes Cooked</t>
  </si>
  <si>
    <t>Micro Cont. 28 Oz</t>
  </si>
  <si>
    <t>Sour Cream Marai</t>
  </si>
  <si>
    <t>FS Classic Burger Puck 130g</t>
  </si>
  <si>
    <t>TBL - Vine Leaves (PA)</t>
  </si>
  <si>
    <t>Laban Full Fat</t>
  </si>
  <si>
    <t>Sriracha Brine SF</t>
  </si>
  <si>
    <t>Curley Fries</t>
  </si>
  <si>
    <t>Cleaned  Chicken Breast</t>
  </si>
  <si>
    <t>Garlic Peeled</t>
  </si>
  <si>
    <t>White Sauce Prep (PA)</t>
  </si>
  <si>
    <t>Hummus prep (PA)</t>
  </si>
  <si>
    <t>shakir brown rice (PA)</t>
  </si>
  <si>
    <t>TBL - Tabboula Salad Mix (PA)</t>
  </si>
  <si>
    <t>Paper Cup 12oz W/lid Milkshake - Best Burger in Town</t>
  </si>
  <si>
    <t>Pickle Long Slice</t>
  </si>
  <si>
    <t>Boiled Humos</t>
  </si>
  <si>
    <t>Jalepeno Cheddar</t>
  </si>
  <si>
    <t>Sliced White Onion CMM (PA)</t>
  </si>
  <si>
    <t>Cleaned Lamb Fat CK SSF (PA)</t>
  </si>
  <si>
    <t>Mishmash Sticker Tahini 6*6</t>
  </si>
  <si>
    <t>Aluminium Big Foil Pesto Ranch 4.23oz</t>
  </si>
  <si>
    <t>Pesto Ranch Big Portion (PA)</t>
  </si>
  <si>
    <t>Chick Pea 12mm</t>
  </si>
  <si>
    <t>Tahina Sauce CMM SH</t>
  </si>
  <si>
    <t>Slice Chicken Doner Cooked</t>
  </si>
  <si>
    <t>Mish - Coleslaw Mix (PA)</t>
  </si>
  <si>
    <t>MM-Chick-Spicy Fillet</t>
  </si>
  <si>
    <t>Mishmash Sticker Chick Spicy 6*6</t>
  </si>
  <si>
    <t>Onion Rings - Crispy Breaded</t>
  </si>
  <si>
    <t>Mishmash Sticker Clear Vimto 6*6 (New)</t>
  </si>
  <si>
    <t>Liquid Cooking Cream</t>
  </si>
  <si>
    <t>Vinegar Brown - Sh</t>
  </si>
  <si>
    <t>Kinza Orange</t>
  </si>
  <si>
    <t>T&amp;M - Julian White Onion (PA)</t>
  </si>
  <si>
    <t>TBL - Marination Sauce Beef tikka</t>
  </si>
  <si>
    <t>T-Garlic Chimichurri Sauce</t>
  </si>
  <si>
    <t>Shakir Cucumber Slice prep</t>
  </si>
  <si>
    <t>Bechamel Sauce</t>
  </si>
  <si>
    <t>Laban Full Fat KDC</t>
  </si>
  <si>
    <t>Real Mayonnaise</t>
  </si>
  <si>
    <t>MM-Creamy Mushroom Burger</t>
  </si>
  <si>
    <t>Tomato Sauce CMM</t>
  </si>
  <si>
    <t>Ice Cubes</t>
  </si>
  <si>
    <t>Slider Sleeves  Just C</t>
  </si>
  <si>
    <t>Beef 140 Gram (PA)</t>
  </si>
  <si>
    <t>Fresh Orange Juice CPU (PA)</t>
  </si>
  <si>
    <t>Fried Crispy Fries BBT</t>
  </si>
  <si>
    <t>Sticker Shakir Medium Platter 7*3 cm</t>
  </si>
  <si>
    <t>Regular Chicken shawarma</t>
  </si>
  <si>
    <t>OG Marianted Broasted</t>
  </si>
  <si>
    <t>Minced Super Chicken Prep</t>
  </si>
  <si>
    <t>Muhamara Sticker 5.5 Cm SH</t>
  </si>
  <si>
    <t>Carbonated Water Lemon 250 ML</t>
  </si>
  <si>
    <t>Sticker Roasted Sauce 5cm - Slice</t>
  </si>
  <si>
    <t>Micro Cont. 8 Oz</t>
  </si>
  <si>
    <t>Open Tray  Just C</t>
  </si>
  <si>
    <t>MM-Orange Juice</t>
  </si>
  <si>
    <t>Shish Tawouq Wrap Combo</t>
  </si>
  <si>
    <t>Beef Arayes Sandwich Combo-1</t>
  </si>
  <si>
    <t>Beef Pepperoni Premier</t>
  </si>
  <si>
    <t>Mac &amp; Cheese with Pasta Mix</t>
  </si>
  <si>
    <t>Mac &amp; Cheese Plain (PA)</t>
  </si>
  <si>
    <t>TBL - Mushroom Sauce SUB</t>
  </si>
  <si>
    <t>Salt</t>
  </si>
  <si>
    <t>Garlic Sauce</t>
  </si>
  <si>
    <t>Grill Chicken with Buffaflo sauce (PA)</t>
  </si>
  <si>
    <t>Kebab Sauce (PA)</t>
  </si>
  <si>
    <t>Small  Wedges for Hot wheel</t>
  </si>
  <si>
    <t>Coca-Cola Zero Bottle 500 ML</t>
  </si>
  <si>
    <t>Capsicum Green Fresh</t>
  </si>
  <si>
    <t>Mish - Marinated Chicken Wings (PA)</t>
  </si>
  <si>
    <t>Lettuce Romain Fresh</t>
  </si>
  <si>
    <t>Shakir New Tahina Sauce - Bulk</t>
  </si>
  <si>
    <t>Lemon Fresh</t>
  </si>
  <si>
    <t>BBT Kinza Diet Cola</t>
  </si>
  <si>
    <t>BBQ Texas Toast</t>
  </si>
  <si>
    <t>BBQ Sauce</t>
  </si>
  <si>
    <t>Mozzarella Cheese ERMG</t>
  </si>
  <si>
    <t>Sticker Shakir Large Platter 7*3 cm</t>
  </si>
  <si>
    <t>Mushrooms Fresh</t>
  </si>
  <si>
    <t>Cheese burger Texas Toast</t>
  </si>
  <si>
    <t>Smoke Mayo (PA)</t>
  </si>
  <si>
    <t>Rauch White Grape</t>
  </si>
  <si>
    <t>BBT Nuggets 20pcs Box</t>
  </si>
  <si>
    <t>Shakir Brown Stock Water</t>
  </si>
  <si>
    <t>T-Roasted Potato Fingers Regular</t>
  </si>
  <si>
    <t>BBT Twister Sauce (PA)</t>
  </si>
  <si>
    <t>Kebab Sauce</t>
  </si>
  <si>
    <t>Tabel Sticker Spicy Tahini 6*6</t>
  </si>
  <si>
    <t>Squeezy Dispencer Clear 240ml</t>
  </si>
  <si>
    <t>Sesame glaze bun (PA)</t>
  </si>
  <si>
    <t>Mountain Dew Can</t>
  </si>
  <si>
    <t>Lamb Leg B/L</t>
  </si>
  <si>
    <t>Patty -Patty Sweet Chili sauce portion (PA)</t>
  </si>
  <si>
    <t>Aluminium Foil Sweet Chili Pattie</t>
  </si>
  <si>
    <t>Cajun Pasta Sauce  (PA)</t>
  </si>
  <si>
    <t>Buffalo Chilli Sauce</t>
  </si>
  <si>
    <t>White Onion prep (PA)</t>
  </si>
  <si>
    <t>Cabbage White prep</t>
  </si>
  <si>
    <t>Carbonated Water Strawberry 250 ML</t>
  </si>
  <si>
    <t>PP Marinated Chicken  (PA)</t>
  </si>
  <si>
    <t>Mish - Tabboula Salad (PA)</t>
  </si>
  <si>
    <t>YP Chicken &amp; Mushroom Alfredo Pasta (PA)</t>
  </si>
  <si>
    <t>Mishmash Sticker Buffalo Sauce</t>
  </si>
  <si>
    <t>Boild Yelo Pasta</t>
  </si>
  <si>
    <t>Chicken Wings Buffalo Sauce (PA)</t>
  </si>
  <si>
    <t>Bun Sesame Sliders 3.5"</t>
  </si>
  <si>
    <t>Cheese Creamy Mild Cheddar</t>
  </si>
  <si>
    <t>T&amp;M - Muttabal Prep (PA)</t>
  </si>
  <si>
    <t>BBT Kinza Lemon</t>
  </si>
  <si>
    <t>T&amp;M - Kishkash Sauce (PA)</t>
  </si>
  <si>
    <t>Marianted Shakir Chicken Wings (PA)</t>
  </si>
  <si>
    <t>Shakir Spicy Garlic sauce (PA)</t>
  </si>
  <si>
    <t>TBL - Vine Leaves Marination</t>
  </si>
  <si>
    <t>MM - Nashville Sauce (PA)</t>
  </si>
  <si>
    <t>Bull's Eye Original BBQ Sauce.</t>
  </si>
  <si>
    <t>BBT Coleslaw Sauce</t>
  </si>
  <si>
    <t>TBL - Laban For Fatta (PA)</t>
  </si>
  <si>
    <t>Tang Juice prep</t>
  </si>
  <si>
    <t>Butter Unsalted ERMG</t>
  </si>
  <si>
    <t>MM-Tomato Prep</t>
  </si>
  <si>
    <t>Tomato Paste KDD</t>
  </si>
  <si>
    <t>Tabel Large Aluminium Plate</t>
  </si>
  <si>
    <t>T&amp;M Arayes Meat Mix (PA)</t>
  </si>
  <si>
    <t>Mish  - Mushroom Sauce (PA)</t>
  </si>
  <si>
    <t>Mustard Yellow Sauce</t>
  </si>
  <si>
    <t>Shakeer Spicy Sauce CMM (PA)</t>
  </si>
  <si>
    <t>Shakir Fattoush Salad Mix (PA)</t>
  </si>
  <si>
    <t>T&amp;M -Marinated whole chicken Sauce</t>
  </si>
  <si>
    <t>Ice Cream Biscuit Cup - KDD</t>
  </si>
  <si>
    <t>T&amp;M - Parsely Prep</t>
  </si>
  <si>
    <t>T.marination sauce for Debond chicken</t>
  </si>
  <si>
    <t>Beef Bacon Breakfast</t>
  </si>
  <si>
    <t>Caramelized Onion BBT (PA)</t>
  </si>
  <si>
    <t>Spicy Marinated Broasted</t>
  </si>
  <si>
    <t>TBL - Cocunut Carry Mix Bowl (PA)</t>
  </si>
  <si>
    <t>T&amp;M - Marination Sauce Chicken Shawrma</t>
  </si>
  <si>
    <t>Mish - Special Buffalo Sauce (PA)</t>
  </si>
  <si>
    <t>Paper Cup 22 Oz BBT milkshake W Flat Lid Red</t>
  </si>
  <si>
    <t>Spring Onion</t>
  </si>
  <si>
    <t>Tabel Sticker Mushroom Sauce</t>
  </si>
  <si>
    <t>Chicken Chunk Dredge (PA)</t>
  </si>
  <si>
    <t>Mish - Coleslaw Salad Mix</t>
  </si>
  <si>
    <t>TBL - Cucumber Yoghurt Salad (PA)</t>
  </si>
  <si>
    <t>Pickle Dill Chips</t>
  </si>
  <si>
    <t>Tabel Dip/Appetizer Divider</t>
  </si>
  <si>
    <t>Mishmash White Jumbo Foam Tray D18</t>
  </si>
  <si>
    <t>Mish  - Mushroom Sauce</t>
  </si>
  <si>
    <t>CPUY Cooking Cream</t>
  </si>
  <si>
    <t>Fabri Ice Cream Mix BBT</t>
  </si>
  <si>
    <t>CPU BBQ Sauce</t>
  </si>
  <si>
    <t>Mish - Red onion prep</t>
  </si>
  <si>
    <t>Mac &amp; Cheese Sauce</t>
  </si>
  <si>
    <t>Sticker Caesar Sauce 5cm - Slice</t>
  </si>
  <si>
    <t>Marinated Chicken Kebab (PA)</t>
  </si>
  <si>
    <t>FS Classic Burger Puck 20g</t>
  </si>
  <si>
    <t>Tempura Chicken Nuggets</t>
  </si>
  <si>
    <t>Chilli Long Fresh</t>
  </si>
  <si>
    <t>Honey Natural - Alshifa</t>
  </si>
  <si>
    <t>Slice Outlet Semi Finished</t>
  </si>
  <si>
    <t>Slice Special sauce (PA)</t>
  </si>
  <si>
    <t>T&amp;M  - Sweet Potato Cooked (PA)</t>
  </si>
  <si>
    <t>TBL - Spicy Tahina Slimmed Sauce (PA)</t>
  </si>
  <si>
    <t>Grill Buffaflo Chicken</t>
  </si>
  <si>
    <t>Shakir Chicken Stock Water</t>
  </si>
  <si>
    <t>Beef Tenderlion prep</t>
  </si>
  <si>
    <t>Breaded chicken (PA)</t>
  </si>
  <si>
    <t>CPUFM Cooking Cream</t>
  </si>
  <si>
    <t>MM- Infused oil</t>
  </si>
  <si>
    <t>Shakir Humos Prep (PA)</t>
  </si>
  <si>
    <t>Sprite Bottle 500 ML</t>
  </si>
  <si>
    <t>Mish - Fresh Orange Juice</t>
  </si>
  <si>
    <t>TBL - Mixed Nuts (PA)</t>
  </si>
  <si>
    <t>Cream Fort Base Prep</t>
  </si>
  <si>
    <t>Dessert Box Red</t>
  </si>
  <si>
    <t>Slice Cream Fort Base (PA)</t>
  </si>
  <si>
    <t>T-Extra Kabab Skewer 65 G</t>
  </si>
  <si>
    <t>Slider Box  Just C</t>
  </si>
  <si>
    <t>TBL- Tawooq herb Marination</t>
  </si>
  <si>
    <t>Mish - Tahina Sauce (PA)</t>
  </si>
  <si>
    <t>Frozen Cob On Corn ERMG</t>
  </si>
  <si>
    <t>Batter for Chicken Chunk</t>
  </si>
  <si>
    <t>TBL - Tahina Slimmed Sauce</t>
  </si>
  <si>
    <t>White Vinegar ERMG</t>
  </si>
  <si>
    <t>Chicken Shawarma 0.900 KG  Prep</t>
  </si>
  <si>
    <t>Capsicum Red Fresh</t>
  </si>
  <si>
    <t>MM - White Herb Sauce (PA)</t>
  </si>
  <si>
    <t>Ranch Sauce Prep (PA)</t>
  </si>
  <si>
    <t>Mish - Lettuce Romain</t>
  </si>
  <si>
    <t>Labneh</t>
  </si>
  <si>
    <t>Mish - BBQ Sauce (PA)</t>
  </si>
  <si>
    <t>Mish - Cucumber prep</t>
  </si>
  <si>
    <t>Baking Soda</t>
  </si>
  <si>
    <t>Mish - Caesar Sauce (PA)</t>
  </si>
  <si>
    <t>Spicy Tahini sauce prep</t>
  </si>
  <si>
    <t>MM - Cucumber Prep 4 Fatoush</t>
  </si>
  <si>
    <t>Hummus prep</t>
  </si>
  <si>
    <t>Mish - Julian Capsicum Prep (PA)</t>
  </si>
  <si>
    <t>MM-Smokehouse Burger</t>
  </si>
  <si>
    <t>CH-Mexican rice (PA)</t>
  </si>
  <si>
    <t>Cabbage Red Fresh</t>
  </si>
  <si>
    <t>Quesedilla Box</t>
  </si>
  <si>
    <t>TBL - Chimichurri Sauce (PA)</t>
  </si>
  <si>
    <t>Honey Bucket ERMG</t>
  </si>
  <si>
    <t>Chicken Kebab Prep</t>
  </si>
  <si>
    <t>Shakir Coleslaw Sauce</t>
  </si>
  <si>
    <t>patty patty Out semi-Finished</t>
  </si>
  <si>
    <t>Nesquick juice prep</t>
  </si>
  <si>
    <t>Brine Yelo Chicken</t>
  </si>
  <si>
    <t>Chilli Lime Spices (PA)</t>
  </si>
  <si>
    <t>Fry Chicken Bites (PA)</t>
  </si>
  <si>
    <t>T&amp;M - Marination Sauce Beef Shawrma</t>
  </si>
  <si>
    <t>Mish - Chicken Wings Prep</t>
  </si>
  <si>
    <t>Fried Sweet Potato</t>
  </si>
  <si>
    <t>Apple &amp; Raspberry GFM -KDD</t>
  </si>
  <si>
    <t>Chick Peas Can</t>
  </si>
  <si>
    <t>Mish - Chicken Spicy Sauce (PA)</t>
  </si>
  <si>
    <t>BK Whipping Cream</t>
  </si>
  <si>
    <t>T&amp;M -  Mix Cheese (PA)</t>
  </si>
  <si>
    <t>MM- Mix Mayo (PA)</t>
  </si>
  <si>
    <t>Cocktail Drink KDD</t>
  </si>
  <si>
    <t>Slice Red Cabbage Prep (PA)</t>
  </si>
  <si>
    <t>T&amp;M - Fatoush Dressing (PA)</t>
  </si>
  <si>
    <t>T&amp;M -Marination Chicken Tawooq</t>
  </si>
  <si>
    <t>MM - Grilled Tomato For Kishkash Sauce</t>
  </si>
  <si>
    <t>MM-Cheesy Kafta Melt</t>
  </si>
  <si>
    <t>MM- Cheesy Turkey Melt</t>
  </si>
  <si>
    <t>Battered Sweet Corn Nuggets</t>
  </si>
  <si>
    <t>Squeezed white Onion</t>
  </si>
  <si>
    <t>CH-Marinated chicken (PA)</t>
  </si>
  <si>
    <t>Mish - Grilled Eggplant</t>
  </si>
  <si>
    <t>T-Mixed Quinoa cooked</t>
  </si>
  <si>
    <t>TBL - Farm Salad Mix (PA)</t>
  </si>
  <si>
    <t>Bufflo Mac &amp; Cheese (PA)</t>
  </si>
  <si>
    <t>Ranch Bacon sauce prep</t>
  </si>
  <si>
    <t>White Basmati Rice</t>
  </si>
  <si>
    <t>CPU SHF Grinded Mild Pepper Paste</t>
  </si>
  <si>
    <t>Shakir Grill Tomato</t>
  </si>
  <si>
    <t>Cheese Halloumi ERMG</t>
  </si>
  <si>
    <t>Ranch honey mustard prep</t>
  </si>
  <si>
    <t>Bag Vacuum 30x40 Cm</t>
  </si>
  <si>
    <t>Worcestershire Sauce</t>
  </si>
  <si>
    <t>Slice Green Capsicum prep (PA)</t>
  </si>
  <si>
    <t>Brined Chicken Bites</t>
  </si>
  <si>
    <t>Mish - Lettuce Salad (PA)</t>
  </si>
  <si>
    <t>Shakir Salad Mix (PA)</t>
  </si>
  <si>
    <t>Shakir Diced Tomato (PA)</t>
  </si>
  <si>
    <t>Mish - Coleslaw Salad Dressing</t>
  </si>
  <si>
    <t>Pattie Pattie 12 Pcs Box</t>
  </si>
  <si>
    <t>Bun Double Decker Sesame 4"</t>
  </si>
  <si>
    <t>Mishmash Sticker Bag Seal 85*50Mm</t>
  </si>
  <si>
    <t>Cheddar Cheese Spread Kraft</t>
  </si>
  <si>
    <t>Sweet Honey Bacon (PA)</t>
  </si>
  <si>
    <t>Mishmash Sticker Kishkhash Sauce</t>
  </si>
  <si>
    <t>Slice Red Onion prep (PA)</t>
  </si>
  <si>
    <t>Chicken Wings Dredge with Water</t>
  </si>
  <si>
    <t>Vinegar White</t>
  </si>
  <si>
    <t>Chicken Breast B-L / S-L Chili</t>
  </si>
  <si>
    <t>Cheese Camembert Bites</t>
  </si>
  <si>
    <t>Cut Chicken Bites</t>
  </si>
  <si>
    <t>T&amp;M  - Sweet Potato Cooked</t>
  </si>
  <si>
    <t>Patty Patty Dredge (PA)</t>
  </si>
  <si>
    <t>Semolina No.1</t>
  </si>
  <si>
    <t>Square Chicken Mayo (PA)</t>
  </si>
  <si>
    <t>BBT Low Key Spicy Sauce (PA)</t>
  </si>
  <si>
    <t>Ranch Truffle</t>
  </si>
  <si>
    <t>CH-Chicken Breast B-L / S-L Chili prep</t>
  </si>
  <si>
    <t>Mish - Grilled Wings (PA)</t>
  </si>
  <si>
    <t>FS Classic Burger Puck 35g</t>
  </si>
  <si>
    <t>Macaroni No. 23 KFM</t>
  </si>
  <si>
    <t>Olive Extra Virgin Oil</t>
  </si>
  <si>
    <t>Potato Chips 1 MM</t>
  </si>
  <si>
    <t>Paper Cup 6 Oz BBT IceCream</t>
  </si>
  <si>
    <t>Pickle Jalepeno Slices Yelo</t>
  </si>
  <si>
    <t>Cheese white Cheddar Block</t>
  </si>
  <si>
    <t>Wet Water 4 Chicken Broasted</t>
  </si>
  <si>
    <t>Angus Burger</t>
  </si>
  <si>
    <t>Bacon ERMG</t>
  </si>
  <si>
    <t>Corn Oil</t>
  </si>
  <si>
    <t>Shakir Spicy Garlic sauce</t>
  </si>
  <si>
    <t>Cooking Cream ERMG</t>
  </si>
  <si>
    <t>Bun Martins Slider Potato 2.5"</t>
  </si>
  <si>
    <t>Chicken Brine</t>
  </si>
  <si>
    <t>Yelo Slice Green Capsicum prep</t>
  </si>
  <si>
    <t>Just C Final Bev Recipes</t>
  </si>
  <si>
    <t>Yelo BBQ Ranch</t>
  </si>
  <si>
    <t>Bun Sesame Burger 4"</t>
  </si>
  <si>
    <t>MM-Halloumi &amp; Zaatar Wrap</t>
  </si>
  <si>
    <t>MM- Super Falafel Wrap</t>
  </si>
  <si>
    <t>Potato Fries Ziggy</t>
  </si>
  <si>
    <t>Carbonara Pasta Sauce (PA)</t>
  </si>
  <si>
    <t>Slice Tzatziki  Sauce (PA)</t>
  </si>
  <si>
    <t>Slice Hanged yoghurt</t>
  </si>
  <si>
    <t>Mish - Tabulah Dressing (PA)</t>
  </si>
  <si>
    <t>Carrot Fresh</t>
  </si>
  <si>
    <t>TBL - Kunafa Creamy Sauce</t>
  </si>
  <si>
    <t>Skinny Ranch prep</t>
  </si>
  <si>
    <t>Vimto Fruit Cordial</t>
  </si>
  <si>
    <t>Mish - Chicken Steak Marination Sauce</t>
  </si>
  <si>
    <t>Mix Cheese</t>
  </si>
  <si>
    <t>Slice Tahina Sauce (PA)</t>
  </si>
  <si>
    <t>Bun Sesame Burger 4.5"</t>
  </si>
  <si>
    <t>Chicken Slider Just C CMM (PA)</t>
  </si>
  <si>
    <t>Little Chicken Mayo Sauce (PA)</t>
  </si>
  <si>
    <t>Sticker Garlic Mayo Sauce 5cm - Slice</t>
  </si>
  <si>
    <t>Yelo Slice Red Onion prep</t>
  </si>
  <si>
    <t>Sticker Hot Sauce 5cm - Slice</t>
  </si>
  <si>
    <t>Sriracha Hot Sauce</t>
  </si>
  <si>
    <t>TBL - Mohamara Mix (PA)</t>
  </si>
  <si>
    <t>Pomegrenate Molasses</t>
  </si>
  <si>
    <t>Soybean Oil - Dalal</t>
  </si>
  <si>
    <t>Broasted Spicy Sauce</t>
  </si>
  <si>
    <t>Cucumber prep</t>
  </si>
  <si>
    <t>Onion Crispy</t>
  </si>
  <si>
    <t>Red Radish Holland</t>
  </si>
  <si>
    <t>Turkey bread sauce</t>
  </si>
  <si>
    <t>BBT Aquafina Water</t>
  </si>
  <si>
    <t>Sleeve for Sweet Box PP</t>
  </si>
  <si>
    <t>Clear Sweet Box Pattie Pattie 7.5*7.5cm</t>
  </si>
  <si>
    <t>CH-White Rice (PA)</t>
  </si>
  <si>
    <t>Lemon Juice Fresh prep</t>
  </si>
  <si>
    <t>T-Crispy Bread</t>
  </si>
  <si>
    <t>Mish - Tabulah Dressing</t>
  </si>
  <si>
    <t>MM - Lime Juice</t>
  </si>
  <si>
    <t>Slice Rice Cooked</t>
  </si>
  <si>
    <t>Sticker Yoghurt Sauce 5cm - Slice</t>
  </si>
  <si>
    <t>Sparkling Rawdatain Water 250 ML</t>
  </si>
  <si>
    <t>Mish - Pepper Sauce (PA)</t>
  </si>
  <si>
    <t>Sunset Glaze</t>
  </si>
  <si>
    <t>Yelo BBQ Ranch (PA)</t>
  </si>
  <si>
    <t>shakir Musahab Marination</t>
  </si>
  <si>
    <t>Bufflo ranch sauce prep</t>
  </si>
  <si>
    <t>Chicken Nuggets Spicy BBT</t>
  </si>
  <si>
    <t>TBL  - Tabboula Dressing (PA)</t>
  </si>
  <si>
    <t>CH-Marinated Beef Tenderloin (PA)</t>
  </si>
  <si>
    <t>Mish - Radish Prep</t>
  </si>
  <si>
    <t>Beef Tenderloin prep (Chilil Pepper)</t>
  </si>
  <si>
    <t>Red Kidney Beans</t>
  </si>
  <si>
    <t>Green Peas Frozen</t>
  </si>
  <si>
    <t>Mishmash Clear Container 1500ML</t>
  </si>
  <si>
    <t>Mishmash Sticker Bbq QR code</t>
  </si>
  <si>
    <t>Yelo Spanish Black Slice Olives</t>
  </si>
  <si>
    <t>Spanish Black Slice Olives</t>
  </si>
  <si>
    <t>BBT Wet Patter -Squarw Patty</t>
  </si>
  <si>
    <t>T-Grilled Corn</t>
  </si>
  <si>
    <t>CP-Grill Mix Vegetable Prep</t>
  </si>
  <si>
    <t>Fried Curly Fries</t>
  </si>
  <si>
    <t>TBL - Potato Spice Mix (PA)</t>
  </si>
  <si>
    <t>Green Capsicum Prep</t>
  </si>
  <si>
    <t>Shakir Muttabal (PA)</t>
  </si>
  <si>
    <t>Bag Vacuum 20x30 Cm</t>
  </si>
  <si>
    <t>Yelo Mushrooms Fresh</t>
  </si>
  <si>
    <t>Chicken Breast prep</t>
  </si>
  <si>
    <t>Beef Pepperoni</t>
  </si>
  <si>
    <t>Honey Mustard Sauce Mix</t>
  </si>
  <si>
    <t>Bread Improver</t>
  </si>
  <si>
    <t>Mayonnaise Kewpie</t>
  </si>
  <si>
    <t>Lettuce Romain prep</t>
  </si>
  <si>
    <t>Black Beans</t>
  </si>
  <si>
    <t>Maple Syrup</t>
  </si>
  <si>
    <t>Mish - Marination Sauce Beef Tikka</t>
  </si>
  <si>
    <t>Juice Pineapple KDD</t>
  </si>
  <si>
    <t>CH-Sour Cream (PA)</t>
  </si>
  <si>
    <t>Shakir Ranch Sauce</t>
  </si>
  <si>
    <t>Tahina Shamali galon 14 KG</t>
  </si>
  <si>
    <t>PP Marinated Chicken big size (PA)</t>
  </si>
  <si>
    <t>Roast Beef 1-MM</t>
  </si>
  <si>
    <t>MM - Mix Parsely &amp; Onion</t>
  </si>
  <si>
    <t>TBL - Farm Salad Dressing (PA)</t>
  </si>
  <si>
    <t>Mish - Carrots Prep</t>
  </si>
  <si>
    <t>Mish - Red Cabbage</t>
  </si>
  <si>
    <t>Mish - White Cabbage Prep</t>
  </si>
  <si>
    <t>Coconut Milk Powder</t>
  </si>
  <si>
    <t>Sumac Powder ERMG</t>
  </si>
  <si>
    <t>TBL - Vine Leaves prep</t>
  </si>
  <si>
    <t>BBT Not So Ranch Sauce (PA)</t>
  </si>
  <si>
    <t>Shakir Fattoush Dressing (PA)</t>
  </si>
  <si>
    <t>Pesto Ranch Sauce prep</t>
  </si>
  <si>
    <t>Pattie Pattie Party Box KBC223227</t>
  </si>
  <si>
    <t>12 Mini Pita Box  350 GSM FB Slice</t>
  </si>
  <si>
    <t>Teriyaki Sauce (PA)</t>
  </si>
  <si>
    <t>Golden Rice Parboiled - U B</t>
  </si>
  <si>
    <t>Slice Garlic Mayo Sauce (PA)</t>
  </si>
  <si>
    <t>Red Fruit Ice Tea Zero Sugar</t>
  </si>
  <si>
    <t>Pickle Sweet Relish</t>
  </si>
  <si>
    <t>Peach Ice Tea Zero Sugar</t>
  </si>
  <si>
    <t>Cheese Parmesan</t>
  </si>
  <si>
    <t>Rosanna Tomato Paste ERMG</t>
  </si>
  <si>
    <t>CH-black beans (PA)</t>
  </si>
  <si>
    <t>Shakir Salad Dressing (PA)</t>
  </si>
  <si>
    <t>Vine Leaves</t>
  </si>
  <si>
    <t>Tahina Garlic Sauce prep</t>
  </si>
  <si>
    <t>Shakeer Spicy Sauce CMM</t>
  </si>
  <si>
    <t>CPU Hot Pepper Paste</t>
  </si>
  <si>
    <t xml:space="preserve"> MM Chicken Flour Spice  Mix (PA)</t>
  </si>
  <si>
    <t>Bufflo Mac &amp; Cheese Sauce</t>
  </si>
  <si>
    <t>Black Pepper Powder</t>
  </si>
  <si>
    <t>T&amp;M - Marination Spicy Whole Chicken</t>
  </si>
  <si>
    <t>Old skool mariantion</t>
  </si>
  <si>
    <t>MM-Quarter Pounder</t>
  </si>
  <si>
    <t>Corn On The Cob</t>
  </si>
  <si>
    <t>CP-Green Capsicum Prep</t>
  </si>
  <si>
    <t>Chicken Wings Confit</t>
  </si>
  <si>
    <t>Greek Yoghurt Almarai</t>
  </si>
  <si>
    <t>CH-Pico di galo (PA)</t>
  </si>
  <si>
    <t>Yelo White Sauce</t>
  </si>
  <si>
    <t>Plastic Holder for Ice Cream Cup</t>
  </si>
  <si>
    <t>Plastic Gallon 5 Ltr</t>
  </si>
  <si>
    <t>Juice Lemon Substitute</t>
  </si>
  <si>
    <t>Slice White Onion prep (PA)</t>
  </si>
  <si>
    <t>Yelo Diced Tomato (PA)</t>
  </si>
  <si>
    <t>Short Grain Rice Calrose - Egyptian Rice</t>
  </si>
  <si>
    <t>Coca-Cola Bottle 500 ML</t>
  </si>
  <si>
    <t>Mish - Chocolate Cookies dough</t>
  </si>
  <si>
    <t>PATTIE FRIES</t>
  </si>
  <si>
    <t>Chicken Classic Just C CMM (PA)</t>
  </si>
  <si>
    <t>Sweet Chili Sauce</t>
  </si>
  <si>
    <t>NOT SO RANCH SAUCE</t>
  </si>
  <si>
    <t>BBT Beef Filling Dynamite</t>
  </si>
  <si>
    <t>PP Curly Fries</t>
  </si>
  <si>
    <t>MM-Nashvile chicken fillet</t>
  </si>
  <si>
    <t>Achaar Sauce (PA)</t>
  </si>
  <si>
    <t>Sera Grinded Red Pepper</t>
  </si>
  <si>
    <t>Baking Powder</t>
  </si>
  <si>
    <t>Beef Doner Cooked (PA)</t>
  </si>
  <si>
    <t>Fabri Supersoft Icecream Mix</t>
  </si>
  <si>
    <t>Slice Red Capsicum prep</t>
  </si>
  <si>
    <t>YP Grilled Chicken (PA)</t>
  </si>
  <si>
    <t>Labneh ERMG</t>
  </si>
  <si>
    <t>Slice Red Capsicum prep (PA)</t>
  </si>
  <si>
    <t>Cheddar Cheese Block ERMG</t>
  </si>
  <si>
    <t>Japanese mayo Prep</t>
  </si>
  <si>
    <t>Almond Slivers</t>
  </si>
  <si>
    <t>Avocado Fresh</t>
  </si>
  <si>
    <t>T&amp;M - Parsely Prep (PA)</t>
  </si>
  <si>
    <t>Coca-Cola Light Syrup</t>
  </si>
  <si>
    <t>Yelo Chicken Shawarma (PA)</t>
  </si>
  <si>
    <t>T&amp;M Arayes Marination</t>
  </si>
  <si>
    <t>Mango &amp; Peach GFM -KDD</t>
  </si>
  <si>
    <t>Red Capsicum Prep</t>
  </si>
  <si>
    <t>Shakir Cucumber Slice</t>
  </si>
  <si>
    <t>BBT Dredge Spice Mix (PA)</t>
  </si>
  <si>
    <t>Tahina Mayo For Grill (PA)</t>
  </si>
  <si>
    <t>TBL - Roasted Almond</t>
  </si>
  <si>
    <t>Mish - Cooked Burgul</t>
  </si>
  <si>
    <t>Mixed Quinoa</t>
  </si>
  <si>
    <t>Ranch Truffle (PA)</t>
  </si>
  <si>
    <t>Slice BBQ Mayo Sauce (PA)</t>
  </si>
  <si>
    <t>Paprika Powder</t>
  </si>
  <si>
    <t>MM - Burgul Soaked</t>
  </si>
  <si>
    <t>Chicken Wings Dredge (PA)</t>
  </si>
  <si>
    <t>MM-Banko Mix (PA)</t>
  </si>
  <si>
    <t>Broasted Spicy Sauce (PA)</t>
  </si>
  <si>
    <t>Patty-Patty Sauce prep</t>
  </si>
  <si>
    <t>CH-Diced Whole Tomato</t>
  </si>
  <si>
    <t>Patty-Patty Sauce prep (PA)</t>
  </si>
  <si>
    <t>Marinated Chicken Breast Yelo</t>
  </si>
  <si>
    <t>Teriyake Marinade</t>
  </si>
  <si>
    <t>Cheese White Slice</t>
  </si>
  <si>
    <t>Shakir Roasted Eggplant</t>
  </si>
  <si>
    <t>garlic Roast</t>
  </si>
  <si>
    <t>Stevia Sugar Low Calory</t>
  </si>
  <si>
    <t>Yiest Dry Saf-instant</t>
  </si>
  <si>
    <t>MM - Quesadilla Sauce (PA)</t>
  </si>
  <si>
    <t>Chicken Chunks Perfect</t>
  </si>
  <si>
    <t>T&amp;M - Spring onion prep</t>
  </si>
  <si>
    <t>Coca-Cola Syrup</t>
  </si>
  <si>
    <t>T&amp;M - Beef  Shawarma</t>
  </si>
  <si>
    <t>Panko Crumbs</t>
  </si>
  <si>
    <t>Basmati Rice / FM</t>
  </si>
  <si>
    <t>Shawarma Spices - Chicken</t>
  </si>
  <si>
    <t>Mabooch Garlic Sauce</t>
  </si>
  <si>
    <t>Vinegar Apple Cider</t>
  </si>
  <si>
    <t>Shakir Red Ranch (PA)</t>
  </si>
  <si>
    <t>Cabbage Slow (PA)</t>
  </si>
  <si>
    <t>Pomegranate</t>
  </si>
  <si>
    <t>Cheese Soft Cream</t>
  </si>
  <si>
    <t>BBT Chicken Filling Dynamite</t>
  </si>
  <si>
    <t>Lemon Ice Tea Zero Sugar</t>
  </si>
  <si>
    <t>12 Mini Saj Box  Booom 350 GSM Slice</t>
  </si>
  <si>
    <t>Tropical Ice Tea Zero Sugar</t>
  </si>
  <si>
    <t>Onion BBT (PA)</t>
  </si>
  <si>
    <t>Muhammara prep (PA)</t>
  </si>
  <si>
    <t>C Sauce (PA)</t>
  </si>
  <si>
    <t>Yelo Shawarma Beef (PA)</t>
  </si>
  <si>
    <t>Mojito (Lemon&amp;Mint) GFM -KDD</t>
  </si>
  <si>
    <t>Slice Coffee Sauce (PA)</t>
  </si>
  <si>
    <t>CH-Mix cheese (PA)</t>
  </si>
  <si>
    <t>CH-Gucamole (PA)</t>
  </si>
  <si>
    <t>Mish - Lemon Juice Prep</t>
  </si>
  <si>
    <t>Mish - Sliced Capsicum</t>
  </si>
  <si>
    <t>Yelo Chicken Shawarma Cooked</t>
  </si>
  <si>
    <t>Fresh Mint</t>
  </si>
  <si>
    <t>Vegetable Stock Powder</t>
  </si>
  <si>
    <t>Diced White Onion Fresh OSF</t>
  </si>
  <si>
    <t>Peri Peri Chicken Cubes (PA)</t>
  </si>
  <si>
    <t>TBL - Beef Tikka Spice Mix Prep</t>
  </si>
  <si>
    <t>Yelo Hot Honey (PA)</t>
  </si>
  <si>
    <t>Butter Ghee ERMG</t>
  </si>
  <si>
    <t>Peach Puree Monin</t>
  </si>
  <si>
    <t>Chili Cheese Nuggets</t>
  </si>
  <si>
    <t>Cilantro/ Corriander Leaves Fresh</t>
  </si>
  <si>
    <t>Sugar Light Soft Brown - Tate Lyle</t>
  </si>
  <si>
    <t>MM-Caramlised Onion</t>
  </si>
  <si>
    <t>Mish - Diced White Onion (PA)</t>
  </si>
  <si>
    <t>Yelo Twister Sauce (PA)</t>
  </si>
  <si>
    <t>Rocca Leaves Fresh</t>
  </si>
  <si>
    <t>Philadelphia Cream Cheese</t>
  </si>
  <si>
    <t>BBQ Box - Thermal Bag JustC</t>
  </si>
  <si>
    <t>White Cabbage Shreded</t>
  </si>
  <si>
    <t>Sweet Corn Green Giant</t>
  </si>
  <si>
    <t>Garlic Powder</t>
  </si>
  <si>
    <t>Chilli Long Fresh Prep</t>
  </si>
  <si>
    <t>Sprite  Syrup</t>
  </si>
  <si>
    <t>Drain Pickle For Grill</t>
  </si>
  <si>
    <t>Yelo Slice Red Capsicum prep</t>
  </si>
  <si>
    <t>Lamb Leg prep</t>
  </si>
  <si>
    <t>Pinenuts</t>
  </si>
  <si>
    <t>TBL - Roasted Pinenuts</t>
  </si>
  <si>
    <t>Yelo Garlic Sauce (PA)</t>
  </si>
  <si>
    <t>Slice Aromatic Herbs Rice (PA)</t>
  </si>
  <si>
    <t>Dalal Ghee</t>
  </si>
  <si>
    <t>Patty Patty Bacon (PA)</t>
  </si>
  <si>
    <t>CH-Corn Salsa (PA)</t>
  </si>
  <si>
    <t>Avocado Pulp</t>
  </si>
  <si>
    <t>CH-Brown rice (PA)</t>
  </si>
  <si>
    <t>Smoked Sweet Paprika Powder</t>
  </si>
  <si>
    <t>Bbq Foam Box Single (Small)</t>
  </si>
  <si>
    <t>Sticker BBQ box Wrapper JustC</t>
  </si>
  <si>
    <t>MM -  Chicken Fillet Spice Mix</t>
  </si>
  <si>
    <t>Burger Seasoning for Super Burger (PA)</t>
  </si>
  <si>
    <t>Grilled Chicken Breast Cube Yelo</t>
  </si>
  <si>
    <t>Peri Peri Ranch (PA)</t>
  </si>
  <si>
    <t>Frozen Bacon Americana</t>
  </si>
  <si>
    <t>Patty Patty Ranch prep</t>
  </si>
  <si>
    <t>T&amp;M - Spring onion prep (PA)</t>
  </si>
  <si>
    <t>P.P Potato Slice Fry</t>
  </si>
  <si>
    <t>MM - New Ranch Sauce 4  White Herb Sauce</t>
  </si>
  <si>
    <t>Water Bottle Voda Voda 500 Ml</t>
  </si>
  <si>
    <t>Slice Hafe Tomato (PA)</t>
  </si>
  <si>
    <t>Knorr Lime Powder</t>
  </si>
  <si>
    <t>Smoked Turkey Breast</t>
  </si>
  <si>
    <t>Sesame Seeds</t>
  </si>
  <si>
    <t>BBT Kinza Cola</t>
  </si>
  <si>
    <t>MM-Nashville Halloumi Wrap</t>
  </si>
  <si>
    <t>MM- Cheesy chicken Melt</t>
  </si>
  <si>
    <t>Squeeze Bottle 120Ml</t>
  </si>
  <si>
    <t>Yelo Tahini Sauce (PA)</t>
  </si>
  <si>
    <t>Slice White ranch sauce (PA)</t>
  </si>
  <si>
    <t>Chicken Wings Dredge</t>
  </si>
  <si>
    <t>BBT Corn Dynamite Mix</t>
  </si>
  <si>
    <t>Garlic Powder - Kuwaitina</t>
  </si>
  <si>
    <t>MM - Nashville Spices</t>
  </si>
  <si>
    <t>Worcestershier Sauce ERMG</t>
  </si>
  <si>
    <t>Yelo Diced Potato (PA)</t>
  </si>
  <si>
    <t>Mish - Sour Cream Sauce (PA)</t>
  </si>
  <si>
    <t>MM - Mix Beans</t>
  </si>
  <si>
    <t>Tahina Sauce 4 Grill</t>
  </si>
  <si>
    <t>Red Raddish Small</t>
  </si>
  <si>
    <t>CH-Lamb barbacoa (PA)</t>
  </si>
  <si>
    <t>Mighty Kabab-MM</t>
  </si>
  <si>
    <t>White Pepper Powder</t>
  </si>
  <si>
    <t>Happy Ending Recipe (PA)</t>
  </si>
  <si>
    <t>Sharp Cheddar Cheese</t>
  </si>
  <si>
    <t>Kraft Cheddar Cheese</t>
  </si>
  <si>
    <t>Broasted Marinade McNoon</t>
  </si>
  <si>
    <t>MM - Claasic Sauce (PA)</t>
  </si>
  <si>
    <t>T-Mabooch Cream (PA)</t>
  </si>
  <si>
    <t>Citric Acid</t>
  </si>
  <si>
    <t>Spicy Marinade McNoon</t>
  </si>
  <si>
    <t>Mish - Coriander Leaves Prep</t>
  </si>
  <si>
    <t>Vinegar Balsamic</t>
  </si>
  <si>
    <t>Zaatar Fresh Leaves</t>
  </si>
  <si>
    <t>YP Grilled Chicken</t>
  </si>
  <si>
    <t>MM - Rice Seasoniong (PA)</t>
  </si>
  <si>
    <t>TBL- Tawooq Herb Spice Mix</t>
  </si>
  <si>
    <t>Mish - Cooked Burgul (PA)</t>
  </si>
  <si>
    <t>Shrimps 26/30 PD-TOFF</t>
  </si>
  <si>
    <t>Tahina Sauce for Muttabal</t>
  </si>
  <si>
    <t>Brown Sugar ERMG</t>
  </si>
  <si>
    <t>Mish - Seasoning Mix (PA)</t>
  </si>
  <si>
    <t>Cheese Pepper Jack Sliced</t>
  </si>
  <si>
    <t>Mexican Rice Mix</t>
  </si>
  <si>
    <t>Tang Orange Powder</t>
  </si>
  <si>
    <t>MM - Nashville Spices (PA)</t>
  </si>
  <si>
    <t>Cucumber Slice Shakir</t>
  </si>
  <si>
    <t>Chicken Stock Powder</t>
  </si>
  <si>
    <t>Mabooch Tahina (PA)</t>
  </si>
  <si>
    <t>Onion Powder</t>
  </si>
  <si>
    <t>Red Radish Prep</t>
  </si>
  <si>
    <t>Slice Spicy Ranch Sauce (PA)</t>
  </si>
  <si>
    <t>MM - Burger Seasoning  (PA)</t>
  </si>
  <si>
    <t>Shakir Croutons</t>
  </si>
  <si>
    <t>Milk Chocolate Chips 35%</t>
  </si>
  <si>
    <t>BBT Corn Mix</t>
  </si>
  <si>
    <t>Hot Sauce - Red Rooster</t>
  </si>
  <si>
    <t>Mushroom Soup Powder</t>
  </si>
  <si>
    <t>Green onion prep</t>
  </si>
  <si>
    <t>BBT Diced Tomato (PA)</t>
  </si>
  <si>
    <t>Shakir Grill Red Capsicum</t>
  </si>
  <si>
    <t>MM-Halloum stock Water</t>
  </si>
  <si>
    <t>Chives Fresh</t>
  </si>
  <si>
    <t>T-Grilled long Chilli</t>
  </si>
  <si>
    <t>Shakir Tahina sauce</t>
  </si>
  <si>
    <t>Pomegranate prep (PA)</t>
  </si>
  <si>
    <t>Chili Flakes</t>
  </si>
  <si>
    <t>Mish - Garlic prep</t>
  </si>
  <si>
    <t>Pumpkin</t>
  </si>
  <si>
    <t>Chopped Honey Bacon (PA)</t>
  </si>
  <si>
    <t>Yelo Chopped Pickle (PA)</t>
  </si>
  <si>
    <t>Kashmiri Chili Powder - Eastern</t>
  </si>
  <si>
    <t>Mustard Dijon Sauce</t>
  </si>
  <si>
    <t>Red Onion prep</t>
  </si>
  <si>
    <t>Chopped Bacon</t>
  </si>
  <si>
    <t>T&amp;M - Whole Chicken Spice Mix</t>
  </si>
  <si>
    <t>Peanut Butter Creamy</t>
  </si>
  <si>
    <t>T - Tawook spicy mix</t>
  </si>
  <si>
    <t>Peri Peri Sauce (PA)</t>
  </si>
  <si>
    <t>Burgul Yellow Crushed</t>
  </si>
  <si>
    <t>CH-Beef Chili con carne (PA)</t>
  </si>
  <si>
    <t>Slice jam sauce (PA)</t>
  </si>
  <si>
    <t>Slice Ceasar Sauce (PA)</t>
  </si>
  <si>
    <t>Mish - Marinated Grilled Beef Steak (PA)</t>
  </si>
  <si>
    <t>Parsley prep</t>
  </si>
  <si>
    <t>MM - Mexican Sauce</t>
  </si>
  <si>
    <t>Red Chilli Long Fresh - Holand</t>
  </si>
  <si>
    <t>Mish - Rocca Prep</t>
  </si>
  <si>
    <t>Milk Chocolate Coins</t>
  </si>
  <si>
    <t>Bag Plastic Shakir Bread 20x30 Cm</t>
  </si>
  <si>
    <t>Shakir Green Sauce For Rice  (PA)</t>
  </si>
  <si>
    <t>Slice Tomato Just C OSF</t>
  </si>
  <si>
    <t>Sugar 5 kg</t>
  </si>
  <si>
    <t>Mish - Pumpkin  Prep</t>
  </si>
  <si>
    <t>Batter Mix for Square Patty (PA)</t>
  </si>
  <si>
    <t>CH-Green Salsa (PA)</t>
  </si>
  <si>
    <t>TBL - Pumpkin Saute (PA)</t>
  </si>
  <si>
    <t>Mish - Mint Prep</t>
  </si>
  <si>
    <t>BBT Infused Oil</t>
  </si>
  <si>
    <t>Pulled lamb</t>
  </si>
  <si>
    <t>Chicken Brine 4 big portion</t>
  </si>
  <si>
    <t>Fanta Orange Bottle 500 ML</t>
  </si>
  <si>
    <t>Honey Natural - Alshifa Prep</t>
  </si>
  <si>
    <t>Ginger Powder</t>
  </si>
  <si>
    <t>Fanta Strawberry Syrup</t>
  </si>
  <si>
    <t>Basil Leaves Fresh Holland</t>
  </si>
  <si>
    <t>Kunafa Cream Cheese</t>
  </si>
  <si>
    <t>Capsicum Yellow Fresh</t>
  </si>
  <si>
    <t>Maple Syrup ERMG</t>
  </si>
  <si>
    <t>Chili Powder</t>
  </si>
  <si>
    <t>Mexican Base Mix</t>
  </si>
  <si>
    <t>Pickle Mango Dip in oil</t>
  </si>
  <si>
    <t>Chives Prep</t>
  </si>
  <si>
    <t>CP-RED ONION PREP</t>
  </si>
  <si>
    <t>Cayenne Chilli Powder</t>
  </si>
  <si>
    <t>Mish - Grilled Chicken Steak Grilled</t>
  </si>
  <si>
    <t>Slice Green Capsicum prep</t>
  </si>
  <si>
    <t>Fanta Orange Syrup</t>
  </si>
  <si>
    <t>BBT Merchandise</t>
  </si>
  <si>
    <t>BBT Sticker A5</t>
  </si>
  <si>
    <t>BBT Car Air Freshener - Sony</t>
  </si>
  <si>
    <t>Sparkling Water Aquafina</t>
  </si>
  <si>
    <t>Kinza Saudi Cocktail</t>
  </si>
  <si>
    <t>Mishmash Double Tray Meal Box</t>
  </si>
  <si>
    <t>BBT Jalapeno Slice (PA)</t>
  </si>
  <si>
    <t>Chili Pepper Commissary</t>
  </si>
  <si>
    <t>CH-Red salsa (PA)</t>
  </si>
  <si>
    <t>Jalapeno Pepper Anns ERMG</t>
  </si>
  <si>
    <t>Bag Plastic Shakir tanoor Bread 30x30 Cm</t>
  </si>
  <si>
    <t>Butter Unsalted Bulk</t>
  </si>
  <si>
    <t>MM - Burgul Red Sauce</t>
  </si>
  <si>
    <t>Enchillada Pizza Sauce (PA)</t>
  </si>
  <si>
    <t>CH-Marinated Shrimp (PA)</t>
  </si>
  <si>
    <t>Peanut Butter Chunky</t>
  </si>
  <si>
    <t>zaatar pesto sauce Prep</t>
  </si>
  <si>
    <t>Zaatar pesto sauce (PA)</t>
  </si>
  <si>
    <t>Leeks Fresh</t>
  </si>
  <si>
    <t>Pickle Mango Dip in oil Prep</t>
  </si>
  <si>
    <t>Aji-No-Moto ERMG</t>
  </si>
  <si>
    <t>Peri Peri Sauce</t>
  </si>
  <si>
    <t>Garlic Granules</t>
  </si>
  <si>
    <t>Shawarma Spices</t>
  </si>
  <si>
    <t>Ch-Shrimp prep</t>
  </si>
  <si>
    <t>Shakir Mix veggi</t>
  </si>
  <si>
    <t>MM-Red Onion prep</t>
  </si>
  <si>
    <t>MM-Fresh Lemon Juice</t>
  </si>
  <si>
    <t>Nashville Sauce (PA)</t>
  </si>
  <si>
    <t>Adicto Chocolate Browni</t>
  </si>
  <si>
    <t>Carrot Julienne prep</t>
  </si>
  <si>
    <t>CP-CRUSH NACHOS PREP</t>
  </si>
  <si>
    <t>Butter Seasoning (PA)</t>
  </si>
  <si>
    <t>Milk Powder</t>
  </si>
  <si>
    <t>Marinated Sauce for Yelo Chicken Shawarma</t>
  </si>
  <si>
    <t>Diced Yellow Capsicum (PA)</t>
  </si>
  <si>
    <t>Diced Red Capsicum (PA)</t>
  </si>
  <si>
    <t>Mish-Falafel  (PA)</t>
  </si>
  <si>
    <t>T-Parsely Mix With Onion</t>
  </si>
  <si>
    <t>Mish - Leeks Prep</t>
  </si>
  <si>
    <t>Gochujang Chili Paste</t>
  </si>
  <si>
    <t>Dill Leaves Fresh</t>
  </si>
  <si>
    <t>Mish -White Onion Slice (PA)</t>
  </si>
  <si>
    <t>Smoked Turkey Breast Sliced (PA)</t>
  </si>
  <si>
    <t>MM - Garlic Paste</t>
  </si>
  <si>
    <t>Margerine - Veg Ghee Mima</t>
  </si>
  <si>
    <t>BBT Flour Water</t>
  </si>
  <si>
    <t>Chopped White Onion OSF</t>
  </si>
  <si>
    <t>MM-Crispy Bread</t>
  </si>
  <si>
    <t>Rice Brown - D H</t>
  </si>
  <si>
    <t>BBT Jalapeno Mayo Sauce (PA)</t>
  </si>
  <si>
    <t>Mish-Chick Peas Soaking</t>
  </si>
  <si>
    <t>Pesto Ranch Sauce prep (PA)</t>
  </si>
  <si>
    <t>Mix broasted Spices</t>
  </si>
  <si>
    <t>Spicy Ranch Sauce prep (PA)</t>
  </si>
  <si>
    <t>Honey Crackers</t>
  </si>
  <si>
    <t>Spicy Truffle Sauce (PA)</t>
  </si>
  <si>
    <t>Red Vinegar</t>
  </si>
  <si>
    <t>Sliced White Onion CMM</t>
  </si>
  <si>
    <t>Cajun Seasoning</t>
  </si>
  <si>
    <t>Mish -Beef Tikka Spice Mix</t>
  </si>
  <si>
    <t>Strawberry Puree Frozen</t>
  </si>
  <si>
    <t>Sliced Green Capsicum</t>
  </si>
  <si>
    <t>Muhammara prep</t>
  </si>
  <si>
    <t>Lime Fresh</t>
  </si>
  <si>
    <t>BBQ Mayo Just C (PA)</t>
  </si>
  <si>
    <t>Draine sweet chilli sauce (PA)</t>
  </si>
  <si>
    <t>Mish - Crutons (PA)</t>
  </si>
  <si>
    <t>Tahina Shamali galon 14 KG (PA)</t>
  </si>
  <si>
    <t>Mabooch (PA)</t>
  </si>
  <si>
    <t>Oregano Leaves Dry</t>
  </si>
  <si>
    <t>BBT Wet Batter (PA)</t>
  </si>
  <si>
    <t>Walnuts</t>
  </si>
  <si>
    <t>Bbq Seasoning Powder Badia</t>
  </si>
  <si>
    <t>Parmesan Cheese Powder</t>
  </si>
  <si>
    <t>Pattie Pattie Dredge Spice Mix (PA)</t>
  </si>
  <si>
    <t>Slice White Cabbage prep (PA)</t>
  </si>
  <si>
    <t>Bread Crumbs</t>
  </si>
  <si>
    <t>Butter Substitute</t>
  </si>
  <si>
    <t>Garlic prep</t>
  </si>
  <si>
    <t>Black Pepper Crushed</t>
  </si>
  <si>
    <t>Yelo Thin Sliced White Onion (PA)</t>
  </si>
  <si>
    <t>Thyme prep</t>
  </si>
  <si>
    <t>Beef Seasoning Spices</t>
  </si>
  <si>
    <t>Chicken Seasoning Spices</t>
  </si>
  <si>
    <t>Pasta beef bacon (PA)</t>
  </si>
  <si>
    <t>Buffalo Sauce (PA)</t>
  </si>
  <si>
    <t>Biscuit Oreo</t>
  </si>
  <si>
    <t>Tomato Peeled - Safari</t>
  </si>
  <si>
    <t>Soya Sauce ERMG</t>
  </si>
  <si>
    <t>Pesto Sauce prep</t>
  </si>
  <si>
    <t>Soya Sauce Dark - FM</t>
  </si>
  <si>
    <t>Yelo- Chopped Jalepeno (PA)</t>
  </si>
  <si>
    <t>Basil Prep</t>
  </si>
  <si>
    <t>Mustard Onion (PA)</t>
  </si>
  <si>
    <t>Demi Glaze Powder Knorr</t>
  </si>
  <si>
    <t>Grated Cheddar Just C OSF</t>
  </si>
  <si>
    <t>PP Rodeo Sauce (PA)</t>
  </si>
  <si>
    <t>BBT Corn Dynamite Sauce</t>
  </si>
  <si>
    <t>Fried Mushroom (PA)</t>
  </si>
  <si>
    <t>Lemon Salt ERMG</t>
  </si>
  <si>
    <t>Nashville Spices (PA)</t>
  </si>
  <si>
    <t>Fresh Indian Chilli</t>
  </si>
  <si>
    <t>Salt - BBT/ LB / Shakir</t>
  </si>
  <si>
    <t>Oyster Sauce</t>
  </si>
  <si>
    <t>Mish - Lemon prep</t>
  </si>
  <si>
    <t>Crispy Onion</t>
  </si>
  <si>
    <t>Mish-Zataar Olives  (PA)</t>
  </si>
  <si>
    <t>CH-green salsa Base</t>
  </si>
  <si>
    <t>Cheese Provolone Dolce</t>
  </si>
  <si>
    <t>Grated Provolone Just C OSF</t>
  </si>
  <si>
    <t>Galon 14 KG for Tahina</t>
  </si>
  <si>
    <t>Black Pepper Whole</t>
  </si>
  <si>
    <t>Fry Red Chili</t>
  </si>
  <si>
    <t>Tomato skin Diced</t>
  </si>
  <si>
    <t>Crispy Onion (PA)</t>
  </si>
  <si>
    <t>Icing Sugar</t>
  </si>
  <si>
    <t>Steak Sauce prep (PA)</t>
  </si>
  <si>
    <t>Madras Curry Powder</t>
  </si>
  <si>
    <t>Roasted Panko Crumb (PA)</t>
  </si>
  <si>
    <t>Milk Chocolate Coins ERMG</t>
  </si>
  <si>
    <t>Nesquik Chocolate Powder</t>
  </si>
  <si>
    <t>CLeaned Parselly</t>
  </si>
  <si>
    <t>Beet Root Fresh</t>
  </si>
  <si>
    <t>Mish - Basil Prep</t>
  </si>
  <si>
    <t>Mish-Zaater Mix</t>
  </si>
  <si>
    <t>Fresh Thyme</t>
  </si>
  <si>
    <t>Bay Leaves</t>
  </si>
  <si>
    <t>Basil Prep (PA)</t>
  </si>
  <si>
    <t>Coriander Powder</t>
  </si>
  <si>
    <t>Dill prep</t>
  </si>
  <si>
    <t>FM-Lemon Juice Fresh</t>
  </si>
  <si>
    <t>Mish - Beetroot Prep</t>
  </si>
  <si>
    <t>Cream Anglaise (PA)</t>
  </si>
  <si>
    <t>Kinder Sauce (PA)</t>
  </si>
  <si>
    <t>PP Chocolate Carmeal Mix (PA)</t>
  </si>
  <si>
    <t>MM-Mint Prep</t>
  </si>
  <si>
    <t>Dry Thyme</t>
  </si>
  <si>
    <t>Cumin Powder</t>
  </si>
  <si>
    <t>Caramel Sauce Monin</t>
  </si>
  <si>
    <t>Mish - Dill Prep</t>
  </si>
  <si>
    <t>Coriander prep</t>
  </si>
  <si>
    <t>Jam Straberry - Hero</t>
  </si>
  <si>
    <t>Yelo Mix oil Spices</t>
  </si>
  <si>
    <t>Slice Potato spices Mix (PA)</t>
  </si>
  <si>
    <t>Mish - Boiled Beetroot</t>
  </si>
  <si>
    <t>Mish - Diced White Onion</t>
  </si>
  <si>
    <t>Cocoa Poweder</t>
  </si>
  <si>
    <t>Mish - Red Capsicum Prep</t>
  </si>
  <si>
    <t>Mint prep</t>
  </si>
  <si>
    <t>Carlex Oil Spray</t>
  </si>
  <si>
    <t>Grilled Mushroom Just C OSF</t>
  </si>
  <si>
    <t>Mish - Blended boiled beetroot</t>
  </si>
  <si>
    <t>Aioli Sauce (PA)</t>
  </si>
  <si>
    <t>Chicken Wings Dredge Spice Mix (PA)</t>
  </si>
  <si>
    <t>Mish - Chicken Flour Spice Mix</t>
  </si>
  <si>
    <t>Cinnamon Stick</t>
  </si>
  <si>
    <t>%</t>
  </si>
  <si>
    <t>Honey Mustard (PA)</t>
  </si>
  <si>
    <t>T-Mabooch</t>
  </si>
  <si>
    <t>Corn Syrup White - Korean</t>
  </si>
  <si>
    <t>Chicken Marination Spice (.030 Kg)</t>
  </si>
  <si>
    <t>Brine Mix</t>
  </si>
  <si>
    <t>Pastry Cream</t>
  </si>
  <si>
    <t>Zater Dry Powder</t>
  </si>
  <si>
    <t>BBT Outlet Semi Finished</t>
  </si>
  <si>
    <t>Chives Prep (PA)</t>
  </si>
  <si>
    <t>Spicy Maple Sauce (PA)</t>
  </si>
  <si>
    <t>Ch-Green Capsicum Prep</t>
  </si>
  <si>
    <t>MM-Green onion prep</t>
  </si>
  <si>
    <t>Seven Spices</t>
  </si>
  <si>
    <t>Mabooch</t>
  </si>
  <si>
    <t>Spicy Ranch thickness (PA)</t>
  </si>
  <si>
    <t>Mccormick Chipotle Chilli Powder</t>
  </si>
  <si>
    <t>Smoke Liquid Hickory</t>
  </si>
  <si>
    <t>Pickle Red Turnip</t>
  </si>
  <si>
    <t>Cashew Nuts</t>
  </si>
  <si>
    <t>Yelo Chopped Parsely (PA)</t>
  </si>
  <si>
    <t>Red Chilli prep</t>
  </si>
  <si>
    <t>Mish - Julian Capsicum Prep</t>
  </si>
  <si>
    <t>Milk Powder Almarai</t>
  </si>
  <si>
    <t>Canola Oil</t>
  </si>
  <si>
    <t>Milk Condensed</t>
  </si>
  <si>
    <t>Coffee Extract</t>
  </si>
  <si>
    <t>Chicken Dredge Spice</t>
  </si>
  <si>
    <t>Lime Juice prep</t>
  </si>
  <si>
    <t>Aioli Sauce</t>
  </si>
  <si>
    <t>Compound Milk Chocolate</t>
  </si>
  <si>
    <t>Magic Shell Mix CMM (PA)</t>
  </si>
  <si>
    <t>T&amp;M Arayes Spice Mix</t>
  </si>
  <si>
    <t>Truffle Oil</t>
  </si>
  <si>
    <t>Nocciolata Bianca - Filling irca</t>
  </si>
  <si>
    <t>P.P Jalepeno Diced</t>
  </si>
  <si>
    <t>Salted Caramel Butter</t>
  </si>
  <si>
    <t>Kunafah Dough</t>
  </si>
  <si>
    <t>PP Cheese Provolone Prep</t>
  </si>
  <si>
    <t>Seven Spices ERMG</t>
  </si>
  <si>
    <t>Yiest Dry - Anchor</t>
  </si>
  <si>
    <t>Grape Vinegar</t>
  </si>
  <si>
    <t>Mish - Thyme Prep</t>
  </si>
  <si>
    <t>Mustard Powder Dry</t>
  </si>
  <si>
    <t>Nutmeg Powder</t>
  </si>
  <si>
    <t>Ghost Ranch (PA)</t>
  </si>
  <si>
    <t>Coleslaw Salad Just C (PA)</t>
  </si>
  <si>
    <t>Burger Seasoning (PA)</t>
  </si>
  <si>
    <t>TBL - Kunafa Roasted</t>
  </si>
  <si>
    <t>Cardamom Green Seeds</t>
  </si>
  <si>
    <t>Wheat Gluten</t>
  </si>
  <si>
    <t>Clear Cellophane 10*20</t>
  </si>
  <si>
    <t>Cardamom Powder</t>
  </si>
  <si>
    <t>Vanilla Essence - LTR</t>
  </si>
  <si>
    <t>coriender oil</t>
  </si>
  <si>
    <t>Xanthan Gum</t>
  </si>
  <si>
    <t>Pimento Powder</t>
  </si>
  <si>
    <t>Lemon Juice Ch</t>
  </si>
  <si>
    <t>Corn Seasoning prep</t>
  </si>
  <si>
    <t>Corn Seasoning (PA)</t>
  </si>
  <si>
    <t>Vanilla Powder</t>
  </si>
  <si>
    <t>Nashville Spice (.080 Kg)</t>
  </si>
  <si>
    <t>Custard Powder Yelo</t>
  </si>
  <si>
    <t>MM- Red Radish Holland Prep</t>
  </si>
  <si>
    <t>Jalapeno Hot Sauce</t>
  </si>
  <si>
    <t>BBT Commissary</t>
  </si>
  <si>
    <t>Nashville Oil (PA)</t>
  </si>
  <si>
    <t>Garlic Vinegar</t>
  </si>
  <si>
    <t>Pistachio Powder</t>
  </si>
  <si>
    <t>PP Shrimp Spicy Spice Mix (PA)</t>
  </si>
  <si>
    <t>Black Lemon Whole</t>
  </si>
  <si>
    <t>Coffee Beans</t>
  </si>
  <si>
    <t>PP Shrimp Regular Spice Mix (PA)</t>
  </si>
  <si>
    <t>Cinnamon Powder</t>
  </si>
  <si>
    <t>MM - Long chilly Prep</t>
  </si>
  <si>
    <t>SWiSH Vanilla Flavour</t>
  </si>
  <si>
    <t>Star Anis</t>
  </si>
  <si>
    <t>Rosemary - Dry</t>
  </si>
  <si>
    <t>Lettuce Romain prep (PA)</t>
  </si>
  <si>
    <t>Chilli Oil - Double Pagoda</t>
  </si>
  <si>
    <t>Tabasco Red</t>
  </si>
  <si>
    <t>Turmeric Powder</t>
  </si>
  <si>
    <t>Dry Basil Leaves</t>
  </si>
  <si>
    <t>Nashville Infused Oil</t>
  </si>
  <si>
    <t>Fajita Spice Powder</t>
  </si>
  <si>
    <t>Sliced Red Onion Yelo CMM</t>
  </si>
  <si>
    <t>Caraway Powder</t>
  </si>
  <si>
    <t>Cloves Whole</t>
  </si>
  <si>
    <t>P.P Sugar Glaze</t>
  </si>
  <si>
    <t>Onion Mix for ghost sauce</t>
  </si>
  <si>
    <t>Green Chili Prep</t>
  </si>
  <si>
    <t>Slice Ranch spices Mix</t>
  </si>
  <si>
    <t>Nescafe Coffee</t>
  </si>
  <si>
    <t>Chicken Stock Maggi Cubes</t>
  </si>
  <si>
    <t>Beef Flavoured Stock Powder</t>
  </si>
  <si>
    <t>Balsamic Dressing</t>
  </si>
  <si>
    <t>Chili Extract - Tabel</t>
  </si>
  <si>
    <t>Celery Fresh</t>
  </si>
  <si>
    <t>Rock Salt</t>
  </si>
  <si>
    <t>Dry Parsley Leaves</t>
  </si>
  <si>
    <t>Nashville Spices</t>
  </si>
  <si>
    <t>Rose Water</t>
  </si>
  <si>
    <t>Baking Soda ERMG</t>
  </si>
  <si>
    <t>korean Chili Flakes</t>
  </si>
  <si>
    <t>Cut Parsley CMM</t>
  </si>
  <si>
    <t>Korean Chili Powder - Fine</t>
  </si>
  <si>
    <t>CPU BB BBQ Sauce</t>
  </si>
  <si>
    <t>Pickle Dill Chips AG - JustC</t>
  </si>
  <si>
    <t>Onion Slab BBT (PA)</t>
  </si>
  <si>
    <t>Code</t>
  </si>
  <si>
    <t>ITEM DESCRIPTION</t>
  </si>
  <si>
    <t>BASE UNIT</t>
  </si>
  <si>
    <t>IS ACTIVE</t>
  </si>
  <si>
    <t>Designation</t>
  </si>
  <si>
    <t>SubCAT</t>
  </si>
  <si>
    <t>Current WHS ID</t>
  </si>
  <si>
    <t>ITEM GROUP</t>
  </si>
  <si>
    <t>STORAGE TYPE</t>
  </si>
  <si>
    <t>PURCH UNIT</t>
  </si>
  <si>
    <t>CURRENT STOCK WAC</t>
  </si>
  <si>
    <t>TOTAL WAC MTD</t>
  </si>
  <si>
    <t>LEAD TIME</t>
  </si>
  <si>
    <t>open delivery note</t>
  </si>
  <si>
    <t>TRF OUT Delivered &amp; Declined</t>
  </si>
  <si>
    <t>CURRENT STOCK</t>
  </si>
  <si>
    <t>Actual SOH</t>
  </si>
  <si>
    <t>Last PP</t>
  </si>
  <si>
    <t>Last PD</t>
  </si>
  <si>
    <t>Last TR</t>
  </si>
  <si>
    <t>MIN</t>
  </si>
  <si>
    <t>MAX</t>
  </si>
  <si>
    <t>AVG TRANSFER OUT</t>
  </si>
  <si>
    <t>WEIGHT MIN</t>
  </si>
  <si>
    <t>WEIGHT MAX</t>
  </si>
  <si>
    <t>DAYS TO LAST (DTL)</t>
  </si>
  <si>
    <t>ReqDate</t>
  </si>
  <si>
    <t>ReceinvgDate</t>
  </si>
  <si>
    <t>OOS DATE</t>
  </si>
  <si>
    <t>CURRENT MONTH - MTD TRANSFER</t>
  </si>
  <si>
    <t>MTD XTRAPOL % vs. AVG TRANSFER</t>
  </si>
  <si>
    <t>MTD 
DAYS TO LAST</t>
  </si>
  <si>
    <t>MTD OOS</t>
  </si>
  <si>
    <t>Target Cover</t>
  </si>
  <si>
    <t>SS</t>
  </si>
  <si>
    <t>MinOOS DTL</t>
  </si>
  <si>
    <t>QTY MTD</t>
  </si>
  <si>
    <t>Delivery
Freq</t>
  </si>
  <si>
    <t>PIPELINE PENDNG PO</t>
  </si>
  <si>
    <t>last Supplier Name</t>
  </si>
  <si>
    <t>Status</t>
  </si>
  <si>
    <t>Active</t>
  </si>
  <si>
    <t>CPU, Staff Meal, ERMG CK, FM</t>
  </si>
  <si>
    <t>Spices &amp; Nuts</t>
  </si>
  <si>
    <t>MAIN WAREHOUSE (FDC)</t>
  </si>
  <si>
    <t>H/C -Powder</t>
  </si>
  <si>
    <t>DRY-FOOD</t>
  </si>
  <si>
    <t>No QTY</t>
  </si>
  <si>
    <t>NO Supplier</t>
  </si>
  <si>
    <t>Cottage Cheese Light</t>
  </si>
  <si>
    <t>Swish Bakery</t>
  </si>
  <si>
    <t>FRESH</t>
  </si>
  <si>
    <t>Al MANSOUR WAREHOUSE (PNFDC)</t>
  </si>
  <si>
    <t>Cheese</t>
  </si>
  <si>
    <t>CHILLED FOOD</t>
  </si>
  <si>
    <t>Petra Food Manufacturing Co , Kuwait Dairy Company KDCow</t>
  </si>
  <si>
    <t>Garbage Bag Clear 90X120</t>
  </si>
  <si>
    <t>To Be Deactivated</t>
  </si>
  <si>
    <t>MM, Tabel</t>
  </si>
  <si>
    <t>CON</t>
  </si>
  <si>
    <t>Warehouse  Common  Al Mansour</t>
  </si>
  <si>
    <t>Kit/Consumable</t>
  </si>
  <si>
    <t>DRY-NON FOOD</t>
  </si>
  <si>
    <t/>
  </si>
  <si>
    <t>NoNeed</t>
  </si>
  <si>
    <t>Mountain Dew Can 150 ML</t>
  </si>
  <si>
    <t>BBT</t>
  </si>
  <si>
    <t>BEV</t>
  </si>
  <si>
    <t>Carbonated Cans</t>
  </si>
  <si>
    <t>CTN 30 PCS</t>
  </si>
  <si>
    <t>Tissue Toilet Roll</t>
  </si>
  <si>
    <t>HO</t>
  </si>
  <si>
    <t>CLN</t>
  </si>
  <si>
    <t>Dust Pan With Brush Small</t>
  </si>
  <si>
    <t>Tabel, CPU, MM, ERMG CK</t>
  </si>
  <si>
    <t>Cleaning Tools</t>
  </si>
  <si>
    <t>Highlightner Yellow</t>
  </si>
  <si>
    <t>BBT, PP, Yelo, Slice, Just C , CPU, Shakir</t>
  </si>
  <si>
    <t>STA</t>
  </si>
  <si>
    <t>Stationary</t>
  </si>
  <si>
    <t>Aluminum Foil 45 Cm</t>
  </si>
  <si>
    <t>FM, CPU, Staff Meal, Chili</t>
  </si>
  <si>
    <t>T-Shirt Polo H/S Purple - Mishmash</t>
  </si>
  <si>
    <t>MM</t>
  </si>
  <si>
    <t>UNI</t>
  </si>
  <si>
    <t>Uniform</t>
  </si>
  <si>
    <t>OnDemand</t>
  </si>
  <si>
    <t xml:space="preserve">BBT, Slice, Chili, Shakir, pp, Just C </t>
  </si>
  <si>
    <t>T-Shirt Round Neck JustC</t>
  </si>
  <si>
    <t xml:space="preserve">BBT, Just C </t>
  </si>
  <si>
    <t>Sticker Sealing Foam Box Shakir 3*6 CM</t>
  </si>
  <si>
    <t>Shakir</t>
  </si>
  <si>
    <t>PAK</t>
  </si>
  <si>
    <t>Sticker</t>
  </si>
  <si>
    <t>New</t>
  </si>
  <si>
    <t>T-Shirt RN RED EMB HS Shakir Back of the house</t>
  </si>
  <si>
    <t>Red Baggy Pants For Shakir Back of the house</t>
  </si>
  <si>
    <t>SWiSH Mayonnaise</t>
  </si>
  <si>
    <t>Just C , CPU, BBT, ERMG CK, LB, R&amp;D</t>
  </si>
  <si>
    <t>Oils &amp; Sauces</t>
  </si>
  <si>
    <t>Sauce</t>
  </si>
  <si>
    <t>CTN 4 Galon 3.78 Liter</t>
  </si>
  <si>
    <t>Shirt white Full Sleeve Shakir</t>
  </si>
  <si>
    <t>Non-Moving</t>
  </si>
  <si>
    <t>Bag Vacuum 20x30 Cm ERMG</t>
  </si>
  <si>
    <t>CPU, ERMG CK</t>
  </si>
  <si>
    <t>Warehouse  ERMG-Mishmash</t>
  </si>
  <si>
    <t>Plastic Bags</t>
  </si>
  <si>
    <t xml:space="preserve">T-Shirt POLO Half Sleeve Black JustC </t>
  </si>
  <si>
    <t>Warehouse Ardiya</t>
  </si>
  <si>
    <t xml:space="preserve">T-Shirt Polo H/S Oily Maintenance Swish </t>
  </si>
  <si>
    <t>Stores office</t>
  </si>
  <si>
    <t>Voda Voda Glass Bottle 330 Ml</t>
  </si>
  <si>
    <t>FM</t>
  </si>
  <si>
    <t>Warehouse FM</t>
  </si>
  <si>
    <t>Mineral Water</t>
  </si>
  <si>
    <t>Packet 12 pcs</t>
  </si>
  <si>
    <t>FM Sticker for Bag Seal 5.1x11cm Matafi</t>
  </si>
  <si>
    <t>Warehouse ETC Al Mansour</t>
  </si>
  <si>
    <t>Glass Cleaner</t>
  </si>
  <si>
    <t>Yelo, Slice, pp, Shakir, CPU, BBT, HO, Chili, Stores office</t>
  </si>
  <si>
    <t>Cleaning Material</t>
  </si>
  <si>
    <t>CTN 6 pcs</t>
  </si>
  <si>
    <t>Oven Cleaner Suma D 96</t>
  </si>
  <si>
    <t>FM, Shakir, pp, CPU, Yelo, BBT, Slice, Chili</t>
  </si>
  <si>
    <t>CTN 2 Galon 5 Liter</t>
  </si>
  <si>
    <t>FM Stk Frzn Sambosa Cheese Jalp Back 12*12</t>
  </si>
  <si>
    <t>Slow-Moving</t>
  </si>
  <si>
    <t>Chef Coat - Tabel</t>
  </si>
  <si>
    <t>Tabel</t>
  </si>
  <si>
    <t>Design Stores</t>
  </si>
  <si>
    <t>BBT Steward Black Pants</t>
  </si>
  <si>
    <t>Warehouse  Non Moving items</t>
  </si>
  <si>
    <t>Bag Plastic White HD - Shakir 70h*45w</t>
  </si>
  <si>
    <t>T-Shirt Polo H/S Grey -Swish</t>
  </si>
  <si>
    <t>HO, Stores office</t>
  </si>
  <si>
    <t>T-Shirt Round Neck Black F/S - BBT Plain</t>
  </si>
  <si>
    <t>White Shirt EMB Shakir-Managers</t>
  </si>
  <si>
    <t>FM Stk Frzn Sambosa CHKN Musakan Back 12*12</t>
  </si>
  <si>
    <t>Jeans</t>
  </si>
  <si>
    <t>FM Stk Frzn Sambosa Seasoned Beef Back 12*12</t>
  </si>
  <si>
    <t>FM Stk Frzn Sambosa Cheese Jalp Front 25*15</t>
  </si>
  <si>
    <t>FM Stk Frzn Sambosa CHKN Musakan Front 25*15</t>
  </si>
  <si>
    <t>FM Stk Frzn Sambosa Seasoned Beef Front 25*15</t>
  </si>
  <si>
    <t>Pants Black Shakir - Managers</t>
  </si>
  <si>
    <t>Shirt white Half Sleeve Shakir</t>
  </si>
  <si>
    <t>Sticker Bag Sealing Shakir &amp; BBT</t>
  </si>
  <si>
    <t>Shakir, BBT</t>
  </si>
  <si>
    <t>Sticker Sweet Corn Nuggets BBT 3.5 CM</t>
  </si>
  <si>
    <t>T-Shirt Polo H/S Red Tabel</t>
  </si>
  <si>
    <t xml:space="preserve">FM Sleeve Sando  46 x 7cm </t>
  </si>
  <si>
    <t>Sleeve</t>
  </si>
  <si>
    <t>Squeegee Replacement Rubber Blade</t>
  </si>
  <si>
    <t>Apron Beige Full with Logo Tabel</t>
  </si>
  <si>
    <t>T-Shirt Polo Red - BBT</t>
  </si>
  <si>
    <t>Winter Jacket Navy - Maintenance</t>
  </si>
  <si>
    <t>Maint</t>
  </si>
  <si>
    <t>Printed Foils</t>
  </si>
  <si>
    <t>CTN 20 Packet 70 PCS</t>
  </si>
  <si>
    <t>T-Shirt Polo White - BBT</t>
  </si>
  <si>
    <t>CPU</t>
  </si>
  <si>
    <t>Packet 1000 PCS</t>
  </si>
  <si>
    <t xml:space="preserve">Sandwich Sleeve Shakir Chicken Arabi 29*7*4 CM </t>
  </si>
  <si>
    <t xml:space="preserve">Tabel Check list Sticker 4 x 6cm  </t>
  </si>
  <si>
    <t>Sticker FM Dreamy Peanut Butter 10.7*5.5 CM</t>
  </si>
  <si>
    <t>Mishmash Check list Sticker 4 x 6cm</t>
  </si>
  <si>
    <t>Sticker Mishmash New 4.5 CM</t>
  </si>
  <si>
    <t>BBT Black Basic Cap</t>
  </si>
  <si>
    <t>Teflon Sheet 10mm - 30cm*10mtr</t>
  </si>
  <si>
    <t xml:space="preserve">Suma D12 </t>
  </si>
  <si>
    <t>BBT, Chili, pp, Shakir, Slice, CPU, Just C , HO, LB</t>
  </si>
  <si>
    <t>Galon 5 Liter</t>
  </si>
  <si>
    <t>T-Shirt Chili Pepper Round Neck</t>
  </si>
  <si>
    <t>Chili</t>
  </si>
  <si>
    <t>T-Shirt Round Neck Red H/S - BBT</t>
  </si>
  <si>
    <t>Toner Black  Konica Minolta C360I</t>
  </si>
  <si>
    <t>Toner Cyan  Konica Minolta C360I</t>
  </si>
  <si>
    <t>Toner Magenta Konica Minolta C360I</t>
  </si>
  <si>
    <t>Toner Yellow  Konica Minolta C360I</t>
  </si>
  <si>
    <t>Frozen Raspberry</t>
  </si>
  <si>
    <t>FRZ FOD</t>
  </si>
  <si>
    <t>Frozen Fruits</t>
  </si>
  <si>
    <t>FROZEN FOOD</t>
  </si>
  <si>
    <t>CTN 12 Packet 600 gm</t>
  </si>
  <si>
    <t>Dough Cloth 40*60 cm</t>
  </si>
  <si>
    <t>Mishmash Manager Mouve Shirt</t>
  </si>
  <si>
    <t>Tabel Towelette Wipes</t>
  </si>
  <si>
    <t>Napkin</t>
  </si>
  <si>
    <t>Black Cap with Logo FM</t>
  </si>
  <si>
    <t>Spinach &amp; chesse 11 INCH (PA)</t>
  </si>
  <si>
    <t>Yelo COOP</t>
  </si>
  <si>
    <t>YCOOP</t>
  </si>
  <si>
    <t>Semi Finished</t>
  </si>
  <si>
    <t>Sticker Sealing Foam Box BBT 3*6 CM</t>
  </si>
  <si>
    <t>Foam Container LB2/3 Printed Shakir&amp;BBT</t>
  </si>
  <si>
    <t>BBt, Shakir</t>
  </si>
  <si>
    <t>Container</t>
  </si>
  <si>
    <t>Envelope A4 - Swish</t>
  </si>
  <si>
    <t>Sealing Tape Dispenser - sh</t>
  </si>
  <si>
    <t>Lab Coat - CPU</t>
  </si>
  <si>
    <t>Sticker FM Whimsical Kinder10.7*5.5 CM</t>
  </si>
  <si>
    <t>Sticker FMFantastic Lotus 10.7*5.5 CM</t>
  </si>
  <si>
    <t>Cover All Marron - PP</t>
  </si>
  <si>
    <t>pp</t>
  </si>
  <si>
    <t>Red Caps Shakir With Logo</t>
  </si>
  <si>
    <t xml:space="preserve">Red Cap For BBT </t>
  </si>
  <si>
    <t>Bag W/ Handle Shakir 32x32x17</t>
  </si>
  <si>
    <t>Paper Bags</t>
  </si>
  <si>
    <t>Yelo, Tabel, pp, Slice, MM, BBT, CPU, Chili, Stores office, FM, Staff Meal, Shakir, LB, HO</t>
  </si>
  <si>
    <t>CTN 24 PCS</t>
  </si>
  <si>
    <t>United Beverages Company K.S.C.C. / PEPSI, Refreshment Trading Co.</t>
  </si>
  <si>
    <t>T-Shirt Polo H/S Green - Swish</t>
  </si>
  <si>
    <t>Stores office, HO</t>
  </si>
  <si>
    <t>Mohamed Taissir Abdou / Altayseer</t>
  </si>
  <si>
    <t>FM - Nuggets -Giant WH (PA)</t>
  </si>
  <si>
    <t>FMCOOP</t>
  </si>
  <si>
    <t>Tabel Kitchen Pant</t>
  </si>
  <si>
    <t>Super Slow-Moving</t>
  </si>
  <si>
    <t>FM - Air Baked Fries WH (PA)</t>
  </si>
  <si>
    <t xml:space="preserve">T-Shirt Polo H/S Red Shakir </t>
  </si>
  <si>
    <t>FM - Fwister tender WH (PA)</t>
  </si>
  <si>
    <t>Yelo, pp, Just C , BBT, Slice, Shakir, Chili, CPU</t>
  </si>
  <si>
    <t>Refreshment Trading Co.</t>
  </si>
  <si>
    <t xml:space="preserve">Yelo Yellow cap </t>
  </si>
  <si>
    <t>Yelo</t>
  </si>
  <si>
    <t>Black Trouser CPU</t>
  </si>
  <si>
    <t>Sticker for World Cup BBT 3.5 cm LTO</t>
  </si>
  <si>
    <t>Yelo, pp, BBT, Slice, Chili, Just C , Shakir, CPU</t>
  </si>
  <si>
    <t>United Beverages Company K.S.C.C. / PEPSI</t>
  </si>
  <si>
    <t>Chef Jacket with Logo CPU</t>
  </si>
  <si>
    <t>T-shirt Polo White Shakir Em - Cashier</t>
  </si>
  <si>
    <t>Alsi Cola Zero 250ML</t>
  </si>
  <si>
    <t>Tabel, MM, HO, R&amp;D</t>
  </si>
  <si>
    <t>Mishmash Long Apron</t>
  </si>
  <si>
    <t>T-shirt Round Neck Red Shakir Em - BOH</t>
  </si>
  <si>
    <t>Shakir Paper Sleeve 10 × 72 cm LTO</t>
  </si>
  <si>
    <t>Sleeve for Chicken Bucket Shakir LTO</t>
  </si>
  <si>
    <t>Mishmash Carrier Cup - Corrugated</t>
  </si>
  <si>
    <t>Box</t>
  </si>
  <si>
    <t>FM - Nuggets - Keto WH (PA)</t>
  </si>
  <si>
    <t>OUTD</t>
  </si>
  <si>
    <t>Yelo, FM, Slice, HO, Just C , Shakir, BBT, pp</t>
  </si>
  <si>
    <t>Kinza Lift Up</t>
  </si>
  <si>
    <t>Slice, Shakir, pp</t>
  </si>
  <si>
    <t>Salt &amp; Vineger Flavor Powder</t>
  </si>
  <si>
    <t>Packet 25 KG</t>
  </si>
  <si>
    <t>Alsi Cola 250ML</t>
  </si>
  <si>
    <t>Tabel, MM</t>
  </si>
  <si>
    <t>Dry Oregano ERMG</t>
  </si>
  <si>
    <t>MM, CPU, ERMG CK</t>
  </si>
  <si>
    <t>H/C -Whole</t>
  </si>
  <si>
    <t>CTN 12 PCS</t>
  </si>
  <si>
    <t>Yelo, FM, pp, BBT, R&amp;D, HO</t>
  </si>
  <si>
    <t>FM - Popcorn Chicken Nuggets WH (PA)</t>
  </si>
  <si>
    <t>Yelo, pp, Slice, BBT, Just C , Shakir, Chili, R&amp;D</t>
  </si>
  <si>
    <t>Mountain Dew Bottle 500 ML</t>
  </si>
  <si>
    <t>Sticker Tabel New 4.5 CM</t>
  </si>
  <si>
    <t>Royal Sign Gen. Trad. &amp;Cont. Co.</t>
  </si>
  <si>
    <t>Mountain Dew Can 330 ML</t>
  </si>
  <si>
    <t>Cheese Emmental Slice</t>
  </si>
  <si>
    <t>CPU, FM</t>
  </si>
  <si>
    <t>CHILLED FOD</t>
  </si>
  <si>
    <t>Petty Cash FM Boula</t>
  </si>
  <si>
    <t>7 Up Can 330 ML</t>
  </si>
  <si>
    <t>Mirinda Orange Can 330 ML</t>
  </si>
  <si>
    <t>Tabasco Green</t>
  </si>
  <si>
    <t>Parmesan Cheese ERMG</t>
  </si>
  <si>
    <t>Spaghettini No.11</t>
  </si>
  <si>
    <t>FOD</t>
  </si>
  <si>
    <t>Pasta</t>
  </si>
  <si>
    <t>Safety Shoes</t>
  </si>
  <si>
    <t>Apron White Full with Logo FM</t>
  </si>
  <si>
    <t>Black Baggy Pants FM</t>
  </si>
  <si>
    <t>FM, R&amp;D</t>
  </si>
  <si>
    <t>Chef Jacket White With Logo FM</t>
  </si>
  <si>
    <t>Cheese Yellow Cheddar Block</t>
  </si>
  <si>
    <t xml:space="preserve">CPU, FM, Just C </t>
  </si>
  <si>
    <t>Alyasra</t>
  </si>
  <si>
    <t>Juice Can</t>
  </si>
  <si>
    <t>CTN 4 Packet 10 pcs</t>
  </si>
  <si>
    <t>Pizza Box 24 FM</t>
  </si>
  <si>
    <t>Tagliatelle No. 203</t>
  </si>
  <si>
    <t>Cayenne Red Chilli Powder ERMG</t>
  </si>
  <si>
    <t>Dar Aljoud Company</t>
  </si>
  <si>
    <t>Sumac Powder for Shakir</t>
  </si>
  <si>
    <t>Shakir, CPU, R&amp;D, FM</t>
  </si>
  <si>
    <t>Packet 1 KG</t>
  </si>
  <si>
    <t>Petty Cash</t>
  </si>
  <si>
    <t>Seeds/Nuts</t>
  </si>
  <si>
    <t>Aji-No-Moto</t>
  </si>
  <si>
    <t>CPU, ERMG CK, R&amp;D</t>
  </si>
  <si>
    <t>CTN 40 Packet 500 GM</t>
  </si>
  <si>
    <t>Tortilla 12" Shakir</t>
  </si>
  <si>
    <t>Fresh Bread</t>
  </si>
  <si>
    <t>Tomato Peeled - Lojy</t>
  </si>
  <si>
    <t>Canned Veg</t>
  </si>
  <si>
    <t>BBT, R&amp;D, MM</t>
  </si>
  <si>
    <t>Frozen Bread</t>
  </si>
  <si>
    <t>Packet 5 pcs</t>
  </si>
  <si>
    <t>Recipe for Readymade Food Co.</t>
  </si>
  <si>
    <t>Red Wine Lussory - Non Alcoholic</t>
  </si>
  <si>
    <t>Apple Vinegar ERMG</t>
  </si>
  <si>
    <t>CTN 12 Bottle 1 LTR</t>
  </si>
  <si>
    <t>Canned FOD</t>
  </si>
  <si>
    <t>CTN 6 Tin 2.5 KG</t>
  </si>
  <si>
    <t>Bakery Commponands</t>
  </si>
  <si>
    <t>Packet 15 KG</t>
  </si>
  <si>
    <t>ERMG CK</t>
  </si>
  <si>
    <t>Galon 3.78 Liter</t>
  </si>
  <si>
    <t>Coconut Milk - Sh</t>
  </si>
  <si>
    <t>CTN 24 Bottle 400 ml</t>
  </si>
  <si>
    <t>Sumac Powder</t>
  </si>
  <si>
    <t>FM, MM, CPU</t>
  </si>
  <si>
    <t>Warehouse Yelo Al Mansour</t>
  </si>
  <si>
    <t>CTN 12 Packet 226.79 GM</t>
  </si>
  <si>
    <t>Kuwait Agriculture Co.W.L.L</t>
  </si>
  <si>
    <t>Davinci Lemonade Syrup</t>
  </si>
  <si>
    <t>Carbonated Machine</t>
  </si>
  <si>
    <t>Apron Full Chili Pepper</t>
  </si>
  <si>
    <t>Coconut Milk - FM</t>
  </si>
  <si>
    <t>Davinci Raspberry Syrup</t>
  </si>
  <si>
    <t>Box Plain Carton For Premix 40.5x30x20.5cm</t>
  </si>
  <si>
    <t>Mayonnaise Tiffany</t>
  </si>
  <si>
    <t>White Shirt Shakir Em - Manages</t>
  </si>
  <si>
    <t>Blue Coverall Steward Uniform - CK</t>
  </si>
  <si>
    <t>Tabel Full Apron</t>
  </si>
  <si>
    <t>Pullover Long Sleeves</t>
  </si>
  <si>
    <t>Cover All Red - BBT</t>
  </si>
  <si>
    <t>Mini Shawarma Box Shaker - KBC217868</t>
  </si>
  <si>
    <t>Just C Dredge Spice Mix  (PA)</t>
  </si>
  <si>
    <t>Just C</t>
  </si>
  <si>
    <t>Plate Paper 7"</t>
  </si>
  <si>
    <t>Paper Plate</t>
  </si>
  <si>
    <t>Packet 100 pcs</t>
  </si>
  <si>
    <t>Mango Frozen</t>
  </si>
  <si>
    <t>CTN 4 Galon 4 KG</t>
  </si>
  <si>
    <t>Royal Joint / Anwar Kaifan</t>
  </si>
  <si>
    <t>CTN 80 PCS</t>
  </si>
  <si>
    <t>Kuwait Flour Mills &amp; Bakeries Co. / CASH</t>
  </si>
  <si>
    <t>Custard Powder</t>
  </si>
  <si>
    <t>Pepsi Cola Zero Bottle</t>
  </si>
  <si>
    <t>Chili, LB, BBT</t>
  </si>
  <si>
    <t>Carbonated Bottles</t>
  </si>
  <si>
    <t>Vanilla Flavour ERMG</t>
  </si>
  <si>
    <t>Red Kidney Beans ERMG</t>
  </si>
  <si>
    <t>CPU, Tabel, ERMG CK, MM</t>
  </si>
  <si>
    <t>Pickled Whole Cucumber AG</t>
  </si>
  <si>
    <t>CTN 6 Bottle 1.04 KG</t>
  </si>
  <si>
    <t>Ketchup Bulk ERMG</t>
  </si>
  <si>
    <t>MM, ERMG CK</t>
  </si>
  <si>
    <t>Roasted Eggplant ERMG</t>
  </si>
  <si>
    <t>Chat Masala</t>
  </si>
  <si>
    <t>Tandoori Masala - Spices</t>
  </si>
  <si>
    <t>Gram Flour</t>
  </si>
  <si>
    <t>Slice</t>
  </si>
  <si>
    <t>RICE &amp; FLOUR</t>
  </si>
  <si>
    <t>Flour</t>
  </si>
  <si>
    <t>CTN 12 Packet 1 KG</t>
  </si>
  <si>
    <t>Frozen Mushroom</t>
  </si>
  <si>
    <t>Frozen Veg</t>
  </si>
  <si>
    <t>Cheese Yellow Cheddar Block ERMG</t>
  </si>
  <si>
    <t xml:space="preserve">Kasuri Methi </t>
  </si>
  <si>
    <t>CTN 10 Packet 25 GM</t>
  </si>
  <si>
    <t>liquid Aminos</t>
  </si>
  <si>
    <t>Galon 3.79 Liter</t>
  </si>
  <si>
    <t>Potato Fries Cube</t>
  </si>
  <si>
    <t>Egg Yolk Frozen</t>
  </si>
  <si>
    <t>Egg</t>
  </si>
  <si>
    <t>CPU, Shakir Bakery</t>
  </si>
  <si>
    <t>Bakery</t>
  </si>
  <si>
    <t>CTN 20 Packet 500 GM</t>
  </si>
  <si>
    <t>White Polo T Shirt FM with Logo and Name</t>
  </si>
  <si>
    <t>Metal Fridge Magnet</t>
  </si>
  <si>
    <t>Merchandise</t>
  </si>
  <si>
    <t>MKT</t>
  </si>
  <si>
    <t>Metal bottle opener</t>
  </si>
  <si>
    <t>Pattie Pattie Keychain</t>
  </si>
  <si>
    <t>PP</t>
  </si>
  <si>
    <t xml:space="preserve">T-Shirt Polo H/S White Yelo Logo </t>
  </si>
  <si>
    <t>Register Book A4 Long</t>
  </si>
  <si>
    <t>Videojet Ink V411D</t>
  </si>
  <si>
    <t>Cartridge</t>
  </si>
  <si>
    <t>Cheese Sambosa</t>
  </si>
  <si>
    <t>Seasonal</t>
  </si>
  <si>
    <t>Mais Al Sham for Food Supply</t>
  </si>
  <si>
    <t>Mix Vegetables Frozen</t>
  </si>
  <si>
    <t>Staff Meal</t>
  </si>
  <si>
    <t>CTN 4 Packet 2.5 KG</t>
  </si>
  <si>
    <t>Paper Clips Big</t>
  </si>
  <si>
    <t>Beef Sambosa</t>
  </si>
  <si>
    <t>Chicken Sambosa</t>
  </si>
  <si>
    <t>Egg White Frozen</t>
  </si>
  <si>
    <t>CPU, LB, ERMG CK, FM</t>
  </si>
  <si>
    <t>Sweet Corn ERMG</t>
  </si>
  <si>
    <t>To be deactivated</t>
  </si>
  <si>
    <t>French Dressing Heinz</t>
  </si>
  <si>
    <t>CTN 12 Bottle 400 ML</t>
  </si>
  <si>
    <t>Black T Shirt Polo F/S with Logo FM</t>
  </si>
  <si>
    <t>Chewing Gum</t>
  </si>
  <si>
    <t>CTN 24 Packet 100 PCS</t>
  </si>
  <si>
    <t>Chef International Company</t>
  </si>
  <si>
    <t xml:space="preserve">Butterfly Shrimp </t>
  </si>
  <si>
    <t>Shrimp</t>
  </si>
  <si>
    <t>CTN 40 Packet 8 Pcs</t>
  </si>
  <si>
    <t>T-Shirt Polo H/S Black Swish</t>
  </si>
  <si>
    <t>Paper Cup 24 oz Soda World Cup BBT</t>
  </si>
  <si>
    <t>Paper Cup</t>
  </si>
  <si>
    <t>Paper Sleeve for World Cup BBT 8.5 × 44 cm LTO</t>
  </si>
  <si>
    <t>Chicken Frozen</t>
  </si>
  <si>
    <t>Corn Starch - Honig Maizamil</t>
  </si>
  <si>
    <t>CTN 18 Packet 400 GM</t>
  </si>
  <si>
    <t>Bandaid - Blue</t>
  </si>
  <si>
    <t>BBT, pp, FM, CPU, Slice, Shakir</t>
  </si>
  <si>
    <t>Online Kit/Consumable</t>
  </si>
  <si>
    <t xml:space="preserve">Sticker Shakir Medium Platter 7*3 cm </t>
  </si>
  <si>
    <t>Beef Soudjouk Fresh</t>
  </si>
  <si>
    <t>Beef Chilled</t>
  </si>
  <si>
    <t>Pepsi Cola Zero Can 330 ML</t>
  </si>
  <si>
    <t>BBT, FM, LB, R&amp;D</t>
  </si>
  <si>
    <t>CTN 96 Pcs</t>
  </si>
  <si>
    <t>Chlorine Release Tablets</t>
  </si>
  <si>
    <t>FM Fries Box 10x11x4.5 CM</t>
  </si>
  <si>
    <t>Butter Sheet Elle&amp;Vire - Croissant</t>
  </si>
  <si>
    <t>R&amp;D</t>
  </si>
  <si>
    <t>Butter</t>
  </si>
  <si>
    <t>CTN 10 Packet 1 KG</t>
  </si>
  <si>
    <t>Stix Potato Sticks Lightly Salted</t>
  </si>
  <si>
    <t>Dry FOD</t>
  </si>
  <si>
    <t>Dry Veg</t>
  </si>
  <si>
    <t>CTN 2.16 Kilogram</t>
  </si>
  <si>
    <t>Oil</t>
  </si>
  <si>
    <t>Galon 17.30 Liter</t>
  </si>
  <si>
    <t>Yelo, Slice, FM, Just C , HO, BBT, Chili, Shakir, CPU, R&amp;D</t>
  </si>
  <si>
    <t>Yelo, pp, Slice, BBT, Just C , Shakir</t>
  </si>
  <si>
    <t>BBT,R&amp;D</t>
  </si>
  <si>
    <t>Beef Sausage</t>
  </si>
  <si>
    <t>FM, MM</t>
  </si>
  <si>
    <t>Frozen Lamb</t>
  </si>
  <si>
    <t>Squeeze Bottle 40Ml</t>
  </si>
  <si>
    <t>Nile National Company</t>
  </si>
  <si>
    <t>Filter Powder Frymaster 8030002</t>
  </si>
  <si>
    <t>CTN 80 Pcs</t>
  </si>
  <si>
    <t>Cheddar Cheese Sauce</t>
  </si>
  <si>
    <t>Aluminum Sheet Shakir &amp; BBT35*35</t>
  </si>
  <si>
    <t>Wrap/Sheet</t>
  </si>
  <si>
    <t>Hot Dog</t>
  </si>
  <si>
    <t>Beef Frozen</t>
  </si>
  <si>
    <t>Mr. Cleavers</t>
  </si>
  <si>
    <t xml:space="preserve">Sticker Shakir Broasted Family 7*3 cm </t>
  </si>
  <si>
    <t>FM Pizza Linar 23x23 KBC223525</t>
  </si>
  <si>
    <t>Wrapping Sheet Lebanese Chicken Shakir 24 X 24</t>
  </si>
  <si>
    <t>Bag W/O Handle Lebanese Shakir 20x7x12</t>
  </si>
  <si>
    <t>Skimmed Milk KDD</t>
  </si>
  <si>
    <t>Milk</t>
  </si>
  <si>
    <t>Paper Napkin Printed BBT 33x33</t>
  </si>
  <si>
    <t>CTN 4000 PCS</t>
  </si>
  <si>
    <t>Evoodly for General Trading Company</t>
  </si>
  <si>
    <t>xxxx Greek Yoghurt xxxx</t>
  </si>
  <si>
    <t>Yoghurt</t>
  </si>
  <si>
    <t>CTN 48 Packet 150 GM</t>
  </si>
  <si>
    <t>Box And Bag Paper Factory</t>
  </si>
  <si>
    <t>Tabel Mini Shawarma Pouch 12×7×4 cm</t>
  </si>
  <si>
    <t>Leen Pack For Bags Industry Co</t>
  </si>
  <si>
    <t>Refined Peanut Oil</t>
  </si>
  <si>
    <t>Just C , CPU, LB, pp, BBT</t>
  </si>
  <si>
    <t>Sterikem Oven Cleaner K3</t>
  </si>
  <si>
    <t>Tabel, MM, Stores office</t>
  </si>
  <si>
    <t>CTN 4 Galon 5 Liter</t>
  </si>
  <si>
    <t>Kuwait Hygiene Co. for Gen. Trad.</t>
  </si>
  <si>
    <t>Kinza Cola 360ML</t>
  </si>
  <si>
    <t>Bottle 150 ML</t>
  </si>
  <si>
    <t>CPU, Shakir Bakery, Yelo</t>
  </si>
  <si>
    <t>Elite Food Group Co.</t>
  </si>
  <si>
    <t>CPU, Yelo, FM, Shakir Bakery</t>
  </si>
  <si>
    <t>CTN 4 Bottle 2 LTR</t>
  </si>
  <si>
    <t>Al Herz Group General Trading &amp; Cont. Co., Gulf Trading Co.</t>
  </si>
  <si>
    <t>FM Paper Bag With Handle 27x25x12</t>
  </si>
  <si>
    <t>Tabel, R&amp;D</t>
  </si>
  <si>
    <t>Sugarcane Bowl 8oz w/lid</t>
  </si>
  <si>
    <t>National Medical Consumable Industries Co.</t>
  </si>
  <si>
    <t>Bar Code Label 50x75mm - 1000 unit</t>
  </si>
  <si>
    <t>Roll 1000 Unit</t>
  </si>
  <si>
    <t>BBT, Chili, Slice, Shakir, pp, Just C , LB</t>
  </si>
  <si>
    <t>Shakir, CPU, Swish Bakery, Shakir Bakery</t>
  </si>
  <si>
    <t>Bag 50 kg</t>
  </si>
  <si>
    <t>Alsaifeen Trading Company, First Trading Company</t>
  </si>
  <si>
    <t xml:space="preserve">Yelo, PP, BBT, Slice, Chili, Shakir, Just C </t>
  </si>
  <si>
    <t xml:space="preserve">FM, MM, Just C </t>
  </si>
  <si>
    <t>Box 12 Crate 30 pcs</t>
  </si>
  <si>
    <t>Friends Vegetables</t>
  </si>
  <si>
    <t>Tea Bags - Anis Flavor</t>
  </si>
  <si>
    <t>Hospitality</t>
  </si>
  <si>
    <t>Packet 20 pcs</t>
  </si>
  <si>
    <t>Fine Wheat Bran</t>
  </si>
  <si>
    <t>Swish Bakery, Shakir, Shakir Bakery</t>
  </si>
  <si>
    <t>Bag 25 kg</t>
  </si>
  <si>
    <t>Frozen 4 Berry Mix</t>
  </si>
  <si>
    <t>Packet 600 gm</t>
  </si>
  <si>
    <t>Teflon sheet for Bun Toaster Black - (7000111)</t>
  </si>
  <si>
    <t>pp, MM, BBT, Yelo, FM, Chili</t>
  </si>
  <si>
    <t>Hp 230 A Cartridge Majenta</t>
  </si>
  <si>
    <t>Hp 230 A Cartridge Yellow</t>
  </si>
  <si>
    <t>Pizza Box Frozen Margherita 11 inch</t>
  </si>
  <si>
    <t>Yelo Factory</t>
  </si>
  <si>
    <t>Sultan Printing Industries Co. W.L.L.</t>
  </si>
  <si>
    <t>Snaxx Peanut &amp; Chocolate</t>
  </si>
  <si>
    <t>Hp 230 A Cartridge Cyan</t>
  </si>
  <si>
    <t>Lint Roller</t>
  </si>
  <si>
    <t>Snaxx Hazelnut &amp; Chocolate</t>
  </si>
  <si>
    <t xml:space="preserve">Snaxx Coconut &amp; Chocolate  </t>
  </si>
  <si>
    <t>Tortilla 5" Flour</t>
  </si>
  <si>
    <t>FM, MM, R&amp;D</t>
  </si>
  <si>
    <t>Pants Red BBT</t>
  </si>
  <si>
    <t>CPU, Shakir, Staff Meal</t>
  </si>
  <si>
    <t>Packet 2 KG</t>
  </si>
  <si>
    <t>Wrapping Sheet Aluminium Suuuper BBT 35X35</t>
  </si>
  <si>
    <t>SWiSH Sunflower Oil</t>
  </si>
  <si>
    <t>Slice, Shakir, pp, MM, BBT, Chili, R&amp;D, CPU</t>
  </si>
  <si>
    <t>CTN 2 Galon 10 Liter</t>
  </si>
  <si>
    <t>BBT, R&amp;D</t>
  </si>
  <si>
    <t>Al Wazzan Food Industries Group</t>
  </si>
  <si>
    <t>CPU, Shakir, Shakir Bakery</t>
  </si>
  <si>
    <t>Massad Company.</t>
  </si>
  <si>
    <t>T-Shirt Round Neck White F/S - BBT</t>
  </si>
  <si>
    <t>CTN 5 Packet 2 KG</t>
  </si>
  <si>
    <t>Paper Cup 12oz W/lid Milkshake</t>
  </si>
  <si>
    <t>Pack Co.</t>
  </si>
  <si>
    <t>Grill Cleaner Hi-temp. Suma D9.8</t>
  </si>
  <si>
    <t>pp, BBT, CPU, Chili, Just C , R&amp;D</t>
  </si>
  <si>
    <t>CTN 6 Bottle 750 ml</t>
  </si>
  <si>
    <t>Diversy / Al Rashed Intl. Shipping Co.</t>
  </si>
  <si>
    <t>Ketchup Sachet Heinz</t>
  </si>
  <si>
    <t>Plastic Foil</t>
  </si>
  <si>
    <t>Baggy Pants</t>
  </si>
  <si>
    <t>MM, Stores office</t>
  </si>
  <si>
    <t>Teflon Sheet 30cm x 2.4 mtr - Brown</t>
  </si>
  <si>
    <t>BBT, pp</t>
  </si>
  <si>
    <t>Garlic Powder Bayara</t>
  </si>
  <si>
    <t>Capers</t>
  </si>
  <si>
    <t>CPU, ERMG CK, FM</t>
  </si>
  <si>
    <t>Bottle 350 GM</t>
  </si>
  <si>
    <t>CTN 1000 PCS</t>
  </si>
  <si>
    <t>Bag W/ Handle Chili Pepper 34X30X18</t>
  </si>
  <si>
    <t>FM, Yelo Factory, CPU, Shakir Bakery</t>
  </si>
  <si>
    <t>CTN 8 Packet 2.27 KG</t>
  </si>
  <si>
    <t>Farmland General Trading Co. Wll</t>
  </si>
  <si>
    <t>Pepsi Cola can 330 ML</t>
  </si>
  <si>
    <t>White Paper Bucket Plain With Lid 170 OZ-Shakir</t>
  </si>
  <si>
    <t>Star Pack Wholesale Plastic &amp; Paper Prod. Co.</t>
  </si>
  <si>
    <t xml:space="preserve">Sandwich Sleeve Shakir Beef Arabi 29*7*4 CM </t>
  </si>
  <si>
    <t>BBT, Shakir, Chili, Slice, pp, Just C , LB</t>
  </si>
  <si>
    <t>Laban Low Fat</t>
  </si>
  <si>
    <t>CTN 10 Packet 2 Liter</t>
  </si>
  <si>
    <t>Packet 500 GM</t>
  </si>
  <si>
    <t>Aurora Foodstuff Company</t>
  </si>
  <si>
    <t>CPU, FM, R&amp;D, Shakir Bakery</t>
  </si>
  <si>
    <t>CTN 6 Bottle 1.93 KG</t>
  </si>
  <si>
    <t>Kuwait Proteins Co., Petty Cash</t>
  </si>
  <si>
    <t>Satco Trading Co.</t>
  </si>
  <si>
    <t>Shakir, CPU, Swish Bakery, Chili, Shakir Bakery, FM</t>
  </si>
  <si>
    <t>Alsaifeen Trading Company, Oncost / IFA Food Company, Petty Cash, First Trading Company</t>
  </si>
  <si>
    <t>pp, BBT, FM, CPU</t>
  </si>
  <si>
    <t>CTN 6 Packet 1.625 KG</t>
  </si>
  <si>
    <t>Al Mufaas General Trading Company, Perfecta International Foodstuff Co.</t>
  </si>
  <si>
    <t>Packet 2 Liter</t>
  </si>
  <si>
    <t>Kuwait Danish Dairy Company</t>
  </si>
  <si>
    <t>CTN 8 Packet 2.5 KG</t>
  </si>
  <si>
    <t>Bag W/ Handle BBT 34x28x15</t>
  </si>
  <si>
    <t>CTN 15 KG</t>
  </si>
  <si>
    <t>Tempura Korean Flour Mix</t>
  </si>
  <si>
    <t>pp, BBT, R&amp;D</t>
  </si>
  <si>
    <t>Yelo, BBT, pp</t>
  </si>
  <si>
    <t>Cutlery</t>
  </si>
  <si>
    <t>CTN 10 Packet 100 PCS</t>
  </si>
  <si>
    <t>Top Pack Co. for Paper and Plastic Products</t>
  </si>
  <si>
    <t>Yelo, Staff Meal</t>
  </si>
  <si>
    <t>Raise International General Trading Co. W.L.L.</t>
  </si>
  <si>
    <t>CTN 150 PCS</t>
  </si>
  <si>
    <t>Jana International</t>
  </si>
  <si>
    <t>CPU, FM, Shakir Bakery</t>
  </si>
  <si>
    <t>Bucket 7 KG</t>
  </si>
  <si>
    <t>Day Tag Machine Stickers Single PL910E</t>
  </si>
  <si>
    <t>CPU, Yelo Factory</t>
  </si>
  <si>
    <t>Garlic Bread Forzen (PA)</t>
  </si>
  <si>
    <t>Pizza Margarita CMM COOP (PA)</t>
  </si>
  <si>
    <t>Al Tawheed Co.</t>
  </si>
  <si>
    <t>Sanitizer Spray Bottles</t>
  </si>
  <si>
    <t>Shakir, BBT, Slice, Yelo, PP, CPU, FM, Chili</t>
  </si>
  <si>
    <t>Yoghurt Low Fat</t>
  </si>
  <si>
    <t>FM, CPU</t>
  </si>
  <si>
    <t>Yelo, Shakir, Slice, BBT, pp</t>
  </si>
  <si>
    <t>Jameel International Company / Kinza</t>
  </si>
  <si>
    <t>CPU, FM, R&amp;D</t>
  </si>
  <si>
    <t>CTN 4 Bottle 3 LTR</t>
  </si>
  <si>
    <t>Yelo, FM, Shakir, BBT, pp, Slice</t>
  </si>
  <si>
    <t>Garbage Bags Black 90X110</t>
  </si>
  <si>
    <t>Shakir, Yelo, BBT, Tabel, MM, CPU, Slice, Yelo Factory, PP, HO, Chili, Stores office, FM, Just C , ERMG CK, LB, R&amp;D</t>
  </si>
  <si>
    <t>Bag 10 kg</t>
  </si>
  <si>
    <t>Asnaf International (Al Baraka Group Co.), MTC Distribution Gen. Trading W.L.L.</t>
  </si>
  <si>
    <t>OZ Meat Factory</t>
  </si>
  <si>
    <t>CTN 6 KG</t>
  </si>
  <si>
    <t>pp, Shakir, BBT, FM, Slice, Yelo</t>
  </si>
  <si>
    <t>Extra Duty Cleaning Pad</t>
  </si>
  <si>
    <t>BBT, Slice, Yelo, pp, Just C , CPU, Chili, Shakir, Yelo Factory</t>
  </si>
  <si>
    <t>Bag Vacuum 35 x 45 Cm</t>
  </si>
  <si>
    <t>CPU, R&amp;D</t>
  </si>
  <si>
    <t>Arkan Disposables / Mabrook</t>
  </si>
  <si>
    <t>Pizza Margarita 11 Inch (PA)</t>
  </si>
  <si>
    <t>Kalonji Seeds</t>
  </si>
  <si>
    <t>Packet 100 GM</t>
  </si>
  <si>
    <t>Pizza Pepperoni 11 Inch (PA)</t>
  </si>
  <si>
    <t>Tissue Toilet Roll Regular</t>
  </si>
  <si>
    <t>HO, pp, BBT, R&amp;D</t>
  </si>
  <si>
    <t>Asnaf International (Al Baraka Group Co.), Arkan Disposables / Mabrook</t>
  </si>
  <si>
    <t>Kinza Lemon 360 ML</t>
  </si>
  <si>
    <t>MM, Shakir</t>
  </si>
  <si>
    <t>CTN 12 Bottle 710 ml</t>
  </si>
  <si>
    <t>Oncost / IFA Food Company</t>
  </si>
  <si>
    <t>CTN 16 Packet 400 GM</t>
  </si>
  <si>
    <t>Chicken Breast Uncalibrated Free Size - US Food</t>
  </si>
  <si>
    <t>US foods</t>
  </si>
  <si>
    <t>CPU, Staff Meal, FM</t>
  </si>
  <si>
    <t xml:space="preserve">Floor Cleaner Suma Force3.5 </t>
  </si>
  <si>
    <t>pp, BBT, Slice, CPU</t>
  </si>
  <si>
    <t>Highlightner Multi Color</t>
  </si>
  <si>
    <t>FM, CPU, HO</t>
  </si>
  <si>
    <t>Packet 4 pcs</t>
  </si>
  <si>
    <t>FM Fries Box New 250 GSM</t>
  </si>
  <si>
    <t>Kuwait Proteins Co.</t>
  </si>
  <si>
    <t>MM, R&amp;D</t>
  </si>
  <si>
    <t>I Pack International Paper Products Mfg.Co.</t>
  </si>
  <si>
    <t>CPU, MM, ERMG CK, FM, R&amp;D</t>
  </si>
  <si>
    <t>Chili, Slice, Shakir, Tabel, Just C , MM, pp, FM, CPU, BBT, Yelo</t>
  </si>
  <si>
    <t>CTN 10 Packet 200 PCS</t>
  </si>
  <si>
    <t>CPU, Yelo Factory, Shakir Bakery</t>
  </si>
  <si>
    <t>Iffco</t>
  </si>
  <si>
    <t>MM, pp, R&amp;D</t>
  </si>
  <si>
    <t>Yelo, CPU, FM, Shakir Bakery</t>
  </si>
  <si>
    <t>CTN 6 Bottle 600 ML</t>
  </si>
  <si>
    <t>Couscous</t>
  </si>
  <si>
    <t>FM, CPU, ERMG CK</t>
  </si>
  <si>
    <t>Bottle 750 ML</t>
  </si>
  <si>
    <t>Sheet FB Plain 28*21  - Yelo</t>
  </si>
  <si>
    <t>National Printing Company for Related Printing Services</t>
  </si>
  <si>
    <t>Sanitizer Strip QT 10</t>
  </si>
  <si>
    <t>FM,BBT,Tabel</t>
  </si>
  <si>
    <t>Bag Plastic Printed BBT</t>
  </si>
  <si>
    <t>Mishmash Short Apron</t>
  </si>
  <si>
    <t>Fresh Cream Light</t>
  </si>
  <si>
    <t>Cream</t>
  </si>
  <si>
    <t>Davinci Peach Syrup</t>
  </si>
  <si>
    <t>CTN 19 Liter</t>
  </si>
  <si>
    <t>Pineapple Canned</t>
  </si>
  <si>
    <t>Sugar Cane Container Oval 22 Oz FM</t>
  </si>
  <si>
    <t>CTN 300 pcs</t>
  </si>
  <si>
    <t>FM, CPU, ERMG CK, R&amp;D</t>
  </si>
  <si>
    <t>Packet 200 ML</t>
  </si>
  <si>
    <t>Plastic Bag Clear With Handle 45x35 Cm</t>
  </si>
  <si>
    <t>Slice, Stores office</t>
  </si>
  <si>
    <t>Blue Hand Sleeve Plastic</t>
  </si>
  <si>
    <t>CPU, MM, ERMG CK, Tabel, FM</t>
  </si>
  <si>
    <t>CTN 2000 PCS</t>
  </si>
  <si>
    <t>Water Bottle Aquafina 330 ML</t>
  </si>
  <si>
    <t>R&amp;D, HO, CPU, Stores office, BBT, Shakir Bakery</t>
  </si>
  <si>
    <t>CTN 20 Pcs</t>
  </si>
  <si>
    <t>CTN 8 Packet 1 Liter</t>
  </si>
  <si>
    <t>Arm Sleeves Cloth - White</t>
  </si>
  <si>
    <t>Yelo, Chili, Shakir, BBT, Slice, pp, FM, Just C , CPU, LB</t>
  </si>
  <si>
    <t>Thermal Print Roll - 80mm</t>
  </si>
  <si>
    <t>Yelo, pp, BBT, Shakir, Tabel, MM, Chili, Slice, FM, Just C , LB</t>
  </si>
  <si>
    <t>Roll</t>
  </si>
  <si>
    <t>Grand Trade Centre Co, Golden Dana Stationery</t>
  </si>
  <si>
    <t>S/W Jacket 4x7x28cm Chicken Spicy - Shakir</t>
  </si>
  <si>
    <t>Cling Film Big</t>
  </si>
  <si>
    <t>Yelo, Shakir, Tabel, MM, CPU, pp, BBT, Chili, Stores office, FM, Slice, HO, Just C , ERMG CK, Yelo Factory, LB, Shakir Bakery</t>
  </si>
  <si>
    <t>Gloves Blue Vinyl Large P/F</t>
  </si>
  <si>
    <t>Yelo, Slice, Shakir, pp, BBT, Tabel, MM, CPU, FM, Chili, Just C , Stores office, HO, Yelo Factory, LB, R&amp;D, ERMG CK, Shakir Bakery</t>
  </si>
  <si>
    <t>Hot Pack Global General Trading Co. W.L.L.</t>
  </si>
  <si>
    <t>Chili, FM, CPU</t>
  </si>
  <si>
    <t>Bottle 110 GM</t>
  </si>
  <si>
    <t>Mixed Pickle Darna</t>
  </si>
  <si>
    <t>CPU, Shakir</t>
  </si>
  <si>
    <t>Galon 10 KG</t>
  </si>
  <si>
    <t>United Tabarak for Food &amp; Veg Co.</t>
  </si>
  <si>
    <t>Breading 4 Chicken Broasted (PA)</t>
  </si>
  <si>
    <t>Just C , CPU, Yelo Factory, Chili, FM, Shakir Bakery</t>
  </si>
  <si>
    <t>A4 Laser Label - sticker</t>
  </si>
  <si>
    <t>Kinza Lemon Diet 360 ML</t>
  </si>
  <si>
    <t>CPU, FM, BBT, Just C , Slice, Swish Bakery, Chili, Stores office, Tabel, MM, Shakir Bakery</t>
  </si>
  <si>
    <t>CTN 20 Packet 1 KG</t>
  </si>
  <si>
    <t>Tabel, CPU, ERMG CK</t>
  </si>
  <si>
    <t>CTN 8 Packet 1.6 kg</t>
  </si>
  <si>
    <t>Galon 14 KG</t>
  </si>
  <si>
    <t>Al Shamali Factories Co.</t>
  </si>
  <si>
    <t>BBTPRD</t>
  </si>
  <si>
    <t>Paper Cup 16 Oz W Flat Lid Sh</t>
  </si>
  <si>
    <t xml:space="preserve">Cutlery Spoon White Small </t>
  </si>
  <si>
    <t>BBT, Shakir</t>
  </si>
  <si>
    <t>Shakir, pp, BBT, LB</t>
  </si>
  <si>
    <t xml:space="preserve">Meat Masala </t>
  </si>
  <si>
    <t>MM, HO, CPU, ERMG CK</t>
  </si>
  <si>
    <t>CTN 500 PCS</t>
  </si>
  <si>
    <t>Oncost / IFA Food Company, M Golden Group General Trading Company</t>
  </si>
  <si>
    <t>Pizza Peppronie CMM COOP (PA)</t>
  </si>
  <si>
    <t xml:space="preserve">Jam Raspberry </t>
  </si>
  <si>
    <t>Tabel, MM, CPU, ERMG CK</t>
  </si>
  <si>
    <t>CTN 24 Bottle 380 GM</t>
  </si>
  <si>
    <t>CTN 400 pcs</t>
  </si>
  <si>
    <t>CTN 10 Kilogram</t>
  </si>
  <si>
    <t>Hand Wash Soft Care</t>
  </si>
  <si>
    <t xml:space="preserve">CPU, Yelo, Shakir, Slice, pp, BBT, FM, Yelo Factory, Chili, Just C </t>
  </si>
  <si>
    <t>Cutlery Knife White</t>
  </si>
  <si>
    <t>Bag W/O Handle YELO H33xW28D17CM</t>
  </si>
  <si>
    <t>Midad Pack</t>
  </si>
  <si>
    <t>Sugarcane Rect. Cont. 1 Ltr. W/Lid PLA COATED</t>
  </si>
  <si>
    <t>CTN 250 PCS</t>
  </si>
  <si>
    <t>Dispomax / Al Tareeq Al Mustaqeem General Trading</t>
  </si>
  <si>
    <t>Shakir, CPU, FM, ERMG CK, Staff Meal</t>
  </si>
  <si>
    <t>Chili, HO, FM, MM, Stores office, R&amp;D, Tabel</t>
  </si>
  <si>
    <t>Packet 5 KG</t>
  </si>
  <si>
    <t>CTN 12 Bottle 730 ml</t>
  </si>
  <si>
    <t>First Trading Company</t>
  </si>
  <si>
    <t>FM Paper Bag With Handle 36x28x15</t>
  </si>
  <si>
    <t>Al Huda Meat Co.</t>
  </si>
  <si>
    <t>Yelo, Yelo Factory, Staff Meal</t>
  </si>
  <si>
    <t>Legion Company</t>
  </si>
  <si>
    <t>pp, BBT, Just C , CPU, FM, MM, ERMG CK, Tabel</t>
  </si>
  <si>
    <t>CTN 6 Packet 3.23 KG</t>
  </si>
  <si>
    <t>Asia Pack Co.</t>
  </si>
  <si>
    <t>CTN 15 Bottle 800 ML</t>
  </si>
  <si>
    <t>Perfecta International Foodstuff Co.</t>
  </si>
  <si>
    <t>Edamame Frozen</t>
  </si>
  <si>
    <t>CTN 20 Packet 400 GM</t>
  </si>
  <si>
    <t>Straw</t>
  </si>
  <si>
    <t>CTN 20 Packet 250 PCS</t>
  </si>
  <si>
    <t>Arm Sleeves Cloth - Black</t>
  </si>
  <si>
    <t>CPU, MM, Yelo Factory, FM, Slice, Yelo</t>
  </si>
  <si>
    <t>Red Lentil split</t>
  </si>
  <si>
    <t>Staff Meal, CPU, ERMG CK, FM</t>
  </si>
  <si>
    <t>Scotch Tape Small</t>
  </si>
  <si>
    <t>pp, Yelo, MM, BBT, Tabel, FM, Shakir, HO, LB, Yelo Factory, Chili</t>
  </si>
  <si>
    <t>Just C , R&amp;D</t>
  </si>
  <si>
    <t>CTN 9 Packet 8 pcs</t>
  </si>
  <si>
    <t>CPU, FM, R&amp;D, Yelo</t>
  </si>
  <si>
    <t>Davinci Menta Cubano Syrup</t>
  </si>
  <si>
    <t>Corn Flour</t>
  </si>
  <si>
    <t>CTN 24 Packet 400 GM</t>
  </si>
  <si>
    <t>Al Ghanim &amp; Al Maya Gen. Trad. Co.</t>
  </si>
  <si>
    <t>Mexican pizza 11 INCH (PA)</t>
  </si>
  <si>
    <t>Lotus Biscoff Spread</t>
  </si>
  <si>
    <t>Packet 400 Gms</t>
  </si>
  <si>
    <t>Yelo, Slice, pp, Shakir, BBT</t>
  </si>
  <si>
    <t>Floor Wiper With Handle</t>
  </si>
  <si>
    <t>CPU, BBT, FM, Shakir, Yelo, Slice, pp, Just C , Chili, HO, ERMG CK, LB, Tabel, MM</t>
  </si>
  <si>
    <t xml:space="preserve">Shakir Plater Box +2  Sauce Full Red KBC227221 </t>
  </si>
  <si>
    <t>Battery C2 Max</t>
  </si>
  <si>
    <t>CPU, MM, FM</t>
  </si>
  <si>
    <t>Electrical</t>
  </si>
  <si>
    <t>Cumin Seeds</t>
  </si>
  <si>
    <t>CPU, Staff Meal</t>
  </si>
  <si>
    <t xml:space="preserve">A4 Paper </t>
  </si>
  <si>
    <t>Shakir, pp, MM, BBT, HO, Yelo, CPU, Tabel, Stores office, FM, Slice, Chili, Just C , ERMG CK, Yelo Factory, LB</t>
  </si>
  <si>
    <t>Box 5 pcs</t>
  </si>
  <si>
    <t>Golden Dana Stationery</t>
  </si>
  <si>
    <t>Day Tag Machine Stickers</t>
  </si>
  <si>
    <t>FM, Yelo, Shakir, BBT, Slice, MM, pp, Chili, Tabel, Just C , CPU, LB, Yelo Factory</t>
  </si>
  <si>
    <t>CTN 36 pcs</t>
  </si>
  <si>
    <t>Chicken Breading (PA)</t>
  </si>
  <si>
    <t>Shakir, Just C</t>
  </si>
  <si>
    <t>Greek Yoghurt Nada LowFat</t>
  </si>
  <si>
    <t>CTN 48 Packet 160 GM</t>
  </si>
  <si>
    <t>CTN 4 Packet 2.750 KG</t>
  </si>
  <si>
    <t>FM, pp, BBT, Just C , CPU, Shakir, LB</t>
  </si>
  <si>
    <t>Foam Lunch Box</t>
  </si>
  <si>
    <t>CPU, Tabel, MM, Staff Meal, Stores office, Shakir Bakery</t>
  </si>
  <si>
    <t>FM Red Chili Paste</t>
  </si>
  <si>
    <t>Packet 300 GM</t>
  </si>
  <si>
    <t>Hp 207 Toner Black</t>
  </si>
  <si>
    <t>HO, Stores office, CPU, ERMG CK</t>
  </si>
  <si>
    <t>CPU, R&amp;D, FM</t>
  </si>
  <si>
    <t>Hp 106A Cartridge</t>
  </si>
  <si>
    <t>Slice, Shakir, Tabel, CPU, HO, MM, Stores office, Yelo, BBT, pp, Chili, FM, Just C , ERMG CK, Yelo Factory, LB</t>
  </si>
  <si>
    <t>Surface Cleaner Opt Sanit K4.5</t>
  </si>
  <si>
    <t>Stapler Max</t>
  </si>
  <si>
    <t>Tabel, MM, Yelo, BBT, Shakir, HO, CPU, pp, Stores office, FM, Chili, Slice</t>
  </si>
  <si>
    <t>FM, Tabel, CPU, Shakir, MM, R&amp;D</t>
  </si>
  <si>
    <t>FM, CPU, Shakir, R&amp;D</t>
  </si>
  <si>
    <t>Ketchup Sachet</t>
  </si>
  <si>
    <t>Yelo, Shakir, pp, MM, Slice, BBT, Just C , FM, LB</t>
  </si>
  <si>
    <t>Golden Raisins</t>
  </si>
  <si>
    <t xml:space="preserve">Hot Sauce - Crystal </t>
  </si>
  <si>
    <t>CTN 24 Bottle 176 ML</t>
  </si>
  <si>
    <t>CPU, Shakir, BBT, Slice, Just C , Chili, R&amp;D, LB, ERMG CK, FM, Shakir Bakery</t>
  </si>
  <si>
    <t>CTN 12.5 Liter</t>
  </si>
  <si>
    <t>Sifco</t>
  </si>
  <si>
    <t>Cloth Blue</t>
  </si>
  <si>
    <t>FM, Slice, pp, Shakir, CPU, Yelo, Chili, BBT, Just C , HO, ERMG CK, R&amp;D, LB</t>
  </si>
  <si>
    <t>Slice, CPU</t>
  </si>
  <si>
    <t>CTN 18.14 KG</t>
  </si>
  <si>
    <t>CTN 12 Bottle 794 GM</t>
  </si>
  <si>
    <t>White Stores Company W.L.L</t>
  </si>
  <si>
    <t>Hand Paper Towel Refill - Xibu Sense</t>
  </si>
  <si>
    <t>CTN 5 Rolls</t>
  </si>
  <si>
    <t xml:space="preserve">Penne Pasta No 22 KFM </t>
  </si>
  <si>
    <t>BBT, pp, R&amp;D</t>
  </si>
  <si>
    <t>Kuwait Box</t>
  </si>
  <si>
    <t>Maxi Roll 350M</t>
  </si>
  <si>
    <t>FM, Yelo, Slice, Shakir, BBT, pp, CPU, R&amp;D, Yelo Factory, HO, Just C , Chili, LB, Shakir Bakery</t>
  </si>
  <si>
    <t>Nile National Company, Alrai Factory Company W.L.L. / Alrai Paper, Universe General Trading Co., Asnaf Trading Co. W.L.L.</t>
  </si>
  <si>
    <t>Salmon Fillet Skinless</t>
  </si>
  <si>
    <t>Fish</t>
  </si>
  <si>
    <t>Yamama Al Baida</t>
  </si>
  <si>
    <t>CTN 6 Packet 1 KG</t>
  </si>
  <si>
    <t>Bottle 481 GM</t>
  </si>
  <si>
    <t>Bottle 510 ML</t>
  </si>
  <si>
    <t>Wrapping Sheet Shakir Shawarma Arabi 20 × 25 cm</t>
  </si>
  <si>
    <t>Double Side Tape</t>
  </si>
  <si>
    <t>CPU, Shakir, ERMG CK</t>
  </si>
  <si>
    <t>Kuwait United Poultry Co. / Mutaheda</t>
  </si>
  <si>
    <t>Yelo, CPU, BBT, R&amp;D, Staff Meal</t>
  </si>
  <si>
    <t>FM, Just C , R&amp;D</t>
  </si>
  <si>
    <t>Potato Fries Skin On</t>
  </si>
  <si>
    <t>BBT, CPU, pp, FM, ERMG CK, R&amp;D</t>
  </si>
  <si>
    <t>Galon 2.97 Ltr</t>
  </si>
  <si>
    <t>Bottle 640 ML</t>
  </si>
  <si>
    <t>Sealing Tape Red - shakir</t>
  </si>
  <si>
    <t>pp, Shakir, BBT, Slice, Yelo</t>
  </si>
  <si>
    <t>CPU, FM, R&amp;D, ERMG CK</t>
  </si>
  <si>
    <t>Wadi Sabhan General Trading W.L.L.</t>
  </si>
  <si>
    <t>Packet 400 GM</t>
  </si>
  <si>
    <t>Carbon Remover Powder (Tiger)</t>
  </si>
  <si>
    <t>Turkish coffee</t>
  </si>
  <si>
    <t>Envelope Brown Plain</t>
  </si>
  <si>
    <t>Double Sided Tape 12.7mm X 22.8Mtr</t>
  </si>
  <si>
    <t>Sanitizing Tablets for Rational Oven - Green</t>
  </si>
  <si>
    <t>Packet 150 pcs</t>
  </si>
  <si>
    <t>Air Freshner</t>
  </si>
  <si>
    <t>pp, BBT, HO, Shakir</t>
  </si>
  <si>
    <t>Baking Paper (Butter Sheet) 60X40</t>
  </si>
  <si>
    <t>CPU, Yelo, FM, LB</t>
  </si>
  <si>
    <t>Packet 500 pcs</t>
  </si>
  <si>
    <t>Chia Seeds</t>
  </si>
  <si>
    <t>BBT, R&amp;D, LB</t>
  </si>
  <si>
    <t>CTN 15 Packet 6 pcs</t>
  </si>
  <si>
    <t>Modern Bakery</t>
  </si>
  <si>
    <t>Bag Plastic Clear 16x20 Cm</t>
  </si>
  <si>
    <t>Chili, pp, Just C , FM, Slice, Yelo, Yelo Factory, CPU, LB, BBT</t>
  </si>
  <si>
    <t>Bag Plastic Clear 12x16 Cm</t>
  </si>
  <si>
    <t>Yelo, Shakir, FM, BBT</t>
  </si>
  <si>
    <t>CTN 17.24 KG</t>
  </si>
  <si>
    <t>Al Rawadatain Water Bottling Co.</t>
  </si>
  <si>
    <t>ERMG CPU</t>
  </si>
  <si>
    <t>Hard Brush</t>
  </si>
  <si>
    <t>Yelo, CPU, Stores office, BBT, Shakir, Slice</t>
  </si>
  <si>
    <t>Floor Brush With Handle</t>
  </si>
  <si>
    <t>BBT, pp, FM, Yelo, Shakir, CPU, Slice, Chili, ERMG CK, HO, Yelo Factory, Just C , MM, Tabel</t>
  </si>
  <si>
    <t>Day Mark Stickers - 2x1size 2000pcs</t>
  </si>
  <si>
    <t>CPU, Tabel</t>
  </si>
  <si>
    <t>Hair Net Black</t>
  </si>
  <si>
    <t>Yelo, pp, BBT, ERMG CK</t>
  </si>
  <si>
    <t>Tabel, MM, R&amp;D</t>
  </si>
  <si>
    <t>Bucket 10 KG</t>
  </si>
  <si>
    <t>Arij Lebanon</t>
  </si>
  <si>
    <t>CTN 15 Packet 100 PCS</t>
  </si>
  <si>
    <t>Wet Tissue FM</t>
  </si>
  <si>
    <t>Oven Cleaner Zoom 6T</t>
  </si>
  <si>
    <t>Galon 25 Liter</t>
  </si>
  <si>
    <t>FM Printed Brown Napkin</t>
  </si>
  <si>
    <t>Mishmash Vaccum Bags 400*600MM</t>
  </si>
  <si>
    <t>CTN 12 Bottle 454 GM</t>
  </si>
  <si>
    <t>Bread Crumbs Wooden Bakery</t>
  </si>
  <si>
    <t>CTN 2 Packet 5 KG</t>
  </si>
  <si>
    <t>AlDhow Readymade Food Company W.L.L.</t>
  </si>
  <si>
    <t>Sugarcane Sq. Cont. 42oz W/Lid</t>
  </si>
  <si>
    <t>Chlorine Test Strip</t>
  </si>
  <si>
    <t>Sterikem Hand Disinfectant</t>
  </si>
  <si>
    <t>MM, Tabel, CPU, ERMG CK</t>
  </si>
  <si>
    <t>President Slices Mozzarella</t>
  </si>
  <si>
    <t>Packet 200 GM</t>
  </si>
  <si>
    <t>Low Fat Milk</t>
  </si>
  <si>
    <t>Oats Whole Grain</t>
  </si>
  <si>
    <t>Packet 900 gm</t>
  </si>
  <si>
    <t>Altco W.L.L</t>
  </si>
  <si>
    <t>Slice, CPU, MM, Just C , FM, Shakir, ERMG CK</t>
  </si>
  <si>
    <t>CTN 10 Kg</t>
  </si>
  <si>
    <t>Tortilla 8" Flour</t>
  </si>
  <si>
    <t>FM, CPU, R&amp;D</t>
  </si>
  <si>
    <t>Yelo, Just C , FM, Chili, CPU</t>
  </si>
  <si>
    <t>Tabel, MM, Staff Meal, CPU, ERMG CK</t>
  </si>
  <si>
    <t>CTN 2 Packet 10 KG</t>
  </si>
  <si>
    <t>Shakir, FM, CPU, ERMG CK</t>
  </si>
  <si>
    <t>Bag W/O Handle 90gsm 26*12*8 - PP Fries</t>
  </si>
  <si>
    <t>Red Chili Whole dry</t>
  </si>
  <si>
    <t>Tissue Z Fold - Blue</t>
  </si>
  <si>
    <t>Tabel, MM, CPU, Stores office, HO, ERMG CK</t>
  </si>
  <si>
    <t>CTN 24 Packet 150 PCS</t>
  </si>
  <si>
    <t>Bag 20 kg</t>
  </si>
  <si>
    <t>Hand Wash Perfumed Lux</t>
  </si>
  <si>
    <t>R&amp;D, HO</t>
  </si>
  <si>
    <t>Bottle 500 ML</t>
  </si>
  <si>
    <t>Vinegar Sherry</t>
  </si>
  <si>
    <t>CPU, Chili</t>
  </si>
  <si>
    <t>CTN 24 Bottle 60 ML</t>
  </si>
  <si>
    <t>Dried Porcini mushrooms</t>
  </si>
  <si>
    <t>Kinza Cola Diet 360 ML</t>
  </si>
  <si>
    <t>Farmland General Trading Co. Wll, Altco W.L.L, Minerva Limited General Trading Co.</t>
  </si>
  <si>
    <t>CPU, BBT</t>
  </si>
  <si>
    <t>Tabel, MM, CPU, FM</t>
  </si>
  <si>
    <t>A4 Pocket Folder (11 holes )</t>
  </si>
  <si>
    <t>MM, pp, Tabel, HO, Shakir, Yelo, BBT, CPU, Chili, FM</t>
  </si>
  <si>
    <t>Chicken Chunk CMM COOP (PA)</t>
  </si>
  <si>
    <t>LB</t>
  </si>
  <si>
    <t>LBCOOP</t>
  </si>
  <si>
    <t>Knet Roll</t>
  </si>
  <si>
    <t>MM,Tabel</t>
  </si>
  <si>
    <t>CTN 100 pcs</t>
  </si>
  <si>
    <t>MM, CPU, HO, FM</t>
  </si>
  <si>
    <t>CTN 2 Packet 2.27 KG</t>
  </si>
  <si>
    <t>Shakir, CPU, FM</t>
  </si>
  <si>
    <t>United Tabarak for Food &amp; Veg Co., Arij Lebanon</t>
  </si>
  <si>
    <t>Paper Cup BBT 16 Oz</t>
  </si>
  <si>
    <t>Balsamic Glaze</t>
  </si>
  <si>
    <t>Packet 160 pcs</t>
  </si>
  <si>
    <t xml:space="preserve">Chicken Masala </t>
  </si>
  <si>
    <t>Feta Cheese</t>
  </si>
  <si>
    <t>FM, CPU, R&amp;D, Slice</t>
  </si>
  <si>
    <t>Mutton Leg Bone In</t>
  </si>
  <si>
    <t>Beef Classic Soudjouk</t>
  </si>
  <si>
    <t>CTN 12 Bottle 720 GM</t>
  </si>
  <si>
    <t>pp, BBT</t>
  </si>
  <si>
    <t>CTN 9.5 Liter</t>
  </si>
  <si>
    <t>CTN 12 Bottle 500 ML</t>
  </si>
  <si>
    <t>CTN 4.8 KG</t>
  </si>
  <si>
    <t>Niro Shine</t>
  </si>
  <si>
    <t xml:space="preserve">Shakir, FM, MM, Chili, BBT, pp, Tabel, Just C </t>
  </si>
  <si>
    <t>Clip Board</t>
  </si>
  <si>
    <t xml:space="preserve">Shakir, Tabel, CPU, Yelo, Stores office, BBT, pp, FM, MM, Chili, HO, Slice, Just C </t>
  </si>
  <si>
    <t>Sugarcane Square Cont. 24oz W/Lid PLA Coated</t>
  </si>
  <si>
    <t>Japanese Curry Mix</t>
  </si>
  <si>
    <t>Cutllery set ( F-K-S-W-Np) FM</t>
  </si>
  <si>
    <t>FM, Shakir</t>
  </si>
  <si>
    <t>Bag W/O Handle BBT 36x21.5x12</t>
  </si>
  <si>
    <t>Khalil international food stuff co., Benina Import  Export &amp; Commission Agent, Altco W.L.L</t>
  </si>
  <si>
    <t>Smoked Turkey Bacon</t>
  </si>
  <si>
    <t>Mishmash Paper Napkin 23*23</t>
  </si>
  <si>
    <t>Napco National Company</t>
  </si>
  <si>
    <t>CTN 8 Packet 5 KG</t>
  </si>
  <si>
    <t>Al Moosa Group International Co.</t>
  </si>
  <si>
    <t>Tabel, HO, MM</t>
  </si>
  <si>
    <t>AlKhat Packaging</t>
  </si>
  <si>
    <t>Dust Pan With Brush Long Handle</t>
  </si>
  <si>
    <t>BBT, pp, FM, Yelo, MM, Shakir, Tabel, CPU, Slice, R&amp;D, Yelo Factory, Chili, HO, Stores office</t>
  </si>
  <si>
    <t>Soy Sauce Kikkoman less Salt</t>
  </si>
  <si>
    <t>Bottle 1 LTR</t>
  </si>
  <si>
    <t>FM Bread Jacket Sleeve</t>
  </si>
  <si>
    <t>Scissors</t>
  </si>
  <si>
    <t>BBT, Yelo, PP, FM, HO, Slice, CPU</t>
  </si>
  <si>
    <t>CTN 6 Packet 700 GM</t>
  </si>
  <si>
    <t>Plastic Bag Size 35*45 cm</t>
  </si>
  <si>
    <t>CPU, Swish Bakery, Shakir Bakery, Stores office, Slice, FM, Shakir</t>
  </si>
  <si>
    <t>Tabel, CPU, R&amp;D, ERMG CK</t>
  </si>
  <si>
    <t>Sweet Potato Crispy</t>
  </si>
  <si>
    <t>CTN 6 Packet 1.130 KG</t>
  </si>
  <si>
    <t>Optimum Washing Up Liquid</t>
  </si>
  <si>
    <t>Tabel, MM, Yelo, CPU, R&amp;D, HO, ERMG CK, Stores office</t>
  </si>
  <si>
    <t>MM, Tabel, CPU</t>
  </si>
  <si>
    <t>FM, BBT, LB, CPU, R&amp;D</t>
  </si>
  <si>
    <t>Sticker Wraps Check List tabel 4*6 CM</t>
  </si>
  <si>
    <t>CTN 12 Bottle 793 ML</t>
  </si>
  <si>
    <t>Apron Plastic</t>
  </si>
  <si>
    <t>Shakir, Yelo, Tabel, MM, CPU, BBT, FM, Yelo Factory, pp, ERMG CK, Chili, R&amp;D, LB, HO</t>
  </si>
  <si>
    <t>Medtra Oceanic GTC Kuwait, Arkan Disposables / Mabrook</t>
  </si>
  <si>
    <t>CPU, Shakir, Swish Bakery, ERMG CK, MM, Tabel</t>
  </si>
  <si>
    <t>CTN 40 pcs</t>
  </si>
  <si>
    <t>Lubricant Taylor 4 Ounce</t>
  </si>
  <si>
    <t>Yelo, Staff Meal, CPU</t>
  </si>
  <si>
    <t>CTN 4 Packet 15 Pcs</t>
  </si>
  <si>
    <t>Black Salt</t>
  </si>
  <si>
    <t xml:space="preserve">Register Book A4/200pages  </t>
  </si>
  <si>
    <t>Yelo, BBT, CPU</t>
  </si>
  <si>
    <t>Hp 230 A Cartridge Black</t>
  </si>
  <si>
    <t>Isolate Protein Powder</t>
  </si>
  <si>
    <t>Prolife Puff Cheese Flavor 13 gm Protein</t>
  </si>
  <si>
    <t>CTN 10 Packet 900 Gms</t>
  </si>
  <si>
    <t xml:space="preserve">Tray For Pizza Box One For All </t>
  </si>
  <si>
    <t xml:space="preserve">Hand Sanitizer - </t>
  </si>
  <si>
    <t>BBT, CPU, Yelo, Shakir, FM, pp, Slice, Yelo Factory, Stores office</t>
  </si>
  <si>
    <t>Cloth Green</t>
  </si>
  <si>
    <t>Shakir, pp, Yelo, BBT, Chili, CPU, HO, Just C , FM, Slice, Yelo Factory, LB, R&amp;D</t>
  </si>
  <si>
    <t>Aluminium Foil BBT Sauce</t>
  </si>
  <si>
    <t>Slice, CPU, FM, ERMG CK</t>
  </si>
  <si>
    <t>Al Thaqeb Trad.Co, Minerva Limited General Trading Co.</t>
  </si>
  <si>
    <t>CPU, Chili, FM, R&amp;D</t>
  </si>
  <si>
    <t>Paper Cup 22 Oz W Flat Lid Ch</t>
  </si>
  <si>
    <t>All Purpose Detergent "Care"</t>
  </si>
  <si>
    <t>Yelo, Shakir, FM, CPU, R&amp;D, Slice, Chili, HO, Stores office</t>
  </si>
  <si>
    <t>CTN 12 Packet 1 Liter</t>
  </si>
  <si>
    <t>CTN 6 Bottle 250 ML</t>
  </si>
  <si>
    <t>Battery CR2032</t>
  </si>
  <si>
    <t>Tabel, MM, FM</t>
  </si>
  <si>
    <t>CTN 12 X 12 Packet 36.8 GM</t>
  </si>
  <si>
    <t>Mishmash Pet Clear Cup 16 Oz</t>
  </si>
  <si>
    <t>Plastic Cup</t>
  </si>
  <si>
    <t>Optimum Heavy Duty Cleaner</t>
  </si>
  <si>
    <t>Latex Exam Gloves</t>
  </si>
  <si>
    <t>Packet 45 GM</t>
  </si>
  <si>
    <t>President Slices Emmental</t>
  </si>
  <si>
    <t>CTN 18 pcs</t>
  </si>
  <si>
    <t>Wrapping Sheet Aluminium 30X30 Pattie</t>
  </si>
  <si>
    <t>Sponge Pad</t>
  </si>
  <si>
    <t>BBT, Shakir, Slice, CPU, Yelo, FM, MM, pp, Tabel, Chili, HO, Just C , Yelo Factory, LB, Stores office</t>
  </si>
  <si>
    <t xml:space="preserve">Burger Box BBT Suuuper </t>
  </si>
  <si>
    <t>Wrapping Sheet 20*30 Plain</t>
  </si>
  <si>
    <t>Sugarcane Bowl 24oz W/Lid</t>
  </si>
  <si>
    <t>Smashed Burger Instruction Manual Yellow</t>
  </si>
  <si>
    <t xml:space="preserve">Just C </t>
  </si>
  <si>
    <t>Bag W/O Handle 90 GSM, 26 × 12 × 8 – FM Fries</t>
  </si>
  <si>
    <t>Hp 150A Cartridge</t>
  </si>
  <si>
    <t>MM, Yelo, Shakir, BBT, Tabel, HO</t>
  </si>
  <si>
    <t>Alarabi Plastic Factoy</t>
  </si>
  <si>
    <t>Salad Wash Tablets</t>
  </si>
  <si>
    <t>CPU, ERMG CK, R&amp;D, FM</t>
  </si>
  <si>
    <t>MM, R&amp;D, ERMG CK</t>
  </si>
  <si>
    <t>CPU, Yelo</t>
  </si>
  <si>
    <t>Stamp Refill Ink Red</t>
  </si>
  <si>
    <t>BBT, Yelo, Chili, CPU, pp, Stores office</t>
  </si>
  <si>
    <t>Grand Trade Centre Co</t>
  </si>
  <si>
    <t>Tabel, CPU, BBT, Shakir, MM, HO, ERMG CK, LB, Stores office, FM, Shakir Bakery</t>
  </si>
  <si>
    <t>Chef Coat Purple - Mishmash</t>
  </si>
  <si>
    <t>Tea Bags - Green Tea</t>
  </si>
  <si>
    <t>HO, CPU</t>
  </si>
  <si>
    <t>Packet 50 pcs</t>
  </si>
  <si>
    <t>Biscuit Nutty Bites Peanut</t>
  </si>
  <si>
    <t>CTN 3 X 8 Packet 72 GM</t>
  </si>
  <si>
    <t>Aromat Powder Knorr</t>
  </si>
  <si>
    <t>CTN 12 Packet 400 Gms</t>
  </si>
  <si>
    <t>Maggi Seasoning Dressing</t>
  </si>
  <si>
    <t>Pizza Box Liner For Kids Box 15*15</t>
  </si>
  <si>
    <t>National Printing Company for Related Printing Services, Boubyan Carton Factory</t>
  </si>
  <si>
    <t>MM, CPU, ERMG CK, Staff Meal</t>
  </si>
  <si>
    <t>CPU, Slice, Chili</t>
  </si>
  <si>
    <t>CTN 4 Bottle 1.89 LTR</t>
  </si>
  <si>
    <t>Sticker Chargrills Check List tabel 4*6 CM</t>
  </si>
  <si>
    <t>Sticker Shawarma Check List tabel 4*6 CM</t>
  </si>
  <si>
    <t>Transperent Tape 2 Inch</t>
  </si>
  <si>
    <t>CPU, Yelo Factory, BBT, Stores office, HO</t>
  </si>
  <si>
    <t>CTN 12 Packet 6 PCS</t>
  </si>
  <si>
    <t>CTN 12 Bottle 700 ml</t>
  </si>
  <si>
    <t>CTN 6 Bottle 396 GM</t>
  </si>
  <si>
    <t>AlMahmood General Trading Co. / Azzad, Khalil international food stuff co.</t>
  </si>
  <si>
    <t>Glass Cleaning Towel</t>
  </si>
  <si>
    <t>Tabel, MM, HO, Stores office</t>
  </si>
  <si>
    <t>Atlas Day Tag Machine Double PLS900</t>
  </si>
  <si>
    <t xml:space="preserve">Shakir, Tabel, CPU, Yelo, BBT, FM, pp, MM, Just C </t>
  </si>
  <si>
    <t>Ali  Drweesh Stationery</t>
  </si>
  <si>
    <t>Aluminium Mop Handle</t>
  </si>
  <si>
    <t>Tabel, MM, CPU, BBT, Shakir, Yelo, HO, ERMG CK, pp, FM, Stores office</t>
  </si>
  <si>
    <t>Arab Cleaning Co.</t>
  </si>
  <si>
    <t>Biscuit Lotus Crumble</t>
  </si>
  <si>
    <t>CTN 8 Packet 750 Grams</t>
  </si>
  <si>
    <t>Sugarcane Burger Box 155x152x48/78</t>
  </si>
  <si>
    <t>Sundried Tomato</t>
  </si>
  <si>
    <t>Short Ribs</t>
  </si>
  <si>
    <t>Fish Sauce</t>
  </si>
  <si>
    <t>Bottle 700 ml</t>
  </si>
  <si>
    <t>Just C , CPU, pp, FM, Shakir, ERMG CK, Chili</t>
  </si>
  <si>
    <t>Steel Ruler 30cm</t>
  </si>
  <si>
    <t>pp, Shakir, R&amp;D, BBT, Stores office</t>
  </si>
  <si>
    <t>Bag W/ Handle Pattie 34x28x15</t>
  </si>
  <si>
    <t>Slice, Shakir</t>
  </si>
  <si>
    <t>CTN 5000 PCS</t>
  </si>
  <si>
    <t>Flax Seeds</t>
  </si>
  <si>
    <t>CTN 18 Packet 6 PCS</t>
  </si>
  <si>
    <t>Table Cover White Sheet</t>
  </si>
  <si>
    <t>CPU, Just C , Slice, FM</t>
  </si>
  <si>
    <t>CPU, Shakir, R&amp;D</t>
  </si>
  <si>
    <t>Cottage Cheese - Paneer</t>
  </si>
  <si>
    <t>Dark Chocolate Chips - Hersheys</t>
  </si>
  <si>
    <t>FM Sleeve 6x46 cm Matt 170gsm Matafi</t>
  </si>
  <si>
    <t>Disposable Fly Bags</t>
  </si>
  <si>
    <t>Penne Whole Grain Pasta</t>
  </si>
  <si>
    <t>CTN 24 Packet 500 GM</t>
  </si>
  <si>
    <t>Mountain Dew Syrup</t>
  </si>
  <si>
    <t>Dettol Antiseptic</t>
  </si>
  <si>
    <t xml:space="preserve">FM Sleeves Super Bowl 17 x 40cm 4 design </t>
  </si>
  <si>
    <t>CPU, Shakir, FM, Shakir Bakery</t>
  </si>
  <si>
    <t>CTN 4 Box 12 Packet 9 pcs</t>
  </si>
  <si>
    <t>Sugarcane Rect. Cont. 450ml</t>
  </si>
  <si>
    <t>Bag Plastic Clear 65x50 Cm</t>
  </si>
  <si>
    <t>Shakir, CPU, FM, Chili</t>
  </si>
  <si>
    <t>Casio Calculator</t>
  </si>
  <si>
    <t>Yelo, BBT, MM, CPU, Tabel</t>
  </si>
  <si>
    <t xml:space="preserve">Wheat Gluten </t>
  </si>
  <si>
    <t>Tin 3 KG</t>
  </si>
  <si>
    <t xml:space="preserve">Chili, Shakir, HO, R&amp;D, BBT, CPU, Stores office, FM, Slice, Just C </t>
  </si>
  <si>
    <t>Galon 7 Liter</t>
  </si>
  <si>
    <t>Bag Plastic Clear 25x35 Cm</t>
  </si>
  <si>
    <t>CPU, FM, Slice, Shakir Bakery</t>
  </si>
  <si>
    <t>Tape Dispenser</t>
  </si>
  <si>
    <t>BBT, Yelo, MM, Tabel, pp, Yelo Factory, Chili</t>
  </si>
  <si>
    <t>CPU FM Mayonnaise</t>
  </si>
  <si>
    <t>FM, CPU, pp</t>
  </si>
  <si>
    <t>Pizza Box Frozen Pepperoni 11 inch</t>
  </si>
  <si>
    <t>Yelo, pp, BBT</t>
  </si>
  <si>
    <t>Prolife Chips Sea Salt &amp; Vinegar Flavor 13 gm Protein</t>
  </si>
  <si>
    <t>Peanut Butter Protein Bar - Mates</t>
  </si>
  <si>
    <t>Filter Paper Frymaster 19.5" x 27.5"</t>
  </si>
  <si>
    <t>pp, BBT, Slice, Just C , Shakir, LB</t>
  </si>
  <si>
    <t>Sanitizing Tablets</t>
  </si>
  <si>
    <t xml:space="preserve">Yelo, FM, CPU, Chili, HO, Just C </t>
  </si>
  <si>
    <t>Frozen Broccoli</t>
  </si>
  <si>
    <t>Aluminium Foil 30Cm</t>
  </si>
  <si>
    <t>Yelo, Slice, Chili, Shakir, Just C , LB, CPU</t>
  </si>
  <si>
    <t>Pizza Box 11" Brown Plain KBC219276</t>
  </si>
  <si>
    <t>CPU, Swish Bakery, Shakir, Shakir Bakery, FM</t>
  </si>
  <si>
    <t>Strawberry Puree Monin</t>
  </si>
  <si>
    <t>Syrups</t>
  </si>
  <si>
    <t>Bottle 1 KG</t>
  </si>
  <si>
    <t>Peanut Roasted</t>
  </si>
  <si>
    <t>CTN 12 Packet 500 GM</t>
  </si>
  <si>
    <t>Carton File Box Plain - 630x310x345</t>
  </si>
  <si>
    <t>Sticker BBT Spicy 3.6*1.6 CM</t>
  </si>
  <si>
    <t>Mishmash White Straw  Soft Drink</t>
  </si>
  <si>
    <t>CTN 60 Packet 70 gm</t>
  </si>
  <si>
    <t>CTN 40 Packet 135 GM</t>
  </si>
  <si>
    <t>Face Mask Surgical</t>
  </si>
  <si>
    <t>FM, Yelo, BBT, Chili, pp, Shakir, Tabel, MM, CPU, Slice, Stores office, Just C , HO, Yelo Factory, ERMG CK, LB, Shakir Bakery</t>
  </si>
  <si>
    <t>General Supplier</t>
  </si>
  <si>
    <t>Shakir, Chili, R&amp;D, Yelo, HO, CPU, Just C , BBT</t>
  </si>
  <si>
    <t>S/W Jacket 4x7x28cm Mhamash Tawook - Shakir</t>
  </si>
  <si>
    <t>Pencils</t>
  </si>
  <si>
    <t>FM, Shakir, pp, HO, BBT</t>
  </si>
  <si>
    <t>Honey Portion Al-Shifa 25gm</t>
  </si>
  <si>
    <t>Videojet Makeup Fluid V706D</t>
  </si>
  <si>
    <t>Bamboo Skewer With Skin 15cm</t>
  </si>
  <si>
    <t xml:space="preserve">Dynamite Stick Box BBT </t>
  </si>
  <si>
    <t>French Coffee Hazelnut</t>
  </si>
  <si>
    <t>Plate Plastic White 9"</t>
  </si>
  <si>
    <t xml:space="preserve">Kraft Container 8oz W/Lid FM  </t>
  </si>
  <si>
    <t>CPU, HO, R&amp;D, Yelo Factory, Stores office</t>
  </si>
  <si>
    <t>Just C , LB</t>
  </si>
  <si>
    <t>Pens</t>
  </si>
  <si>
    <t>Yelo, CPU, FM, BBT, MM, Shakir, Tabel, pp, Stores office, HO, Slice, ERMG CK, Chili, Yelo Factory, R&amp;D, Just C , Shakir Bakery</t>
  </si>
  <si>
    <t>Green Cleaning Pad</t>
  </si>
  <si>
    <t>Shakir, CPU, FM, PP, BBT, Slice, Chili, Tabel, MM</t>
  </si>
  <si>
    <t>CTN 9.070 KG</t>
  </si>
  <si>
    <t>Stapler Pin</t>
  </si>
  <si>
    <t>MM, Shakir, Tabel, Slice, pp, Yelo, BBT, CPU, Yelo Factory, Chili, FM, Stores office, HO</t>
  </si>
  <si>
    <t>Packet 10 pcs</t>
  </si>
  <si>
    <t>Aluminium Foil Plain White</t>
  </si>
  <si>
    <t>Bag W/O Handle Shakir 32x28x15</t>
  </si>
  <si>
    <t>Paper Napkin White 33 X 33</t>
  </si>
  <si>
    <t xml:space="preserve">Yelo, Shakir, Chili, Just C </t>
  </si>
  <si>
    <t>Alrawdah Paper &amp; Nylon Product Co. W.L.L., Evoodly for General Trading Company</t>
  </si>
  <si>
    <t>Gloves Plastic</t>
  </si>
  <si>
    <t>Yelo, Shakir</t>
  </si>
  <si>
    <t>CTN 100 Packet 100 pcs</t>
  </si>
  <si>
    <t>Baking Powder Royal ERMG</t>
  </si>
  <si>
    <t>Just C , Slice, Chili</t>
  </si>
  <si>
    <t>Caro General Trading Co. (Voda Voda)</t>
  </si>
  <si>
    <t xml:space="preserve">Jalapeno Hot Sauce </t>
  </si>
  <si>
    <t>Tin 439 gm</t>
  </si>
  <si>
    <t>Tomato Paste</t>
  </si>
  <si>
    <t>Wax Paper Roll</t>
  </si>
  <si>
    <t>MM, CPU, ERMG CK, Tabel</t>
  </si>
  <si>
    <t>Pitted Green Olives</t>
  </si>
  <si>
    <t>Bottle 450 gm</t>
  </si>
  <si>
    <t>Cleaning Tab Blue Rational Oven -5600562</t>
  </si>
  <si>
    <t>FM, ERMG CK, CPU</t>
  </si>
  <si>
    <t>Piping Bag Clear - Ch</t>
  </si>
  <si>
    <t>BBT, CPU, Chili, R&amp;D, FM</t>
  </si>
  <si>
    <t>Baking Paper 11x11 cm</t>
  </si>
  <si>
    <t>CPU, Just C , FM</t>
  </si>
  <si>
    <t>Anchovies</t>
  </si>
  <si>
    <t>Bottle 400 gm</t>
  </si>
  <si>
    <t>Digestive Biscuits Light</t>
  </si>
  <si>
    <t>Aluminium Foil Shakir Spicy Garlic</t>
  </si>
  <si>
    <t>Maxi Roll  Dispenser</t>
  </si>
  <si>
    <t>Shakir, Yelo, FM, BBT, pp</t>
  </si>
  <si>
    <t>pp, Slice</t>
  </si>
  <si>
    <t>Tabel Paper Bag Big Size</t>
  </si>
  <si>
    <t>CPU, HO, FM, Yelo Factory, Stores office, R&amp;D, Yelo</t>
  </si>
  <si>
    <t>CTN 6 Bottle 190 GM</t>
  </si>
  <si>
    <t>CPU, ERMG CK, Staff Meal, Chili</t>
  </si>
  <si>
    <t>Bag W/O Handle The Mini Bag 28*12*7 Yelo</t>
  </si>
  <si>
    <t>FM Ice Cream Box</t>
  </si>
  <si>
    <t>Coconut Water Zero Sugar</t>
  </si>
  <si>
    <t xml:space="preserve">Glue Board for Fly Catcher With Grill </t>
  </si>
  <si>
    <t>Tabel, Yelo, BBT, MM, CPU, Shakir, FM, pp, Slice, Chili, Stores office</t>
  </si>
  <si>
    <t>Packet 6 pcs</t>
  </si>
  <si>
    <t>Semolina No.2</t>
  </si>
  <si>
    <t xml:space="preserve">Mishmash Clear Plain Bbq Bag - 30*40 </t>
  </si>
  <si>
    <t>Bag Plastic Red Small - Shakir</t>
  </si>
  <si>
    <t>Khalil international food stuff co., First Trading Company</t>
  </si>
  <si>
    <t>Box And Bag Paper Factory, Jana International</t>
  </si>
  <si>
    <t>Tabel Sticker Bag Seal 10*2</t>
  </si>
  <si>
    <t>Image Pack Marketing And Advertising Co.</t>
  </si>
  <si>
    <t>Rubber Yellow Duck</t>
  </si>
  <si>
    <t>Shantou Rongheqiang Trade Co.LTD</t>
  </si>
  <si>
    <t>Floor Mop Head Cotton</t>
  </si>
  <si>
    <t>Shakir, BBT, Tabel, MM, Yelo, Slice, CPU, Stores office, FM, Chili, PP, Just C , HO, ERMG CK</t>
  </si>
  <si>
    <t>Wet Tissue Slice</t>
  </si>
  <si>
    <t>Beef Topping Cubes</t>
  </si>
  <si>
    <t>Sticker Shakir Hummus With Honey 5.5 cm</t>
  </si>
  <si>
    <t>Dark Chocolate Coins 64%</t>
  </si>
  <si>
    <t>Cling Film Cryovac 40cm x19 Micron</t>
  </si>
  <si>
    <t>Endbac Surface Sanitizer (D4)</t>
  </si>
  <si>
    <t>Shakir, Yelo, BBT, FM, PP, Chili, Slice, Yelo Factory, CPU</t>
  </si>
  <si>
    <t>CPU, HO</t>
  </si>
  <si>
    <t>Bucket 5 KG</t>
  </si>
  <si>
    <t>CTN 3 Galon 3.78 Liter</t>
  </si>
  <si>
    <t>Paper Cup 12 Oz W/ ST Lid - Pattie Pattie</t>
  </si>
  <si>
    <t>FM Wax Paper 30x30</t>
  </si>
  <si>
    <t>Al Ashraf Market Center Co.</t>
  </si>
  <si>
    <t>Tabel, R&amp;D, ERMG CK</t>
  </si>
  <si>
    <t>FM Green Individual Plastic Spoon</t>
  </si>
  <si>
    <t>Pizza Box Frozen Pepperoni</t>
  </si>
  <si>
    <t>CPU, MM, Shakir, FM, Yelo Factory, R&amp;D, Yelo</t>
  </si>
  <si>
    <t>CTN 24 Tin 285 gm</t>
  </si>
  <si>
    <t>Hair Net Blue</t>
  </si>
  <si>
    <t>FM, Slice, Chili, pp, Just C , BBT, Shakir, Tabel, MM, CPU, Stores office, Yelo, HO, Yelo Factory, LB, ERMG CK, R&amp;D, Shakir Bakery</t>
  </si>
  <si>
    <t>Garlic Bread Box Cheesy 350gsm Glossy</t>
  </si>
  <si>
    <t>Bottle 454 GM</t>
  </si>
  <si>
    <t>Packet 24 Portion 20 g</t>
  </si>
  <si>
    <t>Yelo, CPU, ERMG CK</t>
  </si>
  <si>
    <t>CTN 10 Packet 935 Gms</t>
  </si>
  <si>
    <t>Marker Pens</t>
  </si>
  <si>
    <t>CPU, BBT, MM, Yelo, pp, Shakir, Slice, Stores office, Tabel, FM, HO, ERMG CK, Just C , Chili, Yelo Factory, Shakir Bakery</t>
  </si>
  <si>
    <t>Nutella Hazelnut Spread</t>
  </si>
  <si>
    <t>Hp 207 Toner Majenta</t>
  </si>
  <si>
    <t>HO, ERMG CK</t>
  </si>
  <si>
    <t>Cleaning Solution for Shrink Wrap</t>
  </si>
  <si>
    <t>Sultan Triveni Gen. Trading &amp; Contg. Co. WLL</t>
  </si>
  <si>
    <t>Mango Pulp Alphonso Frozen</t>
  </si>
  <si>
    <t>CTN 16 Kg</t>
  </si>
  <si>
    <t>Packet 30 GM</t>
  </si>
  <si>
    <t>Pina Colada Syrup</t>
  </si>
  <si>
    <t>CTN 6 Bottle 700 ml</t>
  </si>
  <si>
    <t>Pumpkin Seeds</t>
  </si>
  <si>
    <t>Hp 207 Toner Yellow</t>
  </si>
  <si>
    <t>Hp 207 Toner Cyan</t>
  </si>
  <si>
    <t>Garbage Bag Black 60 X90</t>
  </si>
  <si>
    <t>DAC Floor Cleaner - Rose</t>
  </si>
  <si>
    <t>Bottle 3 LTR</t>
  </si>
  <si>
    <t>Raw Peanut With Skin</t>
  </si>
  <si>
    <t>Sticker Cheat Meal FM 7 CM</t>
  </si>
  <si>
    <t>CTN 800 Pcs</t>
  </si>
  <si>
    <t>FM Wax Paper 30x30 (Never Fried)</t>
  </si>
  <si>
    <t>FM Corn Tortilla</t>
  </si>
  <si>
    <t>Synthetic Food Color - Orange Red Powder</t>
  </si>
  <si>
    <t>Bottle 680 GM</t>
  </si>
  <si>
    <t>Paper Plate For Catering Mishmash</t>
  </si>
  <si>
    <t>Sweet Pepper Pimento Powder ERMG</t>
  </si>
  <si>
    <t>Sticker Ticket Inside BBT 3.2 CM</t>
  </si>
  <si>
    <t>Cutlery Knife : Black</t>
  </si>
  <si>
    <t>Fish Stock Powder</t>
  </si>
  <si>
    <t>Filter Envelope Henny Penny ( 13.5" X 20.5" )</t>
  </si>
  <si>
    <t>Clear I/C Cup 250ml FM</t>
  </si>
  <si>
    <t>Mishmash Cookie Pouch</t>
  </si>
  <si>
    <t>Clear Dome Lid No Cut RC0018 - FM</t>
  </si>
  <si>
    <t>CTN 12 Packet 800 GM</t>
  </si>
  <si>
    <t>Stamp Refill Ink Blue</t>
  </si>
  <si>
    <t>Shakir, CPU</t>
  </si>
  <si>
    <t>Sticky Note - Reminder Slip</t>
  </si>
  <si>
    <t>FM, HO, Stores office</t>
  </si>
  <si>
    <t>Rice Cloth White</t>
  </si>
  <si>
    <t>Vermicelli No.2 KFM</t>
  </si>
  <si>
    <t>Coffee-mate Creamer</t>
  </si>
  <si>
    <t>R&amp;D, HO, FM, CPU, Stores office</t>
  </si>
  <si>
    <t>CTN 15 Bottle 400 gm</t>
  </si>
  <si>
    <t>Bag W/O Handle 90gsm 28x12x7 BBT Fries</t>
  </si>
  <si>
    <t>CPU, Just C , R&amp;D</t>
  </si>
  <si>
    <t>CTN 24 Packet 340 GM</t>
  </si>
  <si>
    <t>FM Sandwich Box 300 GSM</t>
  </si>
  <si>
    <t>Slice, Chili</t>
  </si>
  <si>
    <t>Bag W/O Handle YELO 33x30x15</t>
  </si>
  <si>
    <t>Aluminium Foil Pesto Ranch Yelo</t>
  </si>
  <si>
    <t>Sterikem Hand Cleaner Bactericidal</t>
  </si>
  <si>
    <t>Tabel, MM, Stores office, CPU, HO, ERMG CK</t>
  </si>
  <si>
    <t>Prolife Puff Spicy Flavor 13 gm Protein</t>
  </si>
  <si>
    <t>Sticker FM Protien Machine 7.1 CM</t>
  </si>
  <si>
    <t xml:space="preserve">Nugget Sandwich Box FM </t>
  </si>
  <si>
    <t>BBT, Chili, R&amp;D</t>
  </si>
  <si>
    <t>Bag Plastic Clear 40x60 Cm</t>
  </si>
  <si>
    <t>Soya Sauce Light</t>
  </si>
  <si>
    <t>Bag Plastic Clear 120x135 Cm</t>
  </si>
  <si>
    <t>Sticker Shakir Spicy Arayes 7*3 CM</t>
  </si>
  <si>
    <t>Bag Plastic Shakir LED 25*30*60 MIC</t>
  </si>
  <si>
    <t>Green Plastic</t>
  </si>
  <si>
    <t>Hazelnut Protein Bar - Mates</t>
  </si>
  <si>
    <t xml:space="preserve">Bag W/O Shakir Arabi 45*25*8 CM </t>
  </si>
  <si>
    <t>Alrawdah Paper &amp; Nylon Product Co. W.L.L.</t>
  </si>
  <si>
    <t>FM Sleeve 6x46 cm Matt 170gsm</t>
  </si>
  <si>
    <t>Sticker BBT Special Order</t>
  </si>
  <si>
    <t>Sticker FeedBack Shakir 15.9*6.5 CM</t>
  </si>
  <si>
    <t>Tortilla 10" Flour</t>
  </si>
  <si>
    <t>CPU, FM, ERMG CK</t>
  </si>
  <si>
    <t>Packet 700 gm</t>
  </si>
  <si>
    <t>Envelope Brown A5</t>
  </si>
  <si>
    <t>BBT, Yelo, MM, pp, Slice, Shakir, Chili</t>
  </si>
  <si>
    <t>Sticker Dream Cake FM 10.7*4.5 CM</t>
  </si>
  <si>
    <t>SB Sparkling Mineral Water</t>
  </si>
  <si>
    <t>FM, Just C , Yelo Factory, CPU, ERMG CK</t>
  </si>
  <si>
    <t>CPU, ERMG CK, Staff Meal</t>
  </si>
  <si>
    <t>pp, BBT, FM</t>
  </si>
  <si>
    <t>Container Clear 200 ML _ FM</t>
  </si>
  <si>
    <t xml:space="preserve">Corn Flakes </t>
  </si>
  <si>
    <t>CTN 6 Bottle 1.650 KG</t>
  </si>
  <si>
    <t>Snickers HProtein Bar LS White</t>
  </si>
  <si>
    <t>Chili, MM</t>
  </si>
  <si>
    <t>CTN 12 Packet 120 pcs</t>
  </si>
  <si>
    <t>BBT, MM</t>
  </si>
  <si>
    <t>Bar Code Label 58x38cm - 1000 unit</t>
  </si>
  <si>
    <t>FM, CPU, BBT, PP, ERMG CK, Stores office, LB</t>
  </si>
  <si>
    <t>pp, CPU, FM</t>
  </si>
  <si>
    <t>Al Yamama Al Hamra</t>
  </si>
  <si>
    <t>Envelope Brown A4</t>
  </si>
  <si>
    <t>Yelo, Slice, BBT, FM, Tabel, MM</t>
  </si>
  <si>
    <t>Just C,CPU</t>
  </si>
  <si>
    <t>Sticker Shakir Cheese Arayes 7*3 CM</t>
  </si>
  <si>
    <t>Snickers HProtein Bar LS Milk</t>
  </si>
  <si>
    <t>Day Mark Stickers - Small</t>
  </si>
  <si>
    <t xml:space="preserve">Nylon Cable Tie </t>
  </si>
  <si>
    <t xml:space="preserve">Sticker Slider Plus 4 CM - Pattie </t>
  </si>
  <si>
    <t>Sugar Dark Brown</t>
  </si>
  <si>
    <t>Chana Dal Split</t>
  </si>
  <si>
    <t>Paper Cup 8oz White</t>
  </si>
  <si>
    <t>HO, CPU, R&amp;D, Stores office</t>
  </si>
  <si>
    <t>FM, Chili, CPU, Shakir, Slice</t>
  </si>
  <si>
    <t>Clorex</t>
  </si>
  <si>
    <t>CTN 6 Galon 3.78 Liter</t>
  </si>
  <si>
    <t>Atlas Day Tag Machine Single PL910E</t>
  </si>
  <si>
    <t>CPU, MM</t>
  </si>
  <si>
    <t>Panko Crumbs Samlip</t>
  </si>
  <si>
    <t>Paper Sheet For Serving Tray</t>
  </si>
  <si>
    <t>Sticker S 4Cm</t>
  </si>
  <si>
    <t xml:space="preserve">Philadelphia Cream Cheese </t>
  </si>
  <si>
    <t>Paper Napkin Printed Slice 33x33</t>
  </si>
  <si>
    <t>Mishmash Paper Bag (Big Size) 38*30*18</t>
  </si>
  <si>
    <t>MM, CPU, R&amp;D</t>
  </si>
  <si>
    <t>Leen Pack For Bags Industry Co, Guangzhou Haiyuan Technology Co.,Ltd</t>
  </si>
  <si>
    <t>Ticket Holder ( Spindle )</t>
  </si>
  <si>
    <t>Yelo, pp, BBT, Shakir, Just C , Slice, Chili</t>
  </si>
  <si>
    <t>Shoe Cover Blue</t>
  </si>
  <si>
    <t>FM, Tabel, MM, Slice, CPU, BBT, Yelo, Yelo Factory, ERMG CK</t>
  </si>
  <si>
    <t>Creamy Sesame Dressing</t>
  </si>
  <si>
    <t>Plastic Cup Red</t>
  </si>
  <si>
    <t>CTN 480 pcs</t>
  </si>
  <si>
    <t>Chipotle Whole Chilli in Adobo Sauce</t>
  </si>
  <si>
    <t>CTN 6 Tin 2.800 KG</t>
  </si>
  <si>
    <t>Hp 652 Cartridge Black</t>
  </si>
  <si>
    <t>Gel Fuel for Chafing Dish</t>
  </si>
  <si>
    <t>MM, Staff Meal</t>
  </si>
  <si>
    <t>CTN 72 Pcs</t>
  </si>
  <si>
    <t>White Quinoa</t>
  </si>
  <si>
    <t>CPU, ERMG CK, FM, R&amp;D</t>
  </si>
  <si>
    <t>CPU, Swish Bakery, Shakir, Shakir Bakery</t>
  </si>
  <si>
    <t>Packet 10 KG</t>
  </si>
  <si>
    <t>Shakir, R&amp;D</t>
  </si>
  <si>
    <t>CTN 4 Bottle 1 LTR</t>
  </si>
  <si>
    <t>Hand Towel Roll White 150M (Khc)</t>
  </si>
  <si>
    <t>Packet 6 Each</t>
  </si>
  <si>
    <t>Paper Clip Medium</t>
  </si>
  <si>
    <t>Mishmash Paper Bag Small Size</t>
  </si>
  <si>
    <t>FM Sleeves 6x36cm Matt 170gsm</t>
  </si>
  <si>
    <t>FM Sticker for Bag Seal 5.1x11cm</t>
  </si>
  <si>
    <t>Sticker FM Never Fried 7.1 CM</t>
  </si>
  <si>
    <t>Glass Cleaner (Taski R 3)</t>
  </si>
  <si>
    <t>MM, Tabel, Stores office, ERMG CK</t>
  </si>
  <si>
    <t>Noor Asia Gen.Trad &amp;Cont.Co.</t>
  </si>
  <si>
    <t>Sticker 4 cm Round Chili Pepper</t>
  </si>
  <si>
    <t>CTN 3000 PCS</t>
  </si>
  <si>
    <t>Amber Packaging Industries LLC</t>
  </si>
  <si>
    <t>Mishmash Sticker Pepper Sauce 6*6</t>
  </si>
  <si>
    <t>CTN 6 Packet 1.3 KG</t>
  </si>
  <si>
    <t>Sticker For BBT Bag 10 x 5.5 cm</t>
  </si>
  <si>
    <t>Bag Plastic Yelo Printed HD White 22*9*34.5cmH</t>
  </si>
  <si>
    <t>Hood Cap Blue with Face Mask</t>
  </si>
  <si>
    <t>Envelope White Plain</t>
  </si>
  <si>
    <t>Chili, pp, Slice, Shakir, Yelo, Just C , BBT, LB, HO</t>
  </si>
  <si>
    <t>Carrier 4 Cup BBT</t>
  </si>
  <si>
    <t>Image Pack Marketing And Advertising Co., Royal Sign Gen. Trad. &amp;Cont. Co.</t>
  </si>
  <si>
    <t>Sugar Cane Round Plate 3 Comp. Mishmash</t>
  </si>
  <si>
    <t>Letter Head Paper 1 X 50</t>
  </si>
  <si>
    <t>Optimum Decarbonising Powder</t>
  </si>
  <si>
    <t>Yelo, MM</t>
  </si>
  <si>
    <t>Refill Foam Soap - Xibu Sense</t>
  </si>
  <si>
    <t>CTN 6 Packet 600 ML</t>
  </si>
  <si>
    <t>Intercare General Trading</t>
  </si>
  <si>
    <t>Sticker Chili Flakes Yelo Pizza</t>
  </si>
  <si>
    <t>Bbq Box Sleeve for Crispy Onions</t>
  </si>
  <si>
    <t xml:space="preserve">Paper Cup BBT 8oz </t>
  </si>
  <si>
    <t>Yelo Tape Duck Logo 3"X350mtr.</t>
  </si>
  <si>
    <t>Clear I/C Cup W/Dome Lid 6 Oz FM</t>
  </si>
  <si>
    <t>Paper Napkin Printed Pattie 24x24cm</t>
  </si>
  <si>
    <t>Shakir, CPU, ERMG CK, BBT</t>
  </si>
  <si>
    <t>CTN 6 Bottle 1.800 KG</t>
  </si>
  <si>
    <t>Bag Plastic White - Shakir 65 h*65 w</t>
  </si>
  <si>
    <t>Sticker Yelo Delivery Holy Duck 3*8</t>
  </si>
  <si>
    <t>CTN 24 Bottle 355 ML</t>
  </si>
  <si>
    <t>Boushahri Group W.L.L.</t>
  </si>
  <si>
    <t>Sesame Oil</t>
  </si>
  <si>
    <t>Bottle 650 ML</t>
  </si>
  <si>
    <t>Mirin</t>
  </si>
  <si>
    <t>FM Gathering Box</t>
  </si>
  <si>
    <t>Tissue Face Box - 200pcs / box</t>
  </si>
  <si>
    <t>HO, CPU, R&amp;D, Yelo, Stores office</t>
  </si>
  <si>
    <t>CTN 50 pcs</t>
  </si>
  <si>
    <t>Wet Tissue Pattie Pattie</t>
  </si>
  <si>
    <t>FM Clear plastic container 8oz w/ Dom lid</t>
  </si>
  <si>
    <t>Bamboo Skewer Flat Kabab</t>
  </si>
  <si>
    <t>Wrapping Sheet Shakir Arabi 20*25 CM</t>
  </si>
  <si>
    <t>Peanut Nut N Butter creamy</t>
  </si>
  <si>
    <t>CTN 6 Packet 2.27 KG</t>
  </si>
  <si>
    <t>Sesame Seeds Roasted</t>
  </si>
  <si>
    <t>CPU, MM, Staff Meal, FM</t>
  </si>
  <si>
    <t>Pasto Sauce</t>
  </si>
  <si>
    <t>Ink Roll Double - Day Tag Machine PLS900</t>
  </si>
  <si>
    <t>BBT, Tabel, FM, Yelo, Slice, pp, MM, CPU, Chili, Just C , Shakir Bakery</t>
  </si>
  <si>
    <t>Bottle 800 GM</t>
  </si>
  <si>
    <t>Packet 2.250 KG</t>
  </si>
  <si>
    <t>Red Quinoa</t>
  </si>
  <si>
    <t>CTN 12 Bottle 420 Gms</t>
  </si>
  <si>
    <t>Prolife Puff Chilli Lemon Flavor 13 gm Protein</t>
  </si>
  <si>
    <t xml:space="preserve">Galon 14 KG for Tahina </t>
  </si>
  <si>
    <t>Mango Filling</t>
  </si>
  <si>
    <t xml:space="preserve">Cling Film Cryovac 505 x 19 </t>
  </si>
  <si>
    <t>Yelo Factory, CPU</t>
  </si>
  <si>
    <t>Wet Tissue BBT</t>
  </si>
  <si>
    <t>Evoodly for General Trading Company, Packnest Packaging Company</t>
  </si>
  <si>
    <t>Paper Placemat for World Cup BBT 21 × 27 cm LTO</t>
  </si>
  <si>
    <t>Hand Sanitizer Refill</t>
  </si>
  <si>
    <t>Garlic Bread Box 393X263X240mm -KBC222295</t>
  </si>
  <si>
    <t>Prolife Puff Spicy Pizza Flavor 13 gm Protein</t>
  </si>
  <si>
    <t>Bag W/O Handle  32x24x12 Slice</t>
  </si>
  <si>
    <t>Tortilla Chips Mexita Sweet Chili</t>
  </si>
  <si>
    <t>CTN 12 Packet 180 GM</t>
  </si>
  <si>
    <t>Cheese Cream Light</t>
  </si>
  <si>
    <t>Box File Big</t>
  </si>
  <si>
    <t>FM, CPU, Yelo, Tabel, Stores office, BBT, HO</t>
  </si>
  <si>
    <t>Prolife Chips Sweet Chilli Flavor 13 gm Protein</t>
  </si>
  <si>
    <t>Cruncho Prolife</t>
  </si>
  <si>
    <t>Paper Placemat for World Cup BBT 16 × 27 cm LTO</t>
  </si>
  <si>
    <t>Mishmash Plain Small Aluminium Plate</t>
  </si>
  <si>
    <t>Trolley Bucket</t>
  </si>
  <si>
    <t>Yelo, CPU, BBT, FM, Shakir, pp, HO</t>
  </si>
  <si>
    <t>CTN 48 Bottle 370 ML</t>
  </si>
  <si>
    <t>Bbq Box Sleeve for Tomato</t>
  </si>
  <si>
    <t>Bbq Box Sleeve for Lettuce</t>
  </si>
  <si>
    <t>Sticker Shakir Spicy Cheese  Arayes 7*3 CM</t>
  </si>
  <si>
    <t>Sticker For CTN Pepperoni Pizza 11"</t>
  </si>
  <si>
    <t>Paper Tray 3 Shelves</t>
  </si>
  <si>
    <t xml:space="preserve">Fish Masala </t>
  </si>
  <si>
    <t>Stamp Refill Ink Green</t>
  </si>
  <si>
    <t>Optimum Machine Dishwash</t>
  </si>
  <si>
    <t>CPU, ERMG CK, Tabel</t>
  </si>
  <si>
    <t>Bucket 25 Ltr</t>
  </si>
  <si>
    <t>Sticker Shakir Laban Mix</t>
  </si>
  <si>
    <t>Hp 136A Cartridge</t>
  </si>
  <si>
    <t>Straw Black</t>
  </si>
  <si>
    <t>Chili, Yelo, Staff Meal</t>
  </si>
  <si>
    <t xml:space="preserve">Sticker BBT Filaaa on Toast 5 CM </t>
  </si>
  <si>
    <t>Just C , MM, CPU</t>
  </si>
  <si>
    <t>Pizza Box Shakir - KBC215499</t>
  </si>
  <si>
    <t>Red Coverall BBT</t>
  </si>
  <si>
    <t>Pizza Box Frozen Margherita</t>
  </si>
  <si>
    <t>Tabel Printed Beverage Bags</t>
  </si>
  <si>
    <t xml:space="preserve">Snaxx Crunchy Peanut </t>
  </si>
  <si>
    <t>CPU, Slice</t>
  </si>
  <si>
    <t>Mini Pita Box Legendary 350 GSM Slice</t>
  </si>
  <si>
    <t>CTN 10 Packet 12 pcs</t>
  </si>
  <si>
    <t>Hp 19A Laserjet Toner Image Drum</t>
  </si>
  <si>
    <t>BBT, HO</t>
  </si>
  <si>
    <t>CPU, R&amp;D, ERMG CK, FM</t>
  </si>
  <si>
    <t>Mishmash Sticker Tadallal Badge</t>
  </si>
  <si>
    <t>Almond Flour</t>
  </si>
  <si>
    <t>Packet 453 GMS</t>
  </si>
  <si>
    <t>Steel Polish</t>
  </si>
  <si>
    <t>Box File White 3 rings</t>
  </si>
  <si>
    <t>HO, pp, Yelo, BBT, FM, Shakir</t>
  </si>
  <si>
    <t>Hp 650 Cartrdge Black</t>
  </si>
  <si>
    <t>Stamp Cartridge Mishmash</t>
  </si>
  <si>
    <t>MM, HO</t>
  </si>
  <si>
    <t>Wrapping Sheet Fillaaa wrap Aluminum BBT 35x35</t>
  </si>
  <si>
    <t>Paprika Flakes</t>
  </si>
  <si>
    <t>Open Shoes Size M #36-37</t>
  </si>
  <si>
    <t>Yelo, Shakir, BBT, pp, Slice, Chili, FM, CPU</t>
  </si>
  <si>
    <t>Sticker Salad 9.1 cm Fries Slice</t>
  </si>
  <si>
    <t xml:space="preserve">Liner For Slim Box 7*40  cm </t>
  </si>
  <si>
    <t>Boubyan Carton Factory, Raise International General Trading Co. W.L.L.</t>
  </si>
  <si>
    <t>Bottle 330 ML</t>
  </si>
  <si>
    <t xml:space="preserve">Divider For Shakir Arabi Box 16 x 28 cm 
</t>
  </si>
  <si>
    <t>CTN 24 Frozen Pizza NY - KBC222374</t>
  </si>
  <si>
    <t>Sticker - Use First</t>
  </si>
  <si>
    <t>Correction Pen</t>
  </si>
  <si>
    <t>HO, pp, BBT</t>
  </si>
  <si>
    <t>Saffron Color Powder</t>
  </si>
  <si>
    <t>Peri Peri Seasoning</t>
  </si>
  <si>
    <t>Vegetable Shortening Block</t>
  </si>
  <si>
    <t>Wet Tissue JustC</t>
  </si>
  <si>
    <t xml:space="preserve">Sticker Shakir Large Platter 7*3 cm </t>
  </si>
  <si>
    <t>Bbq Box Sleeve for White Onions</t>
  </si>
  <si>
    <t>Bbq Box Sleeve for Jalepeno</t>
  </si>
  <si>
    <t>Paper Place Mat Pattie Pattie</t>
  </si>
  <si>
    <t>Sticker FeedBack BBT 15.9*6.5 CM</t>
  </si>
  <si>
    <t>Mishmash Filter Paper 18.5"*20.5"</t>
  </si>
  <si>
    <t>Kids Meal Box Yelo New Design KBC227098</t>
  </si>
  <si>
    <t>CTN 63 x Packet 6 Pcs</t>
  </si>
  <si>
    <t>Cotton Gloves</t>
  </si>
  <si>
    <t>Stores office, CPU, ERMG CK</t>
  </si>
  <si>
    <t>Sticker FM IceCream Protien Sandwich 7 CM</t>
  </si>
  <si>
    <t>Sticker Mangoo3 Check List tabel 4*6 CM</t>
  </si>
  <si>
    <t xml:space="preserve">BBT Nuggets 20pcs Box </t>
  </si>
  <si>
    <t>CTN 150 Pcs</t>
  </si>
  <si>
    <t>Black Cherry</t>
  </si>
  <si>
    <t>CTN 6.81 KG</t>
  </si>
  <si>
    <t>FM Sleeve Beetroot Sauce 8*3.5 CM</t>
  </si>
  <si>
    <t>Fennel Seeds</t>
  </si>
  <si>
    <t>Pensil Sharpner</t>
  </si>
  <si>
    <t>Mishmash Towelette Wipes</t>
  </si>
  <si>
    <t xml:space="preserve">Clear Cellophane 10*20 </t>
  </si>
  <si>
    <t>Rice Vinegar</t>
  </si>
  <si>
    <t>Bottle 900 ml</t>
  </si>
  <si>
    <t>Paper Punch</t>
  </si>
  <si>
    <t>FM Sticker Light Beige 4.5cm x 13.5cm</t>
  </si>
  <si>
    <t>CPU, R&amp;D, Shakir Bakery</t>
  </si>
  <si>
    <t>Mishmash Orange Sleeve 9*4</t>
  </si>
  <si>
    <t>Stera Sheen Sanitizer Powder - 2oz</t>
  </si>
  <si>
    <t>MM, R&amp;D, Tabel</t>
  </si>
  <si>
    <t>Bag Plastic White - Shakir 35h*30w</t>
  </si>
  <si>
    <t>Burger Box LTO 250gsm MatLam - Pattie</t>
  </si>
  <si>
    <t>Black Lime Powder</t>
  </si>
  <si>
    <t>Packet 80 GM</t>
  </si>
  <si>
    <t>FM Sticker Red 4.5cm x 13.5cm</t>
  </si>
  <si>
    <t>Sticker Bil Furn Check List tabel 4*6 CM</t>
  </si>
  <si>
    <t>Burner LP G200 - 10912 (Set of 2)</t>
  </si>
  <si>
    <t>Sticker C 4 cm Round  Just C</t>
  </si>
  <si>
    <t>Bin Naji Co. (Al Retqa)</t>
  </si>
  <si>
    <t>Bag W/ Handle  31x28x15 Slice</t>
  </si>
  <si>
    <t>Just C , CPU, HO</t>
  </si>
  <si>
    <t>FM Sleeve Avo lime Sauce 8*3.5 CM</t>
  </si>
  <si>
    <t>Sign Here Sticker</t>
  </si>
  <si>
    <t>FM Sleeve Chipotle Sauce 8*3.5 CM</t>
  </si>
  <si>
    <t>Aluminium Foil 45cm * 65 M</t>
  </si>
  <si>
    <t>Wheat Flour T550</t>
  </si>
  <si>
    <t>CTN 25 KG</t>
  </si>
  <si>
    <t>A5 Yellow Pad</t>
  </si>
  <si>
    <t>CPU, FM, HO, Yelo</t>
  </si>
  <si>
    <t>Metal Floor Sponge</t>
  </si>
  <si>
    <t>CPU, MM, ERMG CK, Staff Meal, HO, FM</t>
  </si>
  <si>
    <t xml:space="preserve">Bag W/O Handle Satchel 45*25*8 - Yelo </t>
  </si>
  <si>
    <t>Bag Plastic Printed Pattie Pattie</t>
  </si>
  <si>
    <t>Alarabi Plastic Factoy, Green Plastic</t>
  </si>
  <si>
    <t>Battery AA</t>
  </si>
  <si>
    <t>Yelo, HO, FM, Slice, MM, BBT, CPU, Stores office</t>
  </si>
  <si>
    <t>Laminating Sheet A4 size</t>
  </si>
  <si>
    <t>HO, FM</t>
  </si>
  <si>
    <t>Bag Plastic Printed FM LD NC 35*40 MIC 50</t>
  </si>
  <si>
    <t>Sticker Shakir Arabi Sauce 6 CM</t>
  </si>
  <si>
    <t>Cheese Halloumi Low-Fat</t>
  </si>
  <si>
    <t>Aluminium Foil BBT Mayo</t>
  </si>
  <si>
    <t>Garbage Bag White</t>
  </si>
  <si>
    <t>Tabel, HO, MM, Chili, Stores office, CPU</t>
  </si>
  <si>
    <t>CTN 26 PCS</t>
  </si>
  <si>
    <t>Suma Pine - Dettol Disinfectant</t>
  </si>
  <si>
    <t>Wax Paper 12 x 44 - Shakir</t>
  </si>
  <si>
    <t>FM Sauce Sticker 3.8cm Dia.</t>
  </si>
  <si>
    <t>Ghee RKG</t>
  </si>
  <si>
    <t>FM, CPU, Staff Meal</t>
  </si>
  <si>
    <t>FM Sleeve 7x50 cm Matt 170gsm</t>
  </si>
  <si>
    <t xml:space="preserve">Rubber Duck 8 Designs </t>
  </si>
  <si>
    <t>FM Sleeve Protien 9 x 46cm</t>
  </si>
  <si>
    <t>Canola Oil Spray - Mantova</t>
  </si>
  <si>
    <t>CPU, Yelo, FM</t>
  </si>
  <si>
    <t>Bottle 200 ML</t>
  </si>
  <si>
    <t>Bbq Box Sleeve for Pickle</t>
  </si>
  <si>
    <t>Bag W/O Handle Just C 32x20x11</t>
  </si>
  <si>
    <t>Basmati Brown Rice</t>
  </si>
  <si>
    <t>CPU, Tabel, MM, FM</t>
  </si>
  <si>
    <t>Doner Machine Motor 220v  (12810)</t>
  </si>
  <si>
    <t>KFH Invoice for Yelo Pizza</t>
  </si>
  <si>
    <t>Chicken Crispy Box  FMGC - LB</t>
  </si>
  <si>
    <t>Mustard Oil</t>
  </si>
  <si>
    <t>Sticker For Shakir Box Sealing 10x5.5cm</t>
  </si>
  <si>
    <t>Aluminium Big Foil Spicy Ranch 4.23oz</t>
  </si>
  <si>
    <t>Dessert Box - Slice</t>
  </si>
  <si>
    <t>S/W Jacket 4x7x28cm Mhamash Musahab - Shakir</t>
  </si>
  <si>
    <t>FM Sleeve Halal Girls Sauce 8*3.5 CM</t>
  </si>
  <si>
    <t>Plastic Bag Printed Slice</t>
  </si>
  <si>
    <t xml:space="preserve">Sticker BBT Not So Ranch Sauce 5.7 CM </t>
  </si>
  <si>
    <t>Rubber Bands</t>
  </si>
  <si>
    <t>Bag Plastic Bread Sealing 34X40 Cm</t>
  </si>
  <si>
    <t>Soup Cup Solo (Paper)</t>
  </si>
  <si>
    <t>Dessert Box Chili papper 300 GSM  Laminat fb</t>
  </si>
  <si>
    <t>BBT, Slice, Chili, pp, Just C , Shakir, LB</t>
  </si>
  <si>
    <t>Printed Paper Lid for Alu plate small -Tabel</t>
  </si>
  <si>
    <t>Garam Masala Powder</t>
  </si>
  <si>
    <t>Smoked Chipotle Pepper  Ground</t>
  </si>
  <si>
    <t>Packet 1.5 KG</t>
  </si>
  <si>
    <t xml:space="preserve">Shakir Salad Sticker 5.5 Cm </t>
  </si>
  <si>
    <t>Sticker For Pattie Bag Sealing 10 x 5.5 cm</t>
  </si>
  <si>
    <t>CTN 3 Packet 6 Kg</t>
  </si>
  <si>
    <t>Frozen Mango chunks</t>
  </si>
  <si>
    <t xml:space="preserve">Tamarind Paste </t>
  </si>
  <si>
    <t>Optimum Destaining Powder</t>
  </si>
  <si>
    <t>Sticker For CTN Margheritta Pizza 11"</t>
  </si>
  <si>
    <t>Triple X box BBT FoodBoard 300gsm</t>
  </si>
  <si>
    <t>Bag Plastic BBT Ice 30×45×50mic</t>
  </si>
  <si>
    <t>Sticker fillaaaa tenders sauce XL 5.3 CM LTO</t>
  </si>
  <si>
    <t>Sticker BBT Single Double 5*1.3 CM</t>
  </si>
  <si>
    <t>Packet 250 GM</t>
  </si>
  <si>
    <t>Shaker Plater Liner KBC217902</t>
  </si>
  <si>
    <t>Bag W/O Handle Chili Pepper 34X30X 18</t>
  </si>
  <si>
    <t>Sticker Smokey  BBT 4 x 1.5 cm</t>
  </si>
  <si>
    <t>Paper Place Mat BBT</t>
  </si>
  <si>
    <t>Mishmash Duramark Date Label Roll</t>
  </si>
  <si>
    <t>MM, R&amp;D, CPU</t>
  </si>
  <si>
    <t>Bamboo Skewer Round Shish Tawook</t>
  </si>
  <si>
    <t>Hp 17A Cartridge</t>
  </si>
  <si>
    <t>HO, BBT</t>
  </si>
  <si>
    <t>Mishmash Printed Sandwich Box</t>
  </si>
  <si>
    <t>CTN 40 Packet 250 pcs</t>
  </si>
  <si>
    <t>Paper Clips Steel Cable 50mm</t>
  </si>
  <si>
    <t>Bottle 2.450 LTR</t>
  </si>
  <si>
    <t>Yelo Cookie Box KBC225093</t>
  </si>
  <si>
    <t>Sugarcane Rect. Cont. 2 Compartment W/Lid PLA COATED</t>
  </si>
  <si>
    <t>Aluminium Foil Shakir Tahina Garlic Sauce</t>
  </si>
  <si>
    <t>FM Sleeve Never Fried 9 x 46cm</t>
  </si>
  <si>
    <t>FM Wax Paper 30x30 (Protein Machine)</t>
  </si>
  <si>
    <t>FM Sleeve Dandash Ranch Sauce 8*3.5 CM</t>
  </si>
  <si>
    <t>Sticker Shakir Beef Platter 7*3 cm</t>
  </si>
  <si>
    <t>Sticker Shakir coleslaw Family 5.5 CM</t>
  </si>
  <si>
    <t>BBT Car Service Numbers 1-20</t>
  </si>
  <si>
    <t>Flyer</t>
  </si>
  <si>
    <t>Shakir Car Service Numbers 1-100</t>
  </si>
  <si>
    <t>FM Sauce Sticker 6cm Dia.</t>
  </si>
  <si>
    <t xml:space="preserve">Sticker BBT Chili&amp;Lime 26x5 cm </t>
  </si>
  <si>
    <t>Paper Place Mat 21x27 cm BBT</t>
  </si>
  <si>
    <t>Tabel Pumpkin Sticker</t>
  </si>
  <si>
    <t>Sticker For Garlic Bread Carton</t>
  </si>
  <si>
    <t>Fancy Concentrate McNoon</t>
  </si>
  <si>
    <t>CTN 4 Packet 4 KG</t>
  </si>
  <si>
    <t>Microwave Sugarcane 24oz Container With lid</t>
  </si>
  <si>
    <t>Carrier 4 Cup Pattie Pattie</t>
  </si>
  <si>
    <t>CTN 12 Chicken Chunk - KBC215505</t>
  </si>
  <si>
    <t>Carrier 4 Cup Shakir</t>
  </si>
  <si>
    <t>Sticker BBT Saltn Vineger 15.6*14.5 CM</t>
  </si>
  <si>
    <t>Strawberry Frozen</t>
  </si>
  <si>
    <t>Bag Plastic For Garlic Bread 20 X34 Cm</t>
  </si>
  <si>
    <t>Cinnamon Powder ERMG</t>
  </si>
  <si>
    <t>Mishmash Sticker Have A Cookie-Full Day 4*4</t>
  </si>
  <si>
    <t>Sugarcane Portion Cup 4oz W/Lid</t>
  </si>
  <si>
    <t>FM Sleeve Dandash Super Bowl 40*17.3 CM</t>
  </si>
  <si>
    <t>Ink Roll Single - Date Machine PL910E</t>
  </si>
  <si>
    <t>Shakir, CPU, Slice, Shakir Bakery</t>
  </si>
  <si>
    <t>Sticker Spicy Signature Sauce 5cm - Slice</t>
  </si>
  <si>
    <t>Bbq Box Sleeve for Cheese</t>
  </si>
  <si>
    <t>FM Beef Pepperoni</t>
  </si>
  <si>
    <t xml:space="preserve">Base CTN For Shakir </t>
  </si>
  <si>
    <t>Charcoal</t>
  </si>
  <si>
    <t>ALL</t>
  </si>
  <si>
    <t>CTN 4 Packet 4.5 Kg</t>
  </si>
  <si>
    <t xml:space="preserve">Nugget Original Box FM </t>
  </si>
  <si>
    <t xml:space="preserve">Wet Tissue Yelo </t>
  </si>
  <si>
    <t>Packnest Packaging Company, Golden Pack</t>
  </si>
  <si>
    <t>Coffee Beans Piacetto Supremo</t>
  </si>
  <si>
    <t>Aluminium Foil Pattie Pattie Mayo</t>
  </si>
  <si>
    <t>Sticker Shakir Tawouq 2.5 CM</t>
  </si>
  <si>
    <t>Sticker Shakir Garlic Family 5.5 CM</t>
  </si>
  <si>
    <t>Bag Plastic CH Printed</t>
  </si>
  <si>
    <t>Battery AAA</t>
  </si>
  <si>
    <t>Slice, MM, CPU, pp, HO, Yelo, Tabel, FM, R&amp;D, Chili</t>
  </si>
  <si>
    <t>Fajita Spice Powder - Magic Seasoning</t>
  </si>
  <si>
    <t>CTN 6 Bottle 142 GM</t>
  </si>
  <si>
    <t>Shaker Plater Box KBC217901</t>
  </si>
  <si>
    <t xml:space="preserve">Wrapping Sheet Printed Chili 34 X 34 - Turquoise </t>
  </si>
  <si>
    <t>Sticker Shakir Crispy 4 PCS 7*3 cm</t>
  </si>
  <si>
    <t>Aluminium Foil Pattie Pattie Sauce</t>
  </si>
  <si>
    <t>Sticker Shakir Seal Sticker Arabi 4.7</t>
  </si>
  <si>
    <t xml:space="preserve">Nugget Sleeve FM Brown </t>
  </si>
  <si>
    <t>Stapler Remover</t>
  </si>
  <si>
    <t>HO, CPU, BBT</t>
  </si>
  <si>
    <t>Sticker Shakir Crispy 6 PCS 7*3 cm</t>
  </si>
  <si>
    <t>Cloves Powder</t>
  </si>
  <si>
    <t>ERMG CK, CPU</t>
  </si>
  <si>
    <t>Sticker Shakir Chicken Platter 7*3 cm</t>
  </si>
  <si>
    <t>R&amp;D, CPU</t>
  </si>
  <si>
    <t>Pattie Pattie 24 Pcs Handle Box</t>
  </si>
  <si>
    <t>FM Sleeve Golden mustard Sauce 8*3.5 CM</t>
  </si>
  <si>
    <t>Wax Paper 20 X 20cm Yelo W/land</t>
  </si>
  <si>
    <t>Pizza Box Frozen Mexican 11 inch</t>
  </si>
  <si>
    <t>Sticker Shakir Kabab 2.5 CM</t>
  </si>
  <si>
    <t>Spring Roll 8.5"</t>
  </si>
  <si>
    <t>CTN 40 Packet 20 pcs</t>
  </si>
  <si>
    <t>Sandwich Jacket Super Beef Spicy 4x7x40 cm - shakir</t>
  </si>
  <si>
    <t>Bag Plastic Printed Just C</t>
  </si>
  <si>
    <t>Just C , R&amp;D, CPU</t>
  </si>
  <si>
    <t>Bag W/ Handle Just C 35x28x15</t>
  </si>
  <si>
    <t>Bottle 2 LTR</t>
  </si>
  <si>
    <t>Wet Tissue Shakir</t>
  </si>
  <si>
    <t>Vanilla Essence 28 ML</t>
  </si>
  <si>
    <t>Chili, CPU</t>
  </si>
  <si>
    <t>Bottle 28 ML</t>
  </si>
  <si>
    <t>CTN Plain 30*23*22 KBC227451</t>
  </si>
  <si>
    <t>Pizza Box Frozen Spinach &amp; Cheese 11 inch</t>
  </si>
  <si>
    <t>Sandwich Jacket Super Beef 4x7x40 cm - shakir</t>
  </si>
  <si>
    <t>Fries Box Big BBT</t>
  </si>
  <si>
    <t>Sandwich Jacket Super Chicken Spicy  4x7x40 cm - shakir</t>
  </si>
  <si>
    <t>Tabel Chef Salad Sticker</t>
  </si>
  <si>
    <t>White Board Marker</t>
  </si>
  <si>
    <t>HO, Slice, Yelo Factory, Chili, CPU, Yelo</t>
  </si>
  <si>
    <t>Sticker Shakir Pickles 5.7CM</t>
  </si>
  <si>
    <t>Wrapping Sheet FM MATAFI 30 X 30</t>
  </si>
  <si>
    <t>Epson Printer Ribbon</t>
  </si>
  <si>
    <t>Tabel, BBT, Shakir, MM</t>
  </si>
  <si>
    <t>CTN 10 PCS</t>
  </si>
  <si>
    <t>Paper Clips Steel Cable 33mm</t>
  </si>
  <si>
    <t>FM Sleeve 7x56 cm Matt 170gsm</t>
  </si>
  <si>
    <t>Aluminium Foil Pattie Pattie Marinara</t>
  </si>
  <si>
    <t>Yelo Tape Margheritta 3"X350mtr.</t>
  </si>
  <si>
    <t>Yelo Tape Pepperoni 3"X350mtr.</t>
  </si>
  <si>
    <t>Sandwich Jacket Super Chicken 4x7x40 cm - shakir</t>
  </si>
  <si>
    <t>Hummus Shakir Sticker 5.5 CM</t>
  </si>
  <si>
    <t>Frozen Sweet Cherry</t>
  </si>
  <si>
    <t>Paper Plate 9"</t>
  </si>
  <si>
    <t>CTN 12 Packet 100 pcs</t>
  </si>
  <si>
    <t>Thermal Roll 2Ply 67mm</t>
  </si>
  <si>
    <t>Decorfruit Black Cherry</t>
  </si>
  <si>
    <t>CTN 6 Tin 2.7 KG</t>
  </si>
  <si>
    <t>KOT Roll - 75mm</t>
  </si>
  <si>
    <t>Shakir, BBT, FM</t>
  </si>
  <si>
    <t>Eraser</t>
  </si>
  <si>
    <t xml:space="preserve">Sticker Shakir Tikka 2.5 CM </t>
  </si>
  <si>
    <t>Wrapping Sheet Shakir 25 X 25</t>
  </si>
  <si>
    <t>Mishmash Foam Lunch Box</t>
  </si>
  <si>
    <t>Tabel, MM, CPU, Staff Meal, ERMG CK</t>
  </si>
  <si>
    <t>Bbq Foam Box Double</t>
  </si>
  <si>
    <t>FM Wax Paper 30x30 (Chicken Fwister)</t>
  </si>
  <si>
    <t>Potato Fries Really Crunchy ( 9 X 9 )</t>
  </si>
  <si>
    <t>Ice Cream KDD - Vanilla</t>
  </si>
  <si>
    <t>Warehouse ETC Arwa</t>
  </si>
  <si>
    <t>Packet 4 KG</t>
  </si>
  <si>
    <t>Pretzel Burger Bun</t>
  </si>
  <si>
    <t>MM - Samoon Bread (PA)</t>
  </si>
  <si>
    <t>Egg Whole Frozen</t>
  </si>
  <si>
    <t>CTN 2 Galon 5 KG</t>
  </si>
  <si>
    <t>Fresh Whole Chicken 900Gm ERMG</t>
  </si>
  <si>
    <t>White Wine Chardonnay - Non Alcoholic</t>
  </si>
  <si>
    <t>Black Lemon Powder</t>
  </si>
  <si>
    <t>Not Exist</t>
  </si>
  <si>
    <t>Onion Rings</t>
  </si>
  <si>
    <t>pp, MM, R&amp;D</t>
  </si>
  <si>
    <t>Packet 2.27 KG</t>
  </si>
  <si>
    <t>Water Bottle Aquafina 17.5 LTR</t>
  </si>
  <si>
    <t>Choc Raspberry Protein Bar</t>
  </si>
  <si>
    <t>Mayonnaise Hayat</t>
  </si>
  <si>
    <t>Pistachio</t>
  </si>
  <si>
    <t>Onion Rings ERMG</t>
  </si>
  <si>
    <t>Whipping Cream President</t>
  </si>
  <si>
    <t>Cocoa Powder</t>
  </si>
  <si>
    <t>Tortilla 6" Flour - Switz</t>
  </si>
  <si>
    <t>CTN 24 Packet 10 PCS</t>
  </si>
  <si>
    <t>Beef Shawarma Spices Mishmash</t>
  </si>
  <si>
    <t>H/C Powder</t>
  </si>
  <si>
    <t>Open Shoes Size XXL #42-43</t>
  </si>
  <si>
    <t>FM, Shakir, Yelo, BBT, pp, Just C , Slice, Chili, LB, CPU</t>
  </si>
  <si>
    <t>Open Shoes Size L #38-39</t>
  </si>
  <si>
    <t>Yelo, Slice, FM, Shakir, PP, BBT, Just C , Chili, CPU</t>
  </si>
  <si>
    <t>Pants White Shakir</t>
  </si>
  <si>
    <t>FM Stk Frzn Gaint Nuggets ORG Back 12*12</t>
  </si>
  <si>
    <t>Pants Beige Tabel</t>
  </si>
  <si>
    <t>Tabel Kitchen Red Shirt</t>
  </si>
  <si>
    <t>T-Shirt RN White EMB LS Shakir Car Service&amp;Cashier</t>
  </si>
  <si>
    <t>T-Shirt RN White EMB HS Shakir Car Service&amp;Cashier</t>
  </si>
  <si>
    <t>Bag Plastic Clear 50x55 Cm</t>
  </si>
  <si>
    <t>Shakir Sleeve For Ramadan 57cm x 16cm</t>
  </si>
  <si>
    <t>Shakir, Swish Bakery</t>
  </si>
  <si>
    <t>Sticker sealing FM Biege Ramadan 11*5.1</t>
  </si>
  <si>
    <t>Steel Scouring Pad</t>
  </si>
  <si>
    <t>Kids Meal Gift Yelo (Hot Wheels &amp; Pouch)</t>
  </si>
  <si>
    <t>Gift</t>
  </si>
  <si>
    <t>Sticker sealing FM Pink Ramadan 11*5.1</t>
  </si>
  <si>
    <t>FM Sleeve Ramadan Samposa Green 40*5.5</t>
  </si>
  <si>
    <t>Bag W/O Handle YELO 34x25x17 HW</t>
  </si>
  <si>
    <t>Sticker sealing FM Green Ramadan 11*5.1</t>
  </si>
  <si>
    <t>Mishmash Bags Clear Plain Small</t>
  </si>
  <si>
    <t>Tabel, MM, CPU</t>
  </si>
  <si>
    <t>FM Sleeve Biege Ramadan 7*50</t>
  </si>
  <si>
    <t>Mishmash Tissue Box</t>
  </si>
  <si>
    <t>Sticker Sealing Yelo Hot Wheels</t>
  </si>
  <si>
    <t>White Grease Proof Paper Bag</t>
  </si>
  <si>
    <t>Baggy Pant Grey Shakir-Car Service&amp;Cashier</t>
  </si>
  <si>
    <t>Moisture Absorbent Wipers 30x40cm</t>
  </si>
  <si>
    <t>Packet 475 pcs</t>
  </si>
  <si>
    <t>Mishmash Sticker Ramadan Vimto Juice</t>
  </si>
  <si>
    <t>FM Cutlery Set</t>
  </si>
  <si>
    <t>Orange Blossom Water AlYamama</t>
  </si>
  <si>
    <t>Mishmash Vimto Sticker 9*6.3</t>
  </si>
  <si>
    <t>Nocciola Bianca - Filling BFL</t>
  </si>
  <si>
    <t>Cholula</t>
  </si>
  <si>
    <t>Cinnamon Oat Granola - KIND</t>
  </si>
  <si>
    <t>Direct Supply</t>
  </si>
  <si>
    <t>Cheese Sauce Cheddar Can</t>
  </si>
  <si>
    <t>Apricot Dry</t>
  </si>
  <si>
    <t>Dry Fruits</t>
  </si>
  <si>
    <t>Fanta Orange Bottle 1.25L</t>
  </si>
  <si>
    <t>Sprite Bottle 1.25L</t>
  </si>
  <si>
    <t>Coca-Cola Light Bottle 1.25L</t>
  </si>
  <si>
    <t>Packet 24 pcs</t>
  </si>
  <si>
    <t>Peanut Butter Protein Bar</t>
  </si>
  <si>
    <t>Shani Strawberry Can 330 ML</t>
  </si>
  <si>
    <t>Mishmash Pouches Sauce Bag</t>
  </si>
  <si>
    <t>Tabel Rawdatain Water 500 ML</t>
  </si>
  <si>
    <t>Tabel, HO</t>
  </si>
  <si>
    <t>Fresh Mozzarella</t>
  </si>
  <si>
    <t>Olive Oil ERMG (Deactivated)</t>
  </si>
  <si>
    <t>Salt ERMG</t>
  </si>
  <si>
    <t>Tabel, MM, CPU, HO, Stores office, ERMG CK</t>
  </si>
  <si>
    <t>Coca-Cola Bottle 1.25L</t>
  </si>
  <si>
    <t>French Coffee</t>
  </si>
  <si>
    <t>Mountain Dew Bottle</t>
  </si>
  <si>
    <t>Staff Meal, Chili, LB, BBT</t>
  </si>
  <si>
    <t>7 Up Diet Bottle 1.25L</t>
  </si>
  <si>
    <t>Chinese Noodles</t>
  </si>
  <si>
    <t>Air Nuts Peanuts Hot Chili Flavor 30g</t>
  </si>
  <si>
    <t>Packet 14 pcs</t>
  </si>
  <si>
    <t>Air Nuts Peanuts Sour Cream Flavor 30g</t>
  </si>
  <si>
    <t>Mojito Wild Mint Syrup</t>
  </si>
  <si>
    <t>Lettuce Chop slice (PA)</t>
  </si>
  <si>
    <t>Greek Yoghurt Nada Deactivated</t>
  </si>
  <si>
    <t>Banana Ketchup</t>
  </si>
  <si>
    <t>CTN 18 Bottle 550 GM</t>
  </si>
  <si>
    <t>Dil Chips ERMG</t>
  </si>
  <si>
    <t>CTN 6 Bottle 1.814 kg</t>
  </si>
  <si>
    <t>White Flour 1651 ERMG</t>
  </si>
  <si>
    <t>Ginger Powder ERMG</t>
  </si>
  <si>
    <t>Whipping Cream (Deactivated)</t>
  </si>
  <si>
    <t>White Rice</t>
  </si>
  <si>
    <t>Staff Meal, CPU</t>
  </si>
  <si>
    <t>Clear Frying Oil</t>
  </si>
  <si>
    <t>Slice, Chili, MM, ERMG CK, R&amp;D</t>
  </si>
  <si>
    <t>Galon 15.88 Liter</t>
  </si>
  <si>
    <t>Coriander Powder ERMG</t>
  </si>
  <si>
    <t>Sugar SIS</t>
  </si>
  <si>
    <t>Mayonnaise Mill</t>
  </si>
  <si>
    <t>Paprika Powder ERMG</t>
  </si>
  <si>
    <t>All Purpose Baking Flour Red Mill</t>
  </si>
  <si>
    <t>Celsius Raspberry Acai Green Tea</t>
  </si>
  <si>
    <t>Abdul Wahab Faisal AlQatami Group</t>
  </si>
  <si>
    <t>Mishmash Rawdatain Water 500 ML</t>
  </si>
  <si>
    <t>Palm Olein For Frying</t>
  </si>
  <si>
    <t>Galon 18 Liter</t>
  </si>
  <si>
    <t>Sriracha Chilli Sauce ERMG</t>
  </si>
  <si>
    <t>Jellied Cranberry- Essential</t>
  </si>
  <si>
    <t>Rawdatain Water 330 ML</t>
  </si>
  <si>
    <t>HO, R&amp;D, Stores office</t>
  </si>
  <si>
    <t>BBQ Sauce Sweet Ray's</t>
  </si>
  <si>
    <t>BBT, CPU, FM</t>
  </si>
  <si>
    <t>Mustard Dijon ERMG</t>
  </si>
  <si>
    <t>Celsius Sparkling Cola</t>
  </si>
  <si>
    <t>Sunflower Oil</t>
  </si>
  <si>
    <t>CTN 3 Galon 5 Liter</t>
  </si>
  <si>
    <t>Korean Sauce (PA)</t>
  </si>
  <si>
    <t>Fresh Eggs ERMG (Deactivated)</t>
  </si>
  <si>
    <t>Rice Box Red Food board Lamination inside 350 GSM</t>
  </si>
  <si>
    <t>To be Deactivated</t>
  </si>
  <si>
    <t xml:space="preserve">Ketchup Bulk NetherLand </t>
  </si>
  <si>
    <t>CTN 2 Galon 4.5 KG</t>
  </si>
  <si>
    <t>Garlic Powder ERMG</t>
  </si>
  <si>
    <t>Sugar 10kg (Deactivated)</t>
  </si>
  <si>
    <t>MM, Tabel, HO, Stores office, ERMG CK, R&amp;D</t>
  </si>
  <si>
    <t>Air Nuts Peanuts Salt and Black Pepper Flavor 30g</t>
  </si>
  <si>
    <t>Basmati Rice Sella XXL (Deactivated)</t>
  </si>
  <si>
    <t>Black Rice</t>
  </si>
  <si>
    <t>Rigatoni Pasta</t>
  </si>
  <si>
    <t>Tortilla Chips Mexita</t>
  </si>
  <si>
    <t>MM, Chili, R&amp;D</t>
  </si>
  <si>
    <t>Chickpeas Canned (Deactivated)</t>
  </si>
  <si>
    <t>Celery Salt</t>
  </si>
  <si>
    <t>Dry Basil Leaves ERMG</t>
  </si>
  <si>
    <t>Dry Mint ERMG</t>
  </si>
  <si>
    <t>Marjoram Powder ERMG</t>
  </si>
  <si>
    <t>Saffron Color ERMG</t>
  </si>
  <si>
    <t>Knorr Vegetable Stock Powder ERMG</t>
  </si>
  <si>
    <t>Mishmash Paper Bag Big Size Hala Feb</t>
  </si>
  <si>
    <t>FM Sleeve Green Ramadan 6*36</t>
  </si>
  <si>
    <t>Guar Gum</t>
  </si>
  <si>
    <t>Whole Grain Mustard</t>
  </si>
  <si>
    <t>Chicken BIRRRRD Box LB</t>
  </si>
  <si>
    <t>Hazelnut</t>
  </si>
  <si>
    <t>Mahleb Powder</t>
  </si>
  <si>
    <t>Basmati Rice</t>
  </si>
  <si>
    <t>Raspberry Glaze</t>
  </si>
  <si>
    <t>Chipotle Chilli Powder</t>
  </si>
  <si>
    <t>Bottle 453 GM</t>
  </si>
  <si>
    <t>Pumpkin Soup Base</t>
  </si>
  <si>
    <t>Greek Yoghurt</t>
  </si>
  <si>
    <t>Milk Chocolate Block</t>
  </si>
  <si>
    <t>Gum Mastic Arabic</t>
  </si>
  <si>
    <t>Milk Chocolate Couverture DGF</t>
  </si>
  <si>
    <t>Sugar Brown</t>
  </si>
  <si>
    <t>White Beans</t>
  </si>
  <si>
    <t>Raspberry Syrup</t>
  </si>
  <si>
    <t>Hazelnut Flavor</t>
  </si>
  <si>
    <t>Zahr Al-Limon (Flower Jam)</t>
  </si>
  <si>
    <t>Demi Glaze Sauce Maggi</t>
  </si>
  <si>
    <t>Raw Peanut Skin Off</t>
  </si>
  <si>
    <t>Coriander Whole</t>
  </si>
  <si>
    <t>Masoor Whole Brown</t>
  </si>
  <si>
    <t>Oats Rolled Quick Red Mill</t>
  </si>
  <si>
    <t>Lasagne Sheet Dry</t>
  </si>
  <si>
    <t>Macaroni No. 24 KFM</t>
  </si>
  <si>
    <t>Masoor Whole Green</t>
  </si>
  <si>
    <t>Freekeh</t>
  </si>
  <si>
    <t>Lotus Biscuit</t>
  </si>
  <si>
    <t>Jumbo Fries Sleeves BBT Food Board</t>
  </si>
  <si>
    <t>Tabasco Pepper Sauce 3.7ML Yelo Pizza</t>
  </si>
  <si>
    <t>Warehouse Yelo arwa</t>
  </si>
  <si>
    <t>Lemon Pepper Seasoning</t>
  </si>
  <si>
    <t>Salted Caramel Protein Bar</t>
  </si>
  <si>
    <t>Whipping Cream Arla</t>
  </si>
  <si>
    <t>CTN 10 Packet 1 Liter</t>
  </si>
  <si>
    <t>Appetizer Box Mishmash &amp; Shrimpy 350GSM (Deactivated)</t>
  </si>
  <si>
    <t>Vimto Fizzy Can 250ML</t>
  </si>
  <si>
    <t>Rose Petals</t>
  </si>
  <si>
    <t>Dry Mint</t>
  </si>
  <si>
    <t>Packet 50 GM</t>
  </si>
  <si>
    <t>Saffron Flower</t>
  </si>
  <si>
    <t>Packet 1 GM</t>
  </si>
  <si>
    <t>Japanese Bread Panko ERMG</t>
  </si>
  <si>
    <t>Black Sesame Seeds</t>
  </si>
  <si>
    <t>Voda Voda Plastic Bottle 330 Ml</t>
  </si>
  <si>
    <t>Cheese Burrata</t>
  </si>
  <si>
    <t>Feta Cheese Valbresso</t>
  </si>
  <si>
    <t>Goat Cheese</t>
  </si>
  <si>
    <t>Combo Box BBT Corrugated KBC224058</t>
  </si>
  <si>
    <t>Tajin Powder</t>
  </si>
  <si>
    <t>Wafer Biscuits</t>
  </si>
  <si>
    <t>CTN 15 Packet 55 pcs</t>
  </si>
  <si>
    <t>Mishmash Cake Divider (Deactivated)</t>
  </si>
  <si>
    <t>Pecan Nuts</t>
  </si>
  <si>
    <t>Water Gallon(inactive)</t>
  </si>
  <si>
    <t>Gallon 20Liter</t>
  </si>
  <si>
    <t>Tonkatsu Bulldog Sauce</t>
  </si>
  <si>
    <t>Fresh Veg</t>
  </si>
  <si>
    <t>Kewra Water</t>
  </si>
  <si>
    <t>CTN 48 Packet 200 ML</t>
  </si>
  <si>
    <t>Vinegar Apple Cider ERMG</t>
  </si>
  <si>
    <t>CTN 12 Bottle 750 ML</t>
  </si>
  <si>
    <t>Sambal Olek Sauce</t>
  </si>
  <si>
    <t>CTN 6 Bottle 740 GM</t>
  </si>
  <si>
    <t>Tapioca Flour (Starch)</t>
  </si>
  <si>
    <t>Apricot Jam</t>
  </si>
  <si>
    <t>CTN 12 Bottle 800 GM</t>
  </si>
  <si>
    <t>Prolife Puff Sea Salt &amp; Vinegar Flavor 13 gm Protein</t>
  </si>
  <si>
    <t>Tray Box Lovebird</t>
  </si>
  <si>
    <t>Sunflower Oil ERMG</t>
  </si>
  <si>
    <t>CTN 4 Bottle 4 liter</t>
  </si>
  <si>
    <t>Cheese Majdouli</t>
  </si>
  <si>
    <t>Chili Powder Eastern</t>
  </si>
  <si>
    <t>Avocado Oil</t>
  </si>
  <si>
    <t>Instant Arabic Coffee with Cardamom</t>
  </si>
  <si>
    <t>Onion Powder ERMG</t>
  </si>
  <si>
    <t>CPU, ERMG CK, MM</t>
  </si>
  <si>
    <t>Flour Whole Wheat</t>
  </si>
  <si>
    <t xml:space="preserve">Zater Powder with Sesame </t>
  </si>
  <si>
    <t>Mishmash Hala Feb Sticker</t>
  </si>
  <si>
    <t>Carrier Ice Cream 4 Cup BBT</t>
  </si>
  <si>
    <t>Khalas Dates</t>
  </si>
  <si>
    <t>Chicken Chunks Box LB</t>
  </si>
  <si>
    <t>FM Sleeve Green Ramadan 7*56</t>
  </si>
  <si>
    <t>Combo Box New BBT Corrugated KBC224996 OLD DESIGN</t>
  </si>
  <si>
    <t>Appetizer Box Mishmash&amp;Shrimpy 300 GSM</t>
  </si>
  <si>
    <t>Cavity Macaron 24 Container</t>
  </si>
  <si>
    <t>Mishmash Paper Bag Small Size  Hala Feb</t>
  </si>
  <si>
    <t>Mishmash Empty Tissue Box</t>
  </si>
  <si>
    <t>Kids Meal Box Lovebird</t>
  </si>
  <si>
    <t>Salad/ Meat Box</t>
  </si>
  <si>
    <t>Pillow Box 300 Gsm Slice</t>
  </si>
  <si>
    <t>Carton Small Box for Premix - 310x250x160</t>
  </si>
  <si>
    <t>FM Kids Box</t>
  </si>
  <si>
    <t>Crispy Box Slice</t>
  </si>
  <si>
    <t>Pillow Box 300 Gsm Shakir</t>
  </si>
  <si>
    <t>Ramadan IFTAR Box KBC227081</t>
  </si>
  <si>
    <t>Optimum Rinse Aid</t>
  </si>
  <si>
    <t>FM Sticker Dark Green 4.5cm x 13.5cm</t>
  </si>
  <si>
    <t xml:space="preserve">FM Sleeve Pink Ramadan 7*46 </t>
  </si>
  <si>
    <t>Liquid Acidic Rinse Aid A8.8</t>
  </si>
  <si>
    <t>Mini Saj Box Food board 350 GSM</t>
  </si>
  <si>
    <t>FM Stk Frzn Popcorn Nug Back 12*12</t>
  </si>
  <si>
    <t>FM Stk Frzn Fresh Fries Back 12*12</t>
  </si>
  <si>
    <t>FM Stk Frzn CHKN Tender Back 12*12</t>
  </si>
  <si>
    <t>FM Stk Frzn  Nuggets Keto Back 12*12</t>
  </si>
  <si>
    <t>FM Stk Frzn Popcorn Nug front 25*15</t>
  </si>
  <si>
    <t>FM Stk Frzn Fresh Fries Front 25*15</t>
  </si>
  <si>
    <t>FM Stk Frzn CHKN Tender Front 25*15</t>
  </si>
  <si>
    <t>FM Stk Frzn  Nuggets Keto Front 25*15</t>
  </si>
  <si>
    <t>FM Stk Frzn Gaint Nuggets ORG Front 25*15</t>
  </si>
  <si>
    <t xml:space="preserve">Garlic Box Brown Plain 390x275x280-KBC220240 </t>
  </si>
  <si>
    <t xml:space="preserve">Sticker Shakir Mix Platter for 4 Person 7*3 cm </t>
  </si>
  <si>
    <t>Paper Cup BBT Hot Choc 8oz Red D/W/lid</t>
  </si>
  <si>
    <t>Mishmash Ramadan Sticker</t>
  </si>
  <si>
    <t>Tissue Z Fold</t>
  </si>
  <si>
    <t>HO, Stores office, pp, Shakir, ERMG CK, Tabel, Chili, MM</t>
  </si>
  <si>
    <t>Universe General Trading Co.</t>
  </si>
  <si>
    <t>FM Frozen Bag 30*30 With Ziploc</t>
  </si>
  <si>
    <t>Soft Floor Brush</t>
  </si>
  <si>
    <t>Tabel, MM, Stores office, HO, ERMG CK, CPU</t>
  </si>
  <si>
    <t>Folded Tissue</t>
  </si>
  <si>
    <t>Wax Paper Brown Plain 30x30</t>
  </si>
  <si>
    <t>Black Trash Bag (125 X 135)</t>
  </si>
  <si>
    <t>Wooden Mop Handle</t>
  </si>
  <si>
    <t>Pants for Car Service - Shakir</t>
  </si>
  <si>
    <t>Doner Cutter Electric</t>
  </si>
  <si>
    <t>FM Clear plastic container 12oz w/ Dom lid</t>
  </si>
  <si>
    <t>Shani Strawberry Can 150 ML</t>
  </si>
  <si>
    <t>Teflon Tape 10mm 10mtr</t>
  </si>
  <si>
    <t>xxxOven Cleaner Zoom 6Txxx</t>
  </si>
  <si>
    <t>Plastic File Tag</t>
  </si>
  <si>
    <t>Packet 25 PCS</t>
  </si>
  <si>
    <t>BBT Steward Black Cap</t>
  </si>
  <si>
    <t>T-Shirt Polo Half Sleeve - Slice</t>
  </si>
  <si>
    <t>Blue Lid for Bottle 200ml LB</t>
  </si>
  <si>
    <t>Foam Plate Black</t>
  </si>
  <si>
    <t>Paper Cup 4oz White (Deactivated)</t>
  </si>
  <si>
    <t>Mirinda Orange Bottle</t>
  </si>
  <si>
    <t>Lid White for 6oz Paper Cup</t>
  </si>
  <si>
    <t>Pepsi Cola Bottle</t>
  </si>
  <si>
    <t>Chili, Staff Meal, LB, BBT</t>
  </si>
  <si>
    <t>7 Up Bottle</t>
  </si>
  <si>
    <t>Profless Concentrate</t>
  </si>
  <si>
    <t>Canned Sliced Mushroom</t>
  </si>
  <si>
    <t>FM Wax Paper 30x30 (Fhooper Burger)</t>
  </si>
  <si>
    <t>Filter Paper Vito</t>
  </si>
  <si>
    <t>Cheese Blue</t>
  </si>
  <si>
    <t>Cheese Brie</t>
  </si>
  <si>
    <t>Talbat Roll (Knet Roll)</t>
  </si>
  <si>
    <t>Pickle Jalepeno Sliced</t>
  </si>
  <si>
    <t>Just C , FM, Chili, CPU, Yelo</t>
  </si>
  <si>
    <t>Tin 1.5 KG</t>
  </si>
  <si>
    <t>FM Fries Sleeve 10x10x4 cm</t>
  </si>
  <si>
    <t>Sugarcane Raisen Canes Container</t>
  </si>
  <si>
    <t>CTN 200 Pcs</t>
  </si>
  <si>
    <t>Cutlery I/C Spoon Yellow - LB</t>
  </si>
  <si>
    <t>Cup Clear Palstic  12 Oz</t>
  </si>
  <si>
    <t>Mishmash Restaurant Menu</t>
  </si>
  <si>
    <t xml:space="preserve">Hazelnut Protein Bar </t>
  </si>
  <si>
    <t>Dunes of Kuwait Company</t>
  </si>
  <si>
    <t>Box Plain Carton 35wx43hx57cm</t>
  </si>
  <si>
    <t>Plastic Cups Yellow 12 oz</t>
  </si>
  <si>
    <t>White Shirt Long Sleeve - Pattie</t>
  </si>
  <si>
    <t>Plastic Bags LB Printed Bib 30+10+10*45mic</t>
  </si>
  <si>
    <t>Slider Sleeve Plain Slice</t>
  </si>
  <si>
    <t>Shakir, Slice</t>
  </si>
  <si>
    <t>Mini Pita Sleeves Deactivated</t>
  </si>
  <si>
    <t>Sticker Shakir Spicy 3.5 CM LTO (Deactivated)</t>
  </si>
  <si>
    <t>T-Shirt Round Neck Slice</t>
  </si>
  <si>
    <t>Paper Cup BBT Hot Choc 8oz Black D/W/lid</t>
  </si>
  <si>
    <t>Mishmash Big Plastic LD Bag 55*65</t>
  </si>
  <si>
    <t>Stores office, MM, WHS</t>
  </si>
  <si>
    <t>Polo Shirt  - Pattie</t>
  </si>
  <si>
    <t>Black Pants Pattie Pattie</t>
  </si>
  <si>
    <t>FM Paper Bag With Handle 36x28x15 White</t>
  </si>
  <si>
    <t>Paper Cup 12 Oz W/ Lid -BBT Milkshake (Deactivated)</t>
  </si>
  <si>
    <t>T-Shirt Polo Half Sleeve With logo LB</t>
  </si>
  <si>
    <t>Fries Sleeves LoveBird Food Board</t>
  </si>
  <si>
    <t>Sticker LB  - OS</t>
  </si>
  <si>
    <t>T-Shirt Round Neck F/S - PP Navy</t>
  </si>
  <si>
    <t>T-Shirt Round Neck F/S - PP Maroon</t>
  </si>
  <si>
    <t>Shirt Customized Embroidery for Cashier PP</t>
  </si>
  <si>
    <t>Mishmash Ramadan Iftar Box 31*31*11</t>
  </si>
  <si>
    <t>Face Shield</t>
  </si>
  <si>
    <t>Hand Towel Roll Celtex- Tezweed</t>
  </si>
  <si>
    <t>T-Shirt Polo White L - BBT</t>
  </si>
  <si>
    <t>Cheese Akkawi</t>
  </si>
  <si>
    <t>Tin 17 KG</t>
  </si>
  <si>
    <t>Box File Small</t>
  </si>
  <si>
    <t>ERMG CK, BBT, CPU</t>
  </si>
  <si>
    <t>Rebate Beef Wolverine</t>
  </si>
  <si>
    <t>Return</t>
  </si>
  <si>
    <t>Bag W/O Handle LoveBird 32x24x12</t>
  </si>
  <si>
    <t xml:space="preserve">Cutlury Spoon White </t>
  </si>
  <si>
    <t>CTN 20 Packet 50 PCS</t>
  </si>
  <si>
    <t>Korean Chili Powder</t>
  </si>
  <si>
    <t>FM, Shakir, CPU</t>
  </si>
  <si>
    <t>Glue Board for Fly Catcher V Shape</t>
  </si>
  <si>
    <t>Burgul Brown Crushed</t>
  </si>
  <si>
    <t>Burgul White Crushed</t>
  </si>
  <si>
    <t>Wrapper Roll Plastic 50 micron</t>
  </si>
  <si>
    <t>Container Plastic 12 Oz (Dessert)</t>
  </si>
  <si>
    <t>Container Microwave. 4oz</t>
  </si>
  <si>
    <t>Dome Lids 12/16/24 Oz</t>
  </si>
  <si>
    <t>Container White with Clear Lid ( Mehlabiya )</t>
  </si>
  <si>
    <t>Filter Paper Frymaster</t>
  </si>
  <si>
    <t>BBT, Slice, LB, Just C , pp, Shakir</t>
  </si>
  <si>
    <t>Dough Cloth 45*65cm</t>
  </si>
  <si>
    <t>Prolife Chips Spicy Cheese Flavor 13 gm Protein</t>
  </si>
  <si>
    <t>Cake Box Black BBT VOL.1</t>
  </si>
  <si>
    <t>Dustpan With Cover</t>
  </si>
  <si>
    <t>XXXYelo Side Box - KBC215060XXX</t>
  </si>
  <si>
    <t>Rebate Really Crunchy 6x6</t>
  </si>
  <si>
    <t>Souvlaki Shakir Bread 8x8</t>
  </si>
  <si>
    <t>R&amp;D, Shakir</t>
  </si>
  <si>
    <t>CTN 5 Packet 12 pcs</t>
  </si>
  <si>
    <t>Rebate Sure Crispy Max 7x7</t>
  </si>
  <si>
    <t>Plastic Bag Clear 55x60 Cm</t>
  </si>
  <si>
    <t>Paper Napkin Printed LoveBird 33x33</t>
  </si>
  <si>
    <t>Onion Rings - Battered Fried</t>
  </si>
  <si>
    <t>PP,BBT</t>
  </si>
  <si>
    <t>Nuggets Box - Love Bird</t>
  </si>
  <si>
    <t>Flat Bread Slice 7x7</t>
  </si>
  <si>
    <t>Shakir, R&amp;D, Slice</t>
  </si>
  <si>
    <t>CTN 6 Packet 10 pcs</t>
  </si>
  <si>
    <t>4 Way Switch Board</t>
  </si>
  <si>
    <t>Heating Element 1500W</t>
  </si>
  <si>
    <t>Round Panel Light 12W</t>
  </si>
  <si>
    <t>Light</t>
  </si>
  <si>
    <t>Round Panel Light 18W D/L</t>
  </si>
  <si>
    <t>Socket 15A Shuttered</t>
  </si>
  <si>
    <t>Wet Tissue LoveBird</t>
  </si>
  <si>
    <t>Golden Pack</t>
  </si>
  <si>
    <t>PH Strip for Liquid Vegi Wash</t>
  </si>
  <si>
    <t>Ricoh Toner MP 2014H  Black</t>
  </si>
  <si>
    <t>Aluminium Foil LoveBird Sauce</t>
  </si>
  <si>
    <t>Sticker LB Original -OG</t>
  </si>
  <si>
    <t>Rebate Potato Fries (9 X 18)</t>
  </si>
  <si>
    <t>Light Inside Hood (Bulket 60W)</t>
  </si>
  <si>
    <t>Paper Cup 3.5 oz With Lid - LB</t>
  </si>
  <si>
    <t>Cover All Blue - LB</t>
  </si>
  <si>
    <t>Aluminium Foil Sleeves LB 130w x228h x5mm</t>
  </si>
  <si>
    <t>Switch Snap (On-Off) 3P</t>
  </si>
  <si>
    <t>Single Socket 13A</t>
  </si>
  <si>
    <t>Aluminium Foil Fly Bird Sauce LoveBird</t>
  </si>
  <si>
    <t>Red Color</t>
  </si>
  <si>
    <t>Soujouk Spice Powder</t>
  </si>
  <si>
    <t>H/C .Powder</t>
  </si>
  <si>
    <t>Pure Milk Topping</t>
  </si>
  <si>
    <t>Straw Yellow 8mm - LoveBird</t>
  </si>
  <si>
    <t>Sticker Lovebird Juice Bottle</t>
  </si>
  <si>
    <t>Drain &amp; Heavy Stain Cleaner - VC 20</t>
  </si>
  <si>
    <t>Sticker LB BBQ Sauce</t>
  </si>
  <si>
    <t>Burgul Brown Fine</t>
  </si>
  <si>
    <t>LOVEBIRD SAUCE BOTTLES</t>
  </si>
  <si>
    <t>Aluminium Foil BBQ Sauce LoveBird 69mm</t>
  </si>
  <si>
    <t>Aluminium Foil Fly Bird Sauce LoveBird 69mm</t>
  </si>
  <si>
    <t>Pure Chocolate Finesse</t>
  </si>
  <si>
    <t>Sticker LB DirtyBird Sauce</t>
  </si>
  <si>
    <t>Atlas Plastic Pocket Folder (100)</t>
  </si>
  <si>
    <t>Sticker Shakir Spicy Garlic Sauce</t>
  </si>
  <si>
    <t>Sticker for Foils</t>
  </si>
  <si>
    <t>Sticker LB HotBird Sauce</t>
  </si>
  <si>
    <t>Paper Cup 4oz White</t>
  </si>
  <si>
    <t>Cranberry Dry</t>
  </si>
  <si>
    <t>Marjoram Powder</t>
  </si>
  <si>
    <t>Aluminium Foil Mayo Sauce LoveBird 69mm</t>
  </si>
  <si>
    <t>Box Plain 26x22x18cm Co-op Sauce Bottles</t>
  </si>
  <si>
    <t>LB COOP</t>
  </si>
  <si>
    <t>Slider Box Black BBT VOL.1</t>
  </si>
  <si>
    <t>Whiskin Around Cake Box</t>
  </si>
  <si>
    <t>Whiskin</t>
  </si>
  <si>
    <t>Box for 1 Cookie Black BBT VOL.1</t>
  </si>
  <si>
    <t>Chefs Hat ERMG</t>
  </si>
  <si>
    <t>Box for 6 Cookies Black BBT VOL.1</t>
  </si>
  <si>
    <t>Hp 953 Xl Cartridge Black</t>
  </si>
  <si>
    <t xml:space="preserve">Green  T Shirt Polo F/S with Logo FM long sleeve - Store in </t>
  </si>
  <si>
    <t>Green T Shirt Polo F/S with Logo FM- long sleeve dispatchers</t>
  </si>
  <si>
    <t>Aluminium Foil Mayo Sauce LoveBird</t>
  </si>
  <si>
    <t>Aluminium Foil LoveBird Sauce 69mm</t>
  </si>
  <si>
    <t>J Cloth Yellow</t>
  </si>
  <si>
    <t>Sticker LB - Bag - LB</t>
  </si>
  <si>
    <t>Sticker LB Mayo</t>
  </si>
  <si>
    <t>Wrapping Sheet 12*12 Black 1 Cookie BBT VOL.1</t>
  </si>
  <si>
    <t>Sticker LB Fly Bird Sauce</t>
  </si>
  <si>
    <t>Plastic Bag  Size 35*25  (Deactivated)</t>
  </si>
  <si>
    <t>Saj &amp; Pita Wax Paper Sleeves (Deactivated)</t>
  </si>
  <si>
    <t>J Cloth Blue</t>
  </si>
  <si>
    <t>Bag Plastic Printed Refresh (Deactivated)</t>
  </si>
  <si>
    <t>Kids Meal Sticker Pack Pattie Pattie</t>
  </si>
  <si>
    <t>J Cloth Red</t>
  </si>
  <si>
    <t>J Cloth Green</t>
  </si>
  <si>
    <t>Kids Box Black BBT VOL.1</t>
  </si>
  <si>
    <t>Tray Box Shakir F/B 350gsm</t>
  </si>
  <si>
    <t>Burger Box Slice 350 GS FB</t>
  </si>
  <si>
    <t>Burger Box Black BBT VOL.1</t>
  </si>
  <si>
    <t>Burger Box LTO 250gsm MatLam - Pattie BIG SIZE</t>
  </si>
  <si>
    <t>Sticker Shakir Garlic Sauce</t>
  </si>
  <si>
    <t>Foam Plate Burger C</t>
  </si>
  <si>
    <t>FM Sticker for Bag Seal 5.1x11cm (3 New Designs)  (Deactivat</t>
  </si>
  <si>
    <t>Sticker Shakir Normal 3.5 CM LTO (Deactivated)</t>
  </si>
  <si>
    <t>Tray Box BBT</t>
  </si>
  <si>
    <t>BBT Big Kid Kit Box</t>
  </si>
  <si>
    <t>Tabel Combo Divider</t>
  </si>
  <si>
    <t>BBT Steward Black Shirt</t>
  </si>
  <si>
    <t>Carrier 4 Cup Love Bird</t>
  </si>
  <si>
    <t>Jumbo Fries Box BBT Red Color FB</t>
  </si>
  <si>
    <t>T-Shirt Round Neck Yelo - 4 Colors</t>
  </si>
  <si>
    <t>Winter Jacket Yelo Hoody HQ</t>
  </si>
  <si>
    <t xml:space="preserve">Liner For Slim Box </t>
  </si>
  <si>
    <t>Sticker LB  -  CR</t>
  </si>
  <si>
    <t>T-Shirt Chili Pepper Polo</t>
  </si>
  <si>
    <t>Pizza Box Thin Margherita</t>
  </si>
  <si>
    <t>Xerox B215 Black Toner</t>
  </si>
  <si>
    <t>Packet 2 pcs</t>
  </si>
  <si>
    <t>Pillow Box Red Snoozy</t>
  </si>
  <si>
    <t xml:space="preserve">T-Shirt H/S Blue Round Neck For Porter </t>
  </si>
  <si>
    <t>Xerox B215 Imaging Drum</t>
  </si>
  <si>
    <t>T-Shirt Round Neck Black F/S - BBT 1side Print</t>
  </si>
  <si>
    <t>Apron Full Red Shakir</t>
  </si>
  <si>
    <t>Warehouse Long Sleeve Tshirt Green</t>
  </si>
  <si>
    <t>WHS</t>
  </si>
  <si>
    <t>Hanging Files</t>
  </si>
  <si>
    <t>Scotch Brite Squeegee for Grill Cleaning</t>
  </si>
  <si>
    <t>Winter Jacket Dark Grey Cotton</t>
  </si>
  <si>
    <t>Hp 120 A Drum</t>
  </si>
  <si>
    <t>Hp 650 Cartrdge Color</t>
  </si>
  <si>
    <t>T-Shirt Office Boy</t>
  </si>
  <si>
    <t>Tabel Cashier Green Shirt</t>
  </si>
  <si>
    <t>Squeezy Dispencer Clear</t>
  </si>
  <si>
    <t>Yelo, Just C , pp, CPU, R&amp;D</t>
  </si>
  <si>
    <t>Micro Cont. RO 40 - Yelo Pizza</t>
  </si>
  <si>
    <t>Sticker Snoozy's Red - Pillow</t>
  </si>
  <si>
    <t>Sticker Snoozy's Yellow - Pillow</t>
  </si>
  <si>
    <t>Tabel Short Apron</t>
  </si>
  <si>
    <t>Winter Jacket Black with Hood JustC</t>
  </si>
  <si>
    <t>BBT Red Basic Cap</t>
  </si>
  <si>
    <t>Pillow Box Yellow Snoozy</t>
  </si>
  <si>
    <t>Plastic Document File ERMG</t>
  </si>
  <si>
    <t>Tabel Cashier Pant</t>
  </si>
  <si>
    <t>CD Marker Pens</t>
  </si>
  <si>
    <t>Winter Jacket Slice Printed Grey With Hood</t>
  </si>
  <si>
    <t>Winter Jacket Grey with Hood - Printed</t>
  </si>
  <si>
    <t>Pants - Office Boy</t>
  </si>
  <si>
    <t>Wet Tissues -Towlette</t>
  </si>
  <si>
    <t>Sticker Lovebird Kids Meal (PA)</t>
  </si>
  <si>
    <t>File Divider Plastic With Number</t>
  </si>
  <si>
    <t>Winter Jacket Oily - Office Boy</t>
  </si>
  <si>
    <t>Sticker For Pesto Ranch Sauce</t>
  </si>
  <si>
    <t xml:space="preserve">BBT Hoodie Black Embroidery </t>
  </si>
  <si>
    <t>Jacket High Visibility</t>
  </si>
  <si>
    <t>Open Shoes Size XXXL #44-45</t>
  </si>
  <si>
    <t>BBT, pp, Yelo, Slice, Chili, Shakir, CPU</t>
  </si>
  <si>
    <t>Sticker Shakir For Ramadan 6.14*8.4 CM</t>
  </si>
  <si>
    <t>Black Trash Bag 60*90 Wh</t>
  </si>
  <si>
    <t>ERMG CK, Tabel, MM, Stores office</t>
  </si>
  <si>
    <t>Pizza Box Frozen Soho</t>
  </si>
  <si>
    <t>Burner LP G300 - 10010 (Set of 2)</t>
  </si>
  <si>
    <t>SNE</t>
  </si>
  <si>
    <t>Green Polo T Shirt FM with Logo and Name</t>
  </si>
  <si>
    <t>Warehouse Pant</t>
  </si>
  <si>
    <t>Mishmash Saj Bread Plast. bag (Deactivated)</t>
  </si>
  <si>
    <t>Tabel Printed Beverage Bags (Deactivated)</t>
  </si>
  <si>
    <t>Pizza Box Thin Pepperoni</t>
  </si>
  <si>
    <t>Garbage Bag White 30x 50cm</t>
  </si>
  <si>
    <t>Aluminium Foil BBQ Sauce LoveBird</t>
  </si>
  <si>
    <t>White Shirt With Thin Black Stripe - Pattie</t>
  </si>
  <si>
    <t>Sticker LB Spicy -SP</t>
  </si>
  <si>
    <t>Long Apron Burgundy - Pattie</t>
  </si>
  <si>
    <t>Cover All Red MT - BBT</t>
  </si>
  <si>
    <t>Refill Cept Soap</t>
  </si>
  <si>
    <t>Cover All Red LR - BBT</t>
  </si>
  <si>
    <t>Kids Fries Sleeves LoveBird 10x10cm</t>
  </si>
  <si>
    <t>Sticker Ramadan Cake</t>
  </si>
  <si>
    <t>Plastic Bag 50*50*15cm Merchandise</t>
  </si>
  <si>
    <t xml:space="preserve">Arm Sleeves Cloth - Beige </t>
  </si>
  <si>
    <t>A4 Pocket Folder (Plastic)</t>
  </si>
  <si>
    <t>Summer T-shirt</t>
  </si>
  <si>
    <t>Epson Printer Ribbon LQ-350</t>
  </si>
  <si>
    <t>Tape Dispenser 2"</t>
  </si>
  <si>
    <t>Korean Bites Sticker LTO</t>
  </si>
  <si>
    <t>Sticker for Mexican Chicken Slider LTO</t>
  </si>
  <si>
    <t>Whiskin Around Tin Cake Container</t>
  </si>
  <si>
    <t>Fillaaa T-Shirt 2X-Large</t>
  </si>
  <si>
    <t>Dessert Box Sleeves</t>
  </si>
  <si>
    <t>Fillaaa T-Shirt Medium</t>
  </si>
  <si>
    <t>Fillaaa T-Shirt Small</t>
  </si>
  <si>
    <t>Patty Patty Toys</t>
  </si>
  <si>
    <t>Mini Saj Sleeves Dunket 3.5x7x17</t>
  </si>
  <si>
    <t>Fillaaa T-Shirt X-Large</t>
  </si>
  <si>
    <t>Tissue Toilet Roll ( T-tork Ch)</t>
  </si>
  <si>
    <t>Fillaaa T-Shirt Large</t>
  </si>
  <si>
    <t>Toothpick Paper Wrapped</t>
  </si>
  <si>
    <t>Fillaaa Sticker Sheet</t>
  </si>
  <si>
    <t>BBT Sony Dress Socks</t>
  </si>
  <si>
    <t>Cutlery I/C Spoon Red - BBT</t>
  </si>
  <si>
    <t>Best Burger Corduroy Strap Back BBT</t>
  </si>
  <si>
    <t>Bag W/O Handle Chili Pepper 30x12x6.5 - Burrito</t>
  </si>
  <si>
    <t>Card - Not for Grill 13*9cm</t>
  </si>
  <si>
    <t>Korean Wings Sticker LTO</t>
  </si>
  <si>
    <t>Sugarcane Bowl 500ml W/Lid</t>
  </si>
  <si>
    <t xml:space="preserve">Mishmash Round Clear Cont 16 Oz </t>
  </si>
  <si>
    <t>Sugarcane Portion Cup 2oz W/Lid</t>
  </si>
  <si>
    <t>Tray Mat Black BBT VOL.1</t>
  </si>
  <si>
    <t>BBT keychain</t>
  </si>
  <si>
    <t>Sticker for Mexican Beef Slider LTO</t>
  </si>
  <si>
    <t>Fillaaa Keychain</t>
  </si>
  <si>
    <t>Sticker Batch Number EGT</t>
  </si>
  <si>
    <t>Sticker - BBQ Box Wrapper Slice</t>
  </si>
  <si>
    <t>Fillaaa Cap</t>
  </si>
  <si>
    <t>BBT Park Tee</t>
  </si>
  <si>
    <t>Looney Tunes</t>
  </si>
  <si>
    <t>BBT Hilltop Tee</t>
  </si>
  <si>
    <t>Sticker BBQ - 1 Color</t>
  </si>
  <si>
    <t>Sticker BBQ - 2 Colors</t>
  </si>
  <si>
    <t>Sticker Batch Number Slice</t>
  </si>
  <si>
    <t>Messy keychain</t>
  </si>
  <si>
    <t>Clear Knife ERMG</t>
  </si>
  <si>
    <t xml:space="preserve">Battery C </t>
  </si>
  <si>
    <t>Straw White ERMG</t>
  </si>
  <si>
    <t>Packet 250 pcs</t>
  </si>
  <si>
    <t>Sticker Burger Doner</t>
  </si>
  <si>
    <t xml:space="preserve">Play Cards For Shakir </t>
  </si>
  <si>
    <t>Pinwheel Box For Yelo Corrugated</t>
  </si>
  <si>
    <t>Tabel Choconafa Inlay</t>
  </si>
  <si>
    <t>Envelope A4 - EGT</t>
  </si>
  <si>
    <t>Envelope A4 - ETC</t>
  </si>
  <si>
    <t>Envelope A4 - Slice</t>
  </si>
  <si>
    <t>CTN 24 Frozen Pizza TC - KBC215234</t>
  </si>
  <si>
    <t>Container Aluminium for Cupcake</t>
  </si>
  <si>
    <t>Tray For Pinwheel Box Yelo 11*11*5</t>
  </si>
  <si>
    <t>Open Shoes Size XL #40-41</t>
  </si>
  <si>
    <t>FM, Yelo, Shakir, BBT, pp, Just C , Slice, Chili, LB, CPU</t>
  </si>
  <si>
    <t>Paper Cup 24 Oz BBT Soda W Flat Lid Black</t>
  </si>
  <si>
    <t>T-Shirt Yelo Pizza</t>
  </si>
  <si>
    <t>Sticker Marinara Sauce PP</t>
  </si>
  <si>
    <t>Banana Pudding Sticker</t>
  </si>
  <si>
    <t>Sticker For Pattie Honey Mustard</t>
  </si>
  <si>
    <t>Sticker For Paper Bags Fillaaa BBT</t>
  </si>
  <si>
    <t>Sticker For Pattie Ranch Sauce</t>
  </si>
  <si>
    <t>Sticker For Pattie Sweet Chili</t>
  </si>
  <si>
    <t>Sticker BBQ Sauce</t>
  </si>
  <si>
    <t xml:space="preserve">Sticker For Good-Cheese </t>
  </si>
  <si>
    <t>Tabel Salad Dressing Sticker</t>
  </si>
  <si>
    <t>Sticker BBT Sauce</t>
  </si>
  <si>
    <t>FM Paper Bag With Handle 27x25x12 White</t>
  </si>
  <si>
    <t>Aluminium Foil BBT Mayo 69mm</t>
  </si>
  <si>
    <t>Aluminium Foil Spicy Ranch Yelo 69mm</t>
  </si>
  <si>
    <t>Aluminium Foil BBT Sauce 69mm</t>
  </si>
  <si>
    <t>Sticker Pepperoni - Frozen Pizza Carton</t>
  </si>
  <si>
    <t>Aluminium Foil Honey Mustard BBT 69mm</t>
  </si>
  <si>
    <t>Aluminium Foil Sweet Chili BBT 69mm</t>
  </si>
  <si>
    <t>Tabel Yellow Shot Sticker</t>
  </si>
  <si>
    <t>Paper Bag W/O Handle Black BBT VOL.1</t>
  </si>
  <si>
    <t>Paper Cup 24 oz Soda Black BBT VOL.1</t>
  </si>
  <si>
    <t>Brochure - BBQ Box Slice</t>
  </si>
  <si>
    <t>Clear Flat Lid No Cut RC0011 - FM</t>
  </si>
  <si>
    <t>Long Examination Gloves</t>
  </si>
  <si>
    <t>Plastic Cake Jars 200Ml</t>
  </si>
  <si>
    <t>Brochure - BBQ Box Chili Pepper</t>
  </si>
  <si>
    <t>Sticker - BBQ Box Wrapper Chili Pepper</t>
  </si>
  <si>
    <t>Whiskin Around Bag F/B</t>
  </si>
  <si>
    <t>Paper Bag W/O Handle Fries Black BBT VOL.1</t>
  </si>
  <si>
    <t>White Board 90 x 180 cm</t>
  </si>
  <si>
    <t>Plastic Cups Clear 20 oz BBT</t>
  </si>
  <si>
    <t>Hp 953 Xl Cartridge Yellow</t>
  </si>
  <si>
    <t>Hp 953 Xl Cartridge Maganta</t>
  </si>
  <si>
    <t>Hp 953 Xl Cartridge Cyan</t>
  </si>
  <si>
    <t>Burger Party Sleeve</t>
  </si>
  <si>
    <t>Pecan Pudding Sticker</t>
  </si>
  <si>
    <t>Cold Cup Slush 24oz</t>
  </si>
  <si>
    <t>Smashed Burger Sleeve</t>
  </si>
  <si>
    <t>Mishmash Try Me Sticker</t>
  </si>
  <si>
    <t>Mishmash Sticker Ramadan Lentil Soup</t>
  </si>
  <si>
    <t>Mishmash Sticker Ramadan Tabboula</t>
  </si>
  <si>
    <t>Luxury Bag F/B 250 Gsm Black BBT VOL.1</t>
  </si>
  <si>
    <t>Sticker for Mexican Pattie Fries LTO</t>
  </si>
  <si>
    <t>Sticker For Frozen Pizza Pepperoni</t>
  </si>
  <si>
    <t>Bag Vacuum 15x20 CM</t>
  </si>
  <si>
    <t>Hp 216A Cartridge Black</t>
  </si>
  <si>
    <t>Hp 216A Cartridge Yellow</t>
  </si>
  <si>
    <t>Hp 216A Cartridge Majenta</t>
  </si>
  <si>
    <t>Stamp Refill Ink Black</t>
  </si>
  <si>
    <t>Hp 934 Cartridge Black</t>
  </si>
  <si>
    <t>Hp 935 Cartridge Cyan</t>
  </si>
  <si>
    <t>Hp 935 Cartridge Yellow</t>
  </si>
  <si>
    <t>Stickers for Slice BBQ - Set of 12</t>
  </si>
  <si>
    <t>Sticker Tabboula Dressing 6*6</t>
  </si>
  <si>
    <t>Water Gallon 19 LTR</t>
  </si>
  <si>
    <t>Gallon 19Liter</t>
  </si>
  <si>
    <t>Paper Cup BBT Hot Chocolate 6oz White</t>
  </si>
  <si>
    <t>Potato Sleeves Slice</t>
  </si>
  <si>
    <t>Sticker Tahina Sauce 5cm - Slice</t>
  </si>
  <si>
    <t>Bag Plastic Blue - Lovebird</t>
  </si>
  <si>
    <t>Hp 117A Cartridge</t>
  </si>
  <si>
    <t xml:space="preserve">FM Big Burger Sleeve </t>
  </si>
  <si>
    <t xml:space="preserve">FM Raisen Canes Sleeve </t>
  </si>
  <si>
    <t>Beard Cover</t>
  </si>
  <si>
    <t>All</t>
  </si>
  <si>
    <t>Stickers for Chili Pepper BBQ - Set of 12</t>
  </si>
  <si>
    <t>Paper Cup 22 Oz LB Soda W Flat Lid Yellow</t>
  </si>
  <si>
    <t xml:space="preserve">Hp 305 Cartidge Black </t>
  </si>
  <si>
    <t>Hp 83A Cartridge</t>
  </si>
  <si>
    <t>Sticker for PP LTO 2.5 cm</t>
  </si>
  <si>
    <t>Stapler Pin Heavy Duty 17mm</t>
  </si>
  <si>
    <t>Glue Stick - Paper</t>
  </si>
  <si>
    <t>FM Chicken Tenders Sleeve</t>
  </si>
  <si>
    <t>Shrimp 21/25 Skin Off Tail on</t>
  </si>
  <si>
    <t>Cover All White XLR - BBT</t>
  </si>
  <si>
    <t>Paper Cup 24 oz Coffee Black BBT VOL.1</t>
  </si>
  <si>
    <t>Sticker Blue For Yelo Pizza - Cool Ranch</t>
  </si>
  <si>
    <t>Bag W/ Handle BBT 34x28x15 Black Vol. 1</t>
  </si>
  <si>
    <t>FM ARRABIATTA PASTA Sleeve 8x40 cm Matt 170gsm</t>
  </si>
  <si>
    <t>Fries Sticker Pattie Pattie</t>
  </si>
  <si>
    <t>Barcode Label 100 X 50 X 500</t>
  </si>
  <si>
    <t>FM BEEF LASAGNA Sleeve 8x40 cm Matt 170gsm</t>
  </si>
  <si>
    <t>Onion Rings Sticker Pattie Pattie</t>
  </si>
  <si>
    <t>FM CAESAR SALAD Sleeve 8x54 cm Matt 170gsm</t>
  </si>
  <si>
    <t>FM CHICKEN BIRYANI Sleeve 8x40 cm Matt 170gsm</t>
  </si>
  <si>
    <t>FM CHICKEN MACHBOUS Sleeve 8x40 cm Matt 170gsm</t>
  </si>
  <si>
    <t>FM CRISP GARDEN SALAD Sleeve 8x54 cm Matt 170gsm</t>
  </si>
  <si>
    <t>FM KATSU CURRY Sleeve 8x40 cm Matt 170gsm</t>
  </si>
  <si>
    <t>FM ROCCA FETA SALAD Sleeve 8x54 cm Matt 170gsm</t>
  </si>
  <si>
    <t>FM SPAGHETTI BOLOGNESE Sleeve 8x40 cm Matt 170gsm</t>
  </si>
  <si>
    <t>FM Sticker Almond Milk 11x16 cm</t>
  </si>
  <si>
    <t>FM Sticker Blue Lemonade 11x16.3cm</t>
  </si>
  <si>
    <t>FM Sticker Qamar Al Din 11x16 cm</t>
  </si>
  <si>
    <t>FM TRUFFLE CHICKEN ALFREDO Sleeve 8x40 cm Matt 170gsm</t>
  </si>
  <si>
    <t>Aluminium Big Foil Apricot Jam Ranch 4.23oz</t>
  </si>
  <si>
    <t>Tabel Try Me Sticker</t>
  </si>
  <si>
    <t>Tabel Green Shot Sticker</t>
  </si>
  <si>
    <t>Tabel Red Shot Sticker</t>
  </si>
  <si>
    <t>Sandwich Sleeve 24*7*4 Plain Shakir</t>
  </si>
  <si>
    <t>FM Sticker Mixed Berries 11x16.3cm</t>
  </si>
  <si>
    <t>Spiced Corn Sticker Pattie Pattie</t>
  </si>
  <si>
    <t>Wet Tissue BBT Black</t>
  </si>
  <si>
    <t>Sticker BBT Messy Fries</t>
  </si>
  <si>
    <t>FM Sticker Shot Zing 5x11.7cm</t>
  </si>
  <si>
    <t>Shakir Sticker Kaizer Chicken 5x1.7 cm</t>
  </si>
  <si>
    <t>Mishmash Full Apron</t>
  </si>
  <si>
    <t>BBT Band-Aids</t>
  </si>
  <si>
    <t>Shakir Sticker Kaizer Meat 5x1.7 cm</t>
  </si>
  <si>
    <t>Sticker Pattie Chicken Bites 2.5 CM LTO</t>
  </si>
  <si>
    <t xml:space="preserve">Nugget Keto Box FM </t>
  </si>
  <si>
    <t>Sticker Pattie Loaded Fries 2.5 CM LTO</t>
  </si>
  <si>
    <t>Tabel Sticker Chimichurri Pesto 6*6</t>
  </si>
  <si>
    <t>Toilet Paper Mini Roll ERMG</t>
  </si>
  <si>
    <t>Tabel Rice Bowl Sticker</t>
  </si>
  <si>
    <t>Shani Strawberry Bottle 500 ML</t>
  </si>
  <si>
    <t>Sleeve For Dessert 38.5*6.1 CM Slice</t>
  </si>
  <si>
    <t>Sticker Pattie Slider 2.5 cM LTO</t>
  </si>
  <si>
    <t>Tabel Sticker Cherry Sauce 6*6</t>
  </si>
  <si>
    <t>BBT Car Air Freshener - Bonehead</t>
  </si>
  <si>
    <t>BBT Big Kid Kit Sticker</t>
  </si>
  <si>
    <t>FM Sticker Orange Citrus 11x16.3cm</t>
  </si>
  <si>
    <t>FM Sticker Protein Shake Matcha 11x16.3cm</t>
  </si>
  <si>
    <t>FM Sticker Coffee Spanish Latte 11x16.3cm</t>
  </si>
  <si>
    <t>Bag W/ Handle Slice 31x28x15</t>
  </si>
  <si>
    <t xml:space="preserve">Sticker Beef 1.5 CM Slice </t>
  </si>
  <si>
    <t>Kids Meal Box Yelo KBC225816</t>
  </si>
  <si>
    <t>Sticker BBT Sehintzel X 3 CM</t>
  </si>
  <si>
    <t>FM Sticker Watermelon 11x16.3cm</t>
  </si>
  <si>
    <t>BBT Bumper Sticker</t>
  </si>
  <si>
    <t>FM Sticker Coffee Classic Latte 11x16.3cm</t>
  </si>
  <si>
    <t>Mailer Bag</t>
  </si>
  <si>
    <t xml:space="preserve">Chicken Whole 1.3 kg </t>
  </si>
  <si>
    <t>CTN 10 Packet 1.3 kg</t>
  </si>
  <si>
    <t>FM Sticker Shot Immunity 5x11.7cm</t>
  </si>
  <si>
    <t>FM Sticker Shot Energy 5x11.7cm</t>
  </si>
  <si>
    <t>BBT Car Air Freshener - Messy</t>
  </si>
  <si>
    <t>BBT Family Stickers</t>
  </si>
  <si>
    <t>Signature Book</t>
  </si>
  <si>
    <t>Suma Nova L6 - 25 Ltr</t>
  </si>
  <si>
    <t>FM Sticker Pomade 11x16.3cm</t>
  </si>
  <si>
    <t>Chicken Whole</t>
  </si>
  <si>
    <t>Paper Tray Mat Just C</t>
  </si>
  <si>
    <t>FM Sleeve Light Beige 4.5x38 cm Matt 170gsm</t>
  </si>
  <si>
    <t>FM Sleeve Red 4.5x38 cm Matt 170gsm</t>
  </si>
  <si>
    <t>Hp 216A Cartridge Cyan</t>
  </si>
  <si>
    <t>FM Sleeve Dark Green 4.5x38 cm Matt 170gsm</t>
  </si>
  <si>
    <t>Aluminium Foil Shakir Spicy 69mm</t>
  </si>
  <si>
    <t>Yellow Color - Foster</t>
  </si>
  <si>
    <t>CTN 12 Bottle 28 GM</t>
  </si>
  <si>
    <t>FM Sticker Shot Heart Beet 5x11.7cm</t>
  </si>
  <si>
    <t>FM Sticker Coffee Cold Brew 11x16.3cm</t>
  </si>
  <si>
    <t>FM Sticker Protein Shake Vanilla 11x16.3cm</t>
  </si>
  <si>
    <t>FM Sticker Coffee Vanilla Latte 11x16.3cm</t>
  </si>
  <si>
    <t>FM Sticker Mango Zest 11x16.3cm</t>
  </si>
  <si>
    <t>FM Sticker Protein Shake Chocolate 11x16.3cm</t>
  </si>
  <si>
    <t>Sticker Garlic Mustard Sauce 5cm - Slice</t>
  </si>
  <si>
    <t xml:space="preserve">Sticker Chicken 1.5 CM Slice </t>
  </si>
  <si>
    <t>Cutlery Fork Beige FM</t>
  </si>
  <si>
    <t>Cutlery Knife Beige FM</t>
  </si>
  <si>
    <t xml:space="preserve">Plastic LID For Sauce Container Yelo </t>
  </si>
  <si>
    <t>Sticker Margheritta - Frozen Pizza Carton</t>
  </si>
  <si>
    <t>Burger Sleeves ( Just- C )</t>
  </si>
  <si>
    <t>Aluminium Foil Shakir Tahina 69mm</t>
  </si>
  <si>
    <t>Mishmash Mauve Printed Sheet (30*40)</t>
  </si>
  <si>
    <t>Wrapping Sheet LB Kids Meal 35*25</t>
  </si>
  <si>
    <t>Aluminum Sheet Mishmash &amp; Shrimpy 25*35</t>
  </si>
  <si>
    <t>Wrapping Sheet LB Smiley 35*25</t>
  </si>
  <si>
    <t>Wax Paper LB Chicken Chunks 40*30</t>
  </si>
  <si>
    <t>FM Wax Paper 30x30 (Chicken Foyale)</t>
  </si>
  <si>
    <t>Wrapping Sheet Aluminum 25*25 Shakir Printed</t>
  </si>
  <si>
    <t>Wrapping Sheet Yellow Printed 30 X 31</t>
  </si>
  <si>
    <t>Squeezy Pouch 250ml</t>
  </si>
  <si>
    <t>Sticker For CTN Mexican Pizza 11"</t>
  </si>
  <si>
    <t>Cake Wrapping Sheet</t>
  </si>
  <si>
    <t>Wrapping Sheet Crispy Slice 25*25 Slice</t>
  </si>
  <si>
    <t>Aluminium Foil Cool Ranch Yelo 69mm</t>
  </si>
  <si>
    <t>Cover All White SR - BBT</t>
  </si>
  <si>
    <t>Soup Container Kraft W Paper Lid 8 Oz -Shakir</t>
  </si>
  <si>
    <t>Cutlery Spoon Beige FM</t>
  </si>
  <si>
    <t>Sticker For CTN Spinach &amp; Chiz Pizza 11"</t>
  </si>
  <si>
    <t>Cutlery Fork Clear ( Fork-Knife-npk 2 ply ) Slice</t>
  </si>
  <si>
    <t>Mishmash Kitchen Chef Coat</t>
  </si>
  <si>
    <t>Flash Drive 16Gb</t>
  </si>
  <si>
    <t>Rubber Duck Pink</t>
  </si>
  <si>
    <t>Yelo, HO</t>
  </si>
  <si>
    <t>Air Freshener Refill Blue</t>
  </si>
  <si>
    <t>Binding Sheet Transparent</t>
  </si>
  <si>
    <t>Sticker Shakir Chicken Kabab Platter 7*3 cm</t>
  </si>
  <si>
    <t>Wrapping Sheet Lebanese Beef Shakir 24 X 24</t>
  </si>
  <si>
    <t>Hp 963 Cartridge Black</t>
  </si>
  <si>
    <t>Hp 963 Cartridge Cyan</t>
  </si>
  <si>
    <t>Wrapping Sheet 20*30 Black 6 Cookie  BBT VOL.1</t>
  </si>
  <si>
    <t>Wrapping Sheet 30*30 Black  for Burger BBT VOL.1</t>
  </si>
  <si>
    <t>Mishmash Plain Paper Sheet 30*40 (Deactivated)</t>
  </si>
  <si>
    <t xml:space="preserve">Wax Paper 20*20 Yelo Printed Checkered </t>
  </si>
  <si>
    <t>Hp 963 Cartridge Yellow</t>
  </si>
  <si>
    <t>Hp 963 Cartridge Majenta</t>
  </si>
  <si>
    <t>Slim Box Yelo KBC225531</t>
  </si>
  <si>
    <t>HP TONER 30 A</t>
  </si>
  <si>
    <t>T-Shirt Polo Full Sleeves  W-P-D</t>
  </si>
  <si>
    <t>Hp 935 Cartridge Majenta</t>
  </si>
  <si>
    <t>Aluminium Ice Cream Roll 250 mm</t>
  </si>
  <si>
    <t>Sticker BBT Not So Ranch 5.5 CM</t>
  </si>
  <si>
    <t>Sticker Shakir Sauce Arabi 6 CM</t>
  </si>
  <si>
    <t xml:space="preserve">Sticker BBT Chili&amp;Lime 2.5 cm </t>
  </si>
  <si>
    <t>Wrapping Sheet  for Shakir 20X25 Plain</t>
  </si>
  <si>
    <t>Rebate Private Reserve 6x6</t>
  </si>
  <si>
    <t xml:space="preserve">Rebate Crinckle Wedges </t>
  </si>
  <si>
    <t>Bag Plastic White BBT 14.5 x 16.5cm.</t>
  </si>
  <si>
    <t>Gloves Black Vinyl Large P/F</t>
  </si>
  <si>
    <t>Plastic Cup 16 Oz Plain Mishmash</t>
  </si>
  <si>
    <t>National Printing Company for Related Printing Services, Dhuha Printing Center</t>
  </si>
  <si>
    <t>Aluminium Foil Lowkey Spicy Sauce BBT</t>
  </si>
  <si>
    <t>Aluminium Foil Spicy Honey Yelo</t>
  </si>
  <si>
    <t>Spicy Sticker-Shakir</t>
  </si>
  <si>
    <t>Plastic cup 12oz W/Flat &amp; Dome Lid</t>
  </si>
  <si>
    <t>Tray Mat-Tabel</t>
  </si>
  <si>
    <t>Bag W/O Handle Slice 32x24x12</t>
  </si>
  <si>
    <t>FS Classic Burger Puck 100g</t>
  </si>
  <si>
    <t>Mishmash Mini Shawarma Pouch 12×7×4 cm</t>
  </si>
  <si>
    <t xml:space="preserve">Gram Flour Majid </t>
  </si>
  <si>
    <t>Mishmash Burger Stickers 10 Designs</t>
  </si>
  <si>
    <t xml:space="preserve">FM-Overnites Cake Sticker 10.7x4.5 cm </t>
  </si>
  <si>
    <t>Divider Plain- Mishmash</t>
  </si>
  <si>
    <t xml:space="preserve">Mighty Kabab-MM </t>
  </si>
  <si>
    <t>Bun Martin Hotdog 6"</t>
  </si>
  <si>
    <t>A3 Paper</t>
  </si>
  <si>
    <t>Hp 222 Toner Black</t>
  </si>
  <si>
    <t>Hp 222 Toner Majenta</t>
  </si>
  <si>
    <t>Hp 222 Toner Yellow</t>
  </si>
  <si>
    <t>Hp 222 Toner Cyan</t>
  </si>
  <si>
    <t>Double Cup Holder-BBT</t>
  </si>
  <si>
    <t>Plastic Cup 16 OZ (Dom Lid)-BBT</t>
  </si>
  <si>
    <t>Single Cup Holder-BBT</t>
  </si>
  <si>
    <t>Cold Brew Samba 250ml</t>
  </si>
  <si>
    <t>S/W Jacket 5x10x25cm Mhamash Tawook-Shakir New</t>
  </si>
  <si>
    <t>Shakir New</t>
  </si>
  <si>
    <t>Sep-26 FRCst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</si>
</sst>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33" borderId="0" xfId="0" applyFill="1"/>
    <xf numFmtId="14" fontId="0" fillId="0" borderId="0" xfId="0" applyNumberFormat="1"/>
    <xf numFmtId="9" fontId="0" fillId="0" borderId="0" xfId="42" applyFont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33" borderId="0" xfId="0" applyNumberFormat="1" applyFill="1"/>
    <xf numFmtId="9" fontId="0" fillId="33" borderId="0" xfId="42" applyFont="1" applyFill="1"/>
    <xf numFmtId="0" fontId="0" fillId="34" borderId="0" xfId="0" applyFill="1"/>
    <xf numFmtId="0" fontId="16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7" fontId="16" fillId="0" borderId="0" xfId="0" applyNumberFormat="1" applyFont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9" fontId="16" fillId="0" borderId="0" xfId="42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34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CC67-5CC9-450A-B540-BF2EF6D0157B}">
  <sheetPr filterMode="1"/>
  <dimension ref="A1:G2547"/>
  <sheetViews>
    <sheetView workbookViewId="0">
      <selection activeCell="D395" sqref="D395"/>
    </sheetView>
  </sheetViews>
  <sheetFormatPr defaultRowHeight="14.4" x14ac:dyDescent="0.3"/>
  <cols>
    <col min="1" max="1" width="4.77734375" bestFit="1" customWidth="1"/>
    <col min="2" max="2" width="6.77734375" bestFit="1" customWidth="1"/>
    <col min="3" max="3" width="26.44140625" bestFit="1" customWidth="1"/>
    <col min="4" max="4" width="45.21875" bestFit="1" customWidth="1"/>
    <col min="5" max="5" width="5.33203125" bestFit="1" customWidth="1"/>
    <col min="6" max="6" width="8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C2" t="s">
        <v>7</v>
      </c>
      <c r="D2" t="s">
        <v>8</v>
      </c>
      <c r="E2" t="s">
        <v>9</v>
      </c>
      <c r="F2" t="s">
        <v>10</v>
      </c>
      <c r="G2">
        <v>293789</v>
      </c>
    </row>
    <row r="3" spans="1:7" hidden="1" x14ac:dyDescent="0.3">
      <c r="C3" t="s">
        <v>11</v>
      </c>
      <c r="D3" t="s">
        <v>12</v>
      </c>
      <c r="E3" t="s">
        <v>13</v>
      </c>
      <c r="F3" t="s">
        <v>10</v>
      </c>
      <c r="G3">
        <v>208463.84729064</v>
      </c>
    </row>
    <row r="4" spans="1:7" hidden="1" x14ac:dyDescent="0.3">
      <c r="C4" t="s">
        <v>14</v>
      </c>
      <c r="D4" t="s">
        <v>15</v>
      </c>
      <c r="E4" t="s">
        <v>13</v>
      </c>
      <c r="F4" t="s">
        <v>10</v>
      </c>
      <c r="G4">
        <v>172724</v>
      </c>
    </row>
    <row r="5" spans="1:7" hidden="1" x14ac:dyDescent="0.3">
      <c r="C5" t="s">
        <v>14</v>
      </c>
      <c r="D5" t="s">
        <v>16</v>
      </c>
      <c r="E5" t="s">
        <v>17</v>
      </c>
      <c r="F5" t="s">
        <v>10</v>
      </c>
      <c r="G5">
        <v>169049</v>
      </c>
    </row>
    <row r="6" spans="1:7" hidden="1" x14ac:dyDescent="0.3">
      <c r="C6" t="s">
        <v>14</v>
      </c>
      <c r="D6" t="s">
        <v>18</v>
      </c>
      <c r="E6" t="s">
        <v>13</v>
      </c>
      <c r="F6" t="s">
        <v>10</v>
      </c>
      <c r="G6">
        <v>132630</v>
      </c>
    </row>
    <row r="7" spans="1:7" hidden="1" x14ac:dyDescent="0.3">
      <c r="C7" t="s">
        <v>19</v>
      </c>
      <c r="D7" t="s">
        <v>20</v>
      </c>
      <c r="E7" t="s">
        <v>9</v>
      </c>
      <c r="F7" t="s">
        <v>10</v>
      </c>
      <c r="G7">
        <v>120901</v>
      </c>
    </row>
    <row r="8" spans="1:7" hidden="1" x14ac:dyDescent="0.3">
      <c r="C8" t="s">
        <v>21</v>
      </c>
      <c r="D8" t="s">
        <v>22</v>
      </c>
      <c r="E8" t="s">
        <v>13</v>
      </c>
      <c r="F8" t="s">
        <v>10</v>
      </c>
      <c r="G8">
        <v>115928</v>
      </c>
    </row>
    <row r="9" spans="1:7" hidden="1" x14ac:dyDescent="0.3">
      <c r="C9" t="s">
        <v>14</v>
      </c>
      <c r="D9" t="s">
        <v>23</v>
      </c>
      <c r="E9" t="s">
        <v>9</v>
      </c>
      <c r="F9" t="s">
        <v>10</v>
      </c>
      <c r="G9">
        <v>111577</v>
      </c>
    </row>
    <row r="10" spans="1:7" hidden="1" x14ac:dyDescent="0.3">
      <c r="C10" t="s">
        <v>11</v>
      </c>
      <c r="D10" t="s">
        <v>24</v>
      </c>
      <c r="E10" t="s">
        <v>13</v>
      </c>
      <c r="F10" t="s">
        <v>10</v>
      </c>
      <c r="G10">
        <v>110232</v>
      </c>
    </row>
    <row r="11" spans="1:7" hidden="1" x14ac:dyDescent="0.3">
      <c r="C11" t="s">
        <v>7</v>
      </c>
      <c r="D11" t="s">
        <v>25</v>
      </c>
      <c r="E11" t="s">
        <v>13</v>
      </c>
      <c r="F11" t="s">
        <v>10</v>
      </c>
      <c r="G11">
        <v>101378</v>
      </c>
    </row>
    <row r="12" spans="1:7" hidden="1" x14ac:dyDescent="0.3">
      <c r="C12" t="s">
        <v>7</v>
      </c>
      <c r="D12" t="s">
        <v>26</v>
      </c>
      <c r="E12" t="s">
        <v>13</v>
      </c>
      <c r="F12" t="s">
        <v>10</v>
      </c>
      <c r="G12">
        <v>101117</v>
      </c>
    </row>
    <row r="13" spans="1:7" hidden="1" x14ac:dyDescent="0.3">
      <c r="C13" t="s">
        <v>14</v>
      </c>
      <c r="D13" t="s">
        <v>27</v>
      </c>
      <c r="E13" t="s">
        <v>13</v>
      </c>
      <c r="F13" t="s">
        <v>10</v>
      </c>
      <c r="G13">
        <v>99699</v>
      </c>
    </row>
    <row r="14" spans="1:7" hidden="1" x14ac:dyDescent="0.3">
      <c r="C14" t="s">
        <v>14</v>
      </c>
      <c r="D14" t="s">
        <v>28</v>
      </c>
      <c r="E14" t="s">
        <v>17</v>
      </c>
      <c r="F14" t="s">
        <v>29</v>
      </c>
      <c r="G14">
        <v>97371</v>
      </c>
    </row>
    <row r="15" spans="1:7" hidden="1" x14ac:dyDescent="0.3">
      <c r="C15" t="s">
        <v>14</v>
      </c>
      <c r="D15" t="s">
        <v>30</v>
      </c>
      <c r="E15" t="s">
        <v>17</v>
      </c>
      <c r="F15" t="s">
        <v>29</v>
      </c>
      <c r="G15">
        <v>95414</v>
      </c>
    </row>
    <row r="16" spans="1:7" hidden="1" x14ac:dyDescent="0.3">
      <c r="C16" t="s">
        <v>7</v>
      </c>
      <c r="D16" t="s">
        <v>31</v>
      </c>
      <c r="E16" t="s">
        <v>13</v>
      </c>
      <c r="F16" t="s">
        <v>10</v>
      </c>
      <c r="G16">
        <v>83768</v>
      </c>
    </row>
    <row r="17" spans="3:7" hidden="1" x14ac:dyDescent="0.3">
      <c r="C17" t="s">
        <v>14</v>
      </c>
      <c r="D17" t="s">
        <v>32</v>
      </c>
      <c r="E17" t="s">
        <v>13</v>
      </c>
      <c r="F17" t="s">
        <v>10</v>
      </c>
      <c r="G17">
        <v>83755</v>
      </c>
    </row>
    <row r="18" spans="3:7" hidden="1" x14ac:dyDescent="0.3">
      <c r="C18" t="s">
        <v>19</v>
      </c>
      <c r="D18" t="s">
        <v>33</v>
      </c>
      <c r="E18" t="s">
        <v>9</v>
      </c>
      <c r="F18" t="s">
        <v>10</v>
      </c>
      <c r="G18">
        <v>76654</v>
      </c>
    </row>
    <row r="19" spans="3:7" hidden="1" x14ac:dyDescent="0.3">
      <c r="C19" t="s">
        <v>19</v>
      </c>
      <c r="D19" t="s">
        <v>34</v>
      </c>
      <c r="E19" t="s">
        <v>9</v>
      </c>
      <c r="F19" t="s">
        <v>10</v>
      </c>
      <c r="G19">
        <v>76654</v>
      </c>
    </row>
    <row r="20" spans="3:7" hidden="1" x14ac:dyDescent="0.3">
      <c r="C20" t="s">
        <v>11</v>
      </c>
      <c r="D20" t="s">
        <v>35</v>
      </c>
      <c r="E20" t="s">
        <v>13</v>
      </c>
      <c r="F20" t="s">
        <v>10</v>
      </c>
      <c r="G20">
        <v>67125</v>
      </c>
    </row>
    <row r="21" spans="3:7" hidden="1" x14ac:dyDescent="0.3">
      <c r="C21" t="s">
        <v>7</v>
      </c>
      <c r="D21" t="s">
        <v>36</v>
      </c>
      <c r="E21" t="s">
        <v>13</v>
      </c>
      <c r="F21" t="s">
        <v>10</v>
      </c>
      <c r="G21">
        <v>65613.868421052597</v>
      </c>
    </row>
    <row r="22" spans="3:7" hidden="1" x14ac:dyDescent="0.3">
      <c r="C22" t="s">
        <v>11</v>
      </c>
      <c r="D22" t="s">
        <v>37</v>
      </c>
      <c r="E22" t="s">
        <v>13</v>
      </c>
      <c r="F22" t="s">
        <v>10</v>
      </c>
      <c r="G22">
        <v>64338</v>
      </c>
    </row>
    <row r="23" spans="3:7" hidden="1" x14ac:dyDescent="0.3">
      <c r="C23" t="s">
        <v>21</v>
      </c>
      <c r="D23" t="s">
        <v>38</v>
      </c>
      <c r="E23" t="s">
        <v>13</v>
      </c>
      <c r="F23" t="s">
        <v>10</v>
      </c>
      <c r="G23">
        <v>63661</v>
      </c>
    </row>
    <row r="24" spans="3:7" hidden="1" x14ac:dyDescent="0.3">
      <c r="C24" t="s">
        <v>21</v>
      </c>
      <c r="D24" t="s">
        <v>24</v>
      </c>
      <c r="E24" t="s">
        <v>13</v>
      </c>
      <c r="F24" t="s">
        <v>10</v>
      </c>
      <c r="G24">
        <v>61112</v>
      </c>
    </row>
    <row r="25" spans="3:7" hidden="1" x14ac:dyDescent="0.3">
      <c r="C25" t="s">
        <v>7</v>
      </c>
      <c r="D25" t="s">
        <v>39</v>
      </c>
      <c r="E25" t="s">
        <v>13</v>
      </c>
      <c r="F25" t="s">
        <v>10</v>
      </c>
      <c r="G25">
        <v>59960</v>
      </c>
    </row>
    <row r="26" spans="3:7" hidden="1" x14ac:dyDescent="0.3">
      <c r="C26" t="s">
        <v>7</v>
      </c>
      <c r="D26" t="s">
        <v>40</v>
      </c>
      <c r="E26" t="s">
        <v>13</v>
      </c>
      <c r="F26" t="s">
        <v>10</v>
      </c>
      <c r="G26">
        <v>59852</v>
      </c>
    </row>
    <row r="27" spans="3:7" hidden="1" x14ac:dyDescent="0.3">
      <c r="C27" t="s">
        <v>14</v>
      </c>
      <c r="D27" t="s">
        <v>41</v>
      </c>
      <c r="E27" t="s">
        <v>13</v>
      </c>
      <c r="F27" t="s">
        <v>10</v>
      </c>
      <c r="G27">
        <v>58344</v>
      </c>
    </row>
    <row r="28" spans="3:7" hidden="1" x14ac:dyDescent="0.3">
      <c r="C28" t="s">
        <v>7</v>
      </c>
      <c r="D28" t="s">
        <v>42</v>
      </c>
      <c r="E28" t="s">
        <v>13</v>
      </c>
      <c r="F28" t="s">
        <v>10</v>
      </c>
      <c r="G28">
        <v>57419</v>
      </c>
    </row>
    <row r="29" spans="3:7" hidden="1" x14ac:dyDescent="0.3">
      <c r="C29" t="s">
        <v>11</v>
      </c>
      <c r="D29" t="s">
        <v>43</v>
      </c>
      <c r="E29" t="s">
        <v>9</v>
      </c>
      <c r="F29" t="s">
        <v>10</v>
      </c>
      <c r="G29">
        <v>51746</v>
      </c>
    </row>
    <row r="30" spans="3:7" hidden="1" x14ac:dyDescent="0.3">
      <c r="C30" t="s">
        <v>11</v>
      </c>
      <c r="D30" t="s">
        <v>44</v>
      </c>
      <c r="E30" t="s">
        <v>9</v>
      </c>
      <c r="F30" t="s">
        <v>10</v>
      </c>
      <c r="G30">
        <v>50704</v>
      </c>
    </row>
    <row r="31" spans="3:7" hidden="1" x14ac:dyDescent="0.3">
      <c r="C31" t="s">
        <v>7</v>
      </c>
      <c r="D31" t="s">
        <v>45</v>
      </c>
      <c r="E31" t="s">
        <v>9</v>
      </c>
      <c r="F31" t="s">
        <v>10</v>
      </c>
      <c r="G31">
        <v>49823</v>
      </c>
    </row>
    <row r="32" spans="3:7" hidden="1" x14ac:dyDescent="0.3">
      <c r="C32" t="s">
        <v>11</v>
      </c>
      <c r="D32" t="s">
        <v>46</v>
      </c>
      <c r="E32" t="s">
        <v>9</v>
      </c>
      <c r="F32" t="s">
        <v>10</v>
      </c>
      <c r="G32">
        <v>49672</v>
      </c>
    </row>
    <row r="33" spans="3:7" hidden="1" x14ac:dyDescent="0.3">
      <c r="C33" t="s">
        <v>19</v>
      </c>
      <c r="D33" t="s">
        <v>47</v>
      </c>
      <c r="E33" t="s">
        <v>13</v>
      </c>
      <c r="F33" t="s">
        <v>10</v>
      </c>
      <c r="G33">
        <v>48678</v>
      </c>
    </row>
    <row r="34" spans="3:7" hidden="1" x14ac:dyDescent="0.3">
      <c r="C34" t="s">
        <v>11</v>
      </c>
      <c r="D34" t="s">
        <v>48</v>
      </c>
      <c r="E34" t="s">
        <v>13</v>
      </c>
      <c r="F34" t="s">
        <v>10</v>
      </c>
      <c r="G34">
        <v>47801</v>
      </c>
    </row>
    <row r="35" spans="3:7" hidden="1" x14ac:dyDescent="0.3">
      <c r="C35" t="s">
        <v>19</v>
      </c>
      <c r="D35" t="s">
        <v>49</v>
      </c>
      <c r="E35" t="s">
        <v>13</v>
      </c>
      <c r="F35" t="s">
        <v>10</v>
      </c>
      <c r="G35">
        <v>47131</v>
      </c>
    </row>
    <row r="36" spans="3:7" hidden="1" x14ac:dyDescent="0.3">
      <c r="C36" t="s">
        <v>21</v>
      </c>
      <c r="D36" t="s">
        <v>50</v>
      </c>
      <c r="E36" t="s">
        <v>13</v>
      </c>
      <c r="F36" t="s">
        <v>10</v>
      </c>
      <c r="G36">
        <v>46719</v>
      </c>
    </row>
    <row r="37" spans="3:7" hidden="1" x14ac:dyDescent="0.3">
      <c r="C37" t="s">
        <v>19</v>
      </c>
      <c r="D37" t="s">
        <v>40</v>
      </c>
      <c r="E37" t="s">
        <v>13</v>
      </c>
      <c r="F37" t="s">
        <v>10</v>
      </c>
      <c r="G37">
        <v>46407</v>
      </c>
    </row>
    <row r="38" spans="3:7" hidden="1" x14ac:dyDescent="0.3">
      <c r="C38" t="s">
        <v>14</v>
      </c>
      <c r="D38" t="s">
        <v>51</v>
      </c>
      <c r="E38" t="s">
        <v>9</v>
      </c>
      <c r="F38" t="s">
        <v>10</v>
      </c>
      <c r="G38">
        <v>46281</v>
      </c>
    </row>
    <row r="39" spans="3:7" hidden="1" x14ac:dyDescent="0.3">
      <c r="C39" t="s">
        <v>52</v>
      </c>
      <c r="D39" t="s">
        <v>53</v>
      </c>
      <c r="E39" t="s">
        <v>13</v>
      </c>
      <c r="F39" t="s">
        <v>10</v>
      </c>
      <c r="G39">
        <v>45837</v>
      </c>
    </row>
    <row r="40" spans="3:7" hidden="1" x14ac:dyDescent="0.3">
      <c r="C40" t="s">
        <v>7</v>
      </c>
      <c r="D40" t="s">
        <v>54</v>
      </c>
      <c r="E40" t="s">
        <v>13</v>
      </c>
      <c r="F40" t="s">
        <v>10</v>
      </c>
      <c r="G40">
        <v>43959</v>
      </c>
    </row>
    <row r="41" spans="3:7" hidden="1" x14ac:dyDescent="0.3">
      <c r="C41" t="s">
        <v>7</v>
      </c>
      <c r="D41" t="s">
        <v>55</v>
      </c>
      <c r="E41" t="s">
        <v>17</v>
      </c>
      <c r="F41" t="s">
        <v>10</v>
      </c>
      <c r="G41">
        <v>43223</v>
      </c>
    </row>
    <row r="42" spans="3:7" hidden="1" x14ac:dyDescent="0.3">
      <c r="C42" t="s">
        <v>11</v>
      </c>
      <c r="D42" t="s">
        <v>56</v>
      </c>
      <c r="E42" t="s">
        <v>13</v>
      </c>
      <c r="F42" t="s">
        <v>10</v>
      </c>
      <c r="G42">
        <v>43170</v>
      </c>
    </row>
    <row r="43" spans="3:7" hidden="1" x14ac:dyDescent="0.3">
      <c r="C43" t="s">
        <v>21</v>
      </c>
      <c r="D43" t="s">
        <v>57</v>
      </c>
      <c r="E43" t="s">
        <v>13</v>
      </c>
      <c r="F43" t="s">
        <v>10</v>
      </c>
      <c r="G43">
        <v>42992</v>
      </c>
    </row>
    <row r="44" spans="3:7" hidden="1" x14ac:dyDescent="0.3">
      <c r="C44" t="s">
        <v>21</v>
      </c>
      <c r="D44" t="s">
        <v>58</v>
      </c>
      <c r="E44" t="s">
        <v>13</v>
      </c>
      <c r="F44" t="s">
        <v>10</v>
      </c>
      <c r="G44">
        <v>42696</v>
      </c>
    </row>
    <row r="45" spans="3:7" hidden="1" x14ac:dyDescent="0.3">
      <c r="C45" t="s">
        <v>21</v>
      </c>
      <c r="D45" t="s">
        <v>59</v>
      </c>
      <c r="E45" t="s">
        <v>9</v>
      </c>
      <c r="F45" t="s">
        <v>10</v>
      </c>
      <c r="G45">
        <v>42636</v>
      </c>
    </row>
    <row r="46" spans="3:7" hidden="1" x14ac:dyDescent="0.3">
      <c r="C46" t="s">
        <v>21</v>
      </c>
      <c r="D46" t="s">
        <v>60</v>
      </c>
      <c r="E46" t="s">
        <v>13</v>
      </c>
      <c r="F46" t="s">
        <v>10</v>
      </c>
      <c r="G46">
        <v>40164</v>
      </c>
    </row>
    <row r="47" spans="3:7" hidden="1" x14ac:dyDescent="0.3">
      <c r="C47" t="s">
        <v>19</v>
      </c>
      <c r="D47" t="s">
        <v>61</v>
      </c>
      <c r="E47" t="s">
        <v>13</v>
      </c>
      <c r="F47" t="s">
        <v>10</v>
      </c>
      <c r="G47">
        <v>40124</v>
      </c>
    </row>
    <row r="48" spans="3:7" hidden="1" x14ac:dyDescent="0.3">
      <c r="C48" t="s">
        <v>11</v>
      </c>
      <c r="D48" t="s">
        <v>62</v>
      </c>
      <c r="E48" t="s">
        <v>13</v>
      </c>
      <c r="F48" t="s">
        <v>10</v>
      </c>
      <c r="G48">
        <v>39490</v>
      </c>
    </row>
    <row r="49" spans="3:7" hidden="1" x14ac:dyDescent="0.3">
      <c r="C49" t="s">
        <v>21</v>
      </c>
      <c r="D49" t="s">
        <v>63</v>
      </c>
      <c r="E49" t="s">
        <v>13</v>
      </c>
      <c r="F49" t="s">
        <v>10</v>
      </c>
      <c r="G49">
        <v>37904</v>
      </c>
    </row>
    <row r="50" spans="3:7" hidden="1" x14ac:dyDescent="0.3">
      <c r="C50" t="s">
        <v>11</v>
      </c>
      <c r="D50" t="s">
        <v>64</v>
      </c>
      <c r="E50" t="s">
        <v>13</v>
      </c>
      <c r="F50" t="s">
        <v>10</v>
      </c>
      <c r="G50">
        <v>36250</v>
      </c>
    </row>
    <row r="51" spans="3:7" hidden="1" x14ac:dyDescent="0.3">
      <c r="C51" t="s">
        <v>21</v>
      </c>
      <c r="D51" t="s">
        <v>65</v>
      </c>
      <c r="E51" t="s">
        <v>13</v>
      </c>
      <c r="F51" t="s">
        <v>10</v>
      </c>
      <c r="G51">
        <v>34801</v>
      </c>
    </row>
    <row r="52" spans="3:7" hidden="1" x14ac:dyDescent="0.3">
      <c r="C52" t="s">
        <v>21</v>
      </c>
      <c r="D52" t="s">
        <v>66</v>
      </c>
      <c r="E52" t="s">
        <v>13</v>
      </c>
      <c r="F52" t="s">
        <v>10</v>
      </c>
      <c r="G52">
        <v>34754</v>
      </c>
    </row>
    <row r="53" spans="3:7" hidden="1" x14ac:dyDescent="0.3">
      <c r="C53" t="s">
        <v>19</v>
      </c>
      <c r="D53" t="s">
        <v>67</v>
      </c>
      <c r="E53" t="s">
        <v>13</v>
      </c>
      <c r="F53" t="s">
        <v>10</v>
      </c>
      <c r="G53">
        <v>34138.5</v>
      </c>
    </row>
    <row r="54" spans="3:7" hidden="1" x14ac:dyDescent="0.3">
      <c r="C54" t="s">
        <v>11</v>
      </c>
      <c r="D54" t="s">
        <v>68</v>
      </c>
      <c r="E54" t="s">
        <v>13</v>
      </c>
      <c r="F54" t="s">
        <v>10</v>
      </c>
      <c r="G54">
        <v>32080</v>
      </c>
    </row>
    <row r="55" spans="3:7" hidden="1" x14ac:dyDescent="0.3">
      <c r="C55" t="s">
        <v>21</v>
      </c>
      <c r="D55" t="s">
        <v>69</v>
      </c>
      <c r="E55" t="s">
        <v>13</v>
      </c>
      <c r="F55" t="s">
        <v>10</v>
      </c>
      <c r="G55">
        <v>30964</v>
      </c>
    </row>
    <row r="56" spans="3:7" hidden="1" x14ac:dyDescent="0.3">
      <c r="C56" t="s">
        <v>14</v>
      </c>
      <c r="D56" t="s">
        <v>70</v>
      </c>
      <c r="E56" t="s">
        <v>13</v>
      </c>
      <c r="F56" t="s">
        <v>10</v>
      </c>
      <c r="G56">
        <v>30465</v>
      </c>
    </row>
    <row r="57" spans="3:7" hidden="1" x14ac:dyDescent="0.3">
      <c r="C57" t="s">
        <v>21</v>
      </c>
      <c r="D57" t="s">
        <v>71</v>
      </c>
      <c r="E57" t="s">
        <v>13</v>
      </c>
      <c r="F57" t="s">
        <v>10</v>
      </c>
      <c r="G57">
        <v>30238</v>
      </c>
    </row>
    <row r="58" spans="3:7" hidden="1" x14ac:dyDescent="0.3">
      <c r="C58" t="s">
        <v>19</v>
      </c>
      <c r="D58" t="s">
        <v>72</v>
      </c>
      <c r="E58" t="s">
        <v>17</v>
      </c>
      <c r="F58" t="s">
        <v>29</v>
      </c>
      <c r="G58">
        <v>30225.25</v>
      </c>
    </row>
    <row r="59" spans="3:7" hidden="1" x14ac:dyDescent="0.3">
      <c r="C59" t="s">
        <v>19</v>
      </c>
      <c r="D59" t="s">
        <v>73</v>
      </c>
      <c r="E59" t="s">
        <v>13</v>
      </c>
      <c r="F59" t="s">
        <v>10</v>
      </c>
      <c r="G59">
        <v>30209</v>
      </c>
    </row>
    <row r="60" spans="3:7" hidden="1" x14ac:dyDescent="0.3">
      <c r="C60" t="s">
        <v>11</v>
      </c>
      <c r="D60" t="s">
        <v>74</v>
      </c>
      <c r="E60" t="s">
        <v>13</v>
      </c>
      <c r="F60" t="s">
        <v>10</v>
      </c>
      <c r="G60">
        <v>30117</v>
      </c>
    </row>
    <row r="61" spans="3:7" hidden="1" x14ac:dyDescent="0.3">
      <c r="C61" t="s">
        <v>19</v>
      </c>
      <c r="D61" t="s">
        <v>75</v>
      </c>
      <c r="E61" t="s">
        <v>13</v>
      </c>
      <c r="F61" t="s">
        <v>10</v>
      </c>
      <c r="G61">
        <v>29941</v>
      </c>
    </row>
    <row r="62" spans="3:7" hidden="1" x14ac:dyDescent="0.3">
      <c r="C62" t="s">
        <v>21</v>
      </c>
      <c r="D62" t="s">
        <v>76</v>
      </c>
      <c r="E62" t="s">
        <v>13</v>
      </c>
      <c r="F62" t="s">
        <v>10</v>
      </c>
      <c r="G62">
        <v>29850.3783783783</v>
      </c>
    </row>
    <row r="63" spans="3:7" hidden="1" x14ac:dyDescent="0.3">
      <c r="C63" t="s">
        <v>11</v>
      </c>
      <c r="D63" t="s">
        <v>77</v>
      </c>
      <c r="E63" t="s">
        <v>13</v>
      </c>
      <c r="F63" t="s">
        <v>10</v>
      </c>
      <c r="G63">
        <v>28360</v>
      </c>
    </row>
    <row r="64" spans="3:7" hidden="1" x14ac:dyDescent="0.3">
      <c r="C64" t="s">
        <v>78</v>
      </c>
      <c r="D64" t="s">
        <v>79</v>
      </c>
      <c r="E64" t="s">
        <v>17</v>
      </c>
      <c r="F64" t="s">
        <v>10</v>
      </c>
      <c r="G64">
        <v>28096</v>
      </c>
    </row>
    <row r="65" spans="3:7" hidden="1" x14ac:dyDescent="0.3">
      <c r="C65" t="s">
        <v>7</v>
      </c>
      <c r="D65" t="s">
        <v>80</v>
      </c>
      <c r="E65" t="s">
        <v>13</v>
      </c>
      <c r="F65" t="s">
        <v>10</v>
      </c>
      <c r="G65">
        <v>27669</v>
      </c>
    </row>
    <row r="66" spans="3:7" hidden="1" x14ac:dyDescent="0.3">
      <c r="C66" t="s">
        <v>19</v>
      </c>
      <c r="D66" t="s">
        <v>81</v>
      </c>
      <c r="E66" t="s">
        <v>13</v>
      </c>
      <c r="F66" t="s">
        <v>10</v>
      </c>
      <c r="G66">
        <v>27472</v>
      </c>
    </row>
    <row r="67" spans="3:7" hidden="1" x14ac:dyDescent="0.3">
      <c r="C67" t="s">
        <v>19</v>
      </c>
      <c r="D67" t="s">
        <v>82</v>
      </c>
      <c r="E67" t="s">
        <v>17</v>
      </c>
      <c r="F67" t="s">
        <v>10</v>
      </c>
      <c r="G67">
        <v>27472</v>
      </c>
    </row>
    <row r="68" spans="3:7" hidden="1" x14ac:dyDescent="0.3">
      <c r="C68" t="s">
        <v>7</v>
      </c>
      <c r="D68" t="s">
        <v>83</v>
      </c>
      <c r="E68" t="s">
        <v>13</v>
      </c>
      <c r="F68" t="s">
        <v>10</v>
      </c>
      <c r="G68">
        <v>26869</v>
      </c>
    </row>
    <row r="69" spans="3:7" hidden="1" x14ac:dyDescent="0.3">
      <c r="C69" t="s">
        <v>14</v>
      </c>
      <c r="D69" t="s">
        <v>84</v>
      </c>
      <c r="E69" t="s">
        <v>13</v>
      </c>
      <c r="F69" t="s">
        <v>10</v>
      </c>
      <c r="G69">
        <v>26808</v>
      </c>
    </row>
    <row r="70" spans="3:7" hidden="1" x14ac:dyDescent="0.3">
      <c r="C70" t="s">
        <v>21</v>
      </c>
      <c r="D70" t="s">
        <v>85</v>
      </c>
      <c r="E70" t="s">
        <v>17</v>
      </c>
      <c r="F70" t="s">
        <v>10</v>
      </c>
      <c r="G70">
        <v>26276</v>
      </c>
    </row>
    <row r="71" spans="3:7" hidden="1" x14ac:dyDescent="0.3">
      <c r="C71" t="s">
        <v>21</v>
      </c>
      <c r="D71" t="s">
        <v>86</v>
      </c>
      <c r="E71" t="s">
        <v>13</v>
      </c>
      <c r="F71" t="s">
        <v>10</v>
      </c>
      <c r="G71">
        <v>25209</v>
      </c>
    </row>
    <row r="72" spans="3:7" hidden="1" x14ac:dyDescent="0.3">
      <c r="C72" t="s">
        <v>19</v>
      </c>
      <c r="D72" t="s">
        <v>87</v>
      </c>
      <c r="E72" t="s">
        <v>13</v>
      </c>
      <c r="F72" t="s">
        <v>10</v>
      </c>
      <c r="G72">
        <v>24687.5</v>
      </c>
    </row>
    <row r="73" spans="3:7" hidden="1" x14ac:dyDescent="0.3">
      <c r="C73" t="s">
        <v>11</v>
      </c>
      <c r="D73" t="s">
        <v>88</v>
      </c>
      <c r="E73" t="s">
        <v>13</v>
      </c>
      <c r="F73" t="s">
        <v>10</v>
      </c>
      <c r="G73">
        <v>24617</v>
      </c>
    </row>
    <row r="74" spans="3:7" hidden="1" x14ac:dyDescent="0.3">
      <c r="C74" t="s">
        <v>7</v>
      </c>
      <c r="D74" t="s">
        <v>89</v>
      </c>
      <c r="E74" t="s">
        <v>13</v>
      </c>
      <c r="F74" t="s">
        <v>10</v>
      </c>
      <c r="G74">
        <v>24244</v>
      </c>
    </row>
    <row r="75" spans="3:7" hidden="1" x14ac:dyDescent="0.3">
      <c r="C75" t="s">
        <v>90</v>
      </c>
      <c r="D75" t="s">
        <v>36</v>
      </c>
      <c r="E75" t="s">
        <v>13</v>
      </c>
      <c r="F75" t="s">
        <v>10</v>
      </c>
      <c r="G75">
        <v>23811</v>
      </c>
    </row>
    <row r="76" spans="3:7" hidden="1" x14ac:dyDescent="0.3">
      <c r="C76" t="s">
        <v>14</v>
      </c>
      <c r="D76" t="s">
        <v>91</v>
      </c>
      <c r="E76" t="s">
        <v>13</v>
      </c>
      <c r="F76" t="s">
        <v>10</v>
      </c>
      <c r="G76">
        <v>22107</v>
      </c>
    </row>
    <row r="77" spans="3:7" hidden="1" x14ac:dyDescent="0.3">
      <c r="C77" t="s">
        <v>19</v>
      </c>
      <c r="D77" t="s">
        <v>92</v>
      </c>
      <c r="E77" t="s">
        <v>17</v>
      </c>
      <c r="F77" t="s">
        <v>29</v>
      </c>
      <c r="G77">
        <v>21463.5</v>
      </c>
    </row>
    <row r="78" spans="3:7" hidden="1" x14ac:dyDescent="0.3">
      <c r="C78" t="s">
        <v>7</v>
      </c>
      <c r="D78" t="s">
        <v>93</v>
      </c>
      <c r="E78" t="s">
        <v>13</v>
      </c>
      <c r="F78" t="s">
        <v>10</v>
      </c>
      <c r="G78">
        <v>21189</v>
      </c>
    </row>
    <row r="79" spans="3:7" hidden="1" x14ac:dyDescent="0.3">
      <c r="C79" t="s">
        <v>21</v>
      </c>
      <c r="D79" t="s">
        <v>94</v>
      </c>
      <c r="E79" t="s">
        <v>9</v>
      </c>
      <c r="F79" t="s">
        <v>10</v>
      </c>
      <c r="G79">
        <v>20944</v>
      </c>
    </row>
    <row r="80" spans="3:7" hidden="1" x14ac:dyDescent="0.3">
      <c r="C80" t="s">
        <v>7</v>
      </c>
      <c r="D80" t="s">
        <v>95</v>
      </c>
      <c r="E80" t="s">
        <v>13</v>
      </c>
      <c r="F80" t="s">
        <v>10</v>
      </c>
      <c r="G80">
        <v>19715</v>
      </c>
    </row>
    <row r="81" spans="3:7" hidden="1" x14ac:dyDescent="0.3">
      <c r="C81" t="s">
        <v>78</v>
      </c>
      <c r="D81" t="s">
        <v>96</v>
      </c>
      <c r="E81" t="s">
        <v>13</v>
      </c>
      <c r="F81" t="s">
        <v>10</v>
      </c>
      <c r="G81">
        <v>19499</v>
      </c>
    </row>
    <row r="82" spans="3:7" hidden="1" x14ac:dyDescent="0.3">
      <c r="C82" t="s">
        <v>19</v>
      </c>
      <c r="D82" t="s">
        <v>97</v>
      </c>
      <c r="E82" t="s">
        <v>9</v>
      </c>
      <c r="F82" t="s">
        <v>10</v>
      </c>
      <c r="G82">
        <v>19264</v>
      </c>
    </row>
    <row r="83" spans="3:7" hidden="1" x14ac:dyDescent="0.3">
      <c r="C83" t="s">
        <v>19</v>
      </c>
      <c r="D83" t="s">
        <v>98</v>
      </c>
      <c r="E83" t="s">
        <v>17</v>
      </c>
      <c r="F83" t="s">
        <v>29</v>
      </c>
      <c r="G83">
        <v>19264</v>
      </c>
    </row>
    <row r="84" spans="3:7" hidden="1" x14ac:dyDescent="0.3">
      <c r="C84" t="s">
        <v>19</v>
      </c>
      <c r="D84" t="s">
        <v>99</v>
      </c>
      <c r="E84" t="s">
        <v>13</v>
      </c>
      <c r="F84" t="s">
        <v>10</v>
      </c>
      <c r="G84">
        <v>19186</v>
      </c>
    </row>
    <row r="85" spans="3:7" hidden="1" x14ac:dyDescent="0.3">
      <c r="C85" t="s">
        <v>21</v>
      </c>
      <c r="D85" t="s">
        <v>100</v>
      </c>
      <c r="E85" t="s">
        <v>13</v>
      </c>
      <c r="F85" t="s">
        <v>10</v>
      </c>
      <c r="G85">
        <v>19145</v>
      </c>
    </row>
    <row r="86" spans="3:7" hidden="1" x14ac:dyDescent="0.3">
      <c r="C86" t="s">
        <v>7</v>
      </c>
      <c r="D86" t="s">
        <v>101</v>
      </c>
      <c r="E86" t="s">
        <v>9</v>
      </c>
      <c r="F86" t="s">
        <v>10</v>
      </c>
      <c r="G86">
        <v>18757</v>
      </c>
    </row>
    <row r="87" spans="3:7" hidden="1" x14ac:dyDescent="0.3">
      <c r="C87" t="s">
        <v>11</v>
      </c>
      <c r="D87" t="s">
        <v>102</v>
      </c>
      <c r="E87" t="s">
        <v>13</v>
      </c>
      <c r="F87" t="s">
        <v>10</v>
      </c>
      <c r="G87">
        <v>18437</v>
      </c>
    </row>
    <row r="88" spans="3:7" hidden="1" x14ac:dyDescent="0.3">
      <c r="C88" t="s">
        <v>21</v>
      </c>
      <c r="D88" t="s">
        <v>103</v>
      </c>
      <c r="E88" t="s">
        <v>9</v>
      </c>
      <c r="F88" t="s">
        <v>10</v>
      </c>
      <c r="G88">
        <v>18211</v>
      </c>
    </row>
    <row r="89" spans="3:7" hidden="1" x14ac:dyDescent="0.3">
      <c r="C89" t="s">
        <v>52</v>
      </c>
      <c r="D89" t="s">
        <v>104</v>
      </c>
      <c r="E89" t="s">
        <v>13</v>
      </c>
      <c r="F89" t="s">
        <v>10</v>
      </c>
      <c r="G89">
        <v>18204</v>
      </c>
    </row>
    <row r="90" spans="3:7" hidden="1" x14ac:dyDescent="0.3">
      <c r="C90" t="s">
        <v>7</v>
      </c>
      <c r="D90" t="s">
        <v>105</v>
      </c>
      <c r="E90" t="s">
        <v>13</v>
      </c>
      <c r="F90" t="s">
        <v>10</v>
      </c>
      <c r="G90">
        <v>18188</v>
      </c>
    </row>
    <row r="91" spans="3:7" hidden="1" x14ac:dyDescent="0.3">
      <c r="C91" t="s">
        <v>19</v>
      </c>
      <c r="D91" t="s">
        <v>106</v>
      </c>
      <c r="E91" t="s">
        <v>9</v>
      </c>
      <c r="F91" t="s">
        <v>10</v>
      </c>
      <c r="G91">
        <v>18136</v>
      </c>
    </row>
    <row r="92" spans="3:7" hidden="1" x14ac:dyDescent="0.3">
      <c r="C92" t="s">
        <v>7</v>
      </c>
      <c r="D92" t="s">
        <v>107</v>
      </c>
      <c r="E92" t="s">
        <v>9</v>
      </c>
      <c r="F92" t="s">
        <v>10</v>
      </c>
      <c r="G92">
        <v>18090</v>
      </c>
    </row>
    <row r="93" spans="3:7" hidden="1" x14ac:dyDescent="0.3">
      <c r="C93" t="s">
        <v>7</v>
      </c>
      <c r="D93" t="s">
        <v>108</v>
      </c>
      <c r="E93" t="s">
        <v>9</v>
      </c>
      <c r="F93" t="s">
        <v>10</v>
      </c>
      <c r="G93">
        <v>18003.347000000002</v>
      </c>
    </row>
    <row r="94" spans="3:7" hidden="1" x14ac:dyDescent="0.3">
      <c r="C94" t="s">
        <v>7</v>
      </c>
      <c r="D94" t="s">
        <v>109</v>
      </c>
      <c r="E94" t="s">
        <v>17</v>
      </c>
      <c r="F94" t="s">
        <v>10</v>
      </c>
      <c r="G94">
        <v>17834</v>
      </c>
    </row>
    <row r="95" spans="3:7" hidden="1" x14ac:dyDescent="0.3">
      <c r="C95" t="s">
        <v>7</v>
      </c>
      <c r="D95" t="s">
        <v>110</v>
      </c>
      <c r="E95" t="s">
        <v>13</v>
      </c>
      <c r="F95" t="s">
        <v>10</v>
      </c>
      <c r="G95">
        <v>17834</v>
      </c>
    </row>
    <row r="96" spans="3:7" hidden="1" x14ac:dyDescent="0.3">
      <c r="C96" t="s">
        <v>52</v>
      </c>
      <c r="D96" t="s">
        <v>111</v>
      </c>
      <c r="E96" t="s">
        <v>13</v>
      </c>
      <c r="F96" t="s">
        <v>10</v>
      </c>
      <c r="G96">
        <v>17766</v>
      </c>
    </row>
    <row r="97" spans="3:7" hidden="1" x14ac:dyDescent="0.3">
      <c r="C97" t="s">
        <v>14</v>
      </c>
      <c r="D97" t="s">
        <v>112</v>
      </c>
      <c r="E97" t="s">
        <v>13</v>
      </c>
      <c r="F97" t="s">
        <v>10</v>
      </c>
      <c r="G97">
        <v>17522</v>
      </c>
    </row>
    <row r="98" spans="3:7" hidden="1" x14ac:dyDescent="0.3">
      <c r="C98" t="s">
        <v>14</v>
      </c>
      <c r="D98" t="s">
        <v>40</v>
      </c>
      <c r="E98" t="s">
        <v>13</v>
      </c>
      <c r="F98" t="s">
        <v>10</v>
      </c>
      <c r="G98">
        <v>17494</v>
      </c>
    </row>
    <row r="99" spans="3:7" hidden="1" x14ac:dyDescent="0.3">
      <c r="C99" t="s">
        <v>21</v>
      </c>
      <c r="D99" t="s">
        <v>113</v>
      </c>
      <c r="E99" t="s">
        <v>13</v>
      </c>
      <c r="F99" t="s">
        <v>10</v>
      </c>
      <c r="G99">
        <v>17486.5</v>
      </c>
    </row>
    <row r="100" spans="3:7" hidden="1" x14ac:dyDescent="0.3">
      <c r="C100" t="s">
        <v>52</v>
      </c>
      <c r="D100" t="s">
        <v>114</v>
      </c>
      <c r="E100" t="s">
        <v>13</v>
      </c>
      <c r="F100" t="s">
        <v>10</v>
      </c>
      <c r="G100">
        <v>17120</v>
      </c>
    </row>
    <row r="101" spans="3:7" hidden="1" x14ac:dyDescent="0.3">
      <c r="C101" t="s">
        <v>14</v>
      </c>
      <c r="D101" t="s">
        <v>115</v>
      </c>
      <c r="E101" t="s">
        <v>13</v>
      </c>
      <c r="F101" t="s">
        <v>10</v>
      </c>
      <c r="G101">
        <v>17046</v>
      </c>
    </row>
    <row r="102" spans="3:7" hidden="1" x14ac:dyDescent="0.3">
      <c r="C102" t="s">
        <v>21</v>
      </c>
      <c r="D102" t="s">
        <v>116</v>
      </c>
      <c r="E102" t="s">
        <v>13</v>
      </c>
      <c r="F102" t="s">
        <v>10</v>
      </c>
      <c r="G102">
        <v>16993</v>
      </c>
    </row>
    <row r="103" spans="3:7" hidden="1" x14ac:dyDescent="0.3">
      <c r="C103" t="s">
        <v>19</v>
      </c>
      <c r="D103" t="s">
        <v>117</v>
      </c>
      <c r="E103" t="s">
        <v>13</v>
      </c>
      <c r="F103" t="s">
        <v>10</v>
      </c>
      <c r="G103">
        <v>16558.5</v>
      </c>
    </row>
    <row r="104" spans="3:7" hidden="1" x14ac:dyDescent="0.3">
      <c r="C104" t="s">
        <v>14</v>
      </c>
      <c r="D104" t="s">
        <v>118</v>
      </c>
      <c r="E104" t="s">
        <v>9</v>
      </c>
      <c r="F104" t="s">
        <v>29</v>
      </c>
      <c r="G104">
        <v>16485</v>
      </c>
    </row>
    <row r="105" spans="3:7" hidden="1" x14ac:dyDescent="0.3">
      <c r="C105" t="s">
        <v>14</v>
      </c>
      <c r="D105" t="s">
        <v>119</v>
      </c>
      <c r="E105" t="s">
        <v>13</v>
      </c>
      <c r="F105" t="s">
        <v>10</v>
      </c>
      <c r="G105">
        <v>16353</v>
      </c>
    </row>
    <row r="106" spans="3:7" hidden="1" x14ac:dyDescent="0.3">
      <c r="C106" t="s">
        <v>11</v>
      </c>
      <c r="D106" t="s">
        <v>120</v>
      </c>
      <c r="E106" t="s">
        <v>13</v>
      </c>
      <c r="F106" t="s">
        <v>10</v>
      </c>
      <c r="G106">
        <v>16053</v>
      </c>
    </row>
    <row r="107" spans="3:7" hidden="1" x14ac:dyDescent="0.3">
      <c r="C107" t="s">
        <v>19</v>
      </c>
      <c r="D107" t="s">
        <v>121</v>
      </c>
      <c r="E107" t="s">
        <v>13</v>
      </c>
      <c r="F107" t="s">
        <v>10</v>
      </c>
      <c r="G107">
        <v>15537</v>
      </c>
    </row>
    <row r="108" spans="3:7" hidden="1" x14ac:dyDescent="0.3">
      <c r="C108" t="s">
        <v>19</v>
      </c>
      <c r="D108" t="s">
        <v>122</v>
      </c>
      <c r="E108" t="s">
        <v>13</v>
      </c>
      <c r="F108" t="s">
        <v>10</v>
      </c>
      <c r="G108">
        <v>15537</v>
      </c>
    </row>
    <row r="109" spans="3:7" hidden="1" x14ac:dyDescent="0.3">
      <c r="C109" t="s">
        <v>21</v>
      </c>
      <c r="D109" t="s">
        <v>123</v>
      </c>
      <c r="E109" t="s">
        <v>13</v>
      </c>
      <c r="F109" t="s">
        <v>10</v>
      </c>
      <c r="G109">
        <v>15051</v>
      </c>
    </row>
    <row r="110" spans="3:7" hidden="1" x14ac:dyDescent="0.3">
      <c r="C110" t="s">
        <v>14</v>
      </c>
      <c r="D110" t="s">
        <v>124</v>
      </c>
      <c r="E110" t="s">
        <v>13</v>
      </c>
      <c r="F110" t="s">
        <v>10</v>
      </c>
      <c r="G110">
        <v>14902</v>
      </c>
    </row>
    <row r="111" spans="3:7" hidden="1" x14ac:dyDescent="0.3">
      <c r="C111" t="s">
        <v>21</v>
      </c>
      <c r="D111" t="s">
        <v>125</v>
      </c>
      <c r="E111" t="s">
        <v>9</v>
      </c>
      <c r="F111" t="s">
        <v>10</v>
      </c>
      <c r="G111">
        <v>14743</v>
      </c>
    </row>
    <row r="112" spans="3:7" hidden="1" x14ac:dyDescent="0.3">
      <c r="C112" t="s">
        <v>126</v>
      </c>
      <c r="D112" t="s">
        <v>127</v>
      </c>
      <c r="E112" t="s">
        <v>13</v>
      </c>
      <c r="F112" t="s">
        <v>10</v>
      </c>
      <c r="G112">
        <v>14717</v>
      </c>
    </row>
    <row r="113" spans="3:7" hidden="1" x14ac:dyDescent="0.3">
      <c r="C113" t="s">
        <v>14</v>
      </c>
      <c r="D113" t="s">
        <v>128</v>
      </c>
      <c r="E113" t="s">
        <v>13</v>
      </c>
      <c r="F113" t="s">
        <v>10</v>
      </c>
      <c r="G113">
        <v>14678</v>
      </c>
    </row>
    <row r="114" spans="3:7" hidden="1" x14ac:dyDescent="0.3">
      <c r="C114" t="s">
        <v>21</v>
      </c>
      <c r="D114" t="s">
        <v>129</v>
      </c>
      <c r="E114" t="s">
        <v>13</v>
      </c>
      <c r="F114" t="s">
        <v>10</v>
      </c>
      <c r="G114">
        <v>14537</v>
      </c>
    </row>
    <row r="115" spans="3:7" hidden="1" x14ac:dyDescent="0.3">
      <c r="C115" t="s">
        <v>21</v>
      </c>
      <c r="D115" t="s">
        <v>130</v>
      </c>
      <c r="E115" t="s">
        <v>13</v>
      </c>
      <c r="F115" t="s">
        <v>10</v>
      </c>
      <c r="G115">
        <v>14396</v>
      </c>
    </row>
    <row r="116" spans="3:7" hidden="1" x14ac:dyDescent="0.3">
      <c r="C116" t="s">
        <v>14</v>
      </c>
      <c r="D116" t="s">
        <v>131</v>
      </c>
      <c r="E116" t="s">
        <v>13</v>
      </c>
      <c r="F116" t="s">
        <v>10</v>
      </c>
      <c r="G116">
        <v>14366</v>
      </c>
    </row>
    <row r="117" spans="3:7" hidden="1" x14ac:dyDescent="0.3">
      <c r="C117" t="s">
        <v>19</v>
      </c>
      <c r="D117" t="s">
        <v>132</v>
      </c>
      <c r="E117" t="s">
        <v>17</v>
      </c>
      <c r="F117" t="s">
        <v>29</v>
      </c>
      <c r="G117">
        <v>14311</v>
      </c>
    </row>
    <row r="118" spans="3:7" hidden="1" x14ac:dyDescent="0.3">
      <c r="C118" t="s">
        <v>21</v>
      </c>
      <c r="D118" t="s">
        <v>133</v>
      </c>
      <c r="E118" t="s">
        <v>13</v>
      </c>
      <c r="F118" t="s">
        <v>10</v>
      </c>
      <c r="G118">
        <v>14165</v>
      </c>
    </row>
    <row r="119" spans="3:7" hidden="1" x14ac:dyDescent="0.3">
      <c r="C119" t="s">
        <v>14</v>
      </c>
      <c r="D119" t="s">
        <v>134</v>
      </c>
      <c r="E119" t="s">
        <v>13</v>
      </c>
      <c r="F119" t="s">
        <v>10</v>
      </c>
      <c r="G119">
        <v>14119</v>
      </c>
    </row>
    <row r="120" spans="3:7" x14ac:dyDescent="0.3">
      <c r="C120" t="s">
        <v>21</v>
      </c>
      <c r="D120" t="s">
        <v>135</v>
      </c>
      <c r="E120" t="s">
        <v>13</v>
      </c>
      <c r="F120" t="s">
        <v>136</v>
      </c>
      <c r="G120">
        <v>13939.001084256999</v>
      </c>
    </row>
    <row r="121" spans="3:7" hidden="1" x14ac:dyDescent="0.3">
      <c r="C121" t="s">
        <v>21</v>
      </c>
      <c r="D121" t="s">
        <v>137</v>
      </c>
      <c r="E121" t="s">
        <v>9</v>
      </c>
      <c r="F121" t="s">
        <v>136</v>
      </c>
      <c r="G121">
        <v>13681.823942481</v>
      </c>
    </row>
    <row r="122" spans="3:7" hidden="1" x14ac:dyDescent="0.3">
      <c r="C122" t="s">
        <v>11</v>
      </c>
      <c r="D122" t="s">
        <v>138</v>
      </c>
      <c r="E122" t="s">
        <v>13</v>
      </c>
      <c r="F122" t="s">
        <v>10</v>
      </c>
      <c r="G122">
        <v>13608</v>
      </c>
    </row>
    <row r="123" spans="3:7" hidden="1" x14ac:dyDescent="0.3">
      <c r="C123" t="s">
        <v>19</v>
      </c>
      <c r="D123" t="s">
        <v>139</v>
      </c>
      <c r="E123" t="s">
        <v>13</v>
      </c>
      <c r="F123" t="s">
        <v>10</v>
      </c>
      <c r="G123">
        <v>13518.75</v>
      </c>
    </row>
    <row r="124" spans="3:7" hidden="1" x14ac:dyDescent="0.3">
      <c r="C124" t="s">
        <v>7</v>
      </c>
      <c r="D124" t="s">
        <v>140</v>
      </c>
      <c r="E124" t="s">
        <v>13</v>
      </c>
      <c r="F124" t="s">
        <v>10</v>
      </c>
      <c r="G124">
        <v>13460</v>
      </c>
    </row>
    <row r="125" spans="3:7" hidden="1" x14ac:dyDescent="0.3">
      <c r="C125" t="s">
        <v>7</v>
      </c>
      <c r="D125" t="s">
        <v>141</v>
      </c>
      <c r="E125" t="s">
        <v>17</v>
      </c>
      <c r="F125" t="s">
        <v>10</v>
      </c>
      <c r="G125">
        <v>13460</v>
      </c>
    </row>
    <row r="126" spans="3:7" hidden="1" x14ac:dyDescent="0.3">
      <c r="C126" t="s">
        <v>14</v>
      </c>
      <c r="D126" t="s">
        <v>142</v>
      </c>
      <c r="E126" t="s">
        <v>13</v>
      </c>
      <c r="F126" t="s">
        <v>10</v>
      </c>
      <c r="G126">
        <v>13294</v>
      </c>
    </row>
    <row r="127" spans="3:7" hidden="1" x14ac:dyDescent="0.3">
      <c r="C127" t="s">
        <v>14</v>
      </c>
      <c r="D127" t="s">
        <v>143</v>
      </c>
      <c r="E127" t="s">
        <v>13</v>
      </c>
      <c r="F127" t="s">
        <v>10</v>
      </c>
      <c r="G127">
        <v>13220</v>
      </c>
    </row>
    <row r="128" spans="3:7" hidden="1" x14ac:dyDescent="0.3">
      <c r="C128" t="s">
        <v>14</v>
      </c>
      <c r="D128" t="s">
        <v>144</v>
      </c>
      <c r="E128" t="s">
        <v>13</v>
      </c>
      <c r="F128" t="s">
        <v>10</v>
      </c>
      <c r="G128">
        <v>13220</v>
      </c>
    </row>
    <row r="129" spans="3:7" hidden="1" x14ac:dyDescent="0.3">
      <c r="C129" t="s">
        <v>7</v>
      </c>
      <c r="D129" t="s">
        <v>145</v>
      </c>
      <c r="E129" t="s">
        <v>9</v>
      </c>
      <c r="F129" t="s">
        <v>10</v>
      </c>
      <c r="G129">
        <v>13158</v>
      </c>
    </row>
    <row r="130" spans="3:7" hidden="1" x14ac:dyDescent="0.3">
      <c r="C130" t="s">
        <v>7</v>
      </c>
      <c r="D130" t="s">
        <v>146</v>
      </c>
      <c r="E130" t="s">
        <v>13</v>
      </c>
      <c r="F130" t="s">
        <v>10</v>
      </c>
      <c r="G130">
        <v>13077</v>
      </c>
    </row>
    <row r="131" spans="3:7" hidden="1" x14ac:dyDescent="0.3">
      <c r="C131" t="s">
        <v>14</v>
      </c>
      <c r="D131" t="s">
        <v>147</v>
      </c>
      <c r="E131" t="s">
        <v>13</v>
      </c>
      <c r="F131" t="s">
        <v>10</v>
      </c>
      <c r="G131">
        <v>12740</v>
      </c>
    </row>
    <row r="132" spans="3:7" hidden="1" x14ac:dyDescent="0.3">
      <c r="C132" t="s">
        <v>7</v>
      </c>
      <c r="D132" t="s">
        <v>148</v>
      </c>
      <c r="E132" t="s">
        <v>13</v>
      </c>
      <c r="F132" t="s">
        <v>10</v>
      </c>
      <c r="G132">
        <v>12564</v>
      </c>
    </row>
    <row r="133" spans="3:7" hidden="1" x14ac:dyDescent="0.3">
      <c r="C133" t="s">
        <v>19</v>
      </c>
      <c r="D133" t="s">
        <v>149</v>
      </c>
      <c r="E133" t="s">
        <v>17</v>
      </c>
      <c r="F133" t="s">
        <v>29</v>
      </c>
      <c r="G133">
        <v>12493</v>
      </c>
    </row>
    <row r="134" spans="3:7" hidden="1" x14ac:dyDescent="0.3">
      <c r="C134" t="s">
        <v>14</v>
      </c>
      <c r="D134" t="s">
        <v>150</v>
      </c>
      <c r="E134" t="s">
        <v>13</v>
      </c>
      <c r="F134" t="s">
        <v>10</v>
      </c>
      <c r="G134">
        <v>12477</v>
      </c>
    </row>
    <row r="135" spans="3:7" hidden="1" x14ac:dyDescent="0.3">
      <c r="C135" t="s">
        <v>7</v>
      </c>
      <c r="D135" t="s">
        <v>151</v>
      </c>
      <c r="E135" t="s">
        <v>13</v>
      </c>
      <c r="F135" t="s">
        <v>10</v>
      </c>
      <c r="G135">
        <v>12324</v>
      </c>
    </row>
    <row r="136" spans="3:7" hidden="1" x14ac:dyDescent="0.3">
      <c r="C136" t="s">
        <v>7</v>
      </c>
      <c r="D136" t="s">
        <v>152</v>
      </c>
      <c r="E136" t="s">
        <v>17</v>
      </c>
      <c r="F136" t="s">
        <v>29</v>
      </c>
      <c r="G136">
        <v>12324</v>
      </c>
    </row>
    <row r="137" spans="3:7" hidden="1" x14ac:dyDescent="0.3">
      <c r="C137" t="s">
        <v>7</v>
      </c>
      <c r="D137" t="s">
        <v>153</v>
      </c>
      <c r="E137" t="s">
        <v>13</v>
      </c>
      <c r="F137" t="s">
        <v>10</v>
      </c>
      <c r="G137">
        <v>12082</v>
      </c>
    </row>
    <row r="138" spans="3:7" hidden="1" x14ac:dyDescent="0.3">
      <c r="C138" t="s">
        <v>7</v>
      </c>
      <c r="D138" t="s">
        <v>154</v>
      </c>
      <c r="E138" t="s">
        <v>9</v>
      </c>
      <c r="F138" t="s">
        <v>10</v>
      </c>
      <c r="G138">
        <v>12082</v>
      </c>
    </row>
    <row r="139" spans="3:7" hidden="1" x14ac:dyDescent="0.3">
      <c r="C139" t="s">
        <v>7</v>
      </c>
      <c r="D139" t="s">
        <v>155</v>
      </c>
      <c r="E139" t="s">
        <v>13</v>
      </c>
      <c r="F139" t="s">
        <v>10</v>
      </c>
      <c r="G139">
        <v>11836</v>
      </c>
    </row>
    <row r="140" spans="3:7" hidden="1" x14ac:dyDescent="0.3">
      <c r="C140" t="s">
        <v>7</v>
      </c>
      <c r="D140" t="s">
        <v>156</v>
      </c>
      <c r="E140" t="s">
        <v>17</v>
      </c>
      <c r="F140" t="s">
        <v>10</v>
      </c>
      <c r="G140">
        <v>11836</v>
      </c>
    </row>
    <row r="141" spans="3:7" hidden="1" x14ac:dyDescent="0.3">
      <c r="C141" t="s">
        <v>14</v>
      </c>
      <c r="D141" t="s">
        <v>157</v>
      </c>
      <c r="E141" t="s">
        <v>13</v>
      </c>
      <c r="F141" t="s">
        <v>10</v>
      </c>
      <c r="G141">
        <v>11704</v>
      </c>
    </row>
    <row r="142" spans="3:7" hidden="1" x14ac:dyDescent="0.3">
      <c r="C142" t="s">
        <v>14</v>
      </c>
      <c r="D142" t="s">
        <v>158</v>
      </c>
      <c r="E142" t="s">
        <v>17</v>
      </c>
      <c r="F142" t="s">
        <v>29</v>
      </c>
      <c r="G142">
        <v>11704</v>
      </c>
    </row>
    <row r="143" spans="3:7" hidden="1" x14ac:dyDescent="0.3">
      <c r="C143" t="s">
        <v>19</v>
      </c>
      <c r="D143" t="s">
        <v>159</v>
      </c>
      <c r="E143" t="s">
        <v>13</v>
      </c>
      <c r="F143" t="s">
        <v>10</v>
      </c>
      <c r="G143">
        <v>11703</v>
      </c>
    </row>
    <row r="144" spans="3:7" hidden="1" x14ac:dyDescent="0.3">
      <c r="C144" t="s">
        <v>7</v>
      </c>
      <c r="D144" t="s">
        <v>160</v>
      </c>
      <c r="E144" t="s">
        <v>17</v>
      </c>
      <c r="F144" t="s">
        <v>136</v>
      </c>
      <c r="G144">
        <v>11537.2950991089</v>
      </c>
    </row>
    <row r="145" spans="3:7" hidden="1" x14ac:dyDescent="0.3">
      <c r="C145" t="s">
        <v>19</v>
      </c>
      <c r="D145" t="s">
        <v>161</v>
      </c>
      <c r="E145" t="s">
        <v>13</v>
      </c>
      <c r="F145" t="s">
        <v>10</v>
      </c>
      <c r="G145">
        <v>11463</v>
      </c>
    </row>
    <row r="146" spans="3:7" hidden="1" x14ac:dyDescent="0.3">
      <c r="C146" t="s">
        <v>7</v>
      </c>
      <c r="D146" t="s">
        <v>162</v>
      </c>
      <c r="E146" t="s">
        <v>9</v>
      </c>
      <c r="F146" t="s">
        <v>136</v>
      </c>
      <c r="G146">
        <v>11457.771000000001</v>
      </c>
    </row>
    <row r="147" spans="3:7" hidden="1" x14ac:dyDescent="0.3">
      <c r="C147" t="s">
        <v>21</v>
      </c>
      <c r="D147" t="s">
        <v>163</v>
      </c>
      <c r="E147" t="s">
        <v>13</v>
      </c>
      <c r="F147" t="s">
        <v>136</v>
      </c>
      <c r="G147">
        <v>11433.257142857099</v>
      </c>
    </row>
    <row r="148" spans="3:7" hidden="1" x14ac:dyDescent="0.3">
      <c r="C148" t="s">
        <v>21</v>
      </c>
      <c r="D148" t="s">
        <v>164</v>
      </c>
      <c r="E148" t="s">
        <v>13</v>
      </c>
      <c r="F148" t="s">
        <v>10</v>
      </c>
      <c r="G148">
        <v>11408</v>
      </c>
    </row>
    <row r="149" spans="3:7" hidden="1" x14ac:dyDescent="0.3">
      <c r="C149" t="s">
        <v>165</v>
      </c>
      <c r="D149" t="s">
        <v>104</v>
      </c>
      <c r="E149" t="s">
        <v>13</v>
      </c>
      <c r="F149" t="s">
        <v>10</v>
      </c>
      <c r="G149">
        <v>11403</v>
      </c>
    </row>
    <row r="150" spans="3:7" hidden="1" x14ac:dyDescent="0.3">
      <c r="C150" t="s">
        <v>21</v>
      </c>
      <c r="D150" t="s">
        <v>166</v>
      </c>
      <c r="E150" t="s">
        <v>9</v>
      </c>
      <c r="F150" t="s">
        <v>10</v>
      </c>
      <c r="G150">
        <v>11353</v>
      </c>
    </row>
    <row r="151" spans="3:7" x14ac:dyDescent="0.3">
      <c r="C151" t="s">
        <v>11</v>
      </c>
      <c r="D151" t="s">
        <v>135</v>
      </c>
      <c r="E151" t="s">
        <v>13</v>
      </c>
      <c r="F151" t="s">
        <v>136</v>
      </c>
      <c r="G151">
        <v>11242.468979837</v>
      </c>
    </row>
    <row r="152" spans="3:7" hidden="1" x14ac:dyDescent="0.3">
      <c r="C152" t="s">
        <v>14</v>
      </c>
      <c r="D152" t="s">
        <v>167</v>
      </c>
      <c r="E152" t="s">
        <v>17</v>
      </c>
      <c r="F152" t="s">
        <v>29</v>
      </c>
      <c r="G152">
        <v>11213</v>
      </c>
    </row>
    <row r="153" spans="3:7" hidden="1" x14ac:dyDescent="0.3">
      <c r="C153" t="s">
        <v>52</v>
      </c>
      <c r="D153" t="s">
        <v>168</v>
      </c>
      <c r="E153" t="s">
        <v>13</v>
      </c>
      <c r="F153" t="s">
        <v>10</v>
      </c>
      <c r="G153">
        <v>11114</v>
      </c>
    </row>
    <row r="154" spans="3:7" hidden="1" x14ac:dyDescent="0.3">
      <c r="C154" t="s">
        <v>11</v>
      </c>
      <c r="D154" t="s">
        <v>137</v>
      </c>
      <c r="E154" t="s">
        <v>9</v>
      </c>
      <c r="F154" t="s">
        <v>136</v>
      </c>
      <c r="G154">
        <v>11035.0433529027</v>
      </c>
    </row>
    <row r="155" spans="3:7" hidden="1" x14ac:dyDescent="0.3">
      <c r="C155" t="s">
        <v>21</v>
      </c>
      <c r="D155" t="s">
        <v>169</v>
      </c>
      <c r="E155" t="s">
        <v>9</v>
      </c>
      <c r="F155" t="s">
        <v>10</v>
      </c>
      <c r="G155">
        <v>10923</v>
      </c>
    </row>
    <row r="156" spans="3:7" hidden="1" x14ac:dyDescent="0.3">
      <c r="C156" t="s">
        <v>19</v>
      </c>
      <c r="D156" t="s">
        <v>170</v>
      </c>
      <c r="E156" t="s">
        <v>9</v>
      </c>
      <c r="F156" t="s">
        <v>10</v>
      </c>
      <c r="G156">
        <v>10878</v>
      </c>
    </row>
    <row r="157" spans="3:7" hidden="1" x14ac:dyDescent="0.3">
      <c r="C157" t="s">
        <v>11</v>
      </c>
      <c r="D157" t="s">
        <v>171</v>
      </c>
      <c r="E157" t="s">
        <v>13</v>
      </c>
      <c r="F157" t="s">
        <v>136</v>
      </c>
      <c r="G157">
        <v>10838.3810958301</v>
      </c>
    </row>
    <row r="158" spans="3:7" hidden="1" x14ac:dyDescent="0.3">
      <c r="C158" t="s">
        <v>21</v>
      </c>
      <c r="D158" t="s">
        <v>172</v>
      </c>
      <c r="E158" t="s">
        <v>9</v>
      </c>
      <c r="F158" t="s">
        <v>10</v>
      </c>
      <c r="G158">
        <v>10793</v>
      </c>
    </row>
    <row r="159" spans="3:7" hidden="1" x14ac:dyDescent="0.3">
      <c r="C159" t="s">
        <v>14</v>
      </c>
      <c r="D159" t="s">
        <v>173</v>
      </c>
      <c r="E159" t="s">
        <v>13</v>
      </c>
      <c r="F159" t="s">
        <v>10</v>
      </c>
      <c r="G159">
        <v>10226</v>
      </c>
    </row>
    <row r="160" spans="3:7" hidden="1" x14ac:dyDescent="0.3">
      <c r="C160" t="s">
        <v>14</v>
      </c>
      <c r="D160" t="s">
        <v>174</v>
      </c>
      <c r="E160" t="s">
        <v>13</v>
      </c>
      <c r="F160" t="s">
        <v>10</v>
      </c>
      <c r="G160">
        <v>10226</v>
      </c>
    </row>
    <row r="161" spans="3:7" hidden="1" x14ac:dyDescent="0.3">
      <c r="C161" t="s">
        <v>19</v>
      </c>
      <c r="D161" t="s">
        <v>175</v>
      </c>
      <c r="E161" t="s">
        <v>13</v>
      </c>
      <c r="F161" t="s">
        <v>10</v>
      </c>
      <c r="G161">
        <v>10046</v>
      </c>
    </row>
    <row r="162" spans="3:7" hidden="1" x14ac:dyDescent="0.3">
      <c r="C162" t="s">
        <v>21</v>
      </c>
      <c r="D162" t="s">
        <v>176</v>
      </c>
      <c r="E162" t="s">
        <v>13</v>
      </c>
      <c r="F162" t="s">
        <v>10</v>
      </c>
      <c r="G162">
        <v>10012</v>
      </c>
    </row>
    <row r="163" spans="3:7" hidden="1" x14ac:dyDescent="0.3">
      <c r="C163" t="s">
        <v>14</v>
      </c>
      <c r="D163" t="s">
        <v>177</v>
      </c>
      <c r="E163" t="s">
        <v>13</v>
      </c>
      <c r="F163" t="s">
        <v>136</v>
      </c>
      <c r="G163">
        <v>9944.0588235294108</v>
      </c>
    </row>
    <row r="164" spans="3:7" hidden="1" x14ac:dyDescent="0.3">
      <c r="C164" t="s">
        <v>7</v>
      </c>
      <c r="D164" t="s">
        <v>178</v>
      </c>
      <c r="E164" t="s">
        <v>13</v>
      </c>
      <c r="F164" t="s">
        <v>10</v>
      </c>
      <c r="G164">
        <v>9912</v>
      </c>
    </row>
    <row r="165" spans="3:7" hidden="1" x14ac:dyDescent="0.3">
      <c r="C165" t="s">
        <v>19</v>
      </c>
      <c r="D165" t="s">
        <v>179</v>
      </c>
      <c r="E165" t="s">
        <v>13</v>
      </c>
      <c r="F165" t="s">
        <v>10</v>
      </c>
      <c r="G165">
        <v>9671.5</v>
      </c>
    </row>
    <row r="166" spans="3:7" hidden="1" x14ac:dyDescent="0.3">
      <c r="C166" t="s">
        <v>14</v>
      </c>
      <c r="D166" t="s">
        <v>180</v>
      </c>
      <c r="E166" t="s">
        <v>13</v>
      </c>
      <c r="F166" t="s">
        <v>10</v>
      </c>
      <c r="G166">
        <v>9643</v>
      </c>
    </row>
    <row r="167" spans="3:7" hidden="1" x14ac:dyDescent="0.3">
      <c r="C167" t="s">
        <v>7</v>
      </c>
      <c r="D167" t="s">
        <v>181</v>
      </c>
      <c r="E167" t="s">
        <v>13</v>
      </c>
      <c r="F167" t="s">
        <v>10</v>
      </c>
      <c r="G167">
        <v>9614</v>
      </c>
    </row>
    <row r="168" spans="3:7" hidden="1" x14ac:dyDescent="0.3">
      <c r="C168" t="s">
        <v>7</v>
      </c>
      <c r="D168" t="s">
        <v>182</v>
      </c>
      <c r="E168" t="s">
        <v>13</v>
      </c>
      <c r="F168" t="s">
        <v>10</v>
      </c>
      <c r="G168">
        <v>9614</v>
      </c>
    </row>
    <row r="169" spans="3:7" hidden="1" x14ac:dyDescent="0.3">
      <c r="C169" t="s">
        <v>7</v>
      </c>
      <c r="D169" t="s">
        <v>183</v>
      </c>
      <c r="E169" t="s">
        <v>13</v>
      </c>
      <c r="F169" t="s">
        <v>136</v>
      </c>
      <c r="G169">
        <v>9516.8518518518504</v>
      </c>
    </row>
    <row r="170" spans="3:7" hidden="1" x14ac:dyDescent="0.3">
      <c r="C170" t="s">
        <v>7</v>
      </c>
      <c r="D170" t="s">
        <v>184</v>
      </c>
      <c r="E170" t="s">
        <v>13</v>
      </c>
      <c r="F170" t="s">
        <v>10</v>
      </c>
      <c r="G170">
        <v>9456</v>
      </c>
    </row>
    <row r="171" spans="3:7" hidden="1" x14ac:dyDescent="0.3">
      <c r="C171" t="s">
        <v>7</v>
      </c>
      <c r="D171" t="s">
        <v>185</v>
      </c>
      <c r="E171" t="s">
        <v>9</v>
      </c>
      <c r="F171" t="s">
        <v>10</v>
      </c>
      <c r="G171">
        <v>9456</v>
      </c>
    </row>
    <row r="172" spans="3:7" hidden="1" x14ac:dyDescent="0.3">
      <c r="C172" t="s">
        <v>21</v>
      </c>
      <c r="D172" t="s">
        <v>186</v>
      </c>
      <c r="E172" t="s">
        <v>13</v>
      </c>
      <c r="F172" t="s">
        <v>10</v>
      </c>
      <c r="G172">
        <v>9443</v>
      </c>
    </row>
    <row r="173" spans="3:7" hidden="1" x14ac:dyDescent="0.3">
      <c r="C173" t="s">
        <v>21</v>
      </c>
      <c r="D173" t="s">
        <v>187</v>
      </c>
      <c r="E173" t="s">
        <v>13</v>
      </c>
      <c r="F173" t="s">
        <v>10</v>
      </c>
      <c r="G173">
        <v>9238</v>
      </c>
    </row>
    <row r="174" spans="3:7" hidden="1" x14ac:dyDescent="0.3">
      <c r="C174" t="s">
        <v>188</v>
      </c>
      <c r="D174" t="s">
        <v>189</v>
      </c>
      <c r="E174" t="s">
        <v>13</v>
      </c>
      <c r="F174" t="s">
        <v>10</v>
      </c>
      <c r="G174">
        <v>9184</v>
      </c>
    </row>
    <row r="175" spans="3:7" hidden="1" x14ac:dyDescent="0.3">
      <c r="C175" t="s">
        <v>14</v>
      </c>
      <c r="D175" t="s">
        <v>190</v>
      </c>
      <c r="E175" t="s">
        <v>13</v>
      </c>
      <c r="F175" t="s">
        <v>136</v>
      </c>
      <c r="G175">
        <v>9132.8268319420895</v>
      </c>
    </row>
    <row r="176" spans="3:7" hidden="1" x14ac:dyDescent="0.3">
      <c r="C176" t="s">
        <v>165</v>
      </c>
      <c r="D176" t="s">
        <v>191</v>
      </c>
      <c r="E176" t="s">
        <v>13</v>
      </c>
      <c r="F176" t="s">
        <v>10</v>
      </c>
      <c r="G176">
        <v>9131</v>
      </c>
    </row>
    <row r="177" spans="3:7" hidden="1" x14ac:dyDescent="0.3">
      <c r="C177" t="s">
        <v>14</v>
      </c>
      <c r="D177" t="s">
        <v>192</v>
      </c>
      <c r="E177" t="s">
        <v>9</v>
      </c>
      <c r="F177" t="s">
        <v>10</v>
      </c>
      <c r="G177">
        <v>9078</v>
      </c>
    </row>
    <row r="178" spans="3:7" hidden="1" x14ac:dyDescent="0.3">
      <c r="C178" t="s">
        <v>7</v>
      </c>
      <c r="D178" t="s">
        <v>193</v>
      </c>
      <c r="E178" t="s">
        <v>13</v>
      </c>
      <c r="F178" t="s">
        <v>136</v>
      </c>
      <c r="G178">
        <v>9039.7473605535197</v>
      </c>
    </row>
    <row r="179" spans="3:7" hidden="1" x14ac:dyDescent="0.3">
      <c r="C179" t="s">
        <v>7</v>
      </c>
      <c r="D179" t="s">
        <v>194</v>
      </c>
      <c r="E179" t="s">
        <v>13</v>
      </c>
      <c r="F179" t="s">
        <v>136</v>
      </c>
      <c r="G179">
        <v>9017.6559395334098</v>
      </c>
    </row>
    <row r="180" spans="3:7" hidden="1" x14ac:dyDescent="0.3">
      <c r="C180" t="s">
        <v>126</v>
      </c>
      <c r="D180" t="s">
        <v>24</v>
      </c>
      <c r="E180" t="s">
        <v>13</v>
      </c>
      <c r="F180" t="s">
        <v>10</v>
      </c>
      <c r="G180">
        <v>8956</v>
      </c>
    </row>
    <row r="181" spans="3:7" hidden="1" x14ac:dyDescent="0.3">
      <c r="C181" t="s">
        <v>14</v>
      </c>
      <c r="D181" t="s">
        <v>195</v>
      </c>
      <c r="E181" t="s">
        <v>13</v>
      </c>
      <c r="F181" t="s">
        <v>10</v>
      </c>
      <c r="G181">
        <v>8878</v>
      </c>
    </row>
    <row r="182" spans="3:7" hidden="1" x14ac:dyDescent="0.3">
      <c r="C182" t="s">
        <v>21</v>
      </c>
      <c r="D182" t="s">
        <v>196</v>
      </c>
      <c r="E182" t="s">
        <v>13</v>
      </c>
      <c r="F182" t="s">
        <v>10</v>
      </c>
      <c r="G182">
        <v>8854</v>
      </c>
    </row>
    <row r="183" spans="3:7" hidden="1" x14ac:dyDescent="0.3">
      <c r="C183" t="s">
        <v>19</v>
      </c>
      <c r="D183" t="s">
        <v>197</v>
      </c>
      <c r="E183" t="s">
        <v>9</v>
      </c>
      <c r="F183" t="s">
        <v>136</v>
      </c>
      <c r="G183">
        <v>8793.9396491227999</v>
      </c>
    </row>
    <row r="184" spans="3:7" hidden="1" x14ac:dyDescent="0.3">
      <c r="C184" t="s">
        <v>7</v>
      </c>
      <c r="D184" t="s">
        <v>198</v>
      </c>
      <c r="E184" t="s">
        <v>17</v>
      </c>
      <c r="F184" t="s">
        <v>136</v>
      </c>
      <c r="G184">
        <v>8753.488694136</v>
      </c>
    </row>
    <row r="185" spans="3:7" hidden="1" x14ac:dyDescent="0.3">
      <c r="C185" t="s">
        <v>78</v>
      </c>
      <c r="D185" t="s">
        <v>40</v>
      </c>
      <c r="E185" t="s">
        <v>13</v>
      </c>
      <c r="F185" t="s">
        <v>10</v>
      </c>
      <c r="G185">
        <v>8684</v>
      </c>
    </row>
    <row r="186" spans="3:7" hidden="1" x14ac:dyDescent="0.3">
      <c r="C186" t="s">
        <v>78</v>
      </c>
      <c r="D186" t="s">
        <v>199</v>
      </c>
      <c r="E186" t="s">
        <v>13</v>
      </c>
      <c r="F186" t="s">
        <v>10</v>
      </c>
      <c r="G186">
        <v>8575</v>
      </c>
    </row>
    <row r="187" spans="3:7" hidden="1" x14ac:dyDescent="0.3">
      <c r="C187" t="s">
        <v>19</v>
      </c>
      <c r="D187" t="s">
        <v>200</v>
      </c>
      <c r="E187" t="s">
        <v>13</v>
      </c>
      <c r="F187" t="s">
        <v>10</v>
      </c>
      <c r="G187">
        <v>8569</v>
      </c>
    </row>
    <row r="188" spans="3:7" hidden="1" x14ac:dyDescent="0.3">
      <c r="C188" t="s">
        <v>19</v>
      </c>
      <c r="D188" t="s">
        <v>201</v>
      </c>
      <c r="E188" t="s">
        <v>17</v>
      </c>
      <c r="F188" t="s">
        <v>29</v>
      </c>
      <c r="G188">
        <v>8569</v>
      </c>
    </row>
    <row r="189" spans="3:7" hidden="1" x14ac:dyDescent="0.3">
      <c r="C189" t="s">
        <v>19</v>
      </c>
      <c r="D189" t="s">
        <v>202</v>
      </c>
      <c r="E189" t="s">
        <v>13</v>
      </c>
      <c r="F189" t="s">
        <v>136</v>
      </c>
      <c r="G189">
        <v>8448.9</v>
      </c>
    </row>
    <row r="190" spans="3:7" hidden="1" x14ac:dyDescent="0.3">
      <c r="C190" t="s">
        <v>52</v>
      </c>
      <c r="D190" t="s">
        <v>203</v>
      </c>
      <c r="E190" t="s">
        <v>13</v>
      </c>
      <c r="F190" t="s">
        <v>10</v>
      </c>
      <c r="G190">
        <v>8173</v>
      </c>
    </row>
    <row r="191" spans="3:7" hidden="1" x14ac:dyDescent="0.3">
      <c r="C191" t="s">
        <v>19</v>
      </c>
      <c r="D191" t="s">
        <v>204</v>
      </c>
      <c r="E191" t="s">
        <v>13</v>
      </c>
      <c r="F191" t="s">
        <v>10</v>
      </c>
      <c r="G191">
        <v>8166</v>
      </c>
    </row>
    <row r="192" spans="3:7" hidden="1" x14ac:dyDescent="0.3">
      <c r="C192" t="s">
        <v>11</v>
      </c>
      <c r="D192" t="s">
        <v>205</v>
      </c>
      <c r="E192" t="s">
        <v>13</v>
      </c>
      <c r="F192" t="s">
        <v>136</v>
      </c>
      <c r="G192">
        <v>8133.8378574250901</v>
      </c>
    </row>
    <row r="193" spans="3:7" hidden="1" x14ac:dyDescent="0.3">
      <c r="C193" t="s">
        <v>7</v>
      </c>
      <c r="D193" t="s">
        <v>206</v>
      </c>
      <c r="E193" t="s">
        <v>13</v>
      </c>
      <c r="F193" t="s">
        <v>10</v>
      </c>
      <c r="G193">
        <v>8075</v>
      </c>
    </row>
    <row r="194" spans="3:7" hidden="1" x14ac:dyDescent="0.3">
      <c r="C194" t="s">
        <v>7</v>
      </c>
      <c r="D194" t="s">
        <v>207</v>
      </c>
      <c r="E194" t="s">
        <v>17</v>
      </c>
      <c r="F194" t="s">
        <v>10</v>
      </c>
      <c r="G194">
        <v>8075</v>
      </c>
    </row>
    <row r="195" spans="3:7" hidden="1" x14ac:dyDescent="0.3">
      <c r="C195" t="s">
        <v>78</v>
      </c>
      <c r="D195" t="s">
        <v>208</v>
      </c>
      <c r="E195" t="s">
        <v>13</v>
      </c>
      <c r="F195" t="s">
        <v>10</v>
      </c>
      <c r="G195">
        <v>8015</v>
      </c>
    </row>
    <row r="196" spans="3:7" hidden="1" x14ac:dyDescent="0.3">
      <c r="C196" t="s">
        <v>21</v>
      </c>
      <c r="D196" t="s">
        <v>209</v>
      </c>
      <c r="E196" t="s">
        <v>9</v>
      </c>
      <c r="F196" t="s">
        <v>136</v>
      </c>
      <c r="G196">
        <v>8003.28</v>
      </c>
    </row>
    <row r="197" spans="3:7" hidden="1" x14ac:dyDescent="0.3">
      <c r="C197" t="s">
        <v>14</v>
      </c>
      <c r="D197" t="s">
        <v>210</v>
      </c>
      <c r="E197" t="s">
        <v>13</v>
      </c>
      <c r="F197" t="s">
        <v>10</v>
      </c>
      <c r="G197">
        <v>7988</v>
      </c>
    </row>
    <row r="198" spans="3:7" hidden="1" x14ac:dyDescent="0.3">
      <c r="C198" t="s">
        <v>14</v>
      </c>
      <c r="D198" t="s">
        <v>211</v>
      </c>
      <c r="E198" t="s">
        <v>13</v>
      </c>
      <c r="F198" t="s">
        <v>10</v>
      </c>
      <c r="G198">
        <v>7988</v>
      </c>
    </row>
    <row r="199" spans="3:7" hidden="1" x14ac:dyDescent="0.3">
      <c r="C199" t="s">
        <v>14</v>
      </c>
      <c r="D199" t="s">
        <v>212</v>
      </c>
      <c r="E199" t="s">
        <v>13</v>
      </c>
      <c r="F199" t="s">
        <v>10</v>
      </c>
      <c r="G199">
        <v>7986</v>
      </c>
    </row>
    <row r="200" spans="3:7" hidden="1" x14ac:dyDescent="0.3">
      <c r="C200" t="s">
        <v>90</v>
      </c>
      <c r="D200" t="s">
        <v>213</v>
      </c>
      <c r="E200" t="s">
        <v>13</v>
      </c>
      <c r="F200" t="s">
        <v>10</v>
      </c>
      <c r="G200">
        <v>7937</v>
      </c>
    </row>
    <row r="201" spans="3:7" hidden="1" x14ac:dyDescent="0.3">
      <c r="C201" t="s">
        <v>14</v>
      </c>
      <c r="D201" t="s">
        <v>214</v>
      </c>
      <c r="E201" t="s">
        <v>9</v>
      </c>
      <c r="F201" t="s">
        <v>10</v>
      </c>
      <c r="G201">
        <v>7930</v>
      </c>
    </row>
    <row r="202" spans="3:7" hidden="1" x14ac:dyDescent="0.3">
      <c r="C202" t="s">
        <v>19</v>
      </c>
      <c r="D202" t="s">
        <v>215</v>
      </c>
      <c r="E202" t="s">
        <v>9</v>
      </c>
      <c r="F202" t="s">
        <v>10</v>
      </c>
      <c r="G202">
        <v>7868</v>
      </c>
    </row>
    <row r="203" spans="3:7" hidden="1" x14ac:dyDescent="0.3">
      <c r="C203" t="s">
        <v>7</v>
      </c>
      <c r="D203" t="s">
        <v>216</v>
      </c>
      <c r="E203" t="s">
        <v>9</v>
      </c>
      <c r="F203" t="s">
        <v>136</v>
      </c>
      <c r="G203">
        <v>7845.3606673940703</v>
      </c>
    </row>
    <row r="204" spans="3:7" hidden="1" x14ac:dyDescent="0.3">
      <c r="C204" t="s">
        <v>19</v>
      </c>
      <c r="D204" t="s">
        <v>217</v>
      </c>
      <c r="E204" t="s">
        <v>13</v>
      </c>
      <c r="F204" t="s">
        <v>10</v>
      </c>
      <c r="G204">
        <v>7830</v>
      </c>
    </row>
    <row r="205" spans="3:7" hidden="1" x14ac:dyDescent="0.3">
      <c r="C205" t="s">
        <v>165</v>
      </c>
      <c r="D205" t="s">
        <v>114</v>
      </c>
      <c r="E205" t="s">
        <v>13</v>
      </c>
      <c r="F205" t="s">
        <v>10</v>
      </c>
      <c r="G205">
        <v>7825</v>
      </c>
    </row>
    <row r="206" spans="3:7" hidden="1" x14ac:dyDescent="0.3">
      <c r="C206" t="s">
        <v>14</v>
      </c>
      <c r="D206" t="s">
        <v>218</v>
      </c>
      <c r="E206" t="s">
        <v>17</v>
      </c>
      <c r="F206" t="s">
        <v>10</v>
      </c>
      <c r="G206">
        <v>7769</v>
      </c>
    </row>
    <row r="207" spans="3:7" hidden="1" x14ac:dyDescent="0.3">
      <c r="C207" t="s">
        <v>11</v>
      </c>
      <c r="D207" t="s">
        <v>219</v>
      </c>
      <c r="E207" t="s">
        <v>17</v>
      </c>
      <c r="F207" t="s">
        <v>136</v>
      </c>
      <c r="G207">
        <v>7767.4090247452696</v>
      </c>
    </row>
    <row r="208" spans="3:7" hidden="1" x14ac:dyDescent="0.3">
      <c r="C208" t="s">
        <v>7</v>
      </c>
      <c r="D208" t="s">
        <v>171</v>
      </c>
      <c r="E208" t="s">
        <v>13</v>
      </c>
      <c r="F208" t="s">
        <v>136</v>
      </c>
      <c r="G208">
        <v>7724.8237560075704</v>
      </c>
    </row>
    <row r="209" spans="3:7" hidden="1" x14ac:dyDescent="0.3">
      <c r="C209" t="s">
        <v>21</v>
      </c>
      <c r="D209" t="s">
        <v>220</v>
      </c>
      <c r="E209" t="s">
        <v>9</v>
      </c>
      <c r="F209" t="s">
        <v>10</v>
      </c>
      <c r="G209">
        <v>7664</v>
      </c>
    </row>
    <row r="210" spans="3:7" hidden="1" x14ac:dyDescent="0.3">
      <c r="C210" t="s">
        <v>19</v>
      </c>
      <c r="D210" t="s">
        <v>189</v>
      </c>
      <c r="E210" t="s">
        <v>13</v>
      </c>
      <c r="F210" t="s">
        <v>10</v>
      </c>
      <c r="G210">
        <v>7628</v>
      </c>
    </row>
    <row r="211" spans="3:7" hidden="1" x14ac:dyDescent="0.3">
      <c r="C211" t="s">
        <v>19</v>
      </c>
      <c r="D211" t="s">
        <v>221</v>
      </c>
      <c r="E211" t="s">
        <v>13</v>
      </c>
      <c r="F211" t="s">
        <v>10</v>
      </c>
      <c r="G211">
        <v>7606.5</v>
      </c>
    </row>
    <row r="212" spans="3:7" hidden="1" x14ac:dyDescent="0.3">
      <c r="C212" t="s">
        <v>19</v>
      </c>
      <c r="D212" t="s">
        <v>222</v>
      </c>
      <c r="E212" t="s">
        <v>17</v>
      </c>
      <c r="F212" t="s">
        <v>29</v>
      </c>
      <c r="G212">
        <v>7606.5</v>
      </c>
    </row>
    <row r="213" spans="3:7" hidden="1" x14ac:dyDescent="0.3">
      <c r="C213" t="s">
        <v>14</v>
      </c>
      <c r="D213" t="s">
        <v>223</v>
      </c>
      <c r="E213" t="s">
        <v>13</v>
      </c>
      <c r="F213" t="s">
        <v>10</v>
      </c>
      <c r="G213">
        <v>7602</v>
      </c>
    </row>
    <row r="214" spans="3:7" hidden="1" x14ac:dyDescent="0.3">
      <c r="C214" t="s">
        <v>14</v>
      </c>
      <c r="D214" t="s">
        <v>224</v>
      </c>
      <c r="E214" t="s">
        <v>13</v>
      </c>
      <c r="F214" t="s">
        <v>10</v>
      </c>
      <c r="G214">
        <v>7602</v>
      </c>
    </row>
    <row r="215" spans="3:7" hidden="1" x14ac:dyDescent="0.3">
      <c r="C215" t="s">
        <v>14</v>
      </c>
      <c r="D215" t="s">
        <v>225</v>
      </c>
      <c r="E215" t="s">
        <v>17</v>
      </c>
      <c r="F215" t="s">
        <v>29</v>
      </c>
      <c r="G215">
        <v>7602</v>
      </c>
    </row>
    <row r="216" spans="3:7" hidden="1" x14ac:dyDescent="0.3">
      <c r="C216" t="s">
        <v>52</v>
      </c>
      <c r="D216" t="s">
        <v>226</v>
      </c>
      <c r="E216" t="s">
        <v>13</v>
      </c>
      <c r="F216" t="s">
        <v>10</v>
      </c>
      <c r="G216">
        <v>7521</v>
      </c>
    </row>
    <row r="217" spans="3:7" hidden="1" x14ac:dyDescent="0.3">
      <c r="C217" t="s">
        <v>126</v>
      </c>
      <c r="D217" t="s">
        <v>227</v>
      </c>
      <c r="E217" t="s">
        <v>17</v>
      </c>
      <c r="F217" t="s">
        <v>10</v>
      </c>
      <c r="G217">
        <v>7506</v>
      </c>
    </row>
    <row r="218" spans="3:7" hidden="1" x14ac:dyDescent="0.3">
      <c r="C218" t="s">
        <v>7</v>
      </c>
      <c r="D218" t="s">
        <v>228</v>
      </c>
      <c r="E218" t="s">
        <v>9</v>
      </c>
      <c r="F218" t="s">
        <v>136</v>
      </c>
      <c r="G218">
        <v>7502.9903092594304</v>
      </c>
    </row>
    <row r="219" spans="3:7" hidden="1" x14ac:dyDescent="0.3">
      <c r="C219" t="s">
        <v>14</v>
      </c>
      <c r="D219" t="s">
        <v>229</v>
      </c>
      <c r="E219" t="s">
        <v>13</v>
      </c>
      <c r="F219" t="s">
        <v>10</v>
      </c>
      <c r="G219">
        <v>7451</v>
      </c>
    </row>
    <row r="220" spans="3:7" hidden="1" x14ac:dyDescent="0.3">
      <c r="C220" t="s">
        <v>14</v>
      </c>
      <c r="D220" t="s">
        <v>230</v>
      </c>
      <c r="E220" t="s">
        <v>17</v>
      </c>
      <c r="F220" t="s">
        <v>10</v>
      </c>
      <c r="G220">
        <v>7451</v>
      </c>
    </row>
    <row r="221" spans="3:7" hidden="1" x14ac:dyDescent="0.3">
      <c r="C221" t="s">
        <v>14</v>
      </c>
      <c r="D221" t="s">
        <v>231</v>
      </c>
      <c r="E221" t="s">
        <v>13</v>
      </c>
      <c r="F221" t="s">
        <v>10</v>
      </c>
      <c r="G221">
        <v>7451</v>
      </c>
    </row>
    <row r="222" spans="3:7" hidden="1" x14ac:dyDescent="0.3">
      <c r="C222" t="s">
        <v>14</v>
      </c>
      <c r="D222" t="s">
        <v>232</v>
      </c>
      <c r="E222" t="s">
        <v>13</v>
      </c>
      <c r="F222" t="s">
        <v>10</v>
      </c>
      <c r="G222">
        <v>7451</v>
      </c>
    </row>
    <row r="223" spans="3:7" hidden="1" x14ac:dyDescent="0.3">
      <c r="C223" t="s">
        <v>7</v>
      </c>
      <c r="D223" t="s">
        <v>233</v>
      </c>
      <c r="E223" t="s">
        <v>17</v>
      </c>
      <c r="F223" t="s">
        <v>10</v>
      </c>
      <c r="G223">
        <v>7442</v>
      </c>
    </row>
    <row r="224" spans="3:7" hidden="1" x14ac:dyDescent="0.3">
      <c r="C224" t="s">
        <v>14</v>
      </c>
      <c r="D224" t="s">
        <v>234</v>
      </c>
      <c r="E224" t="s">
        <v>13</v>
      </c>
      <c r="F224" t="s">
        <v>10</v>
      </c>
      <c r="G224">
        <v>7414</v>
      </c>
    </row>
    <row r="225" spans="3:7" hidden="1" x14ac:dyDescent="0.3">
      <c r="C225" t="s">
        <v>14</v>
      </c>
      <c r="D225" t="s">
        <v>235</v>
      </c>
      <c r="E225" t="s">
        <v>13</v>
      </c>
      <c r="F225" t="s">
        <v>136</v>
      </c>
      <c r="G225">
        <v>7370.6333333333296</v>
      </c>
    </row>
    <row r="226" spans="3:7" hidden="1" x14ac:dyDescent="0.3">
      <c r="C226" t="s">
        <v>21</v>
      </c>
      <c r="D226" t="s">
        <v>236</v>
      </c>
      <c r="E226" t="s">
        <v>13</v>
      </c>
      <c r="F226" t="s">
        <v>10</v>
      </c>
      <c r="G226">
        <v>7351</v>
      </c>
    </row>
    <row r="227" spans="3:7" hidden="1" x14ac:dyDescent="0.3">
      <c r="C227" t="s">
        <v>19</v>
      </c>
      <c r="D227" t="s">
        <v>171</v>
      </c>
      <c r="E227" t="s">
        <v>13</v>
      </c>
      <c r="F227" t="s">
        <v>136</v>
      </c>
      <c r="G227">
        <v>7343.9194541145998</v>
      </c>
    </row>
    <row r="228" spans="3:7" hidden="1" x14ac:dyDescent="0.3">
      <c r="C228" t="s">
        <v>11</v>
      </c>
      <c r="D228" t="s">
        <v>58</v>
      </c>
      <c r="E228" t="s">
        <v>13</v>
      </c>
      <c r="F228" t="s">
        <v>10</v>
      </c>
      <c r="G228">
        <v>7314</v>
      </c>
    </row>
    <row r="229" spans="3:7" hidden="1" x14ac:dyDescent="0.3">
      <c r="C229" t="s">
        <v>19</v>
      </c>
      <c r="D229" t="s">
        <v>237</v>
      </c>
      <c r="E229" t="s">
        <v>17</v>
      </c>
      <c r="F229" t="s">
        <v>10</v>
      </c>
      <c r="G229">
        <v>7244</v>
      </c>
    </row>
    <row r="230" spans="3:7" hidden="1" x14ac:dyDescent="0.3">
      <c r="C230" t="s">
        <v>19</v>
      </c>
      <c r="D230" t="s">
        <v>238</v>
      </c>
      <c r="E230" t="s">
        <v>13</v>
      </c>
      <c r="F230" t="s">
        <v>10</v>
      </c>
      <c r="G230">
        <v>7244</v>
      </c>
    </row>
    <row r="231" spans="3:7" hidden="1" x14ac:dyDescent="0.3">
      <c r="C231" t="s">
        <v>165</v>
      </c>
      <c r="D231" t="s">
        <v>203</v>
      </c>
      <c r="E231" t="s">
        <v>13</v>
      </c>
      <c r="F231" t="s">
        <v>10</v>
      </c>
      <c r="G231">
        <v>7224</v>
      </c>
    </row>
    <row r="232" spans="3:7" hidden="1" x14ac:dyDescent="0.3">
      <c r="C232" t="s">
        <v>14</v>
      </c>
      <c r="D232" t="s">
        <v>239</v>
      </c>
      <c r="E232" t="s">
        <v>13</v>
      </c>
      <c r="F232" t="s">
        <v>240</v>
      </c>
      <c r="G232">
        <v>7219.8683023562298</v>
      </c>
    </row>
    <row r="233" spans="3:7" hidden="1" x14ac:dyDescent="0.3">
      <c r="C233" t="s">
        <v>21</v>
      </c>
      <c r="D233" t="s">
        <v>241</v>
      </c>
      <c r="E233" t="s">
        <v>13</v>
      </c>
      <c r="F233" t="s">
        <v>136</v>
      </c>
      <c r="G233">
        <v>7211.7</v>
      </c>
    </row>
    <row r="234" spans="3:7" hidden="1" x14ac:dyDescent="0.3">
      <c r="C234" t="s">
        <v>14</v>
      </c>
      <c r="D234" t="s">
        <v>242</v>
      </c>
      <c r="E234" t="s">
        <v>13</v>
      </c>
      <c r="F234" t="s">
        <v>10</v>
      </c>
      <c r="G234">
        <v>7195</v>
      </c>
    </row>
    <row r="235" spans="3:7" hidden="1" x14ac:dyDescent="0.3">
      <c r="C235" t="s">
        <v>19</v>
      </c>
      <c r="D235" t="s">
        <v>243</v>
      </c>
      <c r="E235" t="s">
        <v>9</v>
      </c>
      <c r="F235" t="s">
        <v>10</v>
      </c>
      <c r="G235">
        <v>7167.5</v>
      </c>
    </row>
    <row r="236" spans="3:7" hidden="1" x14ac:dyDescent="0.3">
      <c r="C236" t="s">
        <v>52</v>
      </c>
      <c r="D236" t="s">
        <v>244</v>
      </c>
      <c r="E236" t="s">
        <v>13</v>
      </c>
      <c r="F236" t="s">
        <v>10</v>
      </c>
      <c r="G236">
        <v>7163</v>
      </c>
    </row>
    <row r="237" spans="3:7" hidden="1" x14ac:dyDescent="0.3">
      <c r="C237" t="s">
        <v>19</v>
      </c>
      <c r="D237" t="s">
        <v>245</v>
      </c>
      <c r="E237" t="s">
        <v>13</v>
      </c>
      <c r="F237" t="s">
        <v>10</v>
      </c>
      <c r="G237">
        <v>7096</v>
      </c>
    </row>
    <row r="238" spans="3:7" hidden="1" x14ac:dyDescent="0.3">
      <c r="C238" t="s">
        <v>7</v>
      </c>
      <c r="D238" t="s">
        <v>190</v>
      </c>
      <c r="E238" t="s">
        <v>13</v>
      </c>
      <c r="F238" t="s">
        <v>136</v>
      </c>
      <c r="G238">
        <v>7029.3073619631896</v>
      </c>
    </row>
    <row r="239" spans="3:7" hidden="1" x14ac:dyDescent="0.3">
      <c r="C239" t="s">
        <v>11</v>
      </c>
      <c r="D239" t="s">
        <v>246</v>
      </c>
      <c r="E239" t="s">
        <v>13</v>
      </c>
      <c r="F239" t="s">
        <v>10</v>
      </c>
      <c r="G239">
        <v>6954</v>
      </c>
    </row>
    <row r="240" spans="3:7" hidden="1" x14ac:dyDescent="0.3">
      <c r="C240" t="s">
        <v>7</v>
      </c>
      <c r="D240" t="s">
        <v>247</v>
      </c>
      <c r="E240" t="s">
        <v>13</v>
      </c>
      <c r="F240" t="s">
        <v>10</v>
      </c>
      <c r="G240">
        <v>6940</v>
      </c>
    </row>
    <row r="241" spans="3:7" hidden="1" x14ac:dyDescent="0.3">
      <c r="C241" t="s">
        <v>11</v>
      </c>
      <c r="D241" t="s">
        <v>248</v>
      </c>
      <c r="E241" t="s">
        <v>13</v>
      </c>
      <c r="F241" t="s">
        <v>10</v>
      </c>
      <c r="G241">
        <v>6879</v>
      </c>
    </row>
    <row r="242" spans="3:7" hidden="1" x14ac:dyDescent="0.3">
      <c r="C242" t="s">
        <v>7</v>
      </c>
      <c r="D242" t="s">
        <v>249</v>
      </c>
      <c r="E242" t="s">
        <v>9</v>
      </c>
      <c r="F242" t="s">
        <v>10</v>
      </c>
      <c r="G242">
        <v>6862.18</v>
      </c>
    </row>
    <row r="243" spans="3:7" hidden="1" x14ac:dyDescent="0.3">
      <c r="C243" t="s">
        <v>78</v>
      </c>
      <c r="D243" t="s">
        <v>250</v>
      </c>
      <c r="E243" t="s">
        <v>13</v>
      </c>
      <c r="F243" t="s">
        <v>10</v>
      </c>
      <c r="G243">
        <v>6843</v>
      </c>
    </row>
    <row r="244" spans="3:7" hidden="1" x14ac:dyDescent="0.3">
      <c r="C244" t="s">
        <v>19</v>
      </c>
      <c r="D244" t="s">
        <v>251</v>
      </c>
      <c r="E244" t="s">
        <v>9</v>
      </c>
      <c r="F244" t="s">
        <v>10</v>
      </c>
      <c r="G244">
        <v>6786</v>
      </c>
    </row>
    <row r="245" spans="3:7" hidden="1" x14ac:dyDescent="0.3">
      <c r="C245" t="s">
        <v>126</v>
      </c>
      <c r="D245" t="s">
        <v>252</v>
      </c>
      <c r="E245" t="s">
        <v>17</v>
      </c>
      <c r="F245" t="s">
        <v>10</v>
      </c>
      <c r="G245">
        <v>6759</v>
      </c>
    </row>
    <row r="246" spans="3:7" hidden="1" x14ac:dyDescent="0.3">
      <c r="C246" t="s">
        <v>19</v>
      </c>
      <c r="D246" t="s">
        <v>190</v>
      </c>
      <c r="E246" t="s">
        <v>13</v>
      </c>
      <c r="F246" t="s">
        <v>136</v>
      </c>
      <c r="G246">
        <v>6742.5657465181603</v>
      </c>
    </row>
    <row r="247" spans="3:7" hidden="1" x14ac:dyDescent="0.3">
      <c r="C247" t="s">
        <v>14</v>
      </c>
      <c r="D247" t="s">
        <v>253</v>
      </c>
      <c r="E247" t="s">
        <v>13</v>
      </c>
      <c r="F247" t="s">
        <v>10</v>
      </c>
      <c r="G247">
        <v>6702</v>
      </c>
    </row>
    <row r="248" spans="3:7" hidden="1" x14ac:dyDescent="0.3">
      <c r="C248" t="s">
        <v>19</v>
      </c>
      <c r="D248" t="s">
        <v>254</v>
      </c>
      <c r="E248" t="s">
        <v>17</v>
      </c>
      <c r="F248" t="s">
        <v>29</v>
      </c>
      <c r="G248">
        <v>6693</v>
      </c>
    </row>
    <row r="249" spans="3:7" hidden="1" x14ac:dyDescent="0.3">
      <c r="C249" t="s">
        <v>7</v>
      </c>
      <c r="D249" t="s">
        <v>255</v>
      </c>
      <c r="E249" t="s">
        <v>13</v>
      </c>
      <c r="F249" t="s">
        <v>10</v>
      </c>
      <c r="G249">
        <v>6519</v>
      </c>
    </row>
    <row r="250" spans="3:7" hidden="1" x14ac:dyDescent="0.3">
      <c r="C250" t="s">
        <v>7</v>
      </c>
      <c r="D250" t="s">
        <v>256</v>
      </c>
      <c r="E250" t="s">
        <v>13</v>
      </c>
      <c r="F250" t="s">
        <v>10</v>
      </c>
      <c r="G250">
        <v>6519</v>
      </c>
    </row>
    <row r="251" spans="3:7" hidden="1" x14ac:dyDescent="0.3">
      <c r="C251" t="s">
        <v>7</v>
      </c>
      <c r="D251" t="s">
        <v>257</v>
      </c>
      <c r="E251" t="s">
        <v>13</v>
      </c>
      <c r="F251" t="s">
        <v>240</v>
      </c>
      <c r="G251">
        <v>6501.2112960457298</v>
      </c>
    </row>
    <row r="252" spans="3:7" hidden="1" x14ac:dyDescent="0.3">
      <c r="C252" t="s">
        <v>21</v>
      </c>
      <c r="D252" t="s">
        <v>258</v>
      </c>
      <c r="E252" t="s">
        <v>13</v>
      </c>
      <c r="F252" t="s">
        <v>10</v>
      </c>
      <c r="G252">
        <v>6337</v>
      </c>
    </row>
    <row r="253" spans="3:7" hidden="1" x14ac:dyDescent="0.3">
      <c r="C253" t="s">
        <v>188</v>
      </c>
      <c r="D253" t="s">
        <v>161</v>
      </c>
      <c r="E253" t="s">
        <v>13</v>
      </c>
      <c r="F253" t="s">
        <v>10</v>
      </c>
      <c r="G253">
        <v>6328</v>
      </c>
    </row>
    <row r="254" spans="3:7" hidden="1" x14ac:dyDescent="0.3">
      <c r="C254" t="s">
        <v>165</v>
      </c>
      <c r="D254" t="s">
        <v>244</v>
      </c>
      <c r="E254" t="s">
        <v>13</v>
      </c>
      <c r="F254" t="s">
        <v>10</v>
      </c>
      <c r="G254">
        <v>6235</v>
      </c>
    </row>
    <row r="255" spans="3:7" hidden="1" x14ac:dyDescent="0.3">
      <c r="C255" t="s">
        <v>52</v>
      </c>
      <c r="D255" t="s">
        <v>259</v>
      </c>
      <c r="E255" t="s">
        <v>13</v>
      </c>
      <c r="F255" t="s">
        <v>10</v>
      </c>
      <c r="G255">
        <v>6116</v>
      </c>
    </row>
    <row r="256" spans="3:7" hidden="1" x14ac:dyDescent="0.3">
      <c r="C256" t="s">
        <v>52</v>
      </c>
      <c r="D256" t="s">
        <v>260</v>
      </c>
      <c r="E256" t="s">
        <v>13</v>
      </c>
      <c r="F256" t="s">
        <v>10</v>
      </c>
      <c r="G256">
        <v>6116</v>
      </c>
    </row>
    <row r="257" spans="3:7" hidden="1" x14ac:dyDescent="0.3">
      <c r="C257" t="s">
        <v>21</v>
      </c>
      <c r="D257" t="s">
        <v>261</v>
      </c>
      <c r="E257" t="s">
        <v>13</v>
      </c>
      <c r="F257" t="s">
        <v>10</v>
      </c>
      <c r="G257">
        <v>6095</v>
      </c>
    </row>
    <row r="258" spans="3:7" hidden="1" x14ac:dyDescent="0.3">
      <c r="C258" t="s">
        <v>21</v>
      </c>
      <c r="D258" t="s">
        <v>262</v>
      </c>
      <c r="E258" t="s">
        <v>17</v>
      </c>
      <c r="F258" t="s">
        <v>10</v>
      </c>
      <c r="G258">
        <v>6018.75</v>
      </c>
    </row>
    <row r="259" spans="3:7" hidden="1" x14ac:dyDescent="0.3">
      <c r="C259" t="s">
        <v>7</v>
      </c>
      <c r="D259" t="s">
        <v>241</v>
      </c>
      <c r="E259" t="s">
        <v>13</v>
      </c>
      <c r="F259" t="s">
        <v>136</v>
      </c>
      <c r="G259">
        <v>6002.6303784128204</v>
      </c>
    </row>
    <row r="260" spans="3:7" hidden="1" x14ac:dyDescent="0.3">
      <c r="C260" t="s">
        <v>14</v>
      </c>
      <c r="D260" t="s">
        <v>263</v>
      </c>
      <c r="E260" t="s">
        <v>17</v>
      </c>
      <c r="F260" t="s">
        <v>136</v>
      </c>
      <c r="G260">
        <v>5955.46</v>
      </c>
    </row>
    <row r="261" spans="3:7" hidden="1" x14ac:dyDescent="0.3">
      <c r="C261" t="s">
        <v>21</v>
      </c>
      <c r="D261" t="s">
        <v>264</v>
      </c>
      <c r="E261" t="s">
        <v>13</v>
      </c>
      <c r="F261" t="s">
        <v>10</v>
      </c>
      <c r="G261">
        <v>5939</v>
      </c>
    </row>
    <row r="262" spans="3:7" hidden="1" x14ac:dyDescent="0.3">
      <c r="C262" t="s">
        <v>14</v>
      </c>
      <c r="D262" t="s">
        <v>265</v>
      </c>
      <c r="E262" t="s">
        <v>9</v>
      </c>
      <c r="F262" t="s">
        <v>10</v>
      </c>
      <c r="G262">
        <v>5930</v>
      </c>
    </row>
    <row r="263" spans="3:7" hidden="1" x14ac:dyDescent="0.3">
      <c r="C263" t="s">
        <v>78</v>
      </c>
      <c r="D263" t="s">
        <v>266</v>
      </c>
      <c r="E263" t="s">
        <v>17</v>
      </c>
      <c r="F263" t="s">
        <v>10</v>
      </c>
      <c r="G263">
        <v>5898</v>
      </c>
    </row>
    <row r="264" spans="3:7" hidden="1" x14ac:dyDescent="0.3">
      <c r="C264" t="s">
        <v>7</v>
      </c>
      <c r="D264" t="s">
        <v>267</v>
      </c>
      <c r="E264" t="s">
        <v>17</v>
      </c>
      <c r="F264" t="s">
        <v>10</v>
      </c>
      <c r="G264">
        <v>5876</v>
      </c>
    </row>
    <row r="265" spans="3:7" hidden="1" x14ac:dyDescent="0.3">
      <c r="C265" t="s">
        <v>7</v>
      </c>
      <c r="D265" t="s">
        <v>268</v>
      </c>
      <c r="E265" t="s">
        <v>9</v>
      </c>
      <c r="F265" t="s">
        <v>10</v>
      </c>
      <c r="G265">
        <v>5852</v>
      </c>
    </row>
    <row r="266" spans="3:7" hidden="1" x14ac:dyDescent="0.3">
      <c r="C266" t="s">
        <v>269</v>
      </c>
      <c r="D266" t="s">
        <v>270</v>
      </c>
      <c r="E266" t="s">
        <v>13</v>
      </c>
      <c r="F266" t="s">
        <v>10</v>
      </c>
      <c r="G266">
        <v>5836</v>
      </c>
    </row>
    <row r="267" spans="3:7" hidden="1" x14ac:dyDescent="0.3">
      <c r="C267" t="s">
        <v>21</v>
      </c>
      <c r="D267" t="s">
        <v>271</v>
      </c>
      <c r="E267" t="s">
        <v>13</v>
      </c>
      <c r="F267" t="s">
        <v>10</v>
      </c>
      <c r="G267">
        <v>5824</v>
      </c>
    </row>
    <row r="268" spans="3:7" hidden="1" x14ac:dyDescent="0.3">
      <c r="C268" t="s">
        <v>14</v>
      </c>
      <c r="D268" t="s">
        <v>272</v>
      </c>
      <c r="E268" t="s">
        <v>13</v>
      </c>
      <c r="F268" t="s">
        <v>10</v>
      </c>
      <c r="G268">
        <v>5798.6894736842096</v>
      </c>
    </row>
    <row r="269" spans="3:7" hidden="1" x14ac:dyDescent="0.3">
      <c r="C269" t="s">
        <v>14</v>
      </c>
      <c r="D269" t="s">
        <v>273</v>
      </c>
      <c r="E269" t="s">
        <v>13</v>
      </c>
      <c r="F269" t="s">
        <v>10</v>
      </c>
      <c r="G269">
        <v>5741</v>
      </c>
    </row>
    <row r="270" spans="3:7" hidden="1" x14ac:dyDescent="0.3">
      <c r="C270" t="s">
        <v>14</v>
      </c>
      <c r="D270" t="s">
        <v>274</v>
      </c>
      <c r="E270" t="s">
        <v>9</v>
      </c>
      <c r="F270" t="s">
        <v>10</v>
      </c>
      <c r="G270">
        <v>5741</v>
      </c>
    </row>
    <row r="271" spans="3:7" hidden="1" x14ac:dyDescent="0.3">
      <c r="C271" t="s">
        <v>14</v>
      </c>
      <c r="D271" t="s">
        <v>275</v>
      </c>
      <c r="E271" t="s">
        <v>13</v>
      </c>
      <c r="F271" t="s">
        <v>10</v>
      </c>
      <c r="G271">
        <v>5741</v>
      </c>
    </row>
    <row r="272" spans="3:7" hidden="1" x14ac:dyDescent="0.3">
      <c r="C272" t="s">
        <v>14</v>
      </c>
      <c r="D272" t="s">
        <v>276</v>
      </c>
      <c r="E272" t="s">
        <v>13</v>
      </c>
      <c r="F272" t="s">
        <v>10</v>
      </c>
      <c r="G272">
        <v>5741</v>
      </c>
    </row>
    <row r="273" spans="3:7" hidden="1" x14ac:dyDescent="0.3">
      <c r="C273" t="s">
        <v>14</v>
      </c>
      <c r="D273" t="s">
        <v>277</v>
      </c>
      <c r="E273" t="s">
        <v>9</v>
      </c>
      <c r="F273" t="s">
        <v>10</v>
      </c>
      <c r="G273">
        <v>5741</v>
      </c>
    </row>
    <row r="274" spans="3:7" hidden="1" x14ac:dyDescent="0.3">
      <c r="C274" t="s">
        <v>278</v>
      </c>
      <c r="D274" t="s">
        <v>244</v>
      </c>
      <c r="E274" t="s">
        <v>13</v>
      </c>
      <c r="F274" t="s">
        <v>10</v>
      </c>
      <c r="G274">
        <v>5707</v>
      </c>
    </row>
    <row r="275" spans="3:7" hidden="1" x14ac:dyDescent="0.3">
      <c r="C275" t="s">
        <v>165</v>
      </c>
      <c r="D275" t="s">
        <v>111</v>
      </c>
      <c r="E275" t="s">
        <v>13</v>
      </c>
      <c r="F275" t="s">
        <v>10</v>
      </c>
      <c r="G275">
        <v>5666</v>
      </c>
    </row>
    <row r="276" spans="3:7" hidden="1" x14ac:dyDescent="0.3">
      <c r="C276" t="s">
        <v>14</v>
      </c>
      <c r="D276" t="s">
        <v>279</v>
      </c>
      <c r="E276" t="s">
        <v>13</v>
      </c>
      <c r="F276" t="s">
        <v>10</v>
      </c>
      <c r="G276">
        <v>5664</v>
      </c>
    </row>
    <row r="277" spans="3:7" hidden="1" x14ac:dyDescent="0.3">
      <c r="C277" t="s">
        <v>21</v>
      </c>
      <c r="D277" t="s">
        <v>280</v>
      </c>
      <c r="E277" t="s">
        <v>13</v>
      </c>
      <c r="F277" t="s">
        <v>10</v>
      </c>
      <c r="G277">
        <v>5574</v>
      </c>
    </row>
    <row r="278" spans="3:7" hidden="1" x14ac:dyDescent="0.3">
      <c r="C278" t="s">
        <v>14</v>
      </c>
      <c r="D278" t="s">
        <v>281</v>
      </c>
      <c r="E278" t="s">
        <v>9</v>
      </c>
      <c r="F278" t="s">
        <v>29</v>
      </c>
      <c r="G278">
        <v>5530</v>
      </c>
    </row>
    <row r="279" spans="3:7" hidden="1" x14ac:dyDescent="0.3">
      <c r="C279" t="s">
        <v>19</v>
      </c>
      <c r="D279" t="s">
        <v>282</v>
      </c>
      <c r="E279" t="s">
        <v>13</v>
      </c>
      <c r="F279" t="s">
        <v>10</v>
      </c>
      <c r="G279">
        <v>5496</v>
      </c>
    </row>
    <row r="280" spans="3:7" hidden="1" x14ac:dyDescent="0.3">
      <c r="C280" t="s">
        <v>19</v>
      </c>
      <c r="D280" t="s">
        <v>283</v>
      </c>
      <c r="E280" t="s">
        <v>13</v>
      </c>
      <c r="F280" t="s">
        <v>10</v>
      </c>
      <c r="G280">
        <v>5496</v>
      </c>
    </row>
    <row r="281" spans="3:7" hidden="1" x14ac:dyDescent="0.3">
      <c r="C281" t="s">
        <v>19</v>
      </c>
      <c r="D281" t="s">
        <v>173</v>
      </c>
      <c r="E281" t="s">
        <v>13</v>
      </c>
      <c r="F281" t="s">
        <v>10</v>
      </c>
      <c r="G281">
        <v>5496</v>
      </c>
    </row>
    <row r="282" spans="3:7" hidden="1" x14ac:dyDescent="0.3">
      <c r="C282" t="s">
        <v>126</v>
      </c>
      <c r="D282" t="s">
        <v>284</v>
      </c>
      <c r="E282" t="s">
        <v>13</v>
      </c>
      <c r="F282" t="s">
        <v>10</v>
      </c>
      <c r="G282">
        <v>5460</v>
      </c>
    </row>
    <row r="283" spans="3:7" hidden="1" x14ac:dyDescent="0.3">
      <c r="C283" t="s">
        <v>165</v>
      </c>
      <c r="D283" t="s">
        <v>270</v>
      </c>
      <c r="E283" t="s">
        <v>13</v>
      </c>
      <c r="F283" t="s">
        <v>10</v>
      </c>
      <c r="G283">
        <v>5431</v>
      </c>
    </row>
    <row r="284" spans="3:7" hidden="1" x14ac:dyDescent="0.3">
      <c r="C284" t="s">
        <v>7</v>
      </c>
      <c r="D284" t="s">
        <v>285</v>
      </c>
      <c r="E284" t="s">
        <v>17</v>
      </c>
      <c r="F284" t="s">
        <v>29</v>
      </c>
      <c r="G284">
        <v>5375</v>
      </c>
    </row>
    <row r="285" spans="3:7" hidden="1" x14ac:dyDescent="0.3">
      <c r="C285" t="s">
        <v>126</v>
      </c>
      <c r="D285" t="s">
        <v>286</v>
      </c>
      <c r="E285" t="s">
        <v>13</v>
      </c>
      <c r="F285" t="s">
        <v>10</v>
      </c>
      <c r="G285">
        <v>5373</v>
      </c>
    </row>
    <row r="286" spans="3:7" hidden="1" x14ac:dyDescent="0.3">
      <c r="C286" t="s">
        <v>7</v>
      </c>
      <c r="D286" t="s">
        <v>287</v>
      </c>
      <c r="E286" t="s">
        <v>9</v>
      </c>
      <c r="F286" t="s">
        <v>136</v>
      </c>
      <c r="G286">
        <v>5364.83499999999</v>
      </c>
    </row>
    <row r="287" spans="3:7" hidden="1" x14ac:dyDescent="0.3">
      <c r="C287" t="s">
        <v>11</v>
      </c>
      <c r="D287" t="s">
        <v>288</v>
      </c>
      <c r="E287" t="s">
        <v>9</v>
      </c>
      <c r="F287" t="s">
        <v>136</v>
      </c>
      <c r="G287">
        <v>5336.21</v>
      </c>
    </row>
    <row r="288" spans="3:7" hidden="1" x14ac:dyDescent="0.3">
      <c r="C288" t="s">
        <v>14</v>
      </c>
      <c r="D288" t="s">
        <v>289</v>
      </c>
      <c r="E288" t="s">
        <v>13</v>
      </c>
      <c r="F288" t="s">
        <v>10</v>
      </c>
      <c r="G288">
        <v>5165</v>
      </c>
    </row>
    <row r="289" spans="3:7" hidden="1" x14ac:dyDescent="0.3">
      <c r="C289" t="s">
        <v>14</v>
      </c>
      <c r="D289" t="s">
        <v>290</v>
      </c>
      <c r="E289" t="s">
        <v>13</v>
      </c>
      <c r="F289" t="s">
        <v>10</v>
      </c>
      <c r="G289">
        <v>5165</v>
      </c>
    </row>
    <row r="290" spans="3:7" hidden="1" x14ac:dyDescent="0.3">
      <c r="C290" t="s">
        <v>7</v>
      </c>
      <c r="D290" t="s">
        <v>291</v>
      </c>
      <c r="E290" t="s">
        <v>9</v>
      </c>
      <c r="F290" t="s">
        <v>10</v>
      </c>
      <c r="G290">
        <v>5160</v>
      </c>
    </row>
    <row r="291" spans="3:7" hidden="1" x14ac:dyDescent="0.3">
      <c r="C291" t="s">
        <v>7</v>
      </c>
      <c r="D291" t="s">
        <v>292</v>
      </c>
      <c r="E291" t="s">
        <v>9</v>
      </c>
      <c r="F291" t="s">
        <v>136</v>
      </c>
      <c r="G291">
        <v>5153.8249999999998</v>
      </c>
    </row>
    <row r="292" spans="3:7" hidden="1" x14ac:dyDescent="0.3">
      <c r="C292" t="s">
        <v>19</v>
      </c>
      <c r="D292" t="s">
        <v>293</v>
      </c>
      <c r="E292" t="s">
        <v>13</v>
      </c>
      <c r="F292" t="s">
        <v>136</v>
      </c>
      <c r="G292">
        <v>5139.6491228070099</v>
      </c>
    </row>
    <row r="293" spans="3:7" hidden="1" x14ac:dyDescent="0.3">
      <c r="C293" t="s">
        <v>7</v>
      </c>
      <c r="D293" t="s">
        <v>294</v>
      </c>
      <c r="E293" t="s">
        <v>9</v>
      </c>
      <c r="F293" t="s">
        <v>136</v>
      </c>
      <c r="G293">
        <v>5139.1000000000004</v>
      </c>
    </row>
    <row r="294" spans="3:7" hidden="1" x14ac:dyDescent="0.3">
      <c r="C294" t="s">
        <v>19</v>
      </c>
      <c r="D294" t="s">
        <v>295</v>
      </c>
      <c r="E294" t="s">
        <v>17</v>
      </c>
      <c r="F294" t="s">
        <v>10</v>
      </c>
      <c r="G294">
        <v>5082</v>
      </c>
    </row>
    <row r="295" spans="3:7" hidden="1" x14ac:dyDescent="0.3">
      <c r="C295" t="s">
        <v>78</v>
      </c>
      <c r="D295" t="s">
        <v>296</v>
      </c>
      <c r="E295" t="s">
        <v>13</v>
      </c>
      <c r="F295" t="s">
        <v>10</v>
      </c>
      <c r="G295">
        <v>5072</v>
      </c>
    </row>
    <row r="296" spans="3:7" hidden="1" x14ac:dyDescent="0.3">
      <c r="C296" t="s">
        <v>19</v>
      </c>
      <c r="D296" t="s">
        <v>297</v>
      </c>
      <c r="E296" t="s">
        <v>13</v>
      </c>
      <c r="F296" t="s">
        <v>136</v>
      </c>
      <c r="G296">
        <v>5064.9359999999897</v>
      </c>
    </row>
    <row r="297" spans="3:7" hidden="1" x14ac:dyDescent="0.3">
      <c r="C297" t="s">
        <v>14</v>
      </c>
      <c r="D297" t="s">
        <v>298</v>
      </c>
      <c r="E297" t="s">
        <v>13</v>
      </c>
      <c r="F297" t="s">
        <v>10</v>
      </c>
      <c r="G297">
        <v>5012</v>
      </c>
    </row>
    <row r="298" spans="3:7" hidden="1" x14ac:dyDescent="0.3">
      <c r="C298" t="s">
        <v>19</v>
      </c>
      <c r="D298" t="s">
        <v>299</v>
      </c>
      <c r="E298" t="s">
        <v>9</v>
      </c>
      <c r="F298" t="s">
        <v>136</v>
      </c>
      <c r="G298">
        <v>5002.9844588632805</v>
      </c>
    </row>
    <row r="299" spans="3:7" hidden="1" x14ac:dyDescent="0.3">
      <c r="C299" t="s">
        <v>21</v>
      </c>
      <c r="D299" t="s">
        <v>300</v>
      </c>
      <c r="E299" t="s">
        <v>13</v>
      </c>
      <c r="F299" t="s">
        <v>10</v>
      </c>
      <c r="G299">
        <v>4990</v>
      </c>
    </row>
    <row r="300" spans="3:7" hidden="1" x14ac:dyDescent="0.3">
      <c r="C300" t="s">
        <v>21</v>
      </c>
      <c r="D300" t="s">
        <v>171</v>
      </c>
      <c r="E300" t="s">
        <v>13</v>
      </c>
      <c r="F300" t="s">
        <v>136</v>
      </c>
      <c r="G300">
        <v>4980.5786003880803</v>
      </c>
    </row>
    <row r="301" spans="3:7" hidden="1" x14ac:dyDescent="0.3">
      <c r="C301" t="s">
        <v>19</v>
      </c>
      <c r="D301" t="s">
        <v>270</v>
      </c>
      <c r="E301" t="s">
        <v>13</v>
      </c>
      <c r="F301" t="s">
        <v>10</v>
      </c>
      <c r="G301">
        <v>4917</v>
      </c>
    </row>
    <row r="302" spans="3:7" hidden="1" x14ac:dyDescent="0.3">
      <c r="C302" t="s">
        <v>7</v>
      </c>
      <c r="D302" t="s">
        <v>301</v>
      </c>
      <c r="E302" t="s">
        <v>17</v>
      </c>
      <c r="F302" t="s">
        <v>29</v>
      </c>
      <c r="G302">
        <v>4914</v>
      </c>
    </row>
    <row r="303" spans="3:7" hidden="1" x14ac:dyDescent="0.3">
      <c r="C303" t="s">
        <v>21</v>
      </c>
      <c r="D303" t="s">
        <v>302</v>
      </c>
      <c r="E303" t="s">
        <v>17</v>
      </c>
      <c r="F303" t="s">
        <v>136</v>
      </c>
      <c r="G303">
        <v>4908.9399999999896</v>
      </c>
    </row>
    <row r="304" spans="3:7" hidden="1" x14ac:dyDescent="0.3">
      <c r="C304" t="s">
        <v>7</v>
      </c>
      <c r="D304" t="s">
        <v>303</v>
      </c>
      <c r="E304" t="s">
        <v>13</v>
      </c>
      <c r="F304" t="s">
        <v>10</v>
      </c>
      <c r="G304">
        <v>4880</v>
      </c>
    </row>
    <row r="305" spans="3:7" hidden="1" x14ac:dyDescent="0.3">
      <c r="C305" t="s">
        <v>90</v>
      </c>
      <c r="D305" t="s">
        <v>304</v>
      </c>
      <c r="E305" t="s">
        <v>13</v>
      </c>
      <c r="F305" t="s">
        <v>10</v>
      </c>
      <c r="G305">
        <v>4846</v>
      </c>
    </row>
    <row r="306" spans="3:7" hidden="1" x14ac:dyDescent="0.3">
      <c r="C306" t="s">
        <v>7</v>
      </c>
      <c r="D306" t="s">
        <v>305</v>
      </c>
      <c r="E306" t="s">
        <v>13</v>
      </c>
      <c r="F306" t="s">
        <v>136</v>
      </c>
      <c r="G306">
        <v>4837.2127246666596</v>
      </c>
    </row>
    <row r="307" spans="3:7" hidden="1" x14ac:dyDescent="0.3">
      <c r="C307" t="s">
        <v>14</v>
      </c>
      <c r="D307" t="s">
        <v>306</v>
      </c>
      <c r="E307" t="s">
        <v>9</v>
      </c>
      <c r="F307" t="s">
        <v>10</v>
      </c>
      <c r="G307">
        <v>4800</v>
      </c>
    </row>
    <row r="308" spans="3:7" hidden="1" x14ac:dyDescent="0.3">
      <c r="C308" t="s">
        <v>11</v>
      </c>
      <c r="D308" t="s">
        <v>307</v>
      </c>
      <c r="E308" t="s">
        <v>17</v>
      </c>
      <c r="F308" t="s">
        <v>136</v>
      </c>
      <c r="G308">
        <v>4621.2299999999996</v>
      </c>
    </row>
    <row r="309" spans="3:7" hidden="1" x14ac:dyDescent="0.3">
      <c r="C309" t="s">
        <v>19</v>
      </c>
      <c r="D309" t="s">
        <v>308</v>
      </c>
      <c r="E309" t="s">
        <v>17</v>
      </c>
      <c r="F309" t="s">
        <v>136</v>
      </c>
      <c r="G309">
        <v>4615.9399999999996</v>
      </c>
    </row>
    <row r="310" spans="3:7" hidden="1" x14ac:dyDescent="0.3">
      <c r="C310" t="s">
        <v>19</v>
      </c>
      <c r="D310" t="s">
        <v>309</v>
      </c>
      <c r="E310" t="s">
        <v>9</v>
      </c>
      <c r="F310" t="s">
        <v>136</v>
      </c>
      <c r="G310">
        <v>4593.12</v>
      </c>
    </row>
    <row r="311" spans="3:7" hidden="1" x14ac:dyDescent="0.3">
      <c r="C311" t="s">
        <v>52</v>
      </c>
      <c r="D311" t="s">
        <v>270</v>
      </c>
      <c r="E311" t="s">
        <v>13</v>
      </c>
      <c r="F311" t="s">
        <v>10</v>
      </c>
      <c r="G311">
        <v>4572</v>
      </c>
    </row>
    <row r="312" spans="3:7" hidden="1" x14ac:dyDescent="0.3">
      <c r="C312" t="s">
        <v>19</v>
      </c>
      <c r="D312" t="s">
        <v>310</v>
      </c>
      <c r="E312" t="s">
        <v>9</v>
      </c>
      <c r="F312" t="s">
        <v>10</v>
      </c>
      <c r="G312">
        <v>4560</v>
      </c>
    </row>
    <row r="313" spans="3:7" hidden="1" x14ac:dyDescent="0.3">
      <c r="C313" t="s">
        <v>52</v>
      </c>
      <c r="D313" t="s">
        <v>311</v>
      </c>
      <c r="E313" t="s">
        <v>13</v>
      </c>
      <c r="F313" t="s">
        <v>10</v>
      </c>
      <c r="G313">
        <v>4510</v>
      </c>
    </row>
    <row r="314" spans="3:7" hidden="1" x14ac:dyDescent="0.3">
      <c r="C314" t="s">
        <v>14</v>
      </c>
      <c r="D314" t="s">
        <v>312</v>
      </c>
      <c r="E314" t="s">
        <v>13</v>
      </c>
      <c r="F314" t="s">
        <v>10</v>
      </c>
      <c r="G314">
        <v>4492</v>
      </c>
    </row>
    <row r="315" spans="3:7" hidden="1" x14ac:dyDescent="0.3">
      <c r="C315" t="s">
        <v>165</v>
      </c>
      <c r="D315" t="s">
        <v>168</v>
      </c>
      <c r="E315" t="s">
        <v>13</v>
      </c>
      <c r="F315" t="s">
        <v>10</v>
      </c>
      <c r="G315">
        <v>4491</v>
      </c>
    </row>
    <row r="316" spans="3:7" hidden="1" x14ac:dyDescent="0.3">
      <c r="C316" t="s">
        <v>14</v>
      </c>
      <c r="D316" t="s">
        <v>313</v>
      </c>
      <c r="E316" t="s">
        <v>13</v>
      </c>
      <c r="F316" t="s">
        <v>10</v>
      </c>
      <c r="G316">
        <v>4478</v>
      </c>
    </row>
    <row r="317" spans="3:7" hidden="1" x14ac:dyDescent="0.3">
      <c r="C317" t="s">
        <v>14</v>
      </c>
      <c r="D317" t="s">
        <v>76</v>
      </c>
      <c r="E317" t="s">
        <v>13</v>
      </c>
      <c r="F317" t="s">
        <v>10</v>
      </c>
      <c r="G317">
        <v>4478</v>
      </c>
    </row>
    <row r="318" spans="3:7" hidden="1" x14ac:dyDescent="0.3">
      <c r="C318" t="s">
        <v>11</v>
      </c>
      <c r="D318" t="s">
        <v>314</v>
      </c>
      <c r="E318" t="s">
        <v>17</v>
      </c>
      <c r="F318" t="s">
        <v>136</v>
      </c>
      <c r="G318">
        <v>4470.4799999999996</v>
      </c>
    </row>
    <row r="319" spans="3:7" hidden="1" x14ac:dyDescent="0.3">
      <c r="C319" t="s">
        <v>19</v>
      </c>
      <c r="D319" t="s">
        <v>239</v>
      </c>
      <c r="E319" t="s">
        <v>13</v>
      </c>
      <c r="F319" t="s">
        <v>240</v>
      </c>
      <c r="G319">
        <v>4461.5021645502402</v>
      </c>
    </row>
    <row r="320" spans="3:7" hidden="1" x14ac:dyDescent="0.3">
      <c r="C320" t="s">
        <v>52</v>
      </c>
      <c r="D320" t="s">
        <v>315</v>
      </c>
      <c r="E320" t="s">
        <v>13</v>
      </c>
      <c r="F320" t="s">
        <v>10</v>
      </c>
      <c r="G320">
        <v>4438</v>
      </c>
    </row>
    <row r="321" spans="3:7" hidden="1" x14ac:dyDescent="0.3">
      <c r="C321" t="s">
        <v>21</v>
      </c>
      <c r="D321" t="s">
        <v>316</v>
      </c>
      <c r="E321" t="s">
        <v>17</v>
      </c>
      <c r="F321" t="s">
        <v>136</v>
      </c>
      <c r="G321">
        <v>4425.8419999999996</v>
      </c>
    </row>
    <row r="322" spans="3:7" hidden="1" x14ac:dyDescent="0.3">
      <c r="C322" t="s">
        <v>126</v>
      </c>
      <c r="D322" t="s">
        <v>317</v>
      </c>
      <c r="E322" t="s">
        <v>13</v>
      </c>
      <c r="F322" t="s">
        <v>10</v>
      </c>
      <c r="G322">
        <v>4424</v>
      </c>
    </row>
    <row r="323" spans="3:7" hidden="1" x14ac:dyDescent="0.3">
      <c r="C323" t="s">
        <v>14</v>
      </c>
      <c r="D323" t="s">
        <v>318</v>
      </c>
      <c r="E323" t="s">
        <v>9</v>
      </c>
      <c r="F323" t="s">
        <v>136</v>
      </c>
      <c r="G323">
        <v>4422.38</v>
      </c>
    </row>
    <row r="324" spans="3:7" hidden="1" x14ac:dyDescent="0.3">
      <c r="C324" t="s">
        <v>78</v>
      </c>
      <c r="D324" t="s">
        <v>319</v>
      </c>
      <c r="E324" t="s">
        <v>13</v>
      </c>
      <c r="F324" t="s">
        <v>10</v>
      </c>
      <c r="G324">
        <v>4360.2</v>
      </c>
    </row>
    <row r="325" spans="3:7" hidden="1" x14ac:dyDescent="0.3">
      <c r="C325" t="s">
        <v>7</v>
      </c>
      <c r="D325" t="s">
        <v>320</v>
      </c>
      <c r="E325" t="s">
        <v>13</v>
      </c>
      <c r="F325" t="s">
        <v>136</v>
      </c>
      <c r="G325">
        <v>4359.1700753386804</v>
      </c>
    </row>
    <row r="326" spans="3:7" hidden="1" x14ac:dyDescent="0.3">
      <c r="C326" t="s">
        <v>11</v>
      </c>
      <c r="D326" t="s">
        <v>321</v>
      </c>
      <c r="E326" t="s">
        <v>17</v>
      </c>
      <c r="F326" t="s">
        <v>29</v>
      </c>
      <c r="G326">
        <v>4344.5</v>
      </c>
    </row>
    <row r="327" spans="3:7" hidden="1" x14ac:dyDescent="0.3">
      <c r="C327" t="s">
        <v>19</v>
      </c>
      <c r="D327" t="s">
        <v>322</v>
      </c>
      <c r="E327" t="s">
        <v>13</v>
      </c>
      <c r="F327" t="s">
        <v>10</v>
      </c>
      <c r="G327">
        <v>4300</v>
      </c>
    </row>
    <row r="328" spans="3:7" hidden="1" x14ac:dyDescent="0.3">
      <c r="C328" t="s">
        <v>14</v>
      </c>
      <c r="D328" t="s">
        <v>323</v>
      </c>
      <c r="E328" t="s">
        <v>17</v>
      </c>
      <c r="F328" t="s">
        <v>136</v>
      </c>
      <c r="G328">
        <v>4288.4430000000002</v>
      </c>
    </row>
    <row r="329" spans="3:7" x14ac:dyDescent="0.3">
      <c r="C329" t="s">
        <v>19</v>
      </c>
      <c r="D329" t="s">
        <v>135</v>
      </c>
      <c r="E329" t="s">
        <v>13</v>
      </c>
      <c r="F329" t="s">
        <v>136</v>
      </c>
      <c r="G329">
        <v>4251.8834808045603</v>
      </c>
    </row>
    <row r="330" spans="3:7" hidden="1" x14ac:dyDescent="0.3">
      <c r="C330" t="s">
        <v>7</v>
      </c>
      <c r="D330" t="s">
        <v>324</v>
      </c>
      <c r="E330" t="s">
        <v>13</v>
      </c>
      <c r="F330" t="s">
        <v>240</v>
      </c>
      <c r="G330">
        <v>4217.9592393912199</v>
      </c>
    </row>
    <row r="331" spans="3:7" hidden="1" x14ac:dyDescent="0.3">
      <c r="C331" t="s">
        <v>7</v>
      </c>
      <c r="D331" t="s">
        <v>325</v>
      </c>
      <c r="E331" t="s">
        <v>17</v>
      </c>
      <c r="F331" t="s">
        <v>29</v>
      </c>
      <c r="G331">
        <v>4216</v>
      </c>
    </row>
    <row r="332" spans="3:7" hidden="1" x14ac:dyDescent="0.3">
      <c r="C332" t="s">
        <v>21</v>
      </c>
      <c r="D332" t="s">
        <v>326</v>
      </c>
      <c r="E332" t="s">
        <v>9</v>
      </c>
      <c r="F332" t="s">
        <v>10</v>
      </c>
      <c r="G332">
        <v>4168</v>
      </c>
    </row>
    <row r="333" spans="3:7" hidden="1" x14ac:dyDescent="0.3">
      <c r="C333" t="s">
        <v>188</v>
      </c>
      <c r="D333" t="s">
        <v>270</v>
      </c>
      <c r="E333" t="s">
        <v>13</v>
      </c>
      <c r="F333" t="s">
        <v>10</v>
      </c>
      <c r="G333">
        <v>4068.8847058823499</v>
      </c>
    </row>
    <row r="334" spans="3:7" hidden="1" x14ac:dyDescent="0.3">
      <c r="C334" t="s">
        <v>19</v>
      </c>
      <c r="D334" t="s">
        <v>327</v>
      </c>
      <c r="E334" t="s">
        <v>17</v>
      </c>
      <c r="F334" t="s">
        <v>136</v>
      </c>
      <c r="G334">
        <v>4060.25</v>
      </c>
    </row>
    <row r="335" spans="3:7" hidden="1" x14ac:dyDescent="0.3">
      <c r="C335" t="s">
        <v>19</v>
      </c>
      <c r="D335" t="s">
        <v>328</v>
      </c>
      <c r="E335" t="s">
        <v>9</v>
      </c>
      <c r="F335" t="s">
        <v>136</v>
      </c>
      <c r="G335">
        <v>4029.03999999999</v>
      </c>
    </row>
    <row r="336" spans="3:7" hidden="1" x14ac:dyDescent="0.3">
      <c r="C336" t="s">
        <v>11</v>
      </c>
      <c r="D336" t="s">
        <v>329</v>
      </c>
      <c r="E336" t="s">
        <v>17</v>
      </c>
      <c r="F336" t="s">
        <v>136</v>
      </c>
      <c r="G336">
        <v>3984.44199999999</v>
      </c>
    </row>
    <row r="337" spans="3:7" hidden="1" x14ac:dyDescent="0.3">
      <c r="C337" t="s">
        <v>19</v>
      </c>
      <c r="D337" t="s">
        <v>330</v>
      </c>
      <c r="E337" t="s">
        <v>13</v>
      </c>
      <c r="F337" t="s">
        <v>10</v>
      </c>
      <c r="G337">
        <v>3979</v>
      </c>
    </row>
    <row r="338" spans="3:7" hidden="1" x14ac:dyDescent="0.3">
      <c r="C338" t="s">
        <v>21</v>
      </c>
      <c r="D338" t="s">
        <v>331</v>
      </c>
      <c r="E338" t="s">
        <v>9</v>
      </c>
      <c r="F338" t="s">
        <v>10</v>
      </c>
      <c r="G338">
        <v>3970</v>
      </c>
    </row>
    <row r="339" spans="3:7" hidden="1" x14ac:dyDescent="0.3">
      <c r="C339" t="s">
        <v>21</v>
      </c>
      <c r="D339" t="s">
        <v>332</v>
      </c>
      <c r="E339" t="s">
        <v>13</v>
      </c>
      <c r="F339" t="s">
        <v>10</v>
      </c>
      <c r="G339">
        <v>3968</v>
      </c>
    </row>
    <row r="340" spans="3:7" hidden="1" x14ac:dyDescent="0.3">
      <c r="C340" t="s">
        <v>11</v>
      </c>
      <c r="D340" t="s">
        <v>320</v>
      </c>
      <c r="E340" t="s">
        <v>13</v>
      </c>
      <c r="F340" t="s">
        <v>136</v>
      </c>
      <c r="G340">
        <v>3952.3114172564101</v>
      </c>
    </row>
    <row r="341" spans="3:7" hidden="1" x14ac:dyDescent="0.3">
      <c r="C341" t="s">
        <v>21</v>
      </c>
      <c r="D341" t="s">
        <v>190</v>
      </c>
      <c r="E341" t="s">
        <v>13</v>
      </c>
      <c r="F341" t="s">
        <v>136</v>
      </c>
      <c r="G341">
        <v>3944.33304747087</v>
      </c>
    </row>
    <row r="342" spans="3:7" hidden="1" x14ac:dyDescent="0.3">
      <c r="C342" t="s">
        <v>11</v>
      </c>
      <c r="D342" t="s">
        <v>333</v>
      </c>
      <c r="E342" t="s">
        <v>13</v>
      </c>
      <c r="F342" t="s">
        <v>136</v>
      </c>
      <c r="G342">
        <v>3943.89359129383</v>
      </c>
    </row>
    <row r="343" spans="3:7" hidden="1" x14ac:dyDescent="0.3">
      <c r="C343" t="s">
        <v>11</v>
      </c>
      <c r="D343" t="s">
        <v>334</v>
      </c>
      <c r="E343" t="s">
        <v>9</v>
      </c>
      <c r="F343" t="s">
        <v>136</v>
      </c>
      <c r="G343">
        <v>3941.8999999999901</v>
      </c>
    </row>
    <row r="344" spans="3:7" hidden="1" x14ac:dyDescent="0.3">
      <c r="C344" t="s">
        <v>52</v>
      </c>
      <c r="D344" t="s">
        <v>335</v>
      </c>
      <c r="E344" t="s">
        <v>13</v>
      </c>
      <c r="F344" t="s">
        <v>10</v>
      </c>
      <c r="G344">
        <v>3926</v>
      </c>
    </row>
    <row r="345" spans="3:7" hidden="1" x14ac:dyDescent="0.3">
      <c r="C345" t="s">
        <v>11</v>
      </c>
      <c r="D345" t="s">
        <v>241</v>
      </c>
      <c r="E345" t="s">
        <v>13</v>
      </c>
      <c r="F345" t="s">
        <v>136</v>
      </c>
      <c r="G345">
        <v>3910.05</v>
      </c>
    </row>
    <row r="346" spans="3:7" hidden="1" x14ac:dyDescent="0.3">
      <c r="C346" t="s">
        <v>7</v>
      </c>
      <c r="D346" t="s">
        <v>336</v>
      </c>
      <c r="E346" t="s">
        <v>13</v>
      </c>
      <c r="F346" t="s">
        <v>10</v>
      </c>
      <c r="G346">
        <v>3888</v>
      </c>
    </row>
    <row r="347" spans="3:7" hidden="1" x14ac:dyDescent="0.3">
      <c r="C347" t="s">
        <v>14</v>
      </c>
      <c r="D347" t="s">
        <v>337</v>
      </c>
      <c r="E347" t="s">
        <v>9</v>
      </c>
      <c r="F347" t="s">
        <v>29</v>
      </c>
      <c r="G347">
        <v>3883</v>
      </c>
    </row>
    <row r="348" spans="3:7" hidden="1" x14ac:dyDescent="0.3">
      <c r="C348" t="s">
        <v>7</v>
      </c>
      <c r="D348" t="s">
        <v>338</v>
      </c>
      <c r="E348" t="s">
        <v>9</v>
      </c>
      <c r="F348" t="s">
        <v>10</v>
      </c>
      <c r="G348">
        <v>3862</v>
      </c>
    </row>
    <row r="349" spans="3:7" hidden="1" x14ac:dyDescent="0.3">
      <c r="C349" t="s">
        <v>7</v>
      </c>
      <c r="D349" t="s">
        <v>339</v>
      </c>
      <c r="E349" t="s">
        <v>13</v>
      </c>
      <c r="F349" t="s">
        <v>10</v>
      </c>
      <c r="G349">
        <v>3862</v>
      </c>
    </row>
    <row r="350" spans="3:7" hidden="1" x14ac:dyDescent="0.3">
      <c r="C350" t="s">
        <v>21</v>
      </c>
      <c r="D350" t="s">
        <v>340</v>
      </c>
      <c r="E350" t="s">
        <v>9</v>
      </c>
      <c r="F350" t="s">
        <v>10</v>
      </c>
      <c r="G350">
        <v>3795</v>
      </c>
    </row>
    <row r="351" spans="3:7" hidden="1" x14ac:dyDescent="0.3">
      <c r="C351" t="s">
        <v>188</v>
      </c>
      <c r="D351" t="s">
        <v>341</v>
      </c>
      <c r="E351" t="s">
        <v>13</v>
      </c>
      <c r="F351" t="s">
        <v>10</v>
      </c>
      <c r="G351">
        <v>3793</v>
      </c>
    </row>
    <row r="352" spans="3:7" hidden="1" x14ac:dyDescent="0.3">
      <c r="C352" t="s">
        <v>188</v>
      </c>
      <c r="D352" t="s">
        <v>342</v>
      </c>
      <c r="E352" t="s">
        <v>13</v>
      </c>
      <c r="F352" t="s">
        <v>10</v>
      </c>
      <c r="G352">
        <v>3793</v>
      </c>
    </row>
    <row r="353" spans="3:7" hidden="1" x14ac:dyDescent="0.3">
      <c r="C353" t="s">
        <v>7</v>
      </c>
      <c r="D353" t="s">
        <v>343</v>
      </c>
      <c r="E353" t="s">
        <v>13</v>
      </c>
      <c r="F353" t="s">
        <v>136</v>
      </c>
      <c r="G353">
        <v>3767.2800323621</v>
      </c>
    </row>
    <row r="354" spans="3:7" x14ac:dyDescent="0.3">
      <c r="C354" t="s">
        <v>7</v>
      </c>
      <c r="D354" t="s">
        <v>135</v>
      </c>
      <c r="E354" t="s">
        <v>13</v>
      </c>
      <c r="F354" t="s">
        <v>136</v>
      </c>
      <c r="G354">
        <v>3759.6704740446999</v>
      </c>
    </row>
    <row r="355" spans="3:7" hidden="1" x14ac:dyDescent="0.3">
      <c r="C355" t="s">
        <v>7</v>
      </c>
      <c r="D355" t="s">
        <v>344</v>
      </c>
      <c r="E355" t="s">
        <v>9</v>
      </c>
      <c r="F355" t="s">
        <v>136</v>
      </c>
      <c r="G355">
        <v>3691.9344317148498</v>
      </c>
    </row>
    <row r="356" spans="3:7" hidden="1" x14ac:dyDescent="0.3">
      <c r="C356" t="s">
        <v>126</v>
      </c>
      <c r="D356" t="s">
        <v>345</v>
      </c>
      <c r="E356" t="s">
        <v>13</v>
      </c>
      <c r="F356" t="s">
        <v>10</v>
      </c>
      <c r="G356">
        <v>3670</v>
      </c>
    </row>
    <row r="357" spans="3:7" hidden="1" x14ac:dyDescent="0.3">
      <c r="C357" t="s">
        <v>78</v>
      </c>
      <c r="D357" t="s">
        <v>346</v>
      </c>
      <c r="E357" t="s">
        <v>17</v>
      </c>
      <c r="F357" t="s">
        <v>10</v>
      </c>
      <c r="G357">
        <v>3641</v>
      </c>
    </row>
    <row r="358" spans="3:7" hidden="1" x14ac:dyDescent="0.3">
      <c r="C358" t="s">
        <v>78</v>
      </c>
      <c r="D358" t="s">
        <v>347</v>
      </c>
      <c r="E358" t="s">
        <v>13</v>
      </c>
      <c r="F358" t="s">
        <v>10</v>
      </c>
      <c r="G358">
        <v>3641</v>
      </c>
    </row>
    <row r="359" spans="3:7" hidden="1" x14ac:dyDescent="0.3">
      <c r="C359" t="s">
        <v>21</v>
      </c>
      <c r="D359" t="s">
        <v>348</v>
      </c>
      <c r="E359" t="s">
        <v>9</v>
      </c>
      <c r="F359" t="s">
        <v>10</v>
      </c>
      <c r="G359">
        <v>3635</v>
      </c>
    </row>
    <row r="360" spans="3:7" hidden="1" x14ac:dyDescent="0.3">
      <c r="C360" t="s">
        <v>11</v>
      </c>
      <c r="D360" t="s">
        <v>349</v>
      </c>
      <c r="E360" t="s">
        <v>9</v>
      </c>
      <c r="F360" t="s">
        <v>136</v>
      </c>
      <c r="G360">
        <v>3624</v>
      </c>
    </row>
    <row r="361" spans="3:7" hidden="1" x14ac:dyDescent="0.3">
      <c r="C361" t="s">
        <v>21</v>
      </c>
      <c r="D361" t="s">
        <v>307</v>
      </c>
      <c r="E361" t="s">
        <v>17</v>
      </c>
      <c r="F361" t="s">
        <v>136</v>
      </c>
      <c r="G361">
        <v>3581.42399999999</v>
      </c>
    </row>
    <row r="362" spans="3:7" hidden="1" x14ac:dyDescent="0.3">
      <c r="C362" t="s">
        <v>7</v>
      </c>
      <c r="D362" t="s">
        <v>350</v>
      </c>
      <c r="E362" t="s">
        <v>9</v>
      </c>
      <c r="F362" t="s">
        <v>136</v>
      </c>
      <c r="G362">
        <v>3571.68695034246</v>
      </c>
    </row>
    <row r="363" spans="3:7" hidden="1" x14ac:dyDescent="0.3">
      <c r="C363" t="s">
        <v>7</v>
      </c>
      <c r="D363" t="s">
        <v>351</v>
      </c>
      <c r="E363" t="s">
        <v>9</v>
      </c>
      <c r="F363" t="s">
        <v>136</v>
      </c>
      <c r="G363">
        <v>3569.3728022027999</v>
      </c>
    </row>
    <row r="364" spans="3:7" hidden="1" x14ac:dyDescent="0.3">
      <c r="C364" t="s">
        <v>19</v>
      </c>
      <c r="D364" t="s">
        <v>352</v>
      </c>
      <c r="E364" t="s">
        <v>9</v>
      </c>
      <c r="F364" t="s">
        <v>10</v>
      </c>
      <c r="G364">
        <v>3552</v>
      </c>
    </row>
    <row r="365" spans="3:7" hidden="1" x14ac:dyDescent="0.3">
      <c r="C365" t="s">
        <v>19</v>
      </c>
      <c r="D365" t="s">
        <v>353</v>
      </c>
      <c r="E365" t="s">
        <v>13</v>
      </c>
      <c r="F365" t="s">
        <v>10</v>
      </c>
      <c r="G365">
        <v>3548</v>
      </c>
    </row>
    <row r="366" spans="3:7" hidden="1" x14ac:dyDescent="0.3">
      <c r="C366" t="s">
        <v>19</v>
      </c>
      <c r="D366" t="s">
        <v>354</v>
      </c>
      <c r="E366" t="s">
        <v>13</v>
      </c>
      <c r="F366" t="s">
        <v>10</v>
      </c>
      <c r="G366">
        <v>3548</v>
      </c>
    </row>
    <row r="367" spans="3:7" hidden="1" x14ac:dyDescent="0.3">
      <c r="C367" t="s">
        <v>19</v>
      </c>
      <c r="D367" t="s">
        <v>355</v>
      </c>
      <c r="E367" t="s">
        <v>17</v>
      </c>
      <c r="F367" t="s">
        <v>136</v>
      </c>
      <c r="G367">
        <v>3544.33</v>
      </c>
    </row>
    <row r="368" spans="3:7" hidden="1" x14ac:dyDescent="0.3">
      <c r="C368" t="s">
        <v>165</v>
      </c>
      <c r="D368" t="s">
        <v>356</v>
      </c>
      <c r="E368" t="s">
        <v>13</v>
      </c>
      <c r="F368" t="s">
        <v>10</v>
      </c>
      <c r="G368">
        <v>3543</v>
      </c>
    </row>
    <row r="369" spans="3:7" hidden="1" x14ac:dyDescent="0.3">
      <c r="C369" t="s">
        <v>78</v>
      </c>
      <c r="D369" t="s">
        <v>357</v>
      </c>
      <c r="E369" t="s">
        <v>9</v>
      </c>
      <c r="F369" t="s">
        <v>10</v>
      </c>
      <c r="G369">
        <v>3540</v>
      </c>
    </row>
    <row r="370" spans="3:7" hidden="1" x14ac:dyDescent="0.3">
      <c r="C370" t="s">
        <v>78</v>
      </c>
      <c r="D370" t="s">
        <v>358</v>
      </c>
      <c r="E370" t="s">
        <v>17</v>
      </c>
      <c r="F370" t="s">
        <v>10</v>
      </c>
      <c r="G370">
        <v>3540</v>
      </c>
    </row>
    <row r="371" spans="3:7" hidden="1" x14ac:dyDescent="0.3">
      <c r="C371" t="s">
        <v>11</v>
      </c>
      <c r="D371" t="s">
        <v>359</v>
      </c>
      <c r="E371" t="s">
        <v>17</v>
      </c>
      <c r="F371" t="s">
        <v>136</v>
      </c>
      <c r="G371">
        <v>3466.3</v>
      </c>
    </row>
    <row r="372" spans="3:7" hidden="1" x14ac:dyDescent="0.3">
      <c r="C372" t="s">
        <v>269</v>
      </c>
      <c r="D372" t="s">
        <v>360</v>
      </c>
      <c r="E372" t="s">
        <v>13</v>
      </c>
      <c r="F372" t="s">
        <v>10</v>
      </c>
      <c r="G372">
        <v>3434</v>
      </c>
    </row>
    <row r="373" spans="3:7" hidden="1" x14ac:dyDescent="0.3">
      <c r="C373" t="s">
        <v>269</v>
      </c>
      <c r="D373" t="s">
        <v>256</v>
      </c>
      <c r="E373" t="s">
        <v>13</v>
      </c>
      <c r="F373" t="s">
        <v>10</v>
      </c>
      <c r="G373">
        <v>3434</v>
      </c>
    </row>
    <row r="374" spans="3:7" hidden="1" x14ac:dyDescent="0.3">
      <c r="C374" t="s">
        <v>21</v>
      </c>
      <c r="D374" t="s">
        <v>361</v>
      </c>
      <c r="E374" t="s">
        <v>9</v>
      </c>
      <c r="F374" t="s">
        <v>136</v>
      </c>
      <c r="G374">
        <v>3417.75</v>
      </c>
    </row>
    <row r="375" spans="3:7" hidden="1" x14ac:dyDescent="0.3">
      <c r="C375" t="s">
        <v>11</v>
      </c>
      <c r="D375" t="s">
        <v>362</v>
      </c>
      <c r="E375" t="s">
        <v>17</v>
      </c>
      <c r="F375" t="s">
        <v>136</v>
      </c>
      <c r="G375">
        <v>3388.02</v>
      </c>
    </row>
    <row r="376" spans="3:7" hidden="1" x14ac:dyDescent="0.3">
      <c r="C376" t="s">
        <v>19</v>
      </c>
      <c r="D376" t="s">
        <v>363</v>
      </c>
      <c r="E376" t="s">
        <v>13</v>
      </c>
      <c r="F376" t="s">
        <v>10</v>
      </c>
      <c r="G376">
        <v>3356</v>
      </c>
    </row>
    <row r="377" spans="3:7" hidden="1" x14ac:dyDescent="0.3">
      <c r="C377" t="s">
        <v>19</v>
      </c>
      <c r="D377" t="s">
        <v>364</v>
      </c>
      <c r="E377" t="s">
        <v>13</v>
      </c>
      <c r="F377" t="s">
        <v>10</v>
      </c>
      <c r="G377">
        <v>3348</v>
      </c>
    </row>
    <row r="378" spans="3:7" hidden="1" x14ac:dyDescent="0.3">
      <c r="C378" t="s">
        <v>126</v>
      </c>
      <c r="D378" t="s">
        <v>365</v>
      </c>
      <c r="E378" t="s">
        <v>13</v>
      </c>
      <c r="F378" t="s">
        <v>136</v>
      </c>
      <c r="G378">
        <v>3299.76428571428</v>
      </c>
    </row>
    <row r="379" spans="3:7" hidden="1" x14ac:dyDescent="0.3">
      <c r="C379" t="s">
        <v>7</v>
      </c>
      <c r="D379" t="s">
        <v>366</v>
      </c>
      <c r="E379" t="s">
        <v>17</v>
      </c>
      <c r="F379" t="s">
        <v>10</v>
      </c>
      <c r="G379">
        <v>3272</v>
      </c>
    </row>
    <row r="380" spans="3:7" hidden="1" x14ac:dyDescent="0.3">
      <c r="C380" t="s">
        <v>7</v>
      </c>
      <c r="D380" t="s">
        <v>367</v>
      </c>
      <c r="E380" t="s">
        <v>13</v>
      </c>
      <c r="F380" t="s">
        <v>10</v>
      </c>
      <c r="G380">
        <v>3272</v>
      </c>
    </row>
    <row r="381" spans="3:7" hidden="1" x14ac:dyDescent="0.3">
      <c r="C381" t="s">
        <v>188</v>
      </c>
      <c r="D381" t="s">
        <v>191</v>
      </c>
      <c r="E381" t="s">
        <v>13</v>
      </c>
      <c r="F381" t="s">
        <v>10</v>
      </c>
      <c r="G381">
        <v>3260</v>
      </c>
    </row>
    <row r="382" spans="3:7" hidden="1" x14ac:dyDescent="0.3">
      <c r="C382" t="s">
        <v>7</v>
      </c>
      <c r="D382" t="s">
        <v>368</v>
      </c>
      <c r="E382" t="s">
        <v>17</v>
      </c>
      <c r="F382" t="s">
        <v>136</v>
      </c>
      <c r="G382">
        <v>3238.4949999999999</v>
      </c>
    </row>
    <row r="383" spans="3:7" hidden="1" x14ac:dyDescent="0.3">
      <c r="C383" t="s">
        <v>278</v>
      </c>
      <c r="D383" t="s">
        <v>203</v>
      </c>
      <c r="E383" t="s">
        <v>13</v>
      </c>
      <c r="F383" t="s">
        <v>10</v>
      </c>
      <c r="G383">
        <v>3224</v>
      </c>
    </row>
    <row r="384" spans="3:7" hidden="1" x14ac:dyDescent="0.3">
      <c r="C384" t="s">
        <v>19</v>
      </c>
      <c r="D384" t="s">
        <v>369</v>
      </c>
      <c r="E384" t="s">
        <v>13</v>
      </c>
      <c r="F384" t="s">
        <v>136</v>
      </c>
      <c r="G384">
        <v>3215.1840000000002</v>
      </c>
    </row>
    <row r="385" spans="3:7" hidden="1" x14ac:dyDescent="0.3">
      <c r="C385" t="s">
        <v>11</v>
      </c>
      <c r="D385" t="s">
        <v>370</v>
      </c>
      <c r="E385" t="s">
        <v>13</v>
      </c>
      <c r="F385" t="s">
        <v>10</v>
      </c>
      <c r="G385">
        <v>3206</v>
      </c>
    </row>
    <row r="386" spans="3:7" hidden="1" x14ac:dyDescent="0.3">
      <c r="C386" t="s">
        <v>11</v>
      </c>
      <c r="D386" t="s">
        <v>371</v>
      </c>
      <c r="E386" t="s">
        <v>9</v>
      </c>
      <c r="F386" t="s">
        <v>10</v>
      </c>
      <c r="G386">
        <v>3202</v>
      </c>
    </row>
    <row r="387" spans="3:7" hidden="1" x14ac:dyDescent="0.3">
      <c r="C387" t="s">
        <v>269</v>
      </c>
      <c r="D387" t="s">
        <v>372</v>
      </c>
      <c r="E387" t="s">
        <v>13</v>
      </c>
      <c r="F387" t="s">
        <v>10</v>
      </c>
      <c r="G387">
        <v>3123</v>
      </c>
    </row>
    <row r="388" spans="3:7" hidden="1" x14ac:dyDescent="0.3">
      <c r="C388" t="s">
        <v>90</v>
      </c>
      <c r="D388" t="s">
        <v>146</v>
      </c>
      <c r="E388" t="s">
        <v>13</v>
      </c>
      <c r="F388" t="s">
        <v>10</v>
      </c>
      <c r="G388">
        <v>3091</v>
      </c>
    </row>
    <row r="389" spans="3:7" hidden="1" x14ac:dyDescent="0.3">
      <c r="C389" t="s">
        <v>269</v>
      </c>
      <c r="D389" t="s">
        <v>373</v>
      </c>
      <c r="E389" t="s">
        <v>13</v>
      </c>
      <c r="F389" t="s">
        <v>10</v>
      </c>
      <c r="G389">
        <v>3064</v>
      </c>
    </row>
    <row r="390" spans="3:7" hidden="1" x14ac:dyDescent="0.3">
      <c r="C390" t="s">
        <v>7</v>
      </c>
      <c r="D390" t="s">
        <v>374</v>
      </c>
      <c r="E390" t="s">
        <v>9</v>
      </c>
      <c r="F390" t="s">
        <v>136</v>
      </c>
      <c r="G390">
        <v>3057.57232882578</v>
      </c>
    </row>
    <row r="391" spans="3:7" hidden="1" x14ac:dyDescent="0.3">
      <c r="C391" t="s">
        <v>126</v>
      </c>
      <c r="D391" t="s">
        <v>375</v>
      </c>
      <c r="E391" t="s">
        <v>13</v>
      </c>
      <c r="F391" t="s">
        <v>10</v>
      </c>
      <c r="G391">
        <v>3054</v>
      </c>
    </row>
    <row r="392" spans="3:7" hidden="1" x14ac:dyDescent="0.3">
      <c r="C392" t="s">
        <v>7</v>
      </c>
      <c r="D392" t="s">
        <v>376</v>
      </c>
      <c r="E392" t="s">
        <v>17</v>
      </c>
      <c r="F392" t="s">
        <v>29</v>
      </c>
      <c r="G392">
        <v>3053</v>
      </c>
    </row>
    <row r="393" spans="3:7" hidden="1" x14ac:dyDescent="0.3">
      <c r="C393" t="s">
        <v>11</v>
      </c>
      <c r="D393" t="s">
        <v>324</v>
      </c>
      <c r="E393" t="s">
        <v>13</v>
      </c>
      <c r="F393" t="s">
        <v>240</v>
      </c>
      <c r="G393">
        <v>3046.5564920933002</v>
      </c>
    </row>
    <row r="394" spans="3:7" hidden="1" x14ac:dyDescent="0.3">
      <c r="C394" t="s">
        <v>19</v>
      </c>
      <c r="D394" t="s">
        <v>377</v>
      </c>
      <c r="E394" t="s">
        <v>13</v>
      </c>
      <c r="F394" t="s">
        <v>136</v>
      </c>
      <c r="G394">
        <v>3044.34</v>
      </c>
    </row>
    <row r="395" spans="3:7" x14ac:dyDescent="0.3">
      <c r="C395" t="s">
        <v>14</v>
      </c>
      <c r="D395" t="s">
        <v>135</v>
      </c>
      <c r="E395" t="s">
        <v>13</v>
      </c>
      <c r="F395" t="s">
        <v>136</v>
      </c>
      <c r="G395">
        <v>3034.0568279312502</v>
      </c>
    </row>
    <row r="396" spans="3:7" hidden="1" x14ac:dyDescent="0.3">
      <c r="C396" t="s">
        <v>11</v>
      </c>
      <c r="D396" t="s">
        <v>378</v>
      </c>
      <c r="E396" t="s">
        <v>13</v>
      </c>
      <c r="F396" t="s">
        <v>136</v>
      </c>
      <c r="G396">
        <v>3033.5889999999999</v>
      </c>
    </row>
    <row r="397" spans="3:7" hidden="1" x14ac:dyDescent="0.3">
      <c r="C397" t="s">
        <v>188</v>
      </c>
      <c r="D397" t="s">
        <v>379</v>
      </c>
      <c r="E397" t="s">
        <v>13</v>
      </c>
      <c r="F397" t="s">
        <v>10</v>
      </c>
      <c r="G397">
        <v>3030</v>
      </c>
    </row>
    <row r="398" spans="3:7" hidden="1" x14ac:dyDescent="0.3">
      <c r="C398" t="s">
        <v>188</v>
      </c>
      <c r="D398" t="s">
        <v>380</v>
      </c>
      <c r="E398" t="s">
        <v>13</v>
      </c>
      <c r="F398" t="s">
        <v>10</v>
      </c>
      <c r="G398">
        <v>3030</v>
      </c>
    </row>
    <row r="399" spans="3:7" hidden="1" x14ac:dyDescent="0.3">
      <c r="C399" t="s">
        <v>19</v>
      </c>
      <c r="D399" t="s">
        <v>381</v>
      </c>
      <c r="E399" t="s">
        <v>13</v>
      </c>
      <c r="F399" t="s">
        <v>136</v>
      </c>
      <c r="G399">
        <v>3008.8049900596402</v>
      </c>
    </row>
    <row r="400" spans="3:7" hidden="1" x14ac:dyDescent="0.3">
      <c r="C400" t="s">
        <v>19</v>
      </c>
      <c r="D400" t="s">
        <v>382</v>
      </c>
      <c r="E400" t="s">
        <v>13</v>
      </c>
      <c r="F400" t="s">
        <v>10</v>
      </c>
      <c r="G400">
        <v>3007</v>
      </c>
    </row>
    <row r="401" spans="3:7" hidden="1" x14ac:dyDescent="0.3">
      <c r="C401" t="s">
        <v>21</v>
      </c>
      <c r="D401" t="s">
        <v>383</v>
      </c>
      <c r="E401" t="s">
        <v>13</v>
      </c>
      <c r="F401" t="s">
        <v>10</v>
      </c>
      <c r="G401">
        <v>2972</v>
      </c>
    </row>
    <row r="402" spans="3:7" hidden="1" x14ac:dyDescent="0.3">
      <c r="C402" t="s">
        <v>14</v>
      </c>
      <c r="D402" t="s">
        <v>384</v>
      </c>
      <c r="E402" t="s">
        <v>13</v>
      </c>
      <c r="F402" t="s">
        <v>136</v>
      </c>
      <c r="G402">
        <v>2971.1759105265601</v>
      </c>
    </row>
    <row r="403" spans="3:7" hidden="1" x14ac:dyDescent="0.3">
      <c r="C403" t="s">
        <v>7</v>
      </c>
      <c r="D403" t="s">
        <v>385</v>
      </c>
      <c r="E403" t="s">
        <v>13</v>
      </c>
      <c r="F403" t="s">
        <v>136</v>
      </c>
      <c r="G403">
        <v>2924</v>
      </c>
    </row>
    <row r="404" spans="3:7" hidden="1" x14ac:dyDescent="0.3">
      <c r="C404" t="s">
        <v>7</v>
      </c>
      <c r="D404" t="s">
        <v>386</v>
      </c>
      <c r="E404" t="s">
        <v>17</v>
      </c>
      <c r="F404" t="s">
        <v>136</v>
      </c>
      <c r="G404">
        <v>2903.04</v>
      </c>
    </row>
    <row r="405" spans="3:7" hidden="1" x14ac:dyDescent="0.3">
      <c r="C405" t="s">
        <v>165</v>
      </c>
      <c r="D405" t="s">
        <v>387</v>
      </c>
      <c r="E405" t="s">
        <v>13</v>
      </c>
      <c r="F405" t="s">
        <v>10</v>
      </c>
      <c r="G405">
        <v>2890</v>
      </c>
    </row>
    <row r="406" spans="3:7" hidden="1" x14ac:dyDescent="0.3">
      <c r="C406" t="s">
        <v>14</v>
      </c>
      <c r="D406" t="s">
        <v>388</v>
      </c>
      <c r="E406" t="s">
        <v>13</v>
      </c>
      <c r="F406" t="s">
        <v>10</v>
      </c>
      <c r="G406">
        <v>2870.5</v>
      </c>
    </row>
    <row r="407" spans="3:7" hidden="1" x14ac:dyDescent="0.3">
      <c r="C407" t="s">
        <v>14</v>
      </c>
      <c r="D407" t="s">
        <v>389</v>
      </c>
      <c r="E407" t="s">
        <v>9</v>
      </c>
      <c r="F407" t="s">
        <v>10</v>
      </c>
      <c r="G407">
        <v>2854</v>
      </c>
    </row>
    <row r="408" spans="3:7" hidden="1" x14ac:dyDescent="0.3">
      <c r="C408" t="s">
        <v>7</v>
      </c>
      <c r="D408" t="s">
        <v>390</v>
      </c>
      <c r="E408" t="s">
        <v>13</v>
      </c>
      <c r="F408" t="s">
        <v>136</v>
      </c>
      <c r="G408">
        <v>2836.1498213146101</v>
      </c>
    </row>
    <row r="409" spans="3:7" hidden="1" x14ac:dyDescent="0.3">
      <c r="C409" t="s">
        <v>7</v>
      </c>
      <c r="D409" t="s">
        <v>391</v>
      </c>
      <c r="E409" t="s">
        <v>13</v>
      </c>
      <c r="F409" t="s">
        <v>10</v>
      </c>
      <c r="G409">
        <v>2811</v>
      </c>
    </row>
    <row r="410" spans="3:7" hidden="1" x14ac:dyDescent="0.3">
      <c r="C410" t="s">
        <v>7</v>
      </c>
      <c r="D410" t="s">
        <v>392</v>
      </c>
      <c r="E410" t="s">
        <v>13</v>
      </c>
      <c r="F410" t="s">
        <v>10</v>
      </c>
      <c r="G410">
        <v>2780</v>
      </c>
    </row>
    <row r="411" spans="3:7" hidden="1" x14ac:dyDescent="0.3">
      <c r="C411" t="s">
        <v>14</v>
      </c>
      <c r="D411" t="s">
        <v>393</v>
      </c>
      <c r="E411" t="s">
        <v>13</v>
      </c>
      <c r="F411" t="s">
        <v>136</v>
      </c>
      <c r="G411">
        <v>2775.7343891402702</v>
      </c>
    </row>
    <row r="412" spans="3:7" hidden="1" x14ac:dyDescent="0.3">
      <c r="C412" t="s">
        <v>21</v>
      </c>
      <c r="D412" t="s">
        <v>394</v>
      </c>
      <c r="E412" t="s">
        <v>9</v>
      </c>
      <c r="F412" t="s">
        <v>10</v>
      </c>
      <c r="G412">
        <v>2775</v>
      </c>
    </row>
    <row r="413" spans="3:7" hidden="1" x14ac:dyDescent="0.3">
      <c r="C413" t="s">
        <v>14</v>
      </c>
      <c r="D413" t="s">
        <v>395</v>
      </c>
      <c r="E413" t="s">
        <v>13</v>
      </c>
      <c r="F413" t="s">
        <v>136</v>
      </c>
      <c r="G413">
        <v>2763.5161433836201</v>
      </c>
    </row>
    <row r="414" spans="3:7" hidden="1" x14ac:dyDescent="0.3">
      <c r="C414" t="s">
        <v>14</v>
      </c>
      <c r="D414" t="s">
        <v>396</v>
      </c>
      <c r="E414" t="s">
        <v>13</v>
      </c>
      <c r="F414" t="s">
        <v>240</v>
      </c>
      <c r="G414">
        <v>2761.9842105263101</v>
      </c>
    </row>
    <row r="415" spans="3:7" hidden="1" x14ac:dyDescent="0.3">
      <c r="C415" t="s">
        <v>21</v>
      </c>
      <c r="D415" t="s">
        <v>333</v>
      </c>
      <c r="E415" t="s">
        <v>13</v>
      </c>
      <c r="F415" t="s">
        <v>136</v>
      </c>
      <c r="G415">
        <v>2750.1163946760798</v>
      </c>
    </row>
    <row r="416" spans="3:7" hidden="1" x14ac:dyDescent="0.3">
      <c r="C416" t="s">
        <v>7</v>
      </c>
      <c r="D416" t="s">
        <v>213</v>
      </c>
      <c r="E416" t="s">
        <v>13</v>
      </c>
      <c r="F416" t="s">
        <v>10</v>
      </c>
      <c r="G416">
        <v>2749</v>
      </c>
    </row>
    <row r="417" spans="3:7" hidden="1" x14ac:dyDescent="0.3">
      <c r="C417" t="s">
        <v>126</v>
      </c>
      <c r="D417" t="s">
        <v>397</v>
      </c>
      <c r="E417" t="s">
        <v>13</v>
      </c>
      <c r="F417" t="s">
        <v>10</v>
      </c>
      <c r="G417">
        <v>2749</v>
      </c>
    </row>
    <row r="418" spans="3:7" hidden="1" x14ac:dyDescent="0.3">
      <c r="C418" t="s">
        <v>14</v>
      </c>
      <c r="D418" t="s">
        <v>398</v>
      </c>
      <c r="E418" t="s">
        <v>9</v>
      </c>
      <c r="F418" t="s">
        <v>136</v>
      </c>
      <c r="G418">
        <v>2726.3879999999999</v>
      </c>
    </row>
    <row r="419" spans="3:7" hidden="1" x14ac:dyDescent="0.3">
      <c r="C419" t="s">
        <v>14</v>
      </c>
      <c r="D419" t="s">
        <v>399</v>
      </c>
      <c r="E419" t="s">
        <v>9</v>
      </c>
      <c r="F419" t="s">
        <v>136</v>
      </c>
      <c r="G419">
        <v>2726.3879999999999</v>
      </c>
    </row>
    <row r="420" spans="3:7" hidden="1" x14ac:dyDescent="0.3">
      <c r="C420" t="s">
        <v>14</v>
      </c>
      <c r="D420" t="s">
        <v>400</v>
      </c>
      <c r="E420" t="s">
        <v>9</v>
      </c>
      <c r="F420" t="s">
        <v>136</v>
      </c>
      <c r="G420">
        <v>2726.3879999999999</v>
      </c>
    </row>
    <row r="421" spans="3:7" hidden="1" x14ac:dyDescent="0.3">
      <c r="C421" t="s">
        <v>7</v>
      </c>
      <c r="D421" t="s">
        <v>401</v>
      </c>
      <c r="E421" t="s">
        <v>9</v>
      </c>
      <c r="F421" t="s">
        <v>136</v>
      </c>
      <c r="G421">
        <v>2693.9201413497599</v>
      </c>
    </row>
    <row r="422" spans="3:7" hidden="1" x14ac:dyDescent="0.3">
      <c r="C422" t="s">
        <v>14</v>
      </c>
      <c r="D422" t="s">
        <v>402</v>
      </c>
      <c r="E422" t="s">
        <v>17</v>
      </c>
      <c r="F422" t="s">
        <v>10</v>
      </c>
      <c r="G422">
        <v>2685</v>
      </c>
    </row>
    <row r="423" spans="3:7" hidden="1" x14ac:dyDescent="0.3">
      <c r="C423" t="s">
        <v>188</v>
      </c>
      <c r="D423" t="s">
        <v>363</v>
      </c>
      <c r="E423" t="s">
        <v>13</v>
      </c>
      <c r="F423" t="s">
        <v>10</v>
      </c>
      <c r="G423">
        <v>2679</v>
      </c>
    </row>
    <row r="424" spans="3:7" hidden="1" x14ac:dyDescent="0.3">
      <c r="C424" t="s">
        <v>188</v>
      </c>
      <c r="D424" t="s">
        <v>104</v>
      </c>
      <c r="E424" t="s">
        <v>13</v>
      </c>
      <c r="F424" t="s">
        <v>10</v>
      </c>
      <c r="G424">
        <v>2670</v>
      </c>
    </row>
    <row r="425" spans="3:7" hidden="1" x14ac:dyDescent="0.3">
      <c r="C425" t="s">
        <v>78</v>
      </c>
      <c r="D425" t="s">
        <v>161</v>
      </c>
      <c r="E425" t="s">
        <v>13</v>
      </c>
      <c r="F425" t="s">
        <v>10</v>
      </c>
      <c r="G425">
        <v>2664</v>
      </c>
    </row>
    <row r="426" spans="3:7" hidden="1" x14ac:dyDescent="0.3">
      <c r="C426" t="s">
        <v>7</v>
      </c>
      <c r="D426" t="s">
        <v>403</v>
      </c>
      <c r="E426" t="s">
        <v>13</v>
      </c>
      <c r="F426" t="s">
        <v>136</v>
      </c>
      <c r="G426">
        <v>2634.07092132969</v>
      </c>
    </row>
    <row r="427" spans="3:7" hidden="1" x14ac:dyDescent="0.3">
      <c r="C427" t="s">
        <v>19</v>
      </c>
      <c r="D427" t="s">
        <v>244</v>
      </c>
      <c r="E427" t="s">
        <v>13</v>
      </c>
      <c r="F427" t="s">
        <v>10</v>
      </c>
      <c r="G427">
        <v>2632</v>
      </c>
    </row>
    <row r="428" spans="3:7" hidden="1" x14ac:dyDescent="0.3">
      <c r="C428" t="s">
        <v>126</v>
      </c>
      <c r="D428" t="s">
        <v>404</v>
      </c>
      <c r="E428" t="s">
        <v>13</v>
      </c>
      <c r="F428" t="s">
        <v>10</v>
      </c>
      <c r="G428">
        <v>2616</v>
      </c>
    </row>
    <row r="429" spans="3:7" hidden="1" x14ac:dyDescent="0.3">
      <c r="C429" t="s">
        <v>7</v>
      </c>
      <c r="D429" t="s">
        <v>405</v>
      </c>
      <c r="E429" t="s">
        <v>9</v>
      </c>
      <c r="F429" t="s">
        <v>136</v>
      </c>
      <c r="G429">
        <v>2612.4561889156598</v>
      </c>
    </row>
    <row r="430" spans="3:7" hidden="1" x14ac:dyDescent="0.3">
      <c r="C430" t="s">
        <v>278</v>
      </c>
      <c r="D430" t="s">
        <v>114</v>
      </c>
      <c r="E430" t="s">
        <v>13</v>
      </c>
      <c r="F430" t="s">
        <v>10</v>
      </c>
      <c r="G430">
        <v>2611</v>
      </c>
    </row>
    <row r="431" spans="3:7" hidden="1" x14ac:dyDescent="0.3">
      <c r="C431" t="s">
        <v>7</v>
      </c>
      <c r="D431" t="s">
        <v>406</v>
      </c>
      <c r="E431" t="s">
        <v>17</v>
      </c>
      <c r="F431" t="s">
        <v>136</v>
      </c>
      <c r="G431">
        <v>2602.5659999999898</v>
      </c>
    </row>
    <row r="432" spans="3:7" hidden="1" x14ac:dyDescent="0.3">
      <c r="C432" t="s">
        <v>21</v>
      </c>
      <c r="D432" t="s">
        <v>324</v>
      </c>
      <c r="E432" t="s">
        <v>13</v>
      </c>
      <c r="F432" t="s">
        <v>240</v>
      </c>
      <c r="G432">
        <v>2599.0366604359701</v>
      </c>
    </row>
    <row r="433" spans="3:7" hidden="1" x14ac:dyDescent="0.3">
      <c r="C433" t="s">
        <v>14</v>
      </c>
      <c r="D433" t="s">
        <v>407</v>
      </c>
      <c r="E433" t="s">
        <v>17</v>
      </c>
      <c r="F433" t="s">
        <v>29</v>
      </c>
      <c r="G433">
        <v>2577</v>
      </c>
    </row>
    <row r="434" spans="3:7" hidden="1" x14ac:dyDescent="0.3">
      <c r="C434" t="s">
        <v>14</v>
      </c>
      <c r="D434" t="s">
        <v>408</v>
      </c>
      <c r="E434" t="s">
        <v>13</v>
      </c>
      <c r="F434" t="s">
        <v>10</v>
      </c>
      <c r="G434">
        <v>2577</v>
      </c>
    </row>
    <row r="435" spans="3:7" hidden="1" x14ac:dyDescent="0.3">
      <c r="C435" t="s">
        <v>21</v>
      </c>
      <c r="D435" t="s">
        <v>409</v>
      </c>
      <c r="E435" t="s">
        <v>9</v>
      </c>
      <c r="F435" t="s">
        <v>10</v>
      </c>
      <c r="G435">
        <v>2537</v>
      </c>
    </row>
    <row r="436" spans="3:7" hidden="1" x14ac:dyDescent="0.3">
      <c r="C436" t="s">
        <v>21</v>
      </c>
      <c r="D436" t="s">
        <v>349</v>
      </c>
      <c r="E436" t="s">
        <v>9</v>
      </c>
      <c r="F436" t="s">
        <v>136</v>
      </c>
      <c r="G436">
        <v>2527.05139821902</v>
      </c>
    </row>
    <row r="437" spans="3:7" hidden="1" x14ac:dyDescent="0.3">
      <c r="C437" t="s">
        <v>7</v>
      </c>
      <c r="D437" t="s">
        <v>410</v>
      </c>
      <c r="E437" t="s">
        <v>13</v>
      </c>
      <c r="F437" t="s">
        <v>136</v>
      </c>
      <c r="G437">
        <v>2525.2287487454601</v>
      </c>
    </row>
    <row r="438" spans="3:7" hidden="1" x14ac:dyDescent="0.3">
      <c r="C438" t="s">
        <v>14</v>
      </c>
      <c r="D438" t="s">
        <v>411</v>
      </c>
      <c r="E438" t="s">
        <v>13</v>
      </c>
      <c r="F438" t="s">
        <v>136</v>
      </c>
      <c r="G438">
        <v>2488.37857142857</v>
      </c>
    </row>
    <row r="439" spans="3:7" hidden="1" x14ac:dyDescent="0.3">
      <c r="C439" t="s">
        <v>7</v>
      </c>
      <c r="D439" t="s">
        <v>412</v>
      </c>
      <c r="E439" t="s">
        <v>13</v>
      </c>
      <c r="F439" t="s">
        <v>10</v>
      </c>
      <c r="G439">
        <v>2487</v>
      </c>
    </row>
    <row r="440" spans="3:7" hidden="1" x14ac:dyDescent="0.3">
      <c r="C440" t="s">
        <v>7</v>
      </c>
      <c r="D440" t="s">
        <v>413</v>
      </c>
      <c r="E440" t="s">
        <v>17</v>
      </c>
      <c r="F440" t="s">
        <v>136</v>
      </c>
      <c r="G440">
        <v>2486.0300000000002</v>
      </c>
    </row>
    <row r="441" spans="3:7" hidden="1" x14ac:dyDescent="0.3">
      <c r="C441" t="s">
        <v>7</v>
      </c>
      <c r="D441" t="s">
        <v>414</v>
      </c>
      <c r="E441" t="s">
        <v>13</v>
      </c>
      <c r="F441" t="s">
        <v>10</v>
      </c>
      <c r="G441">
        <v>2463</v>
      </c>
    </row>
    <row r="442" spans="3:7" hidden="1" x14ac:dyDescent="0.3">
      <c r="C442" t="s">
        <v>7</v>
      </c>
      <c r="D442" t="s">
        <v>415</v>
      </c>
      <c r="E442" t="s">
        <v>17</v>
      </c>
      <c r="F442" t="s">
        <v>29</v>
      </c>
      <c r="G442">
        <v>2463</v>
      </c>
    </row>
    <row r="443" spans="3:7" hidden="1" x14ac:dyDescent="0.3">
      <c r="C443" t="s">
        <v>269</v>
      </c>
      <c r="D443" t="s">
        <v>416</v>
      </c>
      <c r="E443" t="s">
        <v>13</v>
      </c>
      <c r="F443" t="s">
        <v>10</v>
      </c>
      <c r="G443">
        <v>2456.64</v>
      </c>
    </row>
    <row r="444" spans="3:7" hidden="1" x14ac:dyDescent="0.3">
      <c r="C444" t="s">
        <v>14</v>
      </c>
      <c r="D444" t="s">
        <v>417</v>
      </c>
      <c r="E444" t="s">
        <v>13</v>
      </c>
      <c r="F444" t="s">
        <v>10</v>
      </c>
      <c r="G444">
        <v>2439</v>
      </c>
    </row>
    <row r="445" spans="3:7" hidden="1" x14ac:dyDescent="0.3">
      <c r="C445" t="s">
        <v>418</v>
      </c>
      <c r="D445" t="s">
        <v>322</v>
      </c>
      <c r="E445" t="s">
        <v>13</v>
      </c>
      <c r="F445" t="s">
        <v>10</v>
      </c>
      <c r="G445">
        <v>2436</v>
      </c>
    </row>
    <row r="446" spans="3:7" hidden="1" x14ac:dyDescent="0.3">
      <c r="C446" t="s">
        <v>126</v>
      </c>
      <c r="D446" t="s">
        <v>419</v>
      </c>
      <c r="E446" t="s">
        <v>13</v>
      </c>
      <c r="F446" t="s">
        <v>10</v>
      </c>
      <c r="G446">
        <v>2427</v>
      </c>
    </row>
    <row r="447" spans="3:7" hidden="1" x14ac:dyDescent="0.3">
      <c r="C447" t="s">
        <v>19</v>
      </c>
      <c r="D447" t="s">
        <v>420</v>
      </c>
      <c r="E447" t="s">
        <v>17</v>
      </c>
      <c r="F447" t="s">
        <v>136</v>
      </c>
      <c r="G447">
        <v>2406.375</v>
      </c>
    </row>
    <row r="448" spans="3:7" hidden="1" x14ac:dyDescent="0.3">
      <c r="C448" t="s">
        <v>7</v>
      </c>
      <c r="D448" t="s">
        <v>421</v>
      </c>
      <c r="E448" t="s">
        <v>13</v>
      </c>
      <c r="F448" t="s">
        <v>10</v>
      </c>
      <c r="G448">
        <v>2405</v>
      </c>
    </row>
    <row r="449" spans="3:7" hidden="1" x14ac:dyDescent="0.3">
      <c r="C449" t="s">
        <v>7</v>
      </c>
      <c r="D449" t="s">
        <v>422</v>
      </c>
      <c r="E449" t="s">
        <v>13</v>
      </c>
      <c r="F449" t="s">
        <v>10</v>
      </c>
      <c r="G449">
        <v>2405</v>
      </c>
    </row>
    <row r="450" spans="3:7" hidden="1" x14ac:dyDescent="0.3">
      <c r="C450" t="s">
        <v>14</v>
      </c>
      <c r="D450" t="s">
        <v>171</v>
      </c>
      <c r="E450" t="s">
        <v>13</v>
      </c>
      <c r="F450" t="s">
        <v>136</v>
      </c>
      <c r="G450">
        <v>2396.8951376408199</v>
      </c>
    </row>
    <row r="451" spans="3:7" hidden="1" x14ac:dyDescent="0.3">
      <c r="C451" t="s">
        <v>21</v>
      </c>
      <c r="D451" t="s">
        <v>423</v>
      </c>
      <c r="E451" t="s">
        <v>17</v>
      </c>
      <c r="F451" t="s">
        <v>10</v>
      </c>
      <c r="G451">
        <v>2380</v>
      </c>
    </row>
    <row r="452" spans="3:7" hidden="1" x14ac:dyDescent="0.3">
      <c r="C452" t="s">
        <v>19</v>
      </c>
      <c r="D452" t="s">
        <v>424</v>
      </c>
      <c r="E452" t="s">
        <v>17</v>
      </c>
      <c r="F452" t="s">
        <v>136</v>
      </c>
      <c r="G452">
        <v>2374.1</v>
      </c>
    </row>
    <row r="453" spans="3:7" hidden="1" x14ac:dyDescent="0.3">
      <c r="C453" t="s">
        <v>21</v>
      </c>
      <c r="D453" t="s">
        <v>425</v>
      </c>
      <c r="E453" t="s">
        <v>13</v>
      </c>
      <c r="F453" t="s">
        <v>10</v>
      </c>
      <c r="G453">
        <v>2368</v>
      </c>
    </row>
    <row r="454" spans="3:7" hidden="1" x14ac:dyDescent="0.3">
      <c r="C454" t="s">
        <v>19</v>
      </c>
      <c r="D454" t="s">
        <v>426</v>
      </c>
      <c r="E454" t="s">
        <v>9</v>
      </c>
      <c r="F454" t="s">
        <v>136</v>
      </c>
      <c r="G454">
        <v>2367.8200000000002</v>
      </c>
    </row>
    <row r="455" spans="3:7" hidden="1" x14ac:dyDescent="0.3">
      <c r="C455" t="s">
        <v>14</v>
      </c>
      <c r="D455" t="s">
        <v>427</v>
      </c>
      <c r="E455" t="s">
        <v>13</v>
      </c>
      <c r="F455" t="s">
        <v>10</v>
      </c>
      <c r="G455">
        <v>2366</v>
      </c>
    </row>
    <row r="456" spans="3:7" hidden="1" x14ac:dyDescent="0.3">
      <c r="C456" t="s">
        <v>21</v>
      </c>
      <c r="D456" t="s">
        <v>428</v>
      </c>
      <c r="E456" t="s">
        <v>13</v>
      </c>
      <c r="F456" t="s">
        <v>10</v>
      </c>
      <c r="G456">
        <v>2349</v>
      </c>
    </row>
    <row r="457" spans="3:7" hidden="1" x14ac:dyDescent="0.3">
      <c r="C457" t="s">
        <v>429</v>
      </c>
      <c r="D457" t="s">
        <v>430</v>
      </c>
      <c r="E457" t="s">
        <v>17</v>
      </c>
      <c r="F457" t="s">
        <v>29</v>
      </c>
      <c r="G457">
        <v>2348</v>
      </c>
    </row>
    <row r="458" spans="3:7" hidden="1" x14ac:dyDescent="0.3">
      <c r="C458" t="s">
        <v>7</v>
      </c>
      <c r="D458" t="s">
        <v>431</v>
      </c>
      <c r="E458" t="s">
        <v>13</v>
      </c>
      <c r="F458" t="s">
        <v>136</v>
      </c>
      <c r="G458">
        <v>2330.5090294290198</v>
      </c>
    </row>
    <row r="459" spans="3:7" hidden="1" x14ac:dyDescent="0.3">
      <c r="C459" t="s">
        <v>188</v>
      </c>
      <c r="D459" t="s">
        <v>432</v>
      </c>
      <c r="E459" t="s">
        <v>17</v>
      </c>
      <c r="F459" t="s">
        <v>29</v>
      </c>
      <c r="G459">
        <v>2283</v>
      </c>
    </row>
    <row r="460" spans="3:7" hidden="1" x14ac:dyDescent="0.3">
      <c r="C460" t="s">
        <v>19</v>
      </c>
      <c r="D460" t="s">
        <v>257</v>
      </c>
      <c r="E460" t="s">
        <v>13</v>
      </c>
      <c r="F460" t="s">
        <v>240</v>
      </c>
      <c r="G460">
        <v>2279.6540247459802</v>
      </c>
    </row>
    <row r="461" spans="3:7" hidden="1" x14ac:dyDescent="0.3">
      <c r="C461" t="s">
        <v>188</v>
      </c>
      <c r="D461" t="s">
        <v>315</v>
      </c>
      <c r="E461" t="s">
        <v>13</v>
      </c>
      <c r="F461" t="s">
        <v>10</v>
      </c>
      <c r="G461">
        <v>2271</v>
      </c>
    </row>
    <row r="462" spans="3:7" hidden="1" x14ac:dyDescent="0.3">
      <c r="C462" t="s">
        <v>11</v>
      </c>
      <c r="D462" t="s">
        <v>433</v>
      </c>
      <c r="E462" t="s">
        <v>9</v>
      </c>
      <c r="F462" t="s">
        <v>136</v>
      </c>
      <c r="G462">
        <v>2258.6799999999998</v>
      </c>
    </row>
    <row r="463" spans="3:7" hidden="1" x14ac:dyDescent="0.3">
      <c r="C463" t="s">
        <v>21</v>
      </c>
      <c r="D463" t="s">
        <v>359</v>
      </c>
      <c r="E463" t="s">
        <v>17</v>
      </c>
      <c r="F463" t="s">
        <v>136</v>
      </c>
      <c r="G463">
        <v>2254.4</v>
      </c>
    </row>
    <row r="464" spans="3:7" hidden="1" x14ac:dyDescent="0.3">
      <c r="C464" t="s">
        <v>14</v>
      </c>
      <c r="D464" t="s">
        <v>434</v>
      </c>
      <c r="E464" t="s">
        <v>17</v>
      </c>
      <c r="F464" t="s">
        <v>29</v>
      </c>
      <c r="G464">
        <v>2252</v>
      </c>
    </row>
    <row r="465" spans="3:7" hidden="1" x14ac:dyDescent="0.3">
      <c r="C465" t="s">
        <v>14</v>
      </c>
      <c r="D465" t="s">
        <v>435</v>
      </c>
      <c r="E465" t="s">
        <v>13</v>
      </c>
      <c r="F465" t="s">
        <v>10</v>
      </c>
      <c r="G465">
        <v>2252</v>
      </c>
    </row>
    <row r="466" spans="3:7" hidden="1" x14ac:dyDescent="0.3">
      <c r="C466" t="s">
        <v>11</v>
      </c>
      <c r="D466" t="s">
        <v>436</v>
      </c>
      <c r="E466" t="s">
        <v>17</v>
      </c>
      <c r="F466" t="s">
        <v>136</v>
      </c>
      <c r="G466">
        <v>2219.62691346153</v>
      </c>
    </row>
    <row r="467" spans="3:7" hidden="1" x14ac:dyDescent="0.3">
      <c r="C467" t="s">
        <v>7</v>
      </c>
      <c r="D467" t="s">
        <v>437</v>
      </c>
      <c r="E467" t="s">
        <v>13</v>
      </c>
      <c r="F467" t="s">
        <v>10</v>
      </c>
      <c r="G467">
        <v>2209</v>
      </c>
    </row>
    <row r="468" spans="3:7" hidden="1" x14ac:dyDescent="0.3">
      <c r="C468" t="s">
        <v>14</v>
      </c>
      <c r="D468" t="s">
        <v>438</v>
      </c>
      <c r="E468" t="s">
        <v>13</v>
      </c>
      <c r="F468" t="s">
        <v>136</v>
      </c>
      <c r="G468">
        <v>2203.52818102828</v>
      </c>
    </row>
    <row r="469" spans="3:7" hidden="1" x14ac:dyDescent="0.3">
      <c r="C469" t="s">
        <v>14</v>
      </c>
      <c r="D469" t="s">
        <v>439</v>
      </c>
      <c r="E469" t="s">
        <v>13</v>
      </c>
      <c r="F469" t="s">
        <v>10</v>
      </c>
      <c r="G469">
        <v>2192</v>
      </c>
    </row>
    <row r="470" spans="3:7" hidden="1" x14ac:dyDescent="0.3">
      <c r="C470" t="s">
        <v>14</v>
      </c>
      <c r="D470" t="s">
        <v>440</v>
      </c>
      <c r="E470" t="s">
        <v>13</v>
      </c>
      <c r="F470" t="s">
        <v>10</v>
      </c>
      <c r="G470">
        <v>2170</v>
      </c>
    </row>
    <row r="471" spans="3:7" hidden="1" x14ac:dyDescent="0.3">
      <c r="C471" t="s">
        <v>21</v>
      </c>
      <c r="D471" t="s">
        <v>441</v>
      </c>
      <c r="E471" t="s">
        <v>9</v>
      </c>
      <c r="F471" t="s">
        <v>10</v>
      </c>
      <c r="G471">
        <v>2168</v>
      </c>
    </row>
    <row r="472" spans="3:7" hidden="1" x14ac:dyDescent="0.3">
      <c r="C472" t="s">
        <v>19</v>
      </c>
      <c r="D472" t="s">
        <v>442</v>
      </c>
      <c r="E472" t="s">
        <v>17</v>
      </c>
      <c r="F472" t="s">
        <v>29</v>
      </c>
      <c r="G472">
        <v>2165</v>
      </c>
    </row>
    <row r="473" spans="3:7" hidden="1" x14ac:dyDescent="0.3">
      <c r="C473" t="s">
        <v>19</v>
      </c>
      <c r="D473" t="s">
        <v>443</v>
      </c>
      <c r="E473" t="s">
        <v>13</v>
      </c>
      <c r="F473" t="s">
        <v>10</v>
      </c>
      <c r="G473">
        <v>2165</v>
      </c>
    </row>
    <row r="474" spans="3:7" hidden="1" x14ac:dyDescent="0.3">
      <c r="C474" t="s">
        <v>19</v>
      </c>
      <c r="D474" t="s">
        <v>444</v>
      </c>
      <c r="E474" t="s">
        <v>17</v>
      </c>
      <c r="F474" t="s">
        <v>29</v>
      </c>
      <c r="G474">
        <v>2137</v>
      </c>
    </row>
    <row r="475" spans="3:7" hidden="1" x14ac:dyDescent="0.3">
      <c r="C475" t="s">
        <v>21</v>
      </c>
      <c r="D475" t="s">
        <v>445</v>
      </c>
      <c r="E475" t="s">
        <v>9</v>
      </c>
      <c r="F475" t="s">
        <v>10</v>
      </c>
      <c r="G475">
        <v>2136</v>
      </c>
    </row>
    <row r="476" spans="3:7" hidden="1" x14ac:dyDescent="0.3">
      <c r="C476" t="s">
        <v>19</v>
      </c>
      <c r="D476" t="s">
        <v>446</v>
      </c>
      <c r="E476" t="s">
        <v>17</v>
      </c>
      <c r="F476" t="s">
        <v>29</v>
      </c>
      <c r="G476">
        <v>2125</v>
      </c>
    </row>
    <row r="477" spans="3:7" hidden="1" x14ac:dyDescent="0.3">
      <c r="C477" t="s">
        <v>19</v>
      </c>
      <c r="D477" t="s">
        <v>447</v>
      </c>
      <c r="E477" t="s">
        <v>13</v>
      </c>
      <c r="F477" t="s">
        <v>10</v>
      </c>
      <c r="G477">
        <v>2125</v>
      </c>
    </row>
    <row r="478" spans="3:7" hidden="1" x14ac:dyDescent="0.3">
      <c r="C478" t="s">
        <v>19</v>
      </c>
      <c r="D478" t="s">
        <v>448</v>
      </c>
      <c r="E478" t="s">
        <v>13</v>
      </c>
      <c r="F478" t="s">
        <v>10</v>
      </c>
      <c r="G478">
        <v>2123</v>
      </c>
    </row>
    <row r="479" spans="3:7" hidden="1" x14ac:dyDescent="0.3">
      <c r="C479" t="s">
        <v>19</v>
      </c>
      <c r="D479" t="s">
        <v>449</v>
      </c>
      <c r="E479" t="s">
        <v>13</v>
      </c>
      <c r="F479" t="s">
        <v>10</v>
      </c>
      <c r="G479">
        <v>2112</v>
      </c>
    </row>
    <row r="480" spans="3:7" hidden="1" x14ac:dyDescent="0.3">
      <c r="C480" t="s">
        <v>7</v>
      </c>
      <c r="D480" t="s">
        <v>438</v>
      </c>
      <c r="E480" t="s">
        <v>13</v>
      </c>
      <c r="F480" t="s">
        <v>136</v>
      </c>
      <c r="G480">
        <v>2105.3757679292298</v>
      </c>
    </row>
    <row r="481" spans="3:7" hidden="1" x14ac:dyDescent="0.3">
      <c r="C481" t="s">
        <v>7</v>
      </c>
      <c r="D481" t="s">
        <v>450</v>
      </c>
      <c r="E481" t="s">
        <v>9</v>
      </c>
      <c r="F481" t="s">
        <v>136</v>
      </c>
      <c r="G481">
        <v>2068.59402382805</v>
      </c>
    </row>
    <row r="482" spans="3:7" hidden="1" x14ac:dyDescent="0.3">
      <c r="C482" t="s">
        <v>21</v>
      </c>
      <c r="D482" t="s">
        <v>451</v>
      </c>
      <c r="E482" t="s">
        <v>9</v>
      </c>
      <c r="F482" t="s">
        <v>136</v>
      </c>
      <c r="G482">
        <v>2027.7229425451601</v>
      </c>
    </row>
    <row r="483" spans="3:7" hidden="1" x14ac:dyDescent="0.3">
      <c r="C483" t="s">
        <v>429</v>
      </c>
      <c r="D483" t="s">
        <v>452</v>
      </c>
      <c r="E483" t="s">
        <v>13</v>
      </c>
      <c r="F483" t="s">
        <v>10</v>
      </c>
      <c r="G483">
        <v>2019</v>
      </c>
    </row>
    <row r="484" spans="3:7" hidden="1" x14ac:dyDescent="0.3">
      <c r="C484" t="s">
        <v>14</v>
      </c>
      <c r="D484" t="s">
        <v>453</v>
      </c>
      <c r="E484" t="s">
        <v>13</v>
      </c>
      <c r="F484" t="s">
        <v>136</v>
      </c>
      <c r="G484">
        <v>2016.9479999999901</v>
      </c>
    </row>
    <row r="485" spans="3:7" hidden="1" x14ac:dyDescent="0.3">
      <c r="C485" t="s">
        <v>11</v>
      </c>
      <c r="D485" t="s">
        <v>454</v>
      </c>
      <c r="E485" t="s">
        <v>13</v>
      </c>
      <c r="F485" t="s">
        <v>10</v>
      </c>
      <c r="G485">
        <v>2016</v>
      </c>
    </row>
    <row r="486" spans="3:7" hidden="1" x14ac:dyDescent="0.3">
      <c r="C486" t="s">
        <v>278</v>
      </c>
      <c r="D486" t="s">
        <v>270</v>
      </c>
      <c r="E486" t="s">
        <v>13</v>
      </c>
      <c r="F486" t="s">
        <v>10</v>
      </c>
      <c r="G486">
        <v>2006</v>
      </c>
    </row>
    <row r="487" spans="3:7" hidden="1" x14ac:dyDescent="0.3">
      <c r="C487" t="s">
        <v>455</v>
      </c>
      <c r="D487" t="s">
        <v>86</v>
      </c>
      <c r="E487" t="s">
        <v>13</v>
      </c>
      <c r="F487" t="s">
        <v>10</v>
      </c>
      <c r="G487">
        <v>1995</v>
      </c>
    </row>
    <row r="488" spans="3:7" hidden="1" x14ac:dyDescent="0.3">
      <c r="C488" t="s">
        <v>455</v>
      </c>
      <c r="D488" t="s">
        <v>24</v>
      </c>
      <c r="E488" t="s">
        <v>13</v>
      </c>
      <c r="F488" t="s">
        <v>10</v>
      </c>
      <c r="G488">
        <v>1995</v>
      </c>
    </row>
    <row r="489" spans="3:7" hidden="1" x14ac:dyDescent="0.3">
      <c r="C489" t="s">
        <v>21</v>
      </c>
      <c r="D489" t="s">
        <v>456</v>
      </c>
      <c r="E489" t="s">
        <v>17</v>
      </c>
      <c r="F489" t="s">
        <v>10</v>
      </c>
      <c r="G489">
        <v>1994.25</v>
      </c>
    </row>
    <row r="490" spans="3:7" hidden="1" x14ac:dyDescent="0.3">
      <c r="C490" t="s">
        <v>126</v>
      </c>
      <c r="D490" t="s">
        <v>457</v>
      </c>
      <c r="E490" t="s">
        <v>13</v>
      </c>
      <c r="F490" t="s">
        <v>10</v>
      </c>
      <c r="G490">
        <v>1991</v>
      </c>
    </row>
    <row r="491" spans="3:7" hidden="1" x14ac:dyDescent="0.3">
      <c r="C491" t="s">
        <v>21</v>
      </c>
      <c r="D491" t="s">
        <v>436</v>
      </c>
      <c r="E491" t="s">
        <v>17</v>
      </c>
      <c r="F491" t="s">
        <v>136</v>
      </c>
      <c r="G491">
        <v>1987.44033248081</v>
      </c>
    </row>
    <row r="492" spans="3:7" hidden="1" x14ac:dyDescent="0.3">
      <c r="C492" t="s">
        <v>21</v>
      </c>
      <c r="D492" t="s">
        <v>362</v>
      </c>
      <c r="E492" t="s">
        <v>17</v>
      </c>
      <c r="F492" t="s">
        <v>136</v>
      </c>
      <c r="G492">
        <v>1966.6199999999899</v>
      </c>
    </row>
    <row r="493" spans="3:7" hidden="1" x14ac:dyDescent="0.3">
      <c r="C493" t="s">
        <v>78</v>
      </c>
      <c r="D493" t="s">
        <v>458</v>
      </c>
      <c r="E493" t="s">
        <v>13</v>
      </c>
      <c r="F493" t="s">
        <v>10</v>
      </c>
      <c r="G493">
        <v>1960</v>
      </c>
    </row>
    <row r="494" spans="3:7" hidden="1" x14ac:dyDescent="0.3">
      <c r="C494" t="s">
        <v>78</v>
      </c>
      <c r="D494" t="s">
        <v>459</v>
      </c>
      <c r="E494" t="s">
        <v>13</v>
      </c>
      <c r="F494" t="s">
        <v>10</v>
      </c>
      <c r="G494">
        <v>1956.2</v>
      </c>
    </row>
    <row r="495" spans="3:7" hidden="1" x14ac:dyDescent="0.3">
      <c r="C495" t="s">
        <v>78</v>
      </c>
      <c r="D495" t="s">
        <v>460</v>
      </c>
      <c r="E495" t="s">
        <v>17</v>
      </c>
      <c r="F495" t="s">
        <v>10</v>
      </c>
      <c r="G495">
        <v>1954</v>
      </c>
    </row>
    <row r="496" spans="3:7" hidden="1" x14ac:dyDescent="0.3">
      <c r="C496" t="s">
        <v>7</v>
      </c>
      <c r="D496" t="s">
        <v>333</v>
      </c>
      <c r="E496" t="s">
        <v>13</v>
      </c>
      <c r="F496" t="s">
        <v>136</v>
      </c>
      <c r="G496">
        <v>1948.16406075746</v>
      </c>
    </row>
    <row r="497" spans="3:7" hidden="1" x14ac:dyDescent="0.3">
      <c r="C497" t="s">
        <v>7</v>
      </c>
      <c r="D497" t="s">
        <v>461</v>
      </c>
      <c r="E497" t="s">
        <v>9</v>
      </c>
      <c r="F497" t="s">
        <v>136</v>
      </c>
      <c r="G497">
        <v>1943.3051408450699</v>
      </c>
    </row>
    <row r="498" spans="3:7" hidden="1" x14ac:dyDescent="0.3">
      <c r="C498" t="s">
        <v>7</v>
      </c>
      <c r="D498" t="s">
        <v>462</v>
      </c>
      <c r="E498" t="s">
        <v>17</v>
      </c>
      <c r="F498" t="s">
        <v>136</v>
      </c>
      <c r="G498">
        <v>1936.83</v>
      </c>
    </row>
    <row r="499" spans="3:7" hidden="1" x14ac:dyDescent="0.3">
      <c r="C499" t="s">
        <v>19</v>
      </c>
      <c r="D499" t="s">
        <v>203</v>
      </c>
      <c r="E499" t="s">
        <v>13</v>
      </c>
      <c r="F499" t="s">
        <v>10</v>
      </c>
      <c r="G499">
        <v>1936</v>
      </c>
    </row>
    <row r="500" spans="3:7" hidden="1" x14ac:dyDescent="0.3">
      <c r="C500" t="s">
        <v>14</v>
      </c>
      <c r="D500" t="s">
        <v>463</v>
      </c>
      <c r="E500" t="s">
        <v>13</v>
      </c>
      <c r="F500" t="s">
        <v>136</v>
      </c>
      <c r="G500">
        <v>1911</v>
      </c>
    </row>
    <row r="501" spans="3:7" hidden="1" x14ac:dyDescent="0.3">
      <c r="C501" t="s">
        <v>188</v>
      </c>
      <c r="D501" t="s">
        <v>244</v>
      </c>
      <c r="E501" t="s">
        <v>13</v>
      </c>
      <c r="F501" t="s">
        <v>10</v>
      </c>
      <c r="G501">
        <v>1910</v>
      </c>
    </row>
    <row r="502" spans="3:7" hidden="1" x14ac:dyDescent="0.3">
      <c r="C502" t="s">
        <v>19</v>
      </c>
      <c r="D502" t="s">
        <v>464</v>
      </c>
      <c r="E502" t="s">
        <v>17</v>
      </c>
      <c r="F502" t="s">
        <v>29</v>
      </c>
      <c r="G502">
        <v>1906</v>
      </c>
    </row>
    <row r="503" spans="3:7" hidden="1" x14ac:dyDescent="0.3">
      <c r="C503" t="s">
        <v>19</v>
      </c>
      <c r="D503" t="s">
        <v>465</v>
      </c>
      <c r="E503" t="s">
        <v>13</v>
      </c>
      <c r="F503" t="s">
        <v>10</v>
      </c>
      <c r="G503">
        <v>1906</v>
      </c>
    </row>
    <row r="504" spans="3:7" hidden="1" x14ac:dyDescent="0.3">
      <c r="C504" t="s">
        <v>7</v>
      </c>
      <c r="D504" t="s">
        <v>466</v>
      </c>
      <c r="E504" t="s">
        <v>9</v>
      </c>
      <c r="F504" t="s">
        <v>136</v>
      </c>
      <c r="G504">
        <v>1900.6</v>
      </c>
    </row>
    <row r="505" spans="3:7" hidden="1" x14ac:dyDescent="0.3">
      <c r="C505" t="s">
        <v>14</v>
      </c>
      <c r="D505" t="s">
        <v>467</v>
      </c>
      <c r="E505" t="s">
        <v>17</v>
      </c>
      <c r="F505" t="s">
        <v>10</v>
      </c>
      <c r="G505">
        <v>1889</v>
      </c>
    </row>
    <row r="506" spans="3:7" hidden="1" x14ac:dyDescent="0.3">
      <c r="C506" t="s">
        <v>418</v>
      </c>
      <c r="D506" t="s">
        <v>270</v>
      </c>
      <c r="E506" t="s">
        <v>13</v>
      </c>
      <c r="F506" t="s">
        <v>10</v>
      </c>
      <c r="G506">
        <v>1887</v>
      </c>
    </row>
    <row r="507" spans="3:7" hidden="1" x14ac:dyDescent="0.3">
      <c r="C507" t="s">
        <v>78</v>
      </c>
      <c r="D507" t="s">
        <v>189</v>
      </c>
      <c r="E507" t="s">
        <v>13</v>
      </c>
      <c r="F507" t="s">
        <v>10</v>
      </c>
      <c r="G507">
        <v>1874</v>
      </c>
    </row>
    <row r="508" spans="3:7" hidden="1" x14ac:dyDescent="0.3">
      <c r="C508" t="s">
        <v>19</v>
      </c>
      <c r="D508" t="s">
        <v>468</v>
      </c>
      <c r="E508" t="s">
        <v>9</v>
      </c>
      <c r="F508" t="s">
        <v>136</v>
      </c>
      <c r="G508">
        <v>1860.43</v>
      </c>
    </row>
    <row r="509" spans="3:7" hidden="1" x14ac:dyDescent="0.3">
      <c r="C509" t="s">
        <v>188</v>
      </c>
      <c r="D509" t="s">
        <v>469</v>
      </c>
      <c r="E509" t="s">
        <v>13</v>
      </c>
      <c r="F509" t="s">
        <v>10</v>
      </c>
      <c r="G509">
        <v>1824</v>
      </c>
    </row>
    <row r="510" spans="3:7" hidden="1" x14ac:dyDescent="0.3">
      <c r="C510" t="s">
        <v>7</v>
      </c>
      <c r="D510" t="s">
        <v>470</v>
      </c>
      <c r="E510" t="s">
        <v>13</v>
      </c>
      <c r="F510" t="s">
        <v>10</v>
      </c>
      <c r="G510">
        <v>1798</v>
      </c>
    </row>
    <row r="511" spans="3:7" hidden="1" x14ac:dyDescent="0.3">
      <c r="C511" t="s">
        <v>11</v>
      </c>
      <c r="D511" t="s">
        <v>471</v>
      </c>
      <c r="E511" t="s">
        <v>9</v>
      </c>
      <c r="F511" t="s">
        <v>10</v>
      </c>
      <c r="G511">
        <v>1784</v>
      </c>
    </row>
    <row r="512" spans="3:7" hidden="1" x14ac:dyDescent="0.3">
      <c r="C512" t="s">
        <v>11</v>
      </c>
      <c r="D512" t="s">
        <v>403</v>
      </c>
      <c r="E512" t="s">
        <v>13</v>
      </c>
      <c r="F512" t="s">
        <v>136</v>
      </c>
      <c r="G512">
        <v>1783.8926665640599</v>
      </c>
    </row>
    <row r="513" spans="3:7" hidden="1" x14ac:dyDescent="0.3">
      <c r="C513" t="s">
        <v>19</v>
      </c>
      <c r="D513" t="s">
        <v>472</v>
      </c>
      <c r="E513" t="s">
        <v>13</v>
      </c>
      <c r="F513" t="s">
        <v>10</v>
      </c>
      <c r="G513">
        <v>1772</v>
      </c>
    </row>
    <row r="514" spans="3:7" hidden="1" x14ac:dyDescent="0.3">
      <c r="C514" t="s">
        <v>19</v>
      </c>
      <c r="D514" t="s">
        <v>473</v>
      </c>
      <c r="E514" t="s">
        <v>17</v>
      </c>
      <c r="F514" t="s">
        <v>29</v>
      </c>
      <c r="G514">
        <v>1772</v>
      </c>
    </row>
    <row r="515" spans="3:7" hidden="1" x14ac:dyDescent="0.3">
      <c r="C515" t="s">
        <v>21</v>
      </c>
      <c r="D515" t="s">
        <v>393</v>
      </c>
      <c r="E515" t="s">
        <v>13</v>
      </c>
      <c r="F515" t="s">
        <v>136</v>
      </c>
      <c r="G515">
        <v>1765.79</v>
      </c>
    </row>
    <row r="516" spans="3:7" hidden="1" x14ac:dyDescent="0.3">
      <c r="C516" t="s">
        <v>7</v>
      </c>
      <c r="D516" t="s">
        <v>474</v>
      </c>
      <c r="E516" t="s">
        <v>13</v>
      </c>
      <c r="F516" t="s">
        <v>10</v>
      </c>
      <c r="G516">
        <v>1754</v>
      </c>
    </row>
    <row r="517" spans="3:7" hidden="1" x14ac:dyDescent="0.3">
      <c r="C517" t="s">
        <v>7</v>
      </c>
      <c r="D517" t="s">
        <v>475</v>
      </c>
      <c r="E517" t="s">
        <v>9</v>
      </c>
      <c r="F517" t="s">
        <v>10</v>
      </c>
      <c r="G517">
        <v>1754</v>
      </c>
    </row>
    <row r="518" spans="3:7" hidden="1" x14ac:dyDescent="0.3">
      <c r="C518" t="s">
        <v>7</v>
      </c>
      <c r="D518" t="s">
        <v>476</v>
      </c>
      <c r="E518" t="s">
        <v>9</v>
      </c>
      <c r="F518" t="s">
        <v>10</v>
      </c>
      <c r="G518">
        <v>1754</v>
      </c>
    </row>
    <row r="519" spans="3:7" hidden="1" x14ac:dyDescent="0.3">
      <c r="C519" t="s">
        <v>7</v>
      </c>
      <c r="D519" t="s">
        <v>477</v>
      </c>
      <c r="E519" t="s">
        <v>9</v>
      </c>
      <c r="F519" t="s">
        <v>10</v>
      </c>
      <c r="G519">
        <v>1754</v>
      </c>
    </row>
    <row r="520" spans="3:7" hidden="1" x14ac:dyDescent="0.3">
      <c r="C520" t="s">
        <v>7</v>
      </c>
      <c r="D520" t="s">
        <v>478</v>
      </c>
      <c r="E520" t="s">
        <v>13</v>
      </c>
      <c r="F520" t="s">
        <v>10</v>
      </c>
      <c r="G520">
        <v>1754</v>
      </c>
    </row>
    <row r="521" spans="3:7" hidden="1" x14ac:dyDescent="0.3">
      <c r="C521" t="s">
        <v>14</v>
      </c>
      <c r="D521" t="s">
        <v>479</v>
      </c>
      <c r="E521" t="s">
        <v>17</v>
      </c>
      <c r="F521" t="s">
        <v>136</v>
      </c>
      <c r="G521">
        <v>1741.865</v>
      </c>
    </row>
    <row r="522" spans="3:7" hidden="1" x14ac:dyDescent="0.3">
      <c r="C522" t="s">
        <v>11</v>
      </c>
      <c r="D522" t="s">
        <v>480</v>
      </c>
      <c r="E522" t="s">
        <v>17</v>
      </c>
      <c r="F522" t="s">
        <v>136</v>
      </c>
      <c r="G522">
        <v>1716.376</v>
      </c>
    </row>
    <row r="523" spans="3:7" hidden="1" x14ac:dyDescent="0.3">
      <c r="C523" t="s">
        <v>21</v>
      </c>
      <c r="D523" t="s">
        <v>481</v>
      </c>
      <c r="E523" t="s">
        <v>9</v>
      </c>
      <c r="F523" t="s">
        <v>10</v>
      </c>
      <c r="G523">
        <v>1695</v>
      </c>
    </row>
    <row r="524" spans="3:7" hidden="1" x14ac:dyDescent="0.3">
      <c r="C524" t="s">
        <v>269</v>
      </c>
      <c r="D524" t="s">
        <v>83</v>
      </c>
      <c r="E524" t="s">
        <v>13</v>
      </c>
      <c r="F524" t="s">
        <v>10</v>
      </c>
      <c r="G524">
        <v>1692</v>
      </c>
    </row>
    <row r="525" spans="3:7" hidden="1" x14ac:dyDescent="0.3">
      <c r="C525" t="s">
        <v>19</v>
      </c>
      <c r="D525" t="s">
        <v>482</v>
      </c>
      <c r="E525" t="s">
        <v>9</v>
      </c>
      <c r="F525" t="s">
        <v>136</v>
      </c>
      <c r="G525">
        <v>1691.3</v>
      </c>
    </row>
    <row r="526" spans="3:7" hidden="1" x14ac:dyDescent="0.3">
      <c r="C526" t="s">
        <v>269</v>
      </c>
      <c r="D526" t="s">
        <v>483</v>
      </c>
      <c r="E526" t="s">
        <v>13</v>
      </c>
      <c r="F526" t="s">
        <v>10</v>
      </c>
      <c r="G526">
        <v>1690</v>
      </c>
    </row>
    <row r="527" spans="3:7" hidden="1" x14ac:dyDescent="0.3">
      <c r="C527" t="s">
        <v>21</v>
      </c>
      <c r="D527" t="s">
        <v>351</v>
      </c>
      <c r="E527" t="s">
        <v>9</v>
      </c>
      <c r="F527" t="s">
        <v>240</v>
      </c>
      <c r="G527">
        <v>1689.5424355554001</v>
      </c>
    </row>
    <row r="528" spans="3:7" hidden="1" x14ac:dyDescent="0.3">
      <c r="C528" t="s">
        <v>278</v>
      </c>
      <c r="D528" t="s">
        <v>484</v>
      </c>
      <c r="E528" t="s">
        <v>13</v>
      </c>
      <c r="F528" t="s">
        <v>10</v>
      </c>
      <c r="G528">
        <v>1687</v>
      </c>
    </row>
    <row r="529" spans="3:7" hidden="1" x14ac:dyDescent="0.3">
      <c r="C529" t="s">
        <v>278</v>
      </c>
      <c r="D529" t="s">
        <v>485</v>
      </c>
      <c r="E529" t="s">
        <v>13</v>
      </c>
      <c r="F529" t="s">
        <v>10</v>
      </c>
      <c r="G529">
        <v>1687</v>
      </c>
    </row>
    <row r="530" spans="3:7" hidden="1" x14ac:dyDescent="0.3">
      <c r="C530" t="s">
        <v>188</v>
      </c>
      <c r="D530" t="s">
        <v>335</v>
      </c>
      <c r="E530" t="s">
        <v>13</v>
      </c>
      <c r="F530" t="s">
        <v>10</v>
      </c>
      <c r="G530">
        <v>1680</v>
      </c>
    </row>
    <row r="531" spans="3:7" hidden="1" x14ac:dyDescent="0.3">
      <c r="C531" t="s">
        <v>11</v>
      </c>
      <c r="D531" t="s">
        <v>486</v>
      </c>
      <c r="E531" t="s">
        <v>9</v>
      </c>
      <c r="F531" t="s">
        <v>136</v>
      </c>
      <c r="G531">
        <v>1669.3404410650401</v>
      </c>
    </row>
    <row r="532" spans="3:7" hidden="1" x14ac:dyDescent="0.3">
      <c r="C532" t="s">
        <v>19</v>
      </c>
      <c r="D532" t="s">
        <v>487</v>
      </c>
      <c r="E532" t="s">
        <v>9</v>
      </c>
      <c r="F532" t="s">
        <v>29</v>
      </c>
      <c r="G532">
        <v>1657</v>
      </c>
    </row>
    <row r="533" spans="3:7" hidden="1" x14ac:dyDescent="0.3">
      <c r="C533" t="s">
        <v>19</v>
      </c>
      <c r="D533" t="s">
        <v>488</v>
      </c>
      <c r="E533" t="s">
        <v>13</v>
      </c>
      <c r="F533" t="s">
        <v>10</v>
      </c>
      <c r="G533">
        <v>1653</v>
      </c>
    </row>
    <row r="534" spans="3:7" hidden="1" x14ac:dyDescent="0.3">
      <c r="C534" t="s">
        <v>19</v>
      </c>
      <c r="D534" t="s">
        <v>489</v>
      </c>
      <c r="E534" t="s">
        <v>17</v>
      </c>
      <c r="F534" t="s">
        <v>29</v>
      </c>
      <c r="G534">
        <v>1653</v>
      </c>
    </row>
    <row r="535" spans="3:7" hidden="1" x14ac:dyDescent="0.3">
      <c r="C535" t="s">
        <v>7</v>
      </c>
      <c r="D535" t="s">
        <v>490</v>
      </c>
      <c r="E535" t="s">
        <v>13</v>
      </c>
      <c r="F535" t="s">
        <v>136</v>
      </c>
      <c r="G535">
        <v>1647.3882926163101</v>
      </c>
    </row>
    <row r="536" spans="3:7" hidden="1" x14ac:dyDescent="0.3">
      <c r="C536" t="s">
        <v>7</v>
      </c>
      <c r="D536" t="s">
        <v>491</v>
      </c>
      <c r="E536" t="s">
        <v>13</v>
      </c>
      <c r="F536" t="s">
        <v>10</v>
      </c>
      <c r="G536">
        <v>1639</v>
      </c>
    </row>
    <row r="537" spans="3:7" hidden="1" x14ac:dyDescent="0.3">
      <c r="C537" t="s">
        <v>21</v>
      </c>
      <c r="D537" t="s">
        <v>492</v>
      </c>
      <c r="E537" t="s">
        <v>17</v>
      </c>
      <c r="F537" t="s">
        <v>136</v>
      </c>
      <c r="G537">
        <v>1638.99</v>
      </c>
    </row>
    <row r="538" spans="3:7" hidden="1" x14ac:dyDescent="0.3">
      <c r="C538" t="s">
        <v>11</v>
      </c>
      <c r="D538" t="s">
        <v>493</v>
      </c>
      <c r="E538" t="s">
        <v>13</v>
      </c>
      <c r="F538" t="s">
        <v>136</v>
      </c>
      <c r="G538">
        <v>1624.0501221386501</v>
      </c>
    </row>
    <row r="539" spans="3:7" hidden="1" x14ac:dyDescent="0.3">
      <c r="C539" t="s">
        <v>19</v>
      </c>
      <c r="D539" t="s">
        <v>494</v>
      </c>
      <c r="E539" t="s">
        <v>13</v>
      </c>
      <c r="F539" t="s">
        <v>10</v>
      </c>
      <c r="G539">
        <v>1621</v>
      </c>
    </row>
    <row r="540" spans="3:7" hidden="1" x14ac:dyDescent="0.3">
      <c r="C540" t="s">
        <v>278</v>
      </c>
      <c r="D540" t="s">
        <v>104</v>
      </c>
      <c r="E540" t="s">
        <v>13</v>
      </c>
      <c r="F540" t="s">
        <v>10</v>
      </c>
      <c r="G540">
        <v>1621</v>
      </c>
    </row>
    <row r="541" spans="3:7" hidden="1" x14ac:dyDescent="0.3">
      <c r="C541" t="s">
        <v>21</v>
      </c>
      <c r="D541" t="s">
        <v>495</v>
      </c>
      <c r="E541" t="s">
        <v>17</v>
      </c>
      <c r="F541" t="s">
        <v>136</v>
      </c>
      <c r="G541">
        <v>1596.76</v>
      </c>
    </row>
    <row r="542" spans="3:7" hidden="1" x14ac:dyDescent="0.3">
      <c r="C542" t="s">
        <v>269</v>
      </c>
      <c r="D542" t="s">
        <v>496</v>
      </c>
      <c r="E542" t="s">
        <v>13</v>
      </c>
      <c r="F542" t="s">
        <v>10</v>
      </c>
      <c r="G542">
        <v>1587</v>
      </c>
    </row>
    <row r="543" spans="3:7" hidden="1" x14ac:dyDescent="0.3">
      <c r="C543" t="s">
        <v>78</v>
      </c>
      <c r="D543" t="s">
        <v>497</v>
      </c>
      <c r="E543" t="s">
        <v>13</v>
      </c>
      <c r="F543" t="s">
        <v>10</v>
      </c>
      <c r="G543">
        <v>1585</v>
      </c>
    </row>
    <row r="544" spans="3:7" hidden="1" x14ac:dyDescent="0.3">
      <c r="C544" t="s">
        <v>78</v>
      </c>
      <c r="D544" t="s">
        <v>498</v>
      </c>
      <c r="E544" t="s">
        <v>17</v>
      </c>
      <c r="F544" t="s">
        <v>10</v>
      </c>
      <c r="G544">
        <v>1585</v>
      </c>
    </row>
    <row r="545" spans="3:7" hidden="1" x14ac:dyDescent="0.3">
      <c r="C545" t="s">
        <v>78</v>
      </c>
      <c r="D545" t="s">
        <v>499</v>
      </c>
      <c r="E545" t="s">
        <v>13</v>
      </c>
      <c r="F545" t="s">
        <v>136</v>
      </c>
      <c r="G545">
        <v>1583.0384615384601</v>
      </c>
    </row>
    <row r="546" spans="3:7" hidden="1" x14ac:dyDescent="0.3">
      <c r="C546" t="s">
        <v>52</v>
      </c>
      <c r="D546" t="s">
        <v>500</v>
      </c>
      <c r="E546" t="s">
        <v>9</v>
      </c>
      <c r="F546" t="s">
        <v>240</v>
      </c>
      <c r="G546">
        <v>1576.05</v>
      </c>
    </row>
    <row r="547" spans="3:7" hidden="1" x14ac:dyDescent="0.3">
      <c r="C547" t="s">
        <v>21</v>
      </c>
      <c r="D547" t="s">
        <v>239</v>
      </c>
      <c r="E547" t="s">
        <v>13</v>
      </c>
      <c r="F547" t="s">
        <v>240</v>
      </c>
      <c r="G547">
        <v>1574.4700125542699</v>
      </c>
    </row>
    <row r="548" spans="3:7" hidden="1" x14ac:dyDescent="0.3">
      <c r="C548" t="s">
        <v>19</v>
      </c>
      <c r="D548" t="s">
        <v>501</v>
      </c>
      <c r="E548" t="s">
        <v>13</v>
      </c>
      <c r="F548" t="s">
        <v>10</v>
      </c>
      <c r="G548">
        <v>1570</v>
      </c>
    </row>
    <row r="549" spans="3:7" hidden="1" x14ac:dyDescent="0.3">
      <c r="C549" t="s">
        <v>429</v>
      </c>
      <c r="D549" t="s">
        <v>502</v>
      </c>
      <c r="E549" t="s">
        <v>13</v>
      </c>
      <c r="F549" t="s">
        <v>10</v>
      </c>
      <c r="G549">
        <v>1568</v>
      </c>
    </row>
    <row r="550" spans="3:7" hidden="1" x14ac:dyDescent="0.3">
      <c r="C550" t="s">
        <v>14</v>
      </c>
      <c r="D550" t="s">
        <v>503</v>
      </c>
      <c r="E550" t="s">
        <v>9</v>
      </c>
      <c r="F550" t="s">
        <v>136</v>
      </c>
      <c r="G550">
        <v>1551.4745385246799</v>
      </c>
    </row>
    <row r="551" spans="3:7" hidden="1" x14ac:dyDescent="0.3">
      <c r="C551" t="s">
        <v>11</v>
      </c>
      <c r="D551" t="s">
        <v>504</v>
      </c>
      <c r="E551" t="s">
        <v>9</v>
      </c>
      <c r="F551" t="s">
        <v>136</v>
      </c>
      <c r="G551">
        <v>1549.0514316387601</v>
      </c>
    </row>
    <row r="552" spans="3:7" hidden="1" x14ac:dyDescent="0.3">
      <c r="C552" t="s">
        <v>11</v>
      </c>
      <c r="D552" t="s">
        <v>505</v>
      </c>
      <c r="E552" t="s">
        <v>17</v>
      </c>
      <c r="F552" t="s">
        <v>136</v>
      </c>
      <c r="G552">
        <v>1547.75</v>
      </c>
    </row>
    <row r="553" spans="3:7" hidden="1" x14ac:dyDescent="0.3">
      <c r="C553" t="s">
        <v>11</v>
      </c>
      <c r="D553" t="s">
        <v>506</v>
      </c>
      <c r="E553" t="s">
        <v>13</v>
      </c>
      <c r="F553" t="s">
        <v>136</v>
      </c>
      <c r="G553">
        <v>1536.1387029908201</v>
      </c>
    </row>
    <row r="554" spans="3:7" hidden="1" x14ac:dyDescent="0.3">
      <c r="C554" t="s">
        <v>11</v>
      </c>
      <c r="D554" t="s">
        <v>507</v>
      </c>
      <c r="E554" t="s">
        <v>17</v>
      </c>
      <c r="F554" t="s">
        <v>136</v>
      </c>
      <c r="G554">
        <v>1533.54</v>
      </c>
    </row>
    <row r="555" spans="3:7" hidden="1" x14ac:dyDescent="0.3">
      <c r="C555" t="s">
        <v>7</v>
      </c>
      <c r="D555" t="s">
        <v>508</v>
      </c>
      <c r="E555" t="s">
        <v>13</v>
      </c>
      <c r="F555" t="s">
        <v>136</v>
      </c>
      <c r="G555">
        <v>1524.9980303372799</v>
      </c>
    </row>
    <row r="556" spans="3:7" hidden="1" x14ac:dyDescent="0.3">
      <c r="C556" t="s">
        <v>19</v>
      </c>
      <c r="D556" t="s">
        <v>469</v>
      </c>
      <c r="E556" t="s">
        <v>13</v>
      </c>
      <c r="F556" t="s">
        <v>10</v>
      </c>
      <c r="G556">
        <v>1522</v>
      </c>
    </row>
    <row r="557" spans="3:7" hidden="1" x14ac:dyDescent="0.3">
      <c r="C557" t="s">
        <v>11</v>
      </c>
      <c r="D557" t="s">
        <v>509</v>
      </c>
      <c r="E557" t="s">
        <v>9</v>
      </c>
      <c r="F557" t="s">
        <v>136</v>
      </c>
      <c r="G557">
        <v>1516.28218673385</v>
      </c>
    </row>
    <row r="558" spans="3:7" hidden="1" x14ac:dyDescent="0.3">
      <c r="C558" t="s">
        <v>188</v>
      </c>
      <c r="D558" t="s">
        <v>510</v>
      </c>
      <c r="E558" t="s">
        <v>17</v>
      </c>
      <c r="F558" t="s">
        <v>29</v>
      </c>
      <c r="G558">
        <v>1510</v>
      </c>
    </row>
    <row r="559" spans="3:7" hidden="1" x14ac:dyDescent="0.3">
      <c r="C559" t="s">
        <v>78</v>
      </c>
      <c r="D559" t="s">
        <v>270</v>
      </c>
      <c r="E559" t="s">
        <v>13</v>
      </c>
      <c r="F559" t="s">
        <v>10</v>
      </c>
      <c r="G559">
        <v>1509</v>
      </c>
    </row>
    <row r="560" spans="3:7" hidden="1" x14ac:dyDescent="0.3">
      <c r="C560" t="s">
        <v>11</v>
      </c>
      <c r="D560" t="s">
        <v>511</v>
      </c>
      <c r="E560" t="s">
        <v>9</v>
      </c>
      <c r="F560" t="s">
        <v>136</v>
      </c>
      <c r="G560">
        <v>1507.5487012987001</v>
      </c>
    </row>
    <row r="561" spans="3:7" hidden="1" x14ac:dyDescent="0.3">
      <c r="C561" t="s">
        <v>78</v>
      </c>
      <c r="D561" t="s">
        <v>190</v>
      </c>
      <c r="E561" t="s">
        <v>13</v>
      </c>
      <c r="F561" t="s">
        <v>136</v>
      </c>
      <c r="G561">
        <v>1496.6941997148199</v>
      </c>
    </row>
    <row r="562" spans="3:7" hidden="1" x14ac:dyDescent="0.3">
      <c r="C562" t="s">
        <v>21</v>
      </c>
      <c r="D562" t="s">
        <v>512</v>
      </c>
      <c r="E562" t="s">
        <v>9</v>
      </c>
      <c r="F562" t="s">
        <v>10</v>
      </c>
      <c r="G562">
        <v>1494</v>
      </c>
    </row>
    <row r="563" spans="3:7" hidden="1" x14ac:dyDescent="0.3">
      <c r="C563" t="s">
        <v>21</v>
      </c>
      <c r="D563" t="s">
        <v>104</v>
      </c>
      <c r="E563" t="s">
        <v>13</v>
      </c>
      <c r="F563" t="s">
        <v>10</v>
      </c>
      <c r="G563">
        <v>1492</v>
      </c>
    </row>
    <row r="564" spans="3:7" hidden="1" x14ac:dyDescent="0.3">
      <c r="C564" t="s">
        <v>418</v>
      </c>
      <c r="D564" t="s">
        <v>161</v>
      </c>
      <c r="E564" t="s">
        <v>13</v>
      </c>
      <c r="F564" t="s">
        <v>10</v>
      </c>
      <c r="G564">
        <v>1488</v>
      </c>
    </row>
    <row r="565" spans="3:7" hidden="1" x14ac:dyDescent="0.3">
      <c r="C565" t="s">
        <v>7</v>
      </c>
      <c r="D565" t="s">
        <v>513</v>
      </c>
      <c r="E565" t="s">
        <v>9</v>
      </c>
      <c r="F565" t="s">
        <v>136</v>
      </c>
      <c r="G565">
        <v>1471.99799999999</v>
      </c>
    </row>
    <row r="566" spans="3:7" hidden="1" x14ac:dyDescent="0.3">
      <c r="C566" t="s">
        <v>11</v>
      </c>
      <c r="D566" t="s">
        <v>514</v>
      </c>
      <c r="E566" t="s">
        <v>13</v>
      </c>
      <c r="F566" t="s">
        <v>10</v>
      </c>
      <c r="G566">
        <v>1470</v>
      </c>
    </row>
    <row r="567" spans="3:7" hidden="1" x14ac:dyDescent="0.3">
      <c r="C567" t="s">
        <v>11</v>
      </c>
      <c r="D567" t="s">
        <v>351</v>
      </c>
      <c r="E567" t="s">
        <v>9</v>
      </c>
      <c r="F567" t="s">
        <v>240</v>
      </c>
      <c r="G567">
        <v>1468.1072348474499</v>
      </c>
    </row>
    <row r="568" spans="3:7" hidden="1" x14ac:dyDescent="0.3">
      <c r="C568" t="s">
        <v>19</v>
      </c>
      <c r="D568" t="s">
        <v>515</v>
      </c>
      <c r="E568" t="s">
        <v>13</v>
      </c>
      <c r="F568" t="s">
        <v>10</v>
      </c>
      <c r="G568">
        <v>1458</v>
      </c>
    </row>
    <row r="569" spans="3:7" hidden="1" x14ac:dyDescent="0.3">
      <c r="C569" t="s">
        <v>418</v>
      </c>
      <c r="D569" t="s">
        <v>382</v>
      </c>
      <c r="E569" t="s">
        <v>13</v>
      </c>
      <c r="F569" t="s">
        <v>10</v>
      </c>
      <c r="G569">
        <v>1442</v>
      </c>
    </row>
    <row r="570" spans="3:7" hidden="1" x14ac:dyDescent="0.3">
      <c r="C570" t="s">
        <v>269</v>
      </c>
      <c r="D570" t="s">
        <v>516</v>
      </c>
      <c r="E570" t="s">
        <v>13</v>
      </c>
      <c r="F570" t="s">
        <v>10</v>
      </c>
      <c r="G570">
        <v>1435</v>
      </c>
    </row>
    <row r="571" spans="3:7" hidden="1" x14ac:dyDescent="0.3">
      <c r="C571" t="s">
        <v>52</v>
      </c>
      <c r="D571" t="s">
        <v>390</v>
      </c>
      <c r="E571" t="s">
        <v>13</v>
      </c>
      <c r="F571" t="s">
        <v>136</v>
      </c>
      <c r="G571">
        <v>1430.79545454545</v>
      </c>
    </row>
    <row r="572" spans="3:7" hidden="1" x14ac:dyDescent="0.3">
      <c r="C572" t="s">
        <v>21</v>
      </c>
      <c r="D572" t="s">
        <v>411</v>
      </c>
      <c r="E572" t="s">
        <v>13</v>
      </c>
      <c r="F572" t="s">
        <v>136</v>
      </c>
      <c r="G572">
        <v>1430.2666666666601</v>
      </c>
    </row>
    <row r="573" spans="3:7" hidden="1" x14ac:dyDescent="0.3">
      <c r="C573" t="s">
        <v>429</v>
      </c>
      <c r="D573" t="s">
        <v>517</v>
      </c>
      <c r="E573" t="s">
        <v>13</v>
      </c>
      <c r="F573" t="s">
        <v>10</v>
      </c>
      <c r="G573">
        <v>1429</v>
      </c>
    </row>
    <row r="574" spans="3:7" hidden="1" x14ac:dyDescent="0.3">
      <c r="C574" t="s">
        <v>126</v>
      </c>
      <c r="D574" t="s">
        <v>518</v>
      </c>
      <c r="E574" t="s">
        <v>13</v>
      </c>
      <c r="F574" t="s">
        <v>136</v>
      </c>
      <c r="G574">
        <v>1411.4866666666601</v>
      </c>
    </row>
    <row r="575" spans="3:7" hidden="1" x14ac:dyDescent="0.3">
      <c r="C575" t="s">
        <v>14</v>
      </c>
      <c r="D575" t="s">
        <v>519</v>
      </c>
      <c r="E575" t="s">
        <v>13</v>
      </c>
      <c r="F575" t="s">
        <v>10</v>
      </c>
      <c r="G575">
        <v>1406</v>
      </c>
    </row>
    <row r="576" spans="3:7" hidden="1" x14ac:dyDescent="0.3">
      <c r="C576" t="s">
        <v>418</v>
      </c>
      <c r="D576" t="s">
        <v>244</v>
      </c>
      <c r="E576" t="s">
        <v>13</v>
      </c>
      <c r="F576" t="s">
        <v>10</v>
      </c>
      <c r="G576">
        <v>1404</v>
      </c>
    </row>
    <row r="577" spans="3:7" hidden="1" x14ac:dyDescent="0.3">
      <c r="C577" t="s">
        <v>165</v>
      </c>
      <c r="D577" t="s">
        <v>390</v>
      </c>
      <c r="E577" t="s">
        <v>13</v>
      </c>
      <c r="F577" t="s">
        <v>136</v>
      </c>
      <c r="G577">
        <v>1396.5</v>
      </c>
    </row>
    <row r="578" spans="3:7" hidden="1" x14ac:dyDescent="0.3">
      <c r="C578" t="s">
        <v>14</v>
      </c>
      <c r="D578" t="s">
        <v>520</v>
      </c>
      <c r="E578" t="s">
        <v>17</v>
      </c>
      <c r="F578" t="s">
        <v>136</v>
      </c>
      <c r="G578">
        <v>1394.973</v>
      </c>
    </row>
    <row r="579" spans="3:7" hidden="1" x14ac:dyDescent="0.3">
      <c r="C579" t="s">
        <v>52</v>
      </c>
      <c r="D579" t="s">
        <v>257</v>
      </c>
      <c r="E579" t="s">
        <v>13</v>
      </c>
      <c r="F579" t="s">
        <v>240</v>
      </c>
      <c r="G579">
        <v>1382.5</v>
      </c>
    </row>
    <row r="580" spans="3:7" hidden="1" x14ac:dyDescent="0.3">
      <c r="C580" t="s">
        <v>21</v>
      </c>
      <c r="D580" t="s">
        <v>521</v>
      </c>
      <c r="E580" t="s">
        <v>9</v>
      </c>
      <c r="F580" t="s">
        <v>10</v>
      </c>
      <c r="G580">
        <v>1380</v>
      </c>
    </row>
    <row r="581" spans="3:7" hidden="1" x14ac:dyDescent="0.3">
      <c r="C581" t="s">
        <v>19</v>
      </c>
      <c r="D581" t="s">
        <v>522</v>
      </c>
      <c r="E581" t="s">
        <v>17</v>
      </c>
      <c r="F581" t="s">
        <v>29</v>
      </c>
      <c r="G581">
        <v>1370</v>
      </c>
    </row>
    <row r="582" spans="3:7" hidden="1" x14ac:dyDescent="0.3">
      <c r="C582" t="s">
        <v>19</v>
      </c>
      <c r="D582" t="s">
        <v>523</v>
      </c>
      <c r="E582" t="s">
        <v>13</v>
      </c>
      <c r="F582" t="s">
        <v>10</v>
      </c>
      <c r="G582">
        <v>1370</v>
      </c>
    </row>
    <row r="583" spans="3:7" hidden="1" x14ac:dyDescent="0.3">
      <c r="C583" t="s">
        <v>126</v>
      </c>
      <c r="D583" t="s">
        <v>524</v>
      </c>
      <c r="E583" t="s">
        <v>9</v>
      </c>
      <c r="F583" t="s">
        <v>136</v>
      </c>
      <c r="G583">
        <v>1369.56</v>
      </c>
    </row>
    <row r="584" spans="3:7" hidden="1" x14ac:dyDescent="0.3">
      <c r="C584" t="s">
        <v>14</v>
      </c>
      <c r="D584" t="s">
        <v>525</v>
      </c>
      <c r="E584" t="s">
        <v>17</v>
      </c>
      <c r="F584" t="s">
        <v>136</v>
      </c>
      <c r="G584">
        <v>1363.68</v>
      </c>
    </row>
    <row r="585" spans="3:7" hidden="1" x14ac:dyDescent="0.3">
      <c r="C585" t="s">
        <v>14</v>
      </c>
      <c r="D585" t="s">
        <v>526</v>
      </c>
      <c r="E585" t="s">
        <v>17</v>
      </c>
      <c r="F585" t="s">
        <v>136</v>
      </c>
      <c r="G585">
        <v>1358.6399999999901</v>
      </c>
    </row>
    <row r="586" spans="3:7" hidden="1" x14ac:dyDescent="0.3">
      <c r="C586" t="s">
        <v>21</v>
      </c>
      <c r="D586" t="s">
        <v>527</v>
      </c>
      <c r="E586" t="s">
        <v>13</v>
      </c>
      <c r="F586" t="s">
        <v>10</v>
      </c>
      <c r="G586">
        <v>1357</v>
      </c>
    </row>
    <row r="587" spans="3:7" hidden="1" x14ac:dyDescent="0.3">
      <c r="C587" t="s">
        <v>21</v>
      </c>
      <c r="D587" t="s">
        <v>528</v>
      </c>
      <c r="E587" t="s">
        <v>9</v>
      </c>
      <c r="F587" t="s">
        <v>10</v>
      </c>
      <c r="G587">
        <v>1356</v>
      </c>
    </row>
    <row r="588" spans="3:7" hidden="1" x14ac:dyDescent="0.3">
      <c r="C588" t="s">
        <v>188</v>
      </c>
      <c r="D588" t="s">
        <v>529</v>
      </c>
      <c r="E588" t="s">
        <v>13</v>
      </c>
      <c r="F588" t="s">
        <v>10</v>
      </c>
      <c r="G588">
        <v>1352</v>
      </c>
    </row>
    <row r="589" spans="3:7" hidden="1" x14ac:dyDescent="0.3">
      <c r="C589" t="s">
        <v>19</v>
      </c>
      <c r="D589" t="s">
        <v>530</v>
      </c>
      <c r="E589" t="s">
        <v>17</v>
      </c>
      <c r="F589" t="s">
        <v>10</v>
      </c>
      <c r="G589">
        <v>1350</v>
      </c>
    </row>
    <row r="590" spans="3:7" hidden="1" x14ac:dyDescent="0.3">
      <c r="C590" t="s">
        <v>21</v>
      </c>
      <c r="D590" t="s">
        <v>531</v>
      </c>
      <c r="E590" t="s">
        <v>13</v>
      </c>
      <c r="F590" t="s">
        <v>10</v>
      </c>
      <c r="G590">
        <v>1347</v>
      </c>
    </row>
    <row r="591" spans="3:7" hidden="1" x14ac:dyDescent="0.3">
      <c r="C591" t="s">
        <v>11</v>
      </c>
      <c r="D591" t="s">
        <v>532</v>
      </c>
      <c r="E591" t="s">
        <v>13</v>
      </c>
      <c r="F591" t="s">
        <v>136</v>
      </c>
      <c r="G591">
        <v>1345.70491450042</v>
      </c>
    </row>
    <row r="592" spans="3:7" hidden="1" x14ac:dyDescent="0.3">
      <c r="C592" t="s">
        <v>21</v>
      </c>
      <c r="D592" t="s">
        <v>533</v>
      </c>
      <c r="E592" t="s">
        <v>13</v>
      </c>
      <c r="F592" t="s">
        <v>136</v>
      </c>
      <c r="G592">
        <v>1341.2453278688499</v>
      </c>
    </row>
    <row r="593" spans="3:7" hidden="1" x14ac:dyDescent="0.3">
      <c r="C593" t="s">
        <v>21</v>
      </c>
      <c r="D593" t="s">
        <v>534</v>
      </c>
      <c r="E593" t="s">
        <v>17</v>
      </c>
      <c r="F593" t="s">
        <v>136</v>
      </c>
      <c r="G593">
        <v>1339.77</v>
      </c>
    </row>
    <row r="594" spans="3:7" hidden="1" x14ac:dyDescent="0.3">
      <c r="C594" t="s">
        <v>14</v>
      </c>
      <c r="D594" t="s">
        <v>535</v>
      </c>
      <c r="E594" t="s">
        <v>13</v>
      </c>
      <c r="F594" t="s">
        <v>136</v>
      </c>
      <c r="G594">
        <v>1337.49815789473</v>
      </c>
    </row>
    <row r="595" spans="3:7" hidden="1" x14ac:dyDescent="0.3">
      <c r="C595" t="s">
        <v>11</v>
      </c>
      <c r="D595" t="s">
        <v>536</v>
      </c>
      <c r="E595" t="s">
        <v>13</v>
      </c>
      <c r="F595" t="s">
        <v>10</v>
      </c>
      <c r="G595">
        <v>1323</v>
      </c>
    </row>
    <row r="596" spans="3:7" hidden="1" x14ac:dyDescent="0.3">
      <c r="C596" t="s">
        <v>11</v>
      </c>
      <c r="D596" t="s">
        <v>537</v>
      </c>
      <c r="E596" t="s">
        <v>13</v>
      </c>
      <c r="F596" t="s">
        <v>10</v>
      </c>
      <c r="G596">
        <v>1323</v>
      </c>
    </row>
    <row r="597" spans="3:7" hidden="1" x14ac:dyDescent="0.3">
      <c r="C597" t="s">
        <v>11</v>
      </c>
      <c r="D597" t="s">
        <v>538</v>
      </c>
      <c r="E597" t="s">
        <v>17</v>
      </c>
      <c r="F597" t="s">
        <v>10</v>
      </c>
      <c r="G597">
        <v>1323</v>
      </c>
    </row>
    <row r="598" spans="3:7" hidden="1" x14ac:dyDescent="0.3">
      <c r="C598" t="s">
        <v>7</v>
      </c>
      <c r="D598" t="s">
        <v>509</v>
      </c>
      <c r="E598" t="s">
        <v>9</v>
      </c>
      <c r="F598" t="s">
        <v>136</v>
      </c>
      <c r="G598">
        <v>1322.4219080427499</v>
      </c>
    </row>
    <row r="599" spans="3:7" hidden="1" x14ac:dyDescent="0.3">
      <c r="C599" t="s">
        <v>14</v>
      </c>
      <c r="D599" t="s">
        <v>539</v>
      </c>
      <c r="E599" t="s">
        <v>9</v>
      </c>
      <c r="F599" t="s">
        <v>136</v>
      </c>
      <c r="G599">
        <v>1319.1764705882299</v>
      </c>
    </row>
    <row r="600" spans="3:7" hidden="1" x14ac:dyDescent="0.3">
      <c r="C600" t="s">
        <v>21</v>
      </c>
      <c r="D600" t="s">
        <v>540</v>
      </c>
      <c r="E600" t="s">
        <v>13</v>
      </c>
      <c r="F600" t="s">
        <v>10</v>
      </c>
      <c r="G600">
        <v>1315</v>
      </c>
    </row>
    <row r="601" spans="3:7" hidden="1" x14ac:dyDescent="0.3">
      <c r="C601" t="s">
        <v>21</v>
      </c>
      <c r="D601" t="s">
        <v>433</v>
      </c>
      <c r="E601" t="s">
        <v>9</v>
      </c>
      <c r="F601" t="s">
        <v>136</v>
      </c>
      <c r="G601">
        <v>1311.08</v>
      </c>
    </row>
    <row r="602" spans="3:7" hidden="1" x14ac:dyDescent="0.3">
      <c r="C602" t="s">
        <v>21</v>
      </c>
      <c r="D602" t="s">
        <v>541</v>
      </c>
      <c r="E602" t="s">
        <v>9</v>
      </c>
      <c r="F602" t="s">
        <v>136</v>
      </c>
      <c r="G602">
        <v>1304.7553045013201</v>
      </c>
    </row>
    <row r="603" spans="3:7" hidden="1" x14ac:dyDescent="0.3">
      <c r="C603" t="s">
        <v>188</v>
      </c>
      <c r="D603" t="s">
        <v>203</v>
      </c>
      <c r="E603" t="s">
        <v>13</v>
      </c>
      <c r="F603" t="s">
        <v>10</v>
      </c>
      <c r="G603">
        <v>1296</v>
      </c>
    </row>
    <row r="604" spans="3:7" hidden="1" x14ac:dyDescent="0.3">
      <c r="C604" t="s">
        <v>11</v>
      </c>
      <c r="D604" t="s">
        <v>396</v>
      </c>
      <c r="E604" t="s">
        <v>13</v>
      </c>
      <c r="F604" t="s">
        <v>240</v>
      </c>
      <c r="G604">
        <v>1294.9790298647299</v>
      </c>
    </row>
    <row r="605" spans="3:7" hidden="1" x14ac:dyDescent="0.3">
      <c r="C605" t="s">
        <v>11</v>
      </c>
      <c r="D605" t="s">
        <v>542</v>
      </c>
      <c r="E605" t="s">
        <v>17</v>
      </c>
      <c r="F605" t="s">
        <v>136</v>
      </c>
      <c r="G605">
        <v>1279.92</v>
      </c>
    </row>
    <row r="606" spans="3:7" hidden="1" x14ac:dyDescent="0.3">
      <c r="C606" t="s">
        <v>21</v>
      </c>
      <c r="D606" t="s">
        <v>543</v>
      </c>
      <c r="E606" t="s">
        <v>9</v>
      </c>
      <c r="F606" t="s">
        <v>10</v>
      </c>
      <c r="G606">
        <v>1279</v>
      </c>
    </row>
    <row r="607" spans="3:7" hidden="1" x14ac:dyDescent="0.3">
      <c r="C607" t="s">
        <v>21</v>
      </c>
      <c r="D607" t="s">
        <v>544</v>
      </c>
      <c r="E607" t="s">
        <v>13</v>
      </c>
      <c r="F607" t="s">
        <v>10</v>
      </c>
      <c r="G607">
        <v>1279</v>
      </c>
    </row>
    <row r="608" spans="3:7" hidden="1" x14ac:dyDescent="0.3">
      <c r="C608" t="s">
        <v>21</v>
      </c>
      <c r="D608" t="s">
        <v>545</v>
      </c>
      <c r="E608" t="s">
        <v>9</v>
      </c>
      <c r="F608" t="s">
        <v>10</v>
      </c>
      <c r="G608">
        <v>1279</v>
      </c>
    </row>
    <row r="609" spans="3:7" hidden="1" x14ac:dyDescent="0.3">
      <c r="C609" t="s">
        <v>11</v>
      </c>
      <c r="D609" t="s">
        <v>351</v>
      </c>
      <c r="E609" t="s">
        <v>9</v>
      </c>
      <c r="F609" t="s">
        <v>136</v>
      </c>
      <c r="G609">
        <v>1277.85568335931</v>
      </c>
    </row>
    <row r="610" spans="3:7" hidden="1" x14ac:dyDescent="0.3">
      <c r="C610" t="s">
        <v>7</v>
      </c>
      <c r="D610" t="s">
        <v>546</v>
      </c>
      <c r="E610" t="s">
        <v>13</v>
      </c>
      <c r="F610" t="s">
        <v>136</v>
      </c>
      <c r="G610">
        <v>1271.3866666666599</v>
      </c>
    </row>
    <row r="611" spans="3:7" hidden="1" x14ac:dyDescent="0.3">
      <c r="C611" t="s">
        <v>7</v>
      </c>
      <c r="D611" t="s">
        <v>547</v>
      </c>
      <c r="E611" t="s">
        <v>17</v>
      </c>
      <c r="F611" t="s">
        <v>136</v>
      </c>
      <c r="G611">
        <v>1266.3</v>
      </c>
    </row>
    <row r="612" spans="3:7" hidden="1" x14ac:dyDescent="0.3">
      <c r="C612" t="s">
        <v>11</v>
      </c>
      <c r="D612" t="s">
        <v>548</v>
      </c>
      <c r="E612" t="s">
        <v>13</v>
      </c>
      <c r="F612" t="s">
        <v>10</v>
      </c>
      <c r="G612">
        <v>1259</v>
      </c>
    </row>
    <row r="613" spans="3:7" hidden="1" x14ac:dyDescent="0.3">
      <c r="C613" t="s">
        <v>126</v>
      </c>
      <c r="D613" t="s">
        <v>549</v>
      </c>
      <c r="E613" t="s">
        <v>13</v>
      </c>
      <c r="F613" t="s">
        <v>10</v>
      </c>
      <c r="G613">
        <v>1257</v>
      </c>
    </row>
    <row r="614" spans="3:7" hidden="1" x14ac:dyDescent="0.3">
      <c r="C614" t="s">
        <v>7</v>
      </c>
      <c r="D614" t="s">
        <v>550</v>
      </c>
      <c r="E614" t="s">
        <v>9</v>
      </c>
      <c r="F614" t="s">
        <v>136</v>
      </c>
      <c r="G614">
        <v>1250.4983848765701</v>
      </c>
    </row>
    <row r="615" spans="3:7" hidden="1" x14ac:dyDescent="0.3">
      <c r="C615" t="s">
        <v>11</v>
      </c>
      <c r="D615" t="s">
        <v>546</v>
      </c>
      <c r="E615" t="s">
        <v>13</v>
      </c>
      <c r="F615" t="s">
        <v>136</v>
      </c>
      <c r="G615">
        <v>1245.46536206015</v>
      </c>
    </row>
    <row r="616" spans="3:7" hidden="1" x14ac:dyDescent="0.3">
      <c r="C616" t="s">
        <v>21</v>
      </c>
      <c r="D616" t="s">
        <v>551</v>
      </c>
      <c r="E616" t="s">
        <v>9</v>
      </c>
      <c r="F616" t="s">
        <v>10</v>
      </c>
      <c r="G616">
        <v>1245</v>
      </c>
    </row>
    <row r="617" spans="3:7" hidden="1" x14ac:dyDescent="0.3">
      <c r="C617" t="s">
        <v>21</v>
      </c>
      <c r="D617" t="s">
        <v>552</v>
      </c>
      <c r="E617" t="s">
        <v>13</v>
      </c>
      <c r="F617" t="s">
        <v>136</v>
      </c>
      <c r="G617">
        <v>1238.1849999999999</v>
      </c>
    </row>
    <row r="618" spans="3:7" hidden="1" x14ac:dyDescent="0.3">
      <c r="C618" t="s">
        <v>90</v>
      </c>
      <c r="D618" t="s">
        <v>553</v>
      </c>
      <c r="E618" t="s">
        <v>13</v>
      </c>
      <c r="F618" t="s">
        <v>10</v>
      </c>
      <c r="G618">
        <v>1237</v>
      </c>
    </row>
    <row r="619" spans="3:7" hidden="1" x14ac:dyDescent="0.3">
      <c r="C619" t="s">
        <v>78</v>
      </c>
      <c r="D619" t="s">
        <v>419</v>
      </c>
      <c r="E619" t="s">
        <v>13</v>
      </c>
      <c r="F619" t="s">
        <v>10</v>
      </c>
      <c r="G619">
        <v>1236.2</v>
      </c>
    </row>
    <row r="620" spans="3:7" hidden="1" x14ac:dyDescent="0.3">
      <c r="C620" t="s">
        <v>21</v>
      </c>
      <c r="D620" t="s">
        <v>554</v>
      </c>
      <c r="E620" t="s">
        <v>9</v>
      </c>
      <c r="F620" t="s">
        <v>10</v>
      </c>
      <c r="G620">
        <v>1236</v>
      </c>
    </row>
    <row r="621" spans="3:7" hidden="1" x14ac:dyDescent="0.3">
      <c r="C621" t="s">
        <v>90</v>
      </c>
      <c r="D621" t="s">
        <v>555</v>
      </c>
      <c r="E621" t="s">
        <v>13</v>
      </c>
      <c r="F621" t="s">
        <v>10</v>
      </c>
      <c r="G621">
        <v>1234</v>
      </c>
    </row>
    <row r="622" spans="3:7" hidden="1" x14ac:dyDescent="0.3">
      <c r="C622" t="s">
        <v>11</v>
      </c>
      <c r="D622" t="s">
        <v>556</v>
      </c>
      <c r="E622" t="s">
        <v>17</v>
      </c>
      <c r="F622" t="s">
        <v>136</v>
      </c>
      <c r="G622">
        <v>1230.1400000000001</v>
      </c>
    </row>
    <row r="623" spans="3:7" hidden="1" x14ac:dyDescent="0.3">
      <c r="C623" t="s">
        <v>11</v>
      </c>
      <c r="D623" t="s">
        <v>557</v>
      </c>
      <c r="E623" t="s">
        <v>9</v>
      </c>
      <c r="F623" t="s">
        <v>136</v>
      </c>
      <c r="G623">
        <v>1217.633</v>
      </c>
    </row>
    <row r="624" spans="3:7" hidden="1" x14ac:dyDescent="0.3">
      <c r="C624" t="s">
        <v>126</v>
      </c>
      <c r="D624" t="s">
        <v>558</v>
      </c>
      <c r="E624" t="s">
        <v>13</v>
      </c>
      <c r="F624" t="s">
        <v>10</v>
      </c>
      <c r="G624">
        <v>1213</v>
      </c>
    </row>
    <row r="625" spans="3:7" hidden="1" x14ac:dyDescent="0.3">
      <c r="C625" t="s">
        <v>21</v>
      </c>
      <c r="D625" t="s">
        <v>559</v>
      </c>
      <c r="E625" t="s">
        <v>17</v>
      </c>
      <c r="F625" t="s">
        <v>136</v>
      </c>
      <c r="G625">
        <v>1205.1771428571401</v>
      </c>
    </row>
    <row r="626" spans="3:7" hidden="1" x14ac:dyDescent="0.3">
      <c r="C626" t="s">
        <v>21</v>
      </c>
      <c r="D626" t="s">
        <v>320</v>
      </c>
      <c r="E626" t="s">
        <v>13</v>
      </c>
      <c r="F626" t="s">
        <v>136</v>
      </c>
      <c r="G626">
        <v>1202.27344536894</v>
      </c>
    </row>
    <row r="627" spans="3:7" hidden="1" x14ac:dyDescent="0.3">
      <c r="C627" t="s">
        <v>7</v>
      </c>
      <c r="D627" t="s">
        <v>560</v>
      </c>
      <c r="E627" t="s">
        <v>13</v>
      </c>
      <c r="F627" t="s">
        <v>10</v>
      </c>
      <c r="G627">
        <v>1190</v>
      </c>
    </row>
    <row r="628" spans="3:7" hidden="1" x14ac:dyDescent="0.3">
      <c r="C628" t="s">
        <v>418</v>
      </c>
      <c r="D628" t="s">
        <v>203</v>
      </c>
      <c r="E628" t="s">
        <v>13</v>
      </c>
      <c r="F628" t="s">
        <v>10</v>
      </c>
      <c r="G628">
        <v>1185</v>
      </c>
    </row>
    <row r="629" spans="3:7" hidden="1" x14ac:dyDescent="0.3">
      <c r="C629" t="s">
        <v>11</v>
      </c>
      <c r="D629" t="s">
        <v>561</v>
      </c>
      <c r="E629" t="s">
        <v>9</v>
      </c>
      <c r="F629" t="s">
        <v>136</v>
      </c>
      <c r="G629">
        <v>1184.20077220077</v>
      </c>
    </row>
    <row r="630" spans="3:7" hidden="1" x14ac:dyDescent="0.3">
      <c r="C630" t="s">
        <v>19</v>
      </c>
      <c r="D630" t="s">
        <v>562</v>
      </c>
      <c r="E630" t="s">
        <v>13</v>
      </c>
      <c r="F630" t="s">
        <v>10</v>
      </c>
      <c r="G630">
        <v>1180</v>
      </c>
    </row>
    <row r="631" spans="3:7" hidden="1" x14ac:dyDescent="0.3">
      <c r="C631" t="s">
        <v>11</v>
      </c>
      <c r="D631" t="s">
        <v>563</v>
      </c>
      <c r="E631" t="s">
        <v>13</v>
      </c>
      <c r="F631" t="s">
        <v>240</v>
      </c>
      <c r="G631">
        <v>1175.9288654766201</v>
      </c>
    </row>
    <row r="632" spans="3:7" hidden="1" x14ac:dyDescent="0.3">
      <c r="C632" t="s">
        <v>7</v>
      </c>
      <c r="D632" t="s">
        <v>564</v>
      </c>
      <c r="E632" t="s">
        <v>9</v>
      </c>
      <c r="F632" t="s">
        <v>136</v>
      </c>
      <c r="G632">
        <v>1175.46848178397</v>
      </c>
    </row>
    <row r="633" spans="3:7" hidden="1" x14ac:dyDescent="0.3">
      <c r="C633" t="s">
        <v>78</v>
      </c>
      <c r="D633" t="s">
        <v>272</v>
      </c>
      <c r="E633" t="s">
        <v>13</v>
      </c>
      <c r="F633" t="s">
        <v>10</v>
      </c>
      <c r="G633">
        <v>1173.30199719538</v>
      </c>
    </row>
    <row r="634" spans="3:7" hidden="1" x14ac:dyDescent="0.3">
      <c r="C634" t="s">
        <v>14</v>
      </c>
      <c r="D634" t="s">
        <v>565</v>
      </c>
      <c r="E634" t="s">
        <v>17</v>
      </c>
      <c r="F634" t="s">
        <v>10</v>
      </c>
      <c r="G634">
        <v>1167</v>
      </c>
    </row>
    <row r="635" spans="3:7" hidden="1" x14ac:dyDescent="0.3">
      <c r="C635" t="s">
        <v>14</v>
      </c>
      <c r="D635" t="s">
        <v>566</v>
      </c>
      <c r="E635" t="s">
        <v>9</v>
      </c>
      <c r="F635" t="s">
        <v>10</v>
      </c>
      <c r="G635">
        <v>1162</v>
      </c>
    </row>
    <row r="636" spans="3:7" hidden="1" x14ac:dyDescent="0.3">
      <c r="C636" t="s">
        <v>21</v>
      </c>
      <c r="D636" t="s">
        <v>567</v>
      </c>
      <c r="E636" t="s">
        <v>17</v>
      </c>
      <c r="F636" t="s">
        <v>136</v>
      </c>
      <c r="G636">
        <v>1156.08</v>
      </c>
    </row>
    <row r="637" spans="3:7" hidden="1" x14ac:dyDescent="0.3">
      <c r="C637" t="s">
        <v>19</v>
      </c>
      <c r="D637" t="s">
        <v>568</v>
      </c>
      <c r="E637" t="s">
        <v>13</v>
      </c>
      <c r="F637" t="s">
        <v>136</v>
      </c>
      <c r="G637">
        <v>1154.71789883268</v>
      </c>
    </row>
    <row r="638" spans="3:7" hidden="1" x14ac:dyDescent="0.3">
      <c r="C638" t="s">
        <v>7</v>
      </c>
      <c r="D638" t="s">
        <v>396</v>
      </c>
      <c r="E638" t="s">
        <v>13</v>
      </c>
      <c r="F638" t="s">
        <v>240</v>
      </c>
      <c r="G638">
        <v>1149.93209395022</v>
      </c>
    </row>
    <row r="639" spans="3:7" hidden="1" x14ac:dyDescent="0.3">
      <c r="C639" t="s">
        <v>126</v>
      </c>
      <c r="D639" t="s">
        <v>569</v>
      </c>
      <c r="E639" t="s">
        <v>13</v>
      </c>
      <c r="F639" t="s">
        <v>10</v>
      </c>
      <c r="G639">
        <v>1147</v>
      </c>
    </row>
    <row r="640" spans="3:7" hidden="1" x14ac:dyDescent="0.3">
      <c r="C640" t="s">
        <v>126</v>
      </c>
      <c r="D640" t="s">
        <v>570</v>
      </c>
      <c r="E640" t="s">
        <v>13</v>
      </c>
      <c r="F640" t="s">
        <v>10</v>
      </c>
      <c r="G640">
        <v>1147</v>
      </c>
    </row>
    <row r="641" spans="3:7" hidden="1" x14ac:dyDescent="0.3">
      <c r="C641" t="s">
        <v>7</v>
      </c>
      <c r="D641" t="s">
        <v>571</v>
      </c>
      <c r="E641" t="s">
        <v>17</v>
      </c>
      <c r="F641" t="s">
        <v>136</v>
      </c>
      <c r="G641">
        <v>1144.248</v>
      </c>
    </row>
    <row r="642" spans="3:7" hidden="1" x14ac:dyDescent="0.3">
      <c r="C642" t="s">
        <v>11</v>
      </c>
      <c r="D642" t="s">
        <v>572</v>
      </c>
      <c r="E642" t="s">
        <v>9</v>
      </c>
      <c r="F642" t="s">
        <v>10</v>
      </c>
      <c r="G642">
        <v>1140</v>
      </c>
    </row>
    <row r="643" spans="3:7" hidden="1" x14ac:dyDescent="0.3">
      <c r="C643" t="s">
        <v>7</v>
      </c>
      <c r="D643" t="s">
        <v>573</v>
      </c>
      <c r="E643" t="s">
        <v>9</v>
      </c>
      <c r="F643" t="s">
        <v>136</v>
      </c>
      <c r="G643">
        <v>1137.1228448275799</v>
      </c>
    </row>
    <row r="644" spans="3:7" hidden="1" x14ac:dyDescent="0.3">
      <c r="C644" t="s">
        <v>21</v>
      </c>
      <c r="D644" t="s">
        <v>396</v>
      </c>
      <c r="E644" t="s">
        <v>13</v>
      </c>
      <c r="F644" t="s">
        <v>240</v>
      </c>
      <c r="G644">
        <v>1136.40402942074</v>
      </c>
    </row>
    <row r="645" spans="3:7" hidden="1" x14ac:dyDescent="0.3">
      <c r="C645" t="s">
        <v>19</v>
      </c>
      <c r="D645" t="s">
        <v>535</v>
      </c>
      <c r="E645" t="s">
        <v>13</v>
      </c>
      <c r="F645" t="s">
        <v>136</v>
      </c>
      <c r="G645">
        <v>1135.9573591916201</v>
      </c>
    </row>
    <row r="646" spans="3:7" hidden="1" x14ac:dyDescent="0.3">
      <c r="C646" t="s">
        <v>21</v>
      </c>
      <c r="D646" t="s">
        <v>574</v>
      </c>
      <c r="E646" t="s">
        <v>13</v>
      </c>
      <c r="F646" t="s">
        <v>136</v>
      </c>
      <c r="G646">
        <v>1132.81756485456</v>
      </c>
    </row>
    <row r="647" spans="3:7" hidden="1" x14ac:dyDescent="0.3">
      <c r="C647" t="s">
        <v>7</v>
      </c>
      <c r="D647" t="s">
        <v>575</v>
      </c>
      <c r="E647" t="s">
        <v>13</v>
      </c>
      <c r="F647" t="s">
        <v>10</v>
      </c>
      <c r="G647">
        <v>1132.2484145088099</v>
      </c>
    </row>
    <row r="648" spans="3:7" hidden="1" x14ac:dyDescent="0.3">
      <c r="C648" t="s">
        <v>188</v>
      </c>
      <c r="D648" t="s">
        <v>576</v>
      </c>
      <c r="E648" t="s">
        <v>13</v>
      </c>
      <c r="F648" t="s">
        <v>10</v>
      </c>
      <c r="G648">
        <v>1129</v>
      </c>
    </row>
    <row r="649" spans="3:7" hidden="1" x14ac:dyDescent="0.3">
      <c r="C649" t="s">
        <v>19</v>
      </c>
      <c r="D649" t="s">
        <v>577</v>
      </c>
      <c r="E649" t="s">
        <v>13</v>
      </c>
      <c r="F649" t="s">
        <v>10</v>
      </c>
      <c r="G649">
        <v>1120</v>
      </c>
    </row>
    <row r="650" spans="3:7" hidden="1" x14ac:dyDescent="0.3">
      <c r="C650" t="s">
        <v>19</v>
      </c>
      <c r="D650" t="s">
        <v>578</v>
      </c>
      <c r="E650" t="s">
        <v>17</v>
      </c>
      <c r="F650" t="s">
        <v>29</v>
      </c>
      <c r="G650">
        <v>1120</v>
      </c>
    </row>
    <row r="651" spans="3:7" hidden="1" x14ac:dyDescent="0.3">
      <c r="C651" t="s">
        <v>19</v>
      </c>
      <c r="D651" t="s">
        <v>579</v>
      </c>
      <c r="E651" t="s">
        <v>9</v>
      </c>
      <c r="F651" t="s">
        <v>29</v>
      </c>
      <c r="G651">
        <v>1115</v>
      </c>
    </row>
    <row r="652" spans="3:7" hidden="1" x14ac:dyDescent="0.3">
      <c r="C652" t="s">
        <v>7</v>
      </c>
      <c r="D652" t="s">
        <v>580</v>
      </c>
      <c r="E652" t="s">
        <v>9</v>
      </c>
      <c r="F652" t="s">
        <v>29</v>
      </c>
      <c r="G652">
        <v>1104</v>
      </c>
    </row>
    <row r="653" spans="3:7" hidden="1" x14ac:dyDescent="0.3">
      <c r="C653" t="s">
        <v>21</v>
      </c>
      <c r="D653" t="s">
        <v>581</v>
      </c>
      <c r="E653" t="s">
        <v>9</v>
      </c>
      <c r="F653" t="s">
        <v>10</v>
      </c>
      <c r="G653">
        <v>1100</v>
      </c>
    </row>
    <row r="654" spans="3:7" hidden="1" x14ac:dyDescent="0.3">
      <c r="C654" t="s">
        <v>19</v>
      </c>
      <c r="D654" t="s">
        <v>582</v>
      </c>
      <c r="E654" t="s">
        <v>9</v>
      </c>
      <c r="F654" t="s">
        <v>136</v>
      </c>
      <c r="G654">
        <v>1092.92</v>
      </c>
    </row>
    <row r="655" spans="3:7" hidden="1" x14ac:dyDescent="0.3">
      <c r="C655" t="s">
        <v>11</v>
      </c>
      <c r="D655" t="s">
        <v>583</v>
      </c>
      <c r="E655" t="s">
        <v>17</v>
      </c>
      <c r="F655" t="s">
        <v>136</v>
      </c>
      <c r="G655">
        <v>1090.76999999999</v>
      </c>
    </row>
    <row r="656" spans="3:7" hidden="1" x14ac:dyDescent="0.3">
      <c r="C656" t="s">
        <v>11</v>
      </c>
      <c r="D656" t="s">
        <v>584</v>
      </c>
      <c r="E656" t="s">
        <v>13</v>
      </c>
      <c r="F656" t="s">
        <v>240</v>
      </c>
      <c r="G656">
        <v>1087.9042091905501</v>
      </c>
    </row>
    <row r="657" spans="3:7" hidden="1" x14ac:dyDescent="0.3">
      <c r="C657" t="s">
        <v>7</v>
      </c>
      <c r="D657" t="s">
        <v>585</v>
      </c>
      <c r="E657" t="s">
        <v>13</v>
      </c>
      <c r="F657" t="s">
        <v>136</v>
      </c>
      <c r="G657">
        <v>1082.0585775401</v>
      </c>
    </row>
    <row r="658" spans="3:7" hidden="1" x14ac:dyDescent="0.3">
      <c r="C658" t="s">
        <v>21</v>
      </c>
      <c r="D658" t="s">
        <v>438</v>
      </c>
      <c r="E658" t="s">
        <v>13</v>
      </c>
      <c r="F658" t="s">
        <v>136</v>
      </c>
      <c r="G658">
        <v>1077.22162229331</v>
      </c>
    </row>
    <row r="659" spans="3:7" hidden="1" x14ac:dyDescent="0.3">
      <c r="C659" t="s">
        <v>7</v>
      </c>
      <c r="D659" t="s">
        <v>586</v>
      </c>
      <c r="E659" t="s">
        <v>9</v>
      </c>
      <c r="F659" t="s">
        <v>240</v>
      </c>
      <c r="G659">
        <v>1075.42861099385</v>
      </c>
    </row>
    <row r="660" spans="3:7" hidden="1" x14ac:dyDescent="0.3">
      <c r="C660" t="s">
        <v>14</v>
      </c>
      <c r="D660" t="s">
        <v>587</v>
      </c>
      <c r="E660" t="s">
        <v>13</v>
      </c>
      <c r="F660" t="s">
        <v>136</v>
      </c>
      <c r="G660">
        <v>1073.6400000000001</v>
      </c>
    </row>
    <row r="661" spans="3:7" hidden="1" x14ac:dyDescent="0.3">
      <c r="C661" t="s">
        <v>21</v>
      </c>
      <c r="D661" t="s">
        <v>588</v>
      </c>
      <c r="E661" t="s">
        <v>9</v>
      </c>
      <c r="F661" t="s">
        <v>136</v>
      </c>
      <c r="G661">
        <v>1072.7</v>
      </c>
    </row>
    <row r="662" spans="3:7" hidden="1" x14ac:dyDescent="0.3">
      <c r="C662" t="s">
        <v>78</v>
      </c>
      <c r="D662" t="s">
        <v>589</v>
      </c>
      <c r="E662" t="s">
        <v>9</v>
      </c>
      <c r="F662" t="s">
        <v>136</v>
      </c>
      <c r="G662">
        <v>1060.15108447488</v>
      </c>
    </row>
    <row r="663" spans="3:7" hidden="1" x14ac:dyDescent="0.3">
      <c r="C663" t="s">
        <v>126</v>
      </c>
      <c r="D663" t="s">
        <v>590</v>
      </c>
      <c r="E663" t="s">
        <v>9</v>
      </c>
      <c r="F663" t="s">
        <v>136</v>
      </c>
      <c r="G663">
        <v>1058.615</v>
      </c>
    </row>
    <row r="664" spans="3:7" hidden="1" x14ac:dyDescent="0.3">
      <c r="C664" t="s">
        <v>21</v>
      </c>
      <c r="D664" t="s">
        <v>591</v>
      </c>
      <c r="E664" t="s">
        <v>9</v>
      </c>
      <c r="F664" t="s">
        <v>10</v>
      </c>
      <c r="G664">
        <v>1057</v>
      </c>
    </row>
    <row r="665" spans="3:7" hidden="1" x14ac:dyDescent="0.3">
      <c r="C665" t="s">
        <v>126</v>
      </c>
      <c r="D665" t="s">
        <v>592</v>
      </c>
      <c r="E665" t="s">
        <v>13</v>
      </c>
      <c r="F665" t="s">
        <v>10</v>
      </c>
      <c r="G665">
        <v>1054</v>
      </c>
    </row>
    <row r="666" spans="3:7" hidden="1" x14ac:dyDescent="0.3">
      <c r="C666" t="s">
        <v>188</v>
      </c>
      <c r="D666" t="s">
        <v>593</v>
      </c>
      <c r="E666" t="s">
        <v>13</v>
      </c>
      <c r="F666" t="s">
        <v>10</v>
      </c>
      <c r="G666">
        <v>1051</v>
      </c>
    </row>
    <row r="667" spans="3:7" hidden="1" x14ac:dyDescent="0.3">
      <c r="C667" t="s">
        <v>188</v>
      </c>
      <c r="D667" t="s">
        <v>594</v>
      </c>
      <c r="E667" t="s">
        <v>13</v>
      </c>
      <c r="F667" t="s">
        <v>10</v>
      </c>
      <c r="G667">
        <v>1049</v>
      </c>
    </row>
    <row r="668" spans="3:7" hidden="1" x14ac:dyDescent="0.3">
      <c r="C668" t="s">
        <v>21</v>
      </c>
      <c r="D668" t="s">
        <v>377</v>
      </c>
      <c r="E668" t="s">
        <v>13</v>
      </c>
      <c r="F668" t="s">
        <v>136</v>
      </c>
      <c r="G668">
        <v>1048.81919165669</v>
      </c>
    </row>
    <row r="669" spans="3:7" hidden="1" x14ac:dyDescent="0.3">
      <c r="C669" t="s">
        <v>188</v>
      </c>
      <c r="D669" t="s">
        <v>595</v>
      </c>
      <c r="E669" t="s">
        <v>13</v>
      </c>
      <c r="F669" t="s">
        <v>10</v>
      </c>
      <c r="G669">
        <v>1048</v>
      </c>
    </row>
    <row r="670" spans="3:7" hidden="1" x14ac:dyDescent="0.3">
      <c r="C670" t="s">
        <v>11</v>
      </c>
      <c r="D670" t="s">
        <v>596</v>
      </c>
      <c r="E670" t="s">
        <v>9</v>
      </c>
      <c r="F670" t="s">
        <v>136</v>
      </c>
      <c r="G670">
        <v>1035.4742001248101</v>
      </c>
    </row>
    <row r="671" spans="3:7" hidden="1" x14ac:dyDescent="0.3">
      <c r="C671" t="s">
        <v>11</v>
      </c>
      <c r="D671" t="s">
        <v>597</v>
      </c>
      <c r="E671" t="s">
        <v>9</v>
      </c>
      <c r="F671" t="s">
        <v>136</v>
      </c>
      <c r="G671">
        <v>1035.4742001248101</v>
      </c>
    </row>
    <row r="672" spans="3:7" hidden="1" x14ac:dyDescent="0.3">
      <c r="C672" t="s">
        <v>78</v>
      </c>
      <c r="D672" t="s">
        <v>598</v>
      </c>
      <c r="E672" t="s">
        <v>9</v>
      </c>
      <c r="F672" t="s">
        <v>136</v>
      </c>
      <c r="G672">
        <v>1028.9749999999999</v>
      </c>
    </row>
    <row r="673" spans="3:7" hidden="1" x14ac:dyDescent="0.3">
      <c r="C673" t="s">
        <v>11</v>
      </c>
      <c r="D673" t="s">
        <v>599</v>
      </c>
      <c r="E673" t="s">
        <v>17</v>
      </c>
      <c r="F673" t="s">
        <v>136</v>
      </c>
      <c r="G673">
        <v>1011.58</v>
      </c>
    </row>
    <row r="674" spans="3:7" hidden="1" x14ac:dyDescent="0.3">
      <c r="C674" t="s">
        <v>21</v>
      </c>
      <c r="D674" t="s">
        <v>600</v>
      </c>
      <c r="E674" t="s">
        <v>13</v>
      </c>
      <c r="F674" t="s">
        <v>136</v>
      </c>
      <c r="G674">
        <v>1008.18584070796</v>
      </c>
    </row>
    <row r="675" spans="3:7" hidden="1" x14ac:dyDescent="0.3">
      <c r="C675" t="s">
        <v>126</v>
      </c>
      <c r="D675" t="s">
        <v>411</v>
      </c>
      <c r="E675" t="s">
        <v>13</v>
      </c>
      <c r="F675" t="s">
        <v>136</v>
      </c>
      <c r="G675">
        <v>1006.34999999999</v>
      </c>
    </row>
    <row r="676" spans="3:7" hidden="1" x14ac:dyDescent="0.3">
      <c r="C676" t="s">
        <v>11</v>
      </c>
      <c r="D676" t="s">
        <v>601</v>
      </c>
      <c r="E676" t="s">
        <v>9</v>
      </c>
      <c r="F676" t="s">
        <v>136</v>
      </c>
      <c r="G676">
        <v>1003.45550497737</v>
      </c>
    </row>
    <row r="677" spans="3:7" hidden="1" x14ac:dyDescent="0.3">
      <c r="C677" t="s">
        <v>7</v>
      </c>
      <c r="D677" t="s">
        <v>602</v>
      </c>
      <c r="E677" t="s">
        <v>17</v>
      </c>
      <c r="F677" t="s">
        <v>136</v>
      </c>
      <c r="G677">
        <v>1001.38625766871</v>
      </c>
    </row>
    <row r="678" spans="3:7" hidden="1" x14ac:dyDescent="0.3">
      <c r="C678" t="s">
        <v>78</v>
      </c>
      <c r="D678" t="s">
        <v>603</v>
      </c>
      <c r="E678" t="s">
        <v>13</v>
      </c>
      <c r="F678" t="s">
        <v>10</v>
      </c>
      <c r="G678">
        <v>999</v>
      </c>
    </row>
    <row r="679" spans="3:7" hidden="1" x14ac:dyDescent="0.3">
      <c r="C679" t="s">
        <v>11</v>
      </c>
      <c r="D679" t="s">
        <v>604</v>
      </c>
      <c r="E679" t="s">
        <v>13</v>
      </c>
      <c r="F679" t="s">
        <v>10</v>
      </c>
      <c r="G679">
        <v>996</v>
      </c>
    </row>
    <row r="680" spans="3:7" hidden="1" x14ac:dyDescent="0.3">
      <c r="C680" t="s">
        <v>7</v>
      </c>
      <c r="D680" t="s">
        <v>605</v>
      </c>
      <c r="E680" t="s">
        <v>13</v>
      </c>
      <c r="F680" t="s">
        <v>10</v>
      </c>
      <c r="G680">
        <v>995</v>
      </c>
    </row>
    <row r="681" spans="3:7" hidden="1" x14ac:dyDescent="0.3">
      <c r="C681" t="s">
        <v>78</v>
      </c>
      <c r="D681" t="s">
        <v>382</v>
      </c>
      <c r="E681" t="s">
        <v>13</v>
      </c>
      <c r="F681" t="s">
        <v>10</v>
      </c>
      <c r="G681">
        <v>993</v>
      </c>
    </row>
    <row r="682" spans="3:7" hidden="1" x14ac:dyDescent="0.3">
      <c r="C682" t="s">
        <v>21</v>
      </c>
      <c r="D682" t="s">
        <v>606</v>
      </c>
      <c r="E682" t="s">
        <v>17</v>
      </c>
      <c r="F682" t="s">
        <v>136</v>
      </c>
      <c r="G682">
        <v>992.995</v>
      </c>
    </row>
    <row r="683" spans="3:7" hidden="1" x14ac:dyDescent="0.3">
      <c r="C683" t="s">
        <v>188</v>
      </c>
      <c r="D683" t="s">
        <v>607</v>
      </c>
      <c r="E683" t="s">
        <v>13</v>
      </c>
      <c r="F683" t="s">
        <v>10</v>
      </c>
      <c r="G683">
        <v>988</v>
      </c>
    </row>
    <row r="684" spans="3:7" hidden="1" x14ac:dyDescent="0.3">
      <c r="C684" t="s">
        <v>78</v>
      </c>
      <c r="D684" t="s">
        <v>608</v>
      </c>
      <c r="E684" t="s">
        <v>17</v>
      </c>
      <c r="F684" t="s">
        <v>29</v>
      </c>
      <c r="G684">
        <v>984</v>
      </c>
    </row>
    <row r="685" spans="3:7" hidden="1" x14ac:dyDescent="0.3">
      <c r="C685" t="s">
        <v>21</v>
      </c>
      <c r="D685" t="s">
        <v>609</v>
      </c>
      <c r="E685" t="s">
        <v>9</v>
      </c>
      <c r="F685" t="s">
        <v>136</v>
      </c>
      <c r="G685">
        <v>979.76313765812802</v>
      </c>
    </row>
    <row r="686" spans="3:7" hidden="1" x14ac:dyDescent="0.3">
      <c r="C686" t="s">
        <v>21</v>
      </c>
      <c r="D686" t="s">
        <v>610</v>
      </c>
      <c r="E686" t="s">
        <v>13</v>
      </c>
      <c r="F686" t="s">
        <v>240</v>
      </c>
      <c r="G686">
        <v>974.78650138781404</v>
      </c>
    </row>
    <row r="687" spans="3:7" hidden="1" x14ac:dyDescent="0.3">
      <c r="C687" t="s">
        <v>78</v>
      </c>
      <c r="D687" t="s">
        <v>611</v>
      </c>
      <c r="E687" t="s">
        <v>13</v>
      </c>
      <c r="F687" t="s">
        <v>10</v>
      </c>
      <c r="G687">
        <v>971</v>
      </c>
    </row>
    <row r="688" spans="3:7" hidden="1" x14ac:dyDescent="0.3">
      <c r="C688" t="s">
        <v>7</v>
      </c>
      <c r="D688" t="s">
        <v>612</v>
      </c>
      <c r="E688" t="s">
        <v>17</v>
      </c>
      <c r="F688" t="s">
        <v>136</v>
      </c>
      <c r="G688">
        <v>967.19</v>
      </c>
    </row>
    <row r="689" spans="3:7" hidden="1" x14ac:dyDescent="0.3">
      <c r="C689" t="s">
        <v>21</v>
      </c>
      <c r="D689" t="s">
        <v>613</v>
      </c>
      <c r="E689" t="s">
        <v>17</v>
      </c>
      <c r="F689" t="s">
        <v>136</v>
      </c>
      <c r="G689">
        <v>945.89</v>
      </c>
    </row>
    <row r="690" spans="3:7" hidden="1" x14ac:dyDescent="0.3">
      <c r="C690" t="s">
        <v>21</v>
      </c>
      <c r="D690" t="s">
        <v>614</v>
      </c>
      <c r="E690" t="s">
        <v>9</v>
      </c>
      <c r="F690" t="s">
        <v>10</v>
      </c>
      <c r="G690">
        <v>945</v>
      </c>
    </row>
    <row r="691" spans="3:7" hidden="1" x14ac:dyDescent="0.3">
      <c r="C691" t="s">
        <v>14</v>
      </c>
      <c r="D691" t="s">
        <v>239</v>
      </c>
      <c r="E691" t="s">
        <v>9</v>
      </c>
      <c r="F691" t="s">
        <v>136</v>
      </c>
      <c r="G691">
        <v>943.18214615460897</v>
      </c>
    </row>
    <row r="692" spans="3:7" hidden="1" x14ac:dyDescent="0.3">
      <c r="C692" t="s">
        <v>188</v>
      </c>
      <c r="D692" t="s">
        <v>615</v>
      </c>
      <c r="E692" t="s">
        <v>13</v>
      </c>
      <c r="F692" t="s">
        <v>10</v>
      </c>
      <c r="G692">
        <v>941</v>
      </c>
    </row>
    <row r="693" spans="3:7" hidden="1" x14ac:dyDescent="0.3">
      <c r="C693" t="s">
        <v>126</v>
      </c>
      <c r="D693" t="s">
        <v>616</v>
      </c>
      <c r="E693" t="s">
        <v>9</v>
      </c>
      <c r="F693" t="s">
        <v>136</v>
      </c>
      <c r="G693">
        <v>940.27499999999998</v>
      </c>
    </row>
    <row r="694" spans="3:7" hidden="1" x14ac:dyDescent="0.3">
      <c r="C694" t="s">
        <v>14</v>
      </c>
      <c r="D694" t="s">
        <v>617</v>
      </c>
      <c r="E694" t="s">
        <v>13</v>
      </c>
      <c r="F694" t="s">
        <v>136</v>
      </c>
      <c r="G694">
        <v>939.80680012799996</v>
      </c>
    </row>
    <row r="695" spans="3:7" hidden="1" x14ac:dyDescent="0.3">
      <c r="C695" t="s">
        <v>418</v>
      </c>
      <c r="D695" t="s">
        <v>363</v>
      </c>
      <c r="E695" t="s">
        <v>13</v>
      </c>
      <c r="F695" t="s">
        <v>10</v>
      </c>
      <c r="G695">
        <v>935</v>
      </c>
    </row>
    <row r="696" spans="3:7" hidden="1" x14ac:dyDescent="0.3">
      <c r="C696" t="s">
        <v>7</v>
      </c>
      <c r="D696" t="s">
        <v>618</v>
      </c>
      <c r="E696" t="s">
        <v>13</v>
      </c>
      <c r="F696" t="s">
        <v>136</v>
      </c>
      <c r="G696">
        <v>932.51581846821</v>
      </c>
    </row>
    <row r="697" spans="3:7" hidden="1" x14ac:dyDescent="0.3">
      <c r="C697" t="s">
        <v>7</v>
      </c>
      <c r="D697" t="s">
        <v>239</v>
      </c>
      <c r="E697" t="s">
        <v>13</v>
      </c>
      <c r="F697" t="s">
        <v>240</v>
      </c>
      <c r="G697">
        <v>932.33540906554094</v>
      </c>
    </row>
    <row r="698" spans="3:7" hidden="1" x14ac:dyDescent="0.3">
      <c r="C698" t="s">
        <v>78</v>
      </c>
      <c r="D698" t="s">
        <v>619</v>
      </c>
      <c r="E698" t="s">
        <v>13</v>
      </c>
      <c r="F698" t="s">
        <v>10</v>
      </c>
      <c r="G698">
        <v>930</v>
      </c>
    </row>
    <row r="699" spans="3:7" hidden="1" x14ac:dyDescent="0.3">
      <c r="C699" t="s">
        <v>21</v>
      </c>
      <c r="D699" t="s">
        <v>620</v>
      </c>
      <c r="E699" t="s">
        <v>13</v>
      </c>
      <c r="F699" t="s">
        <v>136</v>
      </c>
      <c r="G699">
        <v>918.04599999999903</v>
      </c>
    </row>
    <row r="700" spans="3:7" hidden="1" x14ac:dyDescent="0.3">
      <c r="C700" t="s">
        <v>11</v>
      </c>
      <c r="D700" t="s">
        <v>621</v>
      </c>
      <c r="E700" t="s">
        <v>17</v>
      </c>
      <c r="F700" t="s">
        <v>136</v>
      </c>
      <c r="G700">
        <v>915.41499999999996</v>
      </c>
    </row>
    <row r="701" spans="3:7" hidden="1" x14ac:dyDescent="0.3">
      <c r="C701" t="s">
        <v>11</v>
      </c>
      <c r="D701" t="s">
        <v>410</v>
      </c>
      <c r="E701" t="s">
        <v>13</v>
      </c>
      <c r="F701" t="s">
        <v>136</v>
      </c>
      <c r="G701">
        <v>907.62375555252095</v>
      </c>
    </row>
    <row r="702" spans="3:7" hidden="1" x14ac:dyDescent="0.3">
      <c r="C702" t="s">
        <v>21</v>
      </c>
      <c r="D702" t="s">
        <v>191</v>
      </c>
      <c r="E702" t="s">
        <v>13</v>
      </c>
      <c r="F702" t="s">
        <v>10</v>
      </c>
      <c r="G702">
        <v>899</v>
      </c>
    </row>
    <row r="703" spans="3:7" hidden="1" x14ac:dyDescent="0.3">
      <c r="C703" t="s">
        <v>11</v>
      </c>
      <c r="D703" t="s">
        <v>622</v>
      </c>
      <c r="E703" t="s">
        <v>13</v>
      </c>
      <c r="F703" t="s">
        <v>136</v>
      </c>
      <c r="G703">
        <v>894.15638121279903</v>
      </c>
    </row>
    <row r="704" spans="3:7" hidden="1" x14ac:dyDescent="0.3">
      <c r="C704" t="s">
        <v>11</v>
      </c>
      <c r="D704" t="s">
        <v>623</v>
      </c>
      <c r="E704" t="s">
        <v>9</v>
      </c>
      <c r="F704" t="s">
        <v>136</v>
      </c>
      <c r="G704">
        <v>893.08399999999995</v>
      </c>
    </row>
    <row r="705" spans="3:7" hidden="1" x14ac:dyDescent="0.3">
      <c r="C705" t="s">
        <v>21</v>
      </c>
      <c r="D705" t="s">
        <v>509</v>
      </c>
      <c r="E705" t="s">
        <v>9</v>
      </c>
      <c r="F705" t="s">
        <v>136</v>
      </c>
      <c r="G705">
        <v>892.89867795641305</v>
      </c>
    </row>
    <row r="706" spans="3:7" hidden="1" x14ac:dyDescent="0.3">
      <c r="C706" t="s">
        <v>188</v>
      </c>
      <c r="D706" t="s">
        <v>624</v>
      </c>
      <c r="E706" t="s">
        <v>9</v>
      </c>
      <c r="F706" t="s">
        <v>10</v>
      </c>
      <c r="G706">
        <v>890</v>
      </c>
    </row>
    <row r="707" spans="3:7" hidden="1" x14ac:dyDescent="0.3">
      <c r="C707" t="s">
        <v>126</v>
      </c>
      <c r="D707" t="s">
        <v>625</v>
      </c>
      <c r="E707" t="s">
        <v>13</v>
      </c>
      <c r="F707" t="s">
        <v>136</v>
      </c>
      <c r="G707">
        <v>888.41999999999905</v>
      </c>
    </row>
    <row r="708" spans="3:7" hidden="1" x14ac:dyDescent="0.3">
      <c r="C708" t="s">
        <v>188</v>
      </c>
      <c r="D708" t="s">
        <v>111</v>
      </c>
      <c r="E708" t="s">
        <v>13</v>
      </c>
      <c r="F708" t="s">
        <v>10</v>
      </c>
      <c r="G708">
        <v>888</v>
      </c>
    </row>
    <row r="709" spans="3:7" hidden="1" x14ac:dyDescent="0.3">
      <c r="C709" t="s">
        <v>21</v>
      </c>
      <c r="D709" t="s">
        <v>626</v>
      </c>
      <c r="E709" t="s">
        <v>9</v>
      </c>
      <c r="F709" t="s">
        <v>10</v>
      </c>
      <c r="G709">
        <v>888</v>
      </c>
    </row>
    <row r="710" spans="3:7" hidden="1" x14ac:dyDescent="0.3">
      <c r="C710" t="s">
        <v>21</v>
      </c>
      <c r="D710" t="s">
        <v>627</v>
      </c>
      <c r="E710" t="s">
        <v>9</v>
      </c>
      <c r="F710" t="s">
        <v>10</v>
      </c>
      <c r="G710">
        <v>888</v>
      </c>
    </row>
    <row r="711" spans="3:7" hidden="1" x14ac:dyDescent="0.3">
      <c r="C711" t="s">
        <v>21</v>
      </c>
      <c r="D711" t="s">
        <v>628</v>
      </c>
      <c r="E711" t="s">
        <v>9</v>
      </c>
      <c r="F711" t="s">
        <v>10</v>
      </c>
      <c r="G711">
        <v>888</v>
      </c>
    </row>
    <row r="712" spans="3:7" hidden="1" x14ac:dyDescent="0.3">
      <c r="C712" t="s">
        <v>21</v>
      </c>
      <c r="D712" t="s">
        <v>629</v>
      </c>
      <c r="E712" t="s">
        <v>9</v>
      </c>
      <c r="F712" t="s">
        <v>10</v>
      </c>
      <c r="G712">
        <v>888</v>
      </c>
    </row>
    <row r="713" spans="3:7" hidden="1" x14ac:dyDescent="0.3">
      <c r="C713" t="s">
        <v>7</v>
      </c>
      <c r="D713" t="s">
        <v>630</v>
      </c>
      <c r="E713" t="s">
        <v>9</v>
      </c>
      <c r="F713" t="s">
        <v>136</v>
      </c>
      <c r="G713">
        <v>886.44540975022198</v>
      </c>
    </row>
    <row r="714" spans="3:7" hidden="1" x14ac:dyDescent="0.3">
      <c r="C714" t="s">
        <v>188</v>
      </c>
      <c r="D714" t="s">
        <v>382</v>
      </c>
      <c r="E714" t="s">
        <v>13</v>
      </c>
      <c r="F714" t="s">
        <v>10</v>
      </c>
      <c r="G714">
        <v>880</v>
      </c>
    </row>
    <row r="715" spans="3:7" hidden="1" x14ac:dyDescent="0.3">
      <c r="C715" t="s">
        <v>21</v>
      </c>
      <c r="D715" t="s">
        <v>507</v>
      </c>
      <c r="E715" t="s">
        <v>17</v>
      </c>
      <c r="F715" t="s">
        <v>136</v>
      </c>
      <c r="G715">
        <v>875.349999999999</v>
      </c>
    </row>
    <row r="716" spans="3:7" hidden="1" x14ac:dyDescent="0.3">
      <c r="C716" t="s">
        <v>21</v>
      </c>
      <c r="D716" t="s">
        <v>631</v>
      </c>
      <c r="E716" t="s">
        <v>17</v>
      </c>
      <c r="F716" t="s">
        <v>136</v>
      </c>
      <c r="G716">
        <v>873.83999999999901</v>
      </c>
    </row>
    <row r="717" spans="3:7" hidden="1" x14ac:dyDescent="0.3">
      <c r="C717" t="s">
        <v>14</v>
      </c>
      <c r="D717" t="s">
        <v>632</v>
      </c>
      <c r="E717" t="s">
        <v>13</v>
      </c>
      <c r="F717" t="s">
        <v>136</v>
      </c>
      <c r="G717">
        <v>861.60273972602704</v>
      </c>
    </row>
    <row r="718" spans="3:7" hidden="1" x14ac:dyDescent="0.3">
      <c r="C718" t="s">
        <v>188</v>
      </c>
      <c r="D718" t="s">
        <v>311</v>
      </c>
      <c r="E718" t="s">
        <v>13</v>
      </c>
      <c r="F718" t="s">
        <v>10</v>
      </c>
      <c r="G718">
        <v>860</v>
      </c>
    </row>
    <row r="719" spans="3:7" hidden="1" x14ac:dyDescent="0.3">
      <c r="C719" t="s">
        <v>78</v>
      </c>
      <c r="D719" t="s">
        <v>633</v>
      </c>
      <c r="E719" t="s">
        <v>13</v>
      </c>
      <c r="F719" t="s">
        <v>10</v>
      </c>
      <c r="G719">
        <v>860</v>
      </c>
    </row>
    <row r="720" spans="3:7" hidden="1" x14ac:dyDescent="0.3">
      <c r="C720" t="s">
        <v>78</v>
      </c>
      <c r="D720" t="s">
        <v>634</v>
      </c>
      <c r="E720" t="s">
        <v>13</v>
      </c>
      <c r="F720" t="s">
        <v>10</v>
      </c>
      <c r="G720">
        <v>860</v>
      </c>
    </row>
    <row r="721" spans="3:7" hidden="1" x14ac:dyDescent="0.3">
      <c r="C721" t="s">
        <v>14</v>
      </c>
      <c r="D721" t="s">
        <v>635</v>
      </c>
      <c r="E721" t="s">
        <v>13</v>
      </c>
      <c r="F721" t="s">
        <v>136</v>
      </c>
      <c r="G721">
        <v>853.82356271320998</v>
      </c>
    </row>
    <row r="722" spans="3:7" hidden="1" x14ac:dyDescent="0.3">
      <c r="C722" t="s">
        <v>188</v>
      </c>
      <c r="D722" t="s">
        <v>636</v>
      </c>
      <c r="E722" t="s">
        <v>13</v>
      </c>
      <c r="F722" t="s">
        <v>10</v>
      </c>
      <c r="G722">
        <v>846</v>
      </c>
    </row>
    <row r="723" spans="3:7" hidden="1" x14ac:dyDescent="0.3">
      <c r="C723" t="s">
        <v>7</v>
      </c>
      <c r="D723" t="s">
        <v>637</v>
      </c>
      <c r="E723" t="s">
        <v>17</v>
      </c>
      <c r="F723" t="s">
        <v>136</v>
      </c>
      <c r="G723">
        <v>845.74</v>
      </c>
    </row>
    <row r="724" spans="3:7" hidden="1" x14ac:dyDescent="0.3">
      <c r="C724" t="s">
        <v>418</v>
      </c>
      <c r="D724" t="s">
        <v>449</v>
      </c>
      <c r="E724" t="s">
        <v>13</v>
      </c>
      <c r="F724" t="s">
        <v>10</v>
      </c>
      <c r="G724">
        <v>843</v>
      </c>
    </row>
    <row r="725" spans="3:7" hidden="1" x14ac:dyDescent="0.3">
      <c r="C725" t="s">
        <v>78</v>
      </c>
      <c r="D725" t="s">
        <v>638</v>
      </c>
      <c r="E725" t="s">
        <v>13</v>
      </c>
      <c r="F725" t="s">
        <v>10</v>
      </c>
      <c r="G725">
        <v>841</v>
      </c>
    </row>
    <row r="726" spans="3:7" hidden="1" x14ac:dyDescent="0.3">
      <c r="C726" t="s">
        <v>19</v>
      </c>
      <c r="D726" t="s">
        <v>639</v>
      </c>
      <c r="E726" t="s">
        <v>13</v>
      </c>
      <c r="F726" t="s">
        <v>136</v>
      </c>
      <c r="G726">
        <v>836.66242345000001</v>
      </c>
    </row>
    <row r="727" spans="3:7" hidden="1" x14ac:dyDescent="0.3">
      <c r="C727" t="s">
        <v>19</v>
      </c>
      <c r="D727" t="s">
        <v>640</v>
      </c>
      <c r="E727" t="s">
        <v>13</v>
      </c>
      <c r="F727" t="s">
        <v>136</v>
      </c>
      <c r="G727">
        <v>835.546875</v>
      </c>
    </row>
    <row r="728" spans="3:7" hidden="1" x14ac:dyDescent="0.3">
      <c r="C728" t="s">
        <v>269</v>
      </c>
      <c r="D728" t="s">
        <v>641</v>
      </c>
      <c r="E728" t="s">
        <v>13</v>
      </c>
      <c r="F728" t="s">
        <v>10</v>
      </c>
      <c r="G728">
        <v>833</v>
      </c>
    </row>
    <row r="729" spans="3:7" hidden="1" x14ac:dyDescent="0.3">
      <c r="C729" t="s">
        <v>11</v>
      </c>
      <c r="D729" t="s">
        <v>642</v>
      </c>
      <c r="E729" t="s">
        <v>13</v>
      </c>
      <c r="F729" t="s">
        <v>136</v>
      </c>
      <c r="G729">
        <v>831.40240692684301</v>
      </c>
    </row>
    <row r="730" spans="3:7" hidden="1" x14ac:dyDescent="0.3">
      <c r="C730" t="s">
        <v>21</v>
      </c>
      <c r="D730" t="s">
        <v>643</v>
      </c>
      <c r="E730" t="s">
        <v>17</v>
      </c>
      <c r="F730" t="s">
        <v>136</v>
      </c>
      <c r="G730">
        <v>825.70999999999901</v>
      </c>
    </row>
    <row r="731" spans="3:7" hidden="1" x14ac:dyDescent="0.3">
      <c r="C731" t="s">
        <v>21</v>
      </c>
      <c r="D731" t="s">
        <v>644</v>
      </c>
      <c r="E731" t="s">
        <v>17</v>
      </c>
      <c r="F731" t="s">
        <v>136</v>
      </c>
      <c r="G731">
        <v>825.38</v>
      </c>
    </row>
    <row r="732" spans="3:7" hidden="1" x14ac:dyDescent="0.3">
      <c r="C732" t="s">
        <v>7</v>
      </c>
      <c r="D732" t="s">
        <v>645</v>
      </c>
      <c r="E732" t="s">
        <v>13</v>
      </c>
      <c r="F732" t="s">
        <v>136</v>
      </c>
      <c r="G732">
        <v>820.53699795050602</v>
      </c>
    </row>
    <row r="733" spans="3:7" hidden="1" x14ac:dyDescent="0.3">
      <c r="C733" t="s">
        <v>21</v>
      </c>
      <c r="D733" t="s">
        <v>646</v>
      </c>
      <c r="E733" t="s">
        <v>9</v>
      </c>
      <c r="F733" t="s">
        <v>10</v>
      </c>
      <c r="G733">
        <v>820</v>
      </c>
    </row>
    <row r="734" spans="3:7" hidden="1" x14ac:dyDescent="0.3">
      <c r="C734" t="s">
        <v>21</v>
      </c>
      <c r="D734" t="s">
        <v>647</v>
      </c>
      <c r="E734" t="s">
        <v>13</v>
      </c>
      <c r="F734" t="s">
        <v>136</v>
      </c>
      <c r="G734">
        <v>806.42812339495504</v>
      </c>
    </row>
    <row r="735" spans="3:7" hidden="1" x14ac:dyDescent="0.3">
      <c r="C735" t="s">
        <v>11</v>
      </c>
      <c r="D735" t="s">
        <v>648</v>
      </c>
      <c r="E735" t="s">
        <v>9</v>
      </c>
      <c r="F735" t="s">
        <v>136</v>
      </c>
      <c r="G735">
        <v>799.95</v>
      </c>
    </row>
    <row r="736" spans="3:7" hidden="1" x14ac:dyDescent="0.3">
      <c r="C736" t="s">
        <v>11</v>
      </c>
      <c r="D736" t="s">
        <v>377</v>
      </c>
      <c r="E736" t="s">
        <v>13</v>
      </c>
      <c r="F736" t="s">
        <v>136</v>
      </c>
      <c r="G736">
        <v>797.168359941944</v>
      </c>
    </row>
    <row r="737" spans="3:7" hidden="1" x14ac:dyDescent="0.3">
      <c r="C737" t="s">
        <v>11</v>
      </c>
      <c r="D737" t="s">
        <v>390</v>
      </c>
      <c r="E737" t="s">
        <v>13</v>
      </c>
      <c r="F737" t="s">
        <v>136</v>
      </c>
      <c r="G737">
        <v>794.36929382112805</v>
      </c>
    </row>
    <row r="738" spans="3:7" x14ac:dyDescent="0.3">
      <c r="C738" t="s">
        <v>78</v>
      </c>
      <c r="D738" t="s">
        <v>135</v>
      </c>
      <c r="E738" t="s">
        <v>13</v>
      </c>
      <c r="F738" t="s">
        <v>136</v>
      </c>
      <c r="G738">
        <v>793.17372218468597</v>
      </c>
    </row>
    <row r="739" spans="3:7" hidden="1" x14ac:dyDescent="0.3">
      <c r="C739" t="s">
        <v>21</v>
      </c>
      <c r="D739" t="s">
        <v>111</v>
      </c>
      <c r="E739" t="s">
        <v>13</v>
      </c>
      <c r="F739" t="s">
        <v>10</v>
      </c>
      <c r="G739">
        <v>788</v>
      </c>
    </row>
    <row r="740" spans="3:7" hidden="1" x14ac:dyDescent="0.3">
      <c r="C740" t="s">
        <v>429</v>
      </c>
      <c r="D740" t="s">
        <v>649</v>
      </c>
      <c r="E740" t="s">
        <v>13</v>
      </c>
      <c r="F740" t="s">
        <v>10</v>
      </c>
      <c r="G740">
        <v>782</v>
      </c>
    </row>
    <row r="741" spans="3:7" hidden="1" x14ac:dyDescent="0.3">
      <c r="C741" t="s">
        <v>14</v>
      </c>
      <c r="D741" t="s">
        <v>650</v>
      </c>
      <c r="E741" t="s">
        <v>13</v>
      </c>
      <c r="F741" t="s">
        <v>240</v>
      </c>
      <c r="G741">
        <v>777.78751399961004</v>
      </c>
    </row>
    <row r="742" spans="3:7" hidden="1" x14ac:dyDescent="0.3">
      <c r="C742" t="s">
        <v>14</v>
      </c>
      <c r="D742" t="s">
        <v>651</v>
      </c>
      <c r="E742" t="s">
        <v>13</v>
      </c>
      <c r="F742" t="s">
        <v>136</v>
      </c>
      <c r="G742">
        <v>770.9</v>
      </c>
    </row>
    <row r="743" spans="3:7" hidden="1" x14ac:dyDescent="0.3">
      <c r="C743" t="s">
        <v>21</v>
      </c>
      <c r="D743" t="s">
        <v>532</v>
      </c>
      <c r="E743" t="s">
        <v>13</v>
      </c>
      <c r="F743" t="s">
        <v>136</v>
      </c>
      <c r="G743">
        <v>768.13307569932601</v>
      </c>
    </row>
    <row r="744" spans="3:7" hidden="1" x14ac:dyDescent="0.3">
      <c r="C744" t="s">
        <v>19</v>
      </c>
      <c r="D744" t="s">
        <v>396</v>
      </c>
      <c r="E744" t="s">
        <v>13</v>
      </c>
      <c r="F744" t="s">
        <v>240</v>
      </c>
      <c r="G744">
        <v>762.68989823772802</v>
      </c>
    </row>
    <row r="745" spans="3:7" hidden="1" x14ac:dyDescent="0.3">
      <c r="C745" t="s">
        <v>11</v>
      </c>
      <c r="D745" t="s">
        <v>652</v>
      </c>
      <c r="E745" t="s">
        <v>17</v>
      </c>
      <c r="F745" t="s">
        <v>136</v>
      </c>
      <c r="G745">
        <v>756.62599999999998</v>
      </c>
    </row>
    <row r="746" spans="3:7" hidden="1" x14ac:dyDescent="0.3">
      <c r="C746" t="s">
        <v>7</v>
      </c>
      <c r="D746" t="s">
        <v>653</v>
      </c>
      <c r="E746" t="s">
        <v>13</v>
      </c>
      <c r="F746" t="s">
        <v>240</v>
      </c>
      <c r="G746">
        <v>753.77407571039498</v>
      </c>
    </row>
    <row r="747" spans="3:7" hidden="1" x14ac:dyDescent="0.3">
      <c r="C747" t="s">
        <v>21</v>
      </c>
      <c r="D747" t="s">
        <v>403</v>
      </c>
      <c r="E747" t="s">
        <v>13</v>
      </c>
      <c r="F747" t="s">
        <v>136</v>
      </c>
      <c r="G747">
        <v>750.38339199607105</v>
      </c>
    </row>
    <row r="748" spans="3:7" hidden="1" x14ac:dyDescent="0.3">
      <c r="C748" t="s">
        <v>19</v>
      </c>
      <c r="D748" t="s">
        <v>654</v>
      </c>
      <c r="E748" t="s">
        <v>9</v>
      </c>
      <c r="F748" t="s">
        <v>136</v>
      </c>
      <c r="G748">
        <v>743.31151515151498</v>
      </c>
    </row>
    <row r="749" spans="3:7" hidden="1" x14ac:dyDescent="0.3">
      <c r="C749" t="s">
        <v>14</v>
      </c>
      <c r="D749" t="s">
        <v>655</v>
      </c>
      <c r="E749" t="s">
        <v>13</v>
      </c>
      <c r="F749" t="s">
        <v>136</v>
      </c>
      <c r="G749">
        <v>735.93333333333305</v>
      </c>
    </row>
    <row r="750" spans="3:7" hidden="1" x14ac:dyDescent="0.3">
      <c r="C750" t="s">
        <v>78</v>
      </c>
      <c r="D750" t="s">
        <v>656</v>
      </c>
      <c r="E750" t="s">
        <v>9</v>
      </c>
      <c r="F750" t="s">
        <v>136</v>
      </c>
      <c r="G750">
        <v>733.68569302083495</v>
      </c>
    </row>
    <row r="751" spans="3:7" hidden="1" x14ac:dyDescent="0.3">
      <c r="C751" t="s">
        <v>7</v>
      </c>
      <c r="D751" t="s">
        <v>657</v>
      </c>
      <c r="E751" t="s">
        <v>13</v>
      </c>
      <c r="F751" t="s">
        <v>136</v>
      </c>
      <c r="G751">
        <v>733.17543924830602</v>
      </c>
    </row>
    <row r="752" spans="3:7" hidden="1" x14ac:dyDescent="0.3">
      <c r="C752" t="s">
        <v>19</v>
      </c>
      <c r="D752" t="s">
        <v>658</v>
      </c>
      <c r="E752" t="s">
        <v>17</v>
      </c>
      <c r="F752" t="s">
        <v>136</v>
      </c>
      <c r="G752">
        <v>729.60599999999999</v>
      </c>
    </row>
    <row r="753" spans="3:7" hidden="1" x14ac:dyDescent="0.3">
      <c r="C753" t="s">
        <v>90</v>
      </c>
      <c r="D753" t="s">
        <v>659</v>
      </c>
      <c r="E753" t="s">
        <v>17</v>
      </c>
      <c r="F753" t="s">
        <v>136</v>
      </c>
      <c r="G753">
        <v>726.9</v>
      </c>
    </row>
    <row r="754" spans="3:7" hidden="1" x14ac:dyDescent="0.3">
      <c r="C754" t="s">
        <v>278</v>
      </c>
      <c r="D754" t="s">
        <v>171</v>
      </c>
      <c r="E754" t="s">
        <v>13</v>
      </c>
      <c r="F754" t="s">
        <v>136</v>
      </c>
      <c r="G754">
        <v>724.04</v>
      </c>
    </row>
    <row r="755" spans="3:7" hidden="1" x14ac:dyDescent="0.3">
      <c r="C755" t="s">
        <v>7</v>
      </c>
      <c r="D755" t="s">
        <v>660</v>
      </c>
      <c r="E755" t="s">
        <v>17</v>
      </c>
      <c r="F755" t="s">
        <v>136</v>
      </c>
      <c r="G755">
        <v>721.5</v>
      </c>
    </row>
    <row r="756" spans="3:7" hidden="1" x14ac:dyDescent="0.3">
      <c r="C756" t="s">
        <v>19</v>
      </c>
      <c r="D756" t="s">
        <v>653</v>
      </c>
      <c r="E756" t="s">
        <v>13</v>
      </c>
      <c r="F756" t="s">
        <v>240</v>
      </c>
      <c r="G756">
        <v>720.91198753167203</v>
      </c>
    </row>
    <row r="757" spans="3:7" hidden="1" x14ac:dyDescent="0.3">
      <c r="C757" t="s">
        <v>11</v>
      </c>
      <c r="D757" t="s">
        <v>661</v>
      </c>
      <c r="E757" t="s">
        <v>17</v>
      </c>
      <c r="F757" t="s">
        <v>136</v>
      </c>
      <c r="G757">
        <v>719.79</v>
      </c>
    </row>
    <row r="758" spans="3:7" hidden="1" x14ac:dyDescent="0.3">
      <c r="C758" t="s">
        <v>126</v>
      </c>
      <c r="D758" t="s">
        <v>479</v>
      </c>
      <c r="E758" t="s">
        <v>17</v>
      </c>
      <c r="F758" t="s">
        <v>136</v>
      </c>
      <c r="G758">
        <v>704.44499999999903</v>
      </c>
    </row>
    <row r="759" spans="3:7" hidden="1" x14ac:dyDescent="0.3">
      <c r="C759" t="s">
        <v>188</v>
      </c>
      <c r="D759" t="s">
        <v>662</v>
      </c>
      <c r="E759" t="s">
        <v>13</v>
      </c>
      <c r="F759" t="s">
        <v>10</v>
      </c>
      <c r="G759">
        <v>704</v>
      </c>
    </row>
    <row r="760" spans="3:7" hidden="1" x14ac:dyDescent="0.3">
      <c r="C760" t="s">
        <v>11</v>
      </c>
      <c r="D760" t="s">
        <v>663</v>
      </c>
      <c r="E760" t="s">
        <v>13</v>
      </c>
      <c r="F760" t="s">
        <v>136</v>
      </c>
      <c r="G760">
        <v>701.46500000000003</v>
      </c>
    </row>
    <row r="761" spans="3:7" hidden="1" x14ac:dyDescent="0.3">
      <c r="C761" t="s">
        <v>90</v>
      </c>
      <c r="D761" t="s">
        <v>664</v>
      </c>
      <c r="E761" t="s">
        <v>9</v>
      </c>
      <c r="F761" t="s">
        <v>136</v>
      </c>
      <c r="G761">
        <v>699.46956521739105</v>
      </c>
    </row>
    <row r="762" spans="3:7" hidden="1" x14ac:dyDescent="0.3">
      <c r="C762" t="s">
        <v>21</v>
      </c>
      <c r="D762" t="s">
        <v>665</v>
      </c>
      <c r="E762" t="s">
        <v>13</v>
      </c>
      <c r="F762" t="s">
        <v>136</v>
      </c>
      <c r="G762">
        <v>696.68</v>
      </c>
    </row>
    <row r="763" spans="3:7" hidden="1" x14ac:dyDescent="0.3">
      <c r="C763" t="s">
        <v>11</v>
      </c>
      <c r="D763" t="s">
        <v>203</v>
      </c>
      <c r="E763" t="s">
        <v>13</v>
      </c>
      <c r="F763" t="s">
        <v>10</v>
      </c>
      <c r="G763">
        <v>694</v>
      </c>
    </row>
    <row r="764" spans="3:7" hidden="1" x14ac:dyDescent="0.3">
      <c r="C764" t="s">
        <v>21</v>
      </c>
      <c r="D764" t="s">
        <v>114</v>
      </c>
      <c r="E764" t="s">
        <v>13</v>
      </c>
      <c r="F764" t="s">
        <v>10</v>
      </c>
      <c r="G764">
        <v>691</v>
      </c>
    </row>
    <row r="765" spans="3:7" hidden="1" x14ac:dyDescent="0.3">
      <c r="C765" t="s">
        <v>7</v>
      </c>
      <c r="D765" t="s">
        <v>666</v>
      </c>
      <c r="E765" t="s">
        <v>17</v>
      </c>
      <c r="F765" t="s">
        <v>136</v>
      </c>
      <c r="G765">
        <v>689.97475460122598</v>
      </c>
    </row>
    <row r="766" spans="3:7" hidden="1" x14ac:dyDescent="0.3">
      <c r="C766" t="s">
        <v>7</v>
      </c>
      <c r="D766" t="s">
        <v>667</v>
      </c>
      <c r="E766" t="s">
        <v>17</v>
      </c>
      <c r="F766" t="s">
        <v>136</v>
      </c>
      <c r="G766">
        <v>689.25107827842498</v>
      </c>
    </row>
    <row r="767" spans="3:7" hidden="1" x14ac:dyDescent="0.3">
      <c r="C767" t="s">
        <v>21</v>
      </c>
      <c r="D767" t="s">
        <v>668</v>
      </c>
      <c r="E767" t="s">
        <v>13</v>
      </c>
      <c r="F767" t="s">
        <v>10</v>
      </c>
      <c r="G767">
        <v>688</v>
      </c>
    </row>
    <row r="768" spans="3:7" hidden="1" x14ac:dyDescent="0.3">
      <c r="C768" t="s">
        <v>19</v>
      </c>
      <c r="D768" t="s">
        <v>669</v>
      </c>
      <c r="E768" t="s">
        <v>13</v>
      </c>
      <c r="F768" t="s">
        <v>10</v>
      </c>
      <c r="G768">
        <v>684</v>
      </c>
    </row>
    <row r="769" spans="3:7" hidden="1" x14ac:dyDescent="0.3">
      <c r="C769" t="s">
        <v>19</v>
      </c>
      <c r="D769" t="s">
        <v>670</v>
      </c>
      <c r="E769" t="s">
        <v>17</v>
      </c>
      <c r="F769" t="s">
        <v>29</v>
      </c>
      <c r="G769">
        <v>684</v>
      </c>
    </row>
    <row r="770" spans="3:7" hidden="1" x14ac:dyDescent="0.3">
      <c r="C770" t="s">
        <v>78</v>
      </c>
      <c r="D770" t="s">
        <v>171</v>
      </c>
      <c r="E770" t="s">
        <v>13</v>
      </c>
      <c r="F770" t="s">
        <v>136</v>
      </c>
      <c r="G770">
        <v>677.04628824636097</v>
      </c>
    </row>
    <row r="771" spans="3:7" hidden="1" x14ac:dyDescent="0.3">
      <c r="C771" t="s">
        <v>11</v>
      </c>
      <c r="D771" t="s">
        <v>671</v>
      </c>
      <c r="E771" t="s">
        <v>13</v>
      </c>
      <c r="F771" t="s">
        <v>136</v>
      </c>
      <c r="G771">
        <v>676.83047945205396</v>
      </c>
    </row>
    <row r="772" spans="3:7" hidden="1" x14ac:dyDescent="0.3">
      <c r="C772" t="s">
        <v>21</v>
      </c>
      <c r="D772" t="s">
        <v>561</v>
      </c>
      <c r="E772" t="s">
        <v>9</v>
      </c>
      <c r="F772" t="s">
        <v>136</v>
      </c>
      <c r="G772">
        <v>675.94594594594503</v>
      </c>
    </row>
    <row r="773" spans="3:7" hidden="1" x14ac:dyDescent="0.3">
      <c r="C773" t="s">
        <v>7</v>
      </c>
      <c r="D773" t="s">
        <v>672</v>
      </c>
      <c r="E773" t="s">
        <v>9</v>
      </c>
      <c r="F773" t="s">
        <v>136</v>
      </c>
      <c r="G773">
        <v>669.19757575757501</v>
      </c>
    </row>
    <row r="774" spans="3:7" hidden="1" x14ac:dyDescent="0.3">
      <c r="C774" t="s">
        <v>126</v>
      </c>
      <c r="D774" t="s">
        <v>673</v>
      </c>
      <c r="E774" t="s">
        <v>9</v>
      </c>
      <c r="F774" t="s">
        <v>136</v>
      </c>
      <c r="G774">
        <v>666.31500000000005</v>
      </c>
    </row>
    <row r="775" spans="3:7" hidden="1" x14ac:dyDescent="0.3">
      <c r="C775" t="s">
        <v>21</v>
      </c>
      <c r="D775" t="s">
        <v>674</v>
      </c>
      <c r="E775" t="s">
        <v>17</v>
      </c>
      <c r="F775" t="s">
        <v>136</v>
      </c>
      <c r="G775">
        <v>661.06999999999903</v>
      </c>
    </row>
    <row r="776" spans="3:7" hidden="1" x14ac:dyDescent="0.3">
      <c r="C776" t="s">
        <v>21</v>
      </c>
      <c r="D776" t="s">
        <v>675</v>
      </c>
      <c r="E776" t="s">
        <v>9</v>
      </c>
      <c r="F776" t="s">
        <v>10</v>
      </c>
      <c r="G776">
        <v>660</v>
      </c>
    </row>
    <row r="777" spans="3:7" hidden="1" x14ac:dyDescent="0.3">
      <c r="C777" t="s">
        <v>21</v>
      </c>
      <c r="D777" t="s">
        <v>676</v>
      </c>
      <c r="E777" t="s">
        <v>13</v>
      </c>
      <c r="F777" t="s">
        <v>10</v>
      </c>
      <c r="G777">
        <v>658</v>
      </c>
    </row>
    <row r="778" spans="3:7" hidden="1" x14ac:dyDescent="0.3">
      <c r="C778" t="s">
        <v>21</v>
      </c>
      <c r="D778" t="s">
        <v>677</v>
      </c>
      <c r="E778" t="s">
        <v>13</v>
      </c>
      <c r="F778" t="s">
        <v>136</v>
      </c>
      <c r="G778">
        <v>657.49</v>
      </c>
    </row>
    <row r="779" spans="3:7" hidden="1" x14ac:dyDescent="0.3">
      <c r="C779" t="s">
        <v>21</v>
      </c>
      <c r="D779" t="s">
        <v>351</v>
      </c>
      <c r="E779" t="s">
        <v>9</v>
      </c>
      <c r="F779" t="s">
        <v>136</v>
      </c>
      <c r="G779">
        <v>653.05594105087698</v>
      </c>
    </row>
    <row r="780" spans="3:7" hidden="1" x14ac:dyDescent="0.3">
      <c r="C780" t="s">
        <v>165</v>
      </c>
      <c r="D780" t="s">
        <v>678</v>
      </c>
      <c r="E780" t="s">
        <v>13</v>
      </c>
      <c r="F780" t="s">
        <v>10</v>
      </c>
      <c r="G780">
        <v>653</v>
      </c>
    </row>
    <row r="781" spans="3:7" hidden="1" x14ac:dyDescent="0.3">
      <c r="C781" t="s">
        <v>19</v>
      </c>
      <c r="D781" t="s">
        <v>679</v>
      </c>
      <c r="E781" t="s">
        <v>13</v>
      </c>
      <c r="F781" t="s">
        <v>240</v>
      </c>
      <c r="G781">
        <v>652.75025810553495</v>
      </c>
    </row>
    <row r="782" spans="3:7" hidden="1" x14ac:dyDescent="0.3">
      <c r="C782" t="s">
        <v>7</v>
      </c>
      <c r="D782" t="s">
        <v>680</v>
      </c>
      <c r="E782" t="s">
        <v>13</v>
      </c>
      <c r="F782" t="s">
        <v>240</v>
      </c>
      <c r="G782">
        <v>650.25916013581696</v>
      </c>
    </row>
    <row r="783" spans="3:7" hidden="1" x14ac:dyDescent="0.3">
      <c r="C783" t="s">
        <v>19</v>
      </c>
      <c r="D783" t="s">
        <v>681</v>
      </c>
      <c r="E783" t="s">
        <v>13</v>
      </c>
      <c r="F783" t="s">
        <v>10</v>
      </c>
      <c r="G783">
        <v>650</v>
      </c>
    </row>
    <row r="784" spans="3:7" hidden="1" x14ac:dyDescent="0.3">
      <c r="C784" t="s">
        <v>21</v>
      </c>
      <c r="D784" t="s">
        <v>682</v>
      </c>
      <c r="E784" t="s">
        <v>17</v>
      </c>
      <c r="F784" t="s">
        <v>136</v>
      </c>
      <c r="G784">
        <v>645.96585235211899</v>
      </c>
    </row>
    <row r="785" spans="3:7" hidden="1" x14ac:dyDescent="0.3">
      <c r="C785" t="s">
        <v>11</v>
      </c>
      <c r="D785" t="s">
        <v>683</v>
      </c>
      <c r="E785" t="s">
        <v>9</v>
      </c>
      <c r="F785" t="s">
        <v>136</v>
      </c>
      <c r="G785">
        <v>644.88078612716697</v>
      </c>
    </row>
    <row r="786" spans="3:7" hidden="1" x14ac:dyDescent="0.3">
      <c r="C786" t="s">
        <v>11</v>
      </c>
      <c r="D786" t="s">
        <v>684</v>
      </c>
      <c r="E786" t="s">
        <v>9</v>
      </c>
      <c r="F786" t="s">
        <v>136</v>
      </c>
      <c r="G786">
        <v>644.49</v>
      </c>
    </row>
    <row r="787" spans="3:7" hidden="1" x14ac:dyDescent="0.3">
      <c r="C787" t="s">
        <v>7</v>
      </c>
      <c r="D787" t="s">
        <v>685</v>
      </c>
      <c r="E787" t="s">
        <v>9</v>
      </c>
      <c r="F787" t="s">
        <v>136</v>
      </c>
      <c r="G787">
        <v>644.29499999999996</v>
      </c>
    </row>
    <row r="788" spans="3:7" hidden="1" x14ac:dyDescent="0.3">
      <c r="C788" t="s">
        <v>7</v>
      </c>
      <c r="D788" t="s">
        <v>659</v>
      </c>
      <c r="E788" t="s">
        <v>17</v>
      </c>
      <c r="F788" t="s">
        <v>136</v>
      </c>
      <c r="G788">
        <v>642.64499999999998</v>
      </c>
    </row>
    <row r="789" spans="3:7" hidden="1" x14ac:dyDescent="0.3">
      <c r="C789" t="s">
        <v>19</v>
      </c>
      <c r="D789" t="s">
        <v>686</v>
      </c>
      <c r="E789" t="s">
        <v>13</v>
      </c>
      <c r="F789" t="s">
        <v>240</v>
      </c>
      <c r="G789">
        <v>641.62084967970202</v>
      </c>
    </row>
    <row r="790" spans="3:7" hidden="1" x14ac:dyDescent="0.3">
      <c r="C790" t="s">
        <v>21</v>
      </c>
      <c r="D790" t="s">
        <v>687</v>
      </c>
      <c r="E790" t="s">
        <v>13</v>
      </c>
      <c r="F790" t="s">
        <v>240</v>
      </c>
      <c r="G790">
        <v>640.64268886889795</v>
      </c>
    </row>
    <row r="791" spans="3:7" hidden="1" x14ac:dyDescent="0.3">
      <c r="C791" t="s">
        <v>21</v>
      </c>
      <c r="D791" t="s">
        <v>688</v>
      </c>
      <c r="E791" t="s">
        <v>9</v>
      </c>
      <c r="F791" t="s">
        <v>10</v>
      </c>
      <c r="G791">
        <v>639</v>
      </c>
    </row>
    <row r="792" spans="3:7" hidden="1" x14ac:dyDescent="0.3">
      <c r="C792" t="s">
        <v>21</v>
      </c>
      <c r="D792" t="s">
        <v>689</v>
      </c>
      <c r="E792" t="s">
        <v>9</v>
      </c>
      <c r="F792" t="s">
        <v>10</v>
      </c>
      <c r="G792">
        <v>638</v>
      </c>
    </row>
    <row r="793" spans="3:7" hidden="1" x14ac:dyDescent="0.3">
      <c r="C793" t="s">
        <v>7</v>
      </c>
      <c r="D793" t="s">
        <v>690</v>
      </c>
      <c r="E793" t="s">
        <v>9</v>
      </c>
      <c r="F793" t="s">
        <v>136</v>
      </c>
      <c r="G793">
        <v>634.06270848015004</v>
      </c>
    </row>
    <row r="794" spans="3:7" hidden="1" x14ac:dyDescent="0.3">
      <c r="C794" t="s">
        <v>11</v>
      </c>
      <c r="D794" t="s">
        <v>691</v>
      </c>
      <c r="E794" t="s">
        <v>13</v>
      </c>
      <c r="F794" t="s">
        <v>136</v>
      </c>
      <c r="G794">
        <v>633.766348939566</v>
      </c>
    </row>
    <row r="795" spans="3:7" hidden="1" x14ac:dyDescent="0.3">
      <c r="C795" t="s">
        <v>78</v>
      </c>
      <c r="D795" t="s">
        <v>469</v>
      </c>
      <c r="E795" t="s">
        <v>13</v>
      </c>
      <c r="F795" t="s">
        <v>10</v>
      </c>
      <c r="G795">
        <v>632</v>
      </c>
    </row>
    <row r="796" spans="3:7" hidden="1" x14ac:dyDescent="0.3">
      <c r="C796" t="s">
        <v>429</v>
      </c>
      <c r="D796" t="s">
        <v>692</v>
      </c>
      <c r="E796" t="s">
        <v>13</v>
      </c>
      <c r="F796" t="s">
        <v>10</v>
      </c>
      <c r="G796">
        <v>631</v>
      </c>
    </row>
    <row r="797" spans="3:7" hidden="1" x14ac:dyDescent="0.3">
      <c r="C797" t="s">
        <v>429</v>
      </c>
      <c r="D797" t="s">
        <v>693</v>
      </c>
      <c r="E797" t="s">
        <v>17</v>
      </c>
      <c r="F797" t="s">
        <v>29</v>
      </c>
      <c r="G797">
        <v>630</v>
      </c>
    </row>
    <row r="798" spans="3:7" hidden="1" x14ac:dyDescent="0.3">
      <c r="C798" t="s">
        <v>52</v>
      </c>
      <c r="D798" t="s">
        <v>586</v>
      </c>
      <c r="E798" t="s">
        <v>9</v>
      </c>
      <c r="F798" t="s">
        <v>240</v>
      </c>
      <c r="G798">
        <v>629.54999999999995</v>
      </c>
    </row>
    <row r="799" spans="3:7" hidden="1" x14ac:dyDescent="0.3">
      <c r="C799" t="s">
        <v>52</v>
      </c>
      <c r="D799" t="s">
        <v>694</v>
      </c>
      <c r="E799" t="s">
        <v>17</v>
      </c>
      <c r="F799" t="s">
        <v>240</v>
      </c>
      <c r="G799">
        <v>629.54999999999995</v>
      </c>
    </row>
    <row r="800" spans="3:7" hidden="1" x14ac:dyDescent="0.3">
      <c r="C800" t="s">
        <v>14</v>
      </c>
      <c r="D800" t="s">
        <v>695</v>
      </c>
      <c r="E800" t="s">
        <v>9</v>
      </c>
      <c r="F800" t="s">
        <v>136</v>
      </c>
      <c r="G800">
        <v>628.97</v>
      </c>
    </row>
    <row r="801" spans="3:7" hidden="1" x14ac:dyDescent="0.3">
      <c r="C801" t="s">
        <v>7</v>
      </c>
      <c r="D801" t="s">
        <v>696</v>
      </c>
      <c r="E801" t="s">
        <v>13</v>
      </c>
      <c r="F801" t="s">
        <v>10</v>
      </c>
      <c r="G801">
        <v>626</v>
      </c>
    </row>
    <row r="802" spans="3:7" hidden="1" x14ac:dyDescent="0.3">
      <c r="C802" t="s">
        <v>418</v>
      </c>
      <c r="D802" t="s">
        <v>315</v>
      </c>
      <c r="E802" t="s">
        <v>13</v>
      </c>
      <c r="F802" t="s">
        <v>10</v>
      </c>
      <c r="G802">
        <v>626</v>
      </c>
    </row>
    <row r="803" spans="3:7" hidden="1" x14ac:dyDescent="0.3">
      <c r="C803" t="s">
        <v>7</v>
      </c>
      <c r="D803" t="s">
        <v>697</v>
      </c>
      <c r="E803" t="s">
        <v>9</v>
      </c>
      <c r="F803" t="s">
        <v>10</v>
      </c>
      <c r="G803">
        <v>624</v>
      </c>
    </row>
    <row r="804" spans="3:7" hidden="1" x14ac:dyDescent="0.3">
      <c r="C804" t="s">
        <v>7</v>
      </c>
      <c r="D804" t="s">
        <v>698</v>
      </c>
      <c r="E804" t="s">
        <v>9</v>
      </c>
      <c r="F804" t="s">
        <v>136</v>
      </c>
      <c r="G804">
        <v>623.95999999999901</v>
      </c>
    </row>
    <row r="805" spans="3:7" hidden="1" x14ac:dyDescent="0.3">
      <c r="C805" t="s">
        <v>7</v>
      </c>
      <c r="D805" t="s">
        <v>664</v>
      </c>
      <c r="E805" t="s">
        <v>9</v>
      </c>
      <c r="F805" t="s">
        <v>136</v>
      </c>
      <c r="G805">
        <v>623.04815626756601</v>
      </c>
    </row>
    <row r="806" spans="3:7" hidden="1" x14ac:dyDescent="0.3">
      <c r="C806" t="s">
        <v>14</v>
      </c>
      <c r="D806" t="s">
        <v>699</v>
      </c>
      <c r="E806" t="s">
        <v>9</v>
      </c>
      <c r="F806" t="s">
        <v>136</v>
      </c>
      <c r="G806">
        <v>621.52</v>
      </c>
    </row>
    <row r="807" spans="3:7" hidden="1" x14ac:dyDescent="0.3">
      <c r="C807" t="s">
        <v>90</v>
      </c>
      <c r="D807" t="s">
        <v>700</v>
      </c>
      <c r="E807" t="s">
        <v>13</v>
      </c>
      <c r="F807" t="s">
        <v>10</v>
      </c>
      <c r="G807">
        <v>620</v>
      </c>
    </row>
    <row r="808" spans="3:7" hidden="1" x14ac:dyDescent="0.3">
      <c r="C808" t="s">
        <v>278</v>
      </c>
      <c r="D808" t="s">
        <v>701</v>
      </c>
      <c r="E808" t="s">
        <v>13</v>
      </c>
      <c r="F808" t="s">
        <v>10</v>
      </c>
      <c r="G808">
        <v>619</v>
      </c>
    </row>
    <row r="809" spans="3:7" hidden="1" x14ac:dyDescent="0.3">
      <c r="C809" t="s">
        <v>126</v>
      </c>
      <c r="D809" t="s">
        <v>702</v>
      </c>
      <c r="E809" t="s">
        <v>13</v>
      </c>
      <c r="F809" t="s">
        <v>10</v>
      </c>
      <c r="G809">
        <v>618</v>
      </c>
    </row>
    <row r="810" spans="3:7" hidden="1" x14ac:dyDescent="0.3">
      <c r="C810" t="s">
        <v>429</v>
      </c>
      <c r="D810" t="s">
        <v>703</v>
      </c>
      <c r="E810" t="s">
        <v>13</v>
      </c>
      <c r="F810" t="s">
        <v>10</v>
      </c>
      <c r="G810">
        <v>618</v>
      </c>
    </row>
    <row r="811" spans="3:7" hidden="1" x14ac:dyDescent="0.3">
      <c r="C811" t="s">
        <v>7</v>
      </c>
      <c r="D811" t="s">
        <v>617</v>
      </c>
      <c r="E811" t="s">
        <v>13</v>
      </c>
      <c r="F811" t="s">
        <v>136</v>
      </c>
      <c r="G811">
        <v>617.55385177071901</v>
      </c>
    </row>
    <row r="812" spans="3:7" hidden="1" x14ac:dyDescent="0.3">
      <c r="C812" t="s">
        <v>429</v>
      </c>
      <c r="D812" t="s">
        <v>360</v>
      </c>
      <c r="E812" t="s">
        <v>13</v>
      </c>
      <c r="F812" t="s">
        <v>10</v>
      </c>
      <c r="G812">
        <v>617</v>
      </c>
    </row>
    <row r="813" spans="3:7" hidden="1" x14ac:dyDescent="0.3">
      <c r="C813" t="s">
        <v>429</v>
      </c>
      <c r="D813" t="s">
        <v>704</v>
      </c>
      <c r="E813" t="s">
        <v>13</v>
      </c>
      <c r="F813" t="s">
        <v>10</v>
      </c>
      <c r="G813">
        <v>617</v>
      </c>
    </row>
    <row r="814" spans="3:7" hidden="1" x14ac:dyDescent="0.3">
      <c r="C814" t="s">
        <v>165</v>
      </c>
      <c r="D814" t="s">
        <v>705</v>
      </c>
      <c r="E814" t="s">
        <v>9</v>
      </c>
      <c r="F814" t="s">
        <v>136</v>
      </c>
      <c r="G814">
        <v>614.46</v>
      </c>
    </row>
    <row r="815" spans="3:7" hidden="1" x14ac:dyDescent="0.3">
      <c r="C815" t="s">
        <v>7</v>
      </c>
      <c r="D815" t="s">
        <v>706</v>
      </c>
      <c r="E815" t="s">
        <v>9</v>
      </c>
      <c r="F815" t="s">
        <v>10</v>
      </c>
      <c r="G815">
        <v>614</v>
      </c>
    </row>
    <row r="816" spans="3:7" hidden="1" x14ac:dyDescent="0.3">
      <c r="C816" t="s">
        <v>7</v>
      </c>
      <c r="D816" t="s">
        <v>707</v>
      </c>
      <c r="E816" t="s">
        <v>9</v>
      </c>
      <c r="F816" t="s">
        <v>10</v>
      </c>
      <c r="G816">
        <v>614</v>
      </c>
    </row>
    <row r="817" spans="3:7" hidden="1" x14ac:dyDescent="0.3">
      <c r="C817" t="s">
        <v>418</v>
      </c>
      <c r="D817" t="s">
        <v>335</v>
      </c>
      <c r="E817" t="s">
        <v>13</v>
      </c>
      <c r="F817" t="s">
        <v>10</v>
      </c>
      <c r="G817">
        <v>614</v>
      </c>
    </row>
    <row r="818" spans="3:7" hidden="1" x14ac:dyDescent="0.3">
      <c r="C818" t="s">
        <v>19</v>
      </c>
      <c r="D818" t="s">
        <v>708</v>
      </c>
      <c r="E818" t="s">
        <v>13</v>
      </c>
      <c r="F818" t="s">
        <v>136</v>
      </c>
      <c r="G818">
        <v>611.56999999999903</v>
      </c>
    </row>
    <row r="819" spans="3:7" hidden="1" x14ac:dyDescent="0.3">
      <c r="C819" t="s">
        <v>78</v>
      </c>
      <c r="D819" t="s">
        <v>244</v>
      </c>
      <c r="E819" t="s">
        <v>13</v>
      </c>
      <c r="F819" t="s">
        <v>10</v>
      </c>
      <c r="G819">
        <v>611</v>
      </c>
    </row>
    <row r="820" spans="3:7" hidden="1" x14ac:dyDescent="0.3">
      <c r="C820" t="s">
        <v>19</v>
      </c>
      <c r="D820" t="s">
        <v>709</v>
      </c>
      <c r="E820" t="s">
        <v>9</v>
      </c>
      <c r="F820" t="s">
        <v>136</v>
      </c>
      <c r="G820">
        <v>608.75</v>
      </c>
    </row>
    <row r="821" spans="3:7" hidden="1" x14ac:dyDescent="0.3">
      <c r="C821" t="s">
        <v>19</v>
      </c>
      <c r="D821" t="s">
        <v>710</v>
      </c>
      <c r="E821" t="s">
        <v>17</v>
      </c>
      <c r="F821" t="s">
        <v>136</v>
      </c>
      <c r="G821">
        <v>608.75</v>
      </c>
    </row>
    <row r="822" spans="3:7" hidden="1" x14ac:dyDescent="0.3">
      <c r="C822" t="s">
        <v>11</v>
      </c>
      <c r="D822" t="s">
        <v>711</v>
      </c>
      <c r="E822" t="s">
        <v>9</v>
      </c>
      <c r="F822" t="s">
        <v>136</v>
      </c>
      <c r="G822">
        <v>606.94799999999896</v>
      </c>
    </row>
    <row r="823" spans="3:7" hidden="1" x14ac:dyDescent="0.3">
      <c r="C823" t="s">
        <v>7</v>
      </c>
      <c r="D823" t="s">
        <v>712</v>
      </c>
      <c r="E823" t="s">
        <v>13</v>
      </c>
      <c r="F823" t="s">
        <v>136</v>
      </c>
      <c r="G823">
        <v>606.27615653140697</v>
      </c>
    </row>
    <row r="824" spans="3:7" hidden="1" x14ac:dyDescent="0.3">
      <c r="C824" t="s">
        <v>19</v>
      </c>
      <c r="D824" t="s">
        <v>713</v>
      </c>
      <c r="E824" t="s">
        <v>9</v>
      </c>
      <c r="F824" t="s">
        <v>136</v>
      </c>
      <c r="G824">
        <v>604.505</v>
      </c>
    </row>
    <row r="825" spans="3:7" hidden="1" x14ac:dyDescent="0.3">
      <c r="C825" t="s">
        <v>278</v>
      </c>
      <c r="D825" t="s">
        <v>390</v>
      </c>
      <c r="E825" t="s">
        <v>13</v>
      </c>
      <c r="F825" t="s">
        <v>136</v>
      </c>
      <c r="G825">
        <v>599.4</v>
      </c>
    </row>
    <row r="826" spans="3:7" hidden="1" x14ac:dyDescent="0.3">
      <c r="C826" t="s">
        <v>19</v>
      </c>
      <c r="D826" t="s">
        <v>714</v>
      </c>
      <c r="E826" t="s">
        <v>17</v>
      </c>
      <c r="F826" t="s">
        <v>136</v>
      </c>
      <c r="G826">
        <v>596.07999999999902</v>
      </c>
    </row>
    <row r="827" spans="3:7" hidden="1" x14ac:dyDescent="0.3">
      <c r="C827" t="s">
        <v>7</v>
      </c>
      <c r="D827" t="s">
        <v>635</v>
      </c>
      <c r="E827" t="s">
        <v>13</v>
      </c>
      <c r="F827" t="s">
        <v>136</v>
      </c>
      <c r="G827">
        <v>593.167265612248</v>
      </c>
    </row>
    <row r="828" spans="3:7" hidden="1" x14ac:dyDescent="0.3">
      <c r="C828" t="s">
        <v>7</v>
      </c>
      <c r="D828" t="s">
        <v>715</v>
      </c>
      <c r="E828" t="s">
        <v>17</v>
      </c>
      <c r="F828" t="s">
        <v>136</v>
      </c>
      <c r="G828">
        <v>592.54</v>
      </c>
    </row>
    <row r="829" spans="3:7" hidden="1" x14ac:dyDescent="0.3">
      <c r="C829" t="s">
        <v>19</v>
      </c>
      <c r="D829" t="s">
        <v>716</v>
      </c>
      <c r="E829" t="s">
        <v>9</v>
      </c>
      <c r="F829" t="s">
        <v>29</v>
      </c>
      <c r="G829">
        <v>590</v>
      </c>
    </row>
    <row r="830" spans="3:7" hidden="1" x14ac:dyDescent="0.3">
      <c r="C830" t="s">
        <v>269</v>
      </c>
      <c r="D830" t="s">
        <v>717</v>
      </c>
      <c r="E830" t="s">
        <v>13</v>
      </c>
      <c r="F830" t="s">
        <v>10</v>
      </c>
      <c r="G830">
        <v>584</v>
      </c>
    </row>
    <row r="831" spans="3:7" hidden="1" x14ac:dyDescent="0.3">
      <c r="C831" t="s">
        <v>19</v>
      </c>
      <c r="D831" t="s">
        <v>718</v>
      </c>
      <c r="E831" t="s">
        <v>13</v>
      </c>
      <c r="F831" t="s">
        <v>136</v>
      </c>
      <c r="G831">
        <v>579.77358874458798</v>
      </c>
    </row>
    <row r="832" spans="3:7" hidden="1" x14ac:dyDescent="0.3">
      <c r="C832" t="s">
        <v>21</v>
      </c>
      <c r="D832" t="s">
        <v>719</v>
      </c>
      <c r="E832" t="s">
        <v>17</v>
      </c>
      <c r="F832" t="s">
        <v>136</v>
      </c>
      <c r="G832">
        <v>577.81500000000005</v>
      </c>
    </row>
    <row r="833" spans="3:7" hidden="1" x14ac:dyDescent="0.3">
      <c r="C833" t="s">
        <v>11</v>
      </c>
      <c r="D833" t="s">
        <v>720</v>
      </c>
      <c r="E833" t="s">
        <v>13</v>
      </c>
      <c r="F833" t="s">
        <v>136</v>
      </c>
      <c r="G833">
        <v>577.80771782719603</v>
      </c>
    </row>
    <row r="834" spans="3:7" hidden="1" x14ac:dyDescent="0.3">
      <c r="C834" t="s">
        <v>7</v>
      </c>
      <c r="D834" t="s">
        <v>721</v>
      </c>
      <c r="E834" t="s">
        <v>9</v>
      </c>
      <c r="F834" t="s">
        <v>136</v>
      </c>
      <c r="G834">
        <v>577.73936619718302</v>
      </c>
    </row>
    <row r="835" spans="3:7" hidden="1" x14ac:dyDescent="0.3">
      <c r="C835" t="s">
        <v>11</v>
      </c>
      <c r="D835" t="s">
        <v>722</v>
      </c>
      <c r="E835" t="s">
        <v>13</v>
      </c>
      <c r="F835" t="s">
        <v>136</v>
      </c>
      <c r="G835">
        <v>577.64115777617803</v>
      </c>
    </row>
    <row r="836" spans="3:7" hidden="1" x14ac:dyDescent="0.3">
      <c r="C836" t="s">
        <v>188</v>
      </c>
      <c r="D836" t="s">
        <v>723</v>
      </c>
      <c r="E836" t="s">
        <v>9</v>
      </c>
      <c r="F836" t="s">
        <v>10</v>
      </c>
      <c r="G836">
        <v>576</v>
      </c>
    </row>
    <row r="837" spans="3:7" hidden="1" x14ac:dyDescent="0.3">
      <c r="C837" t="s">
        <v>21</v>
      </c>
      <c r="D837" t="s">
        <v>724</v>
      </c>
      <c r="E837" t="s">
        <v>9</v>
      </c>
      <c r="F837" t="s">
        <v>10</v>
      </c>
      <c r="G837">
        <v>569</v>
      </c>
    </row>
    <row r="838" spans="3:7" hidden="1" x14ac:dyDescent="0.3">
      <c r="C838" t="s">
        <v>21</v>
      </c>
      <c r="D838" t="s">
        <v>157</v>
      </c>
      <c r="E838" t="s">
        <v>13</v>
      </c>
      <c r="F838" t="s">
        <v>10</v>
      </c>
      <c r="G838">
        <v>569</v>
      </c>
    </row>
    <row r="839" spans="3:7" hidden="1" x14ac:dyDescent="0.3">
      <c r="C839" t="s">
        <v>21</v>
      </c>
      <c r="D839" t="s">
        <v>725</v>
      </c>
      <c r="E839" t="s">
        <v>9</v>
      </c>
      <c r="F839" t="s">
        <v>29</v>
      </c>
      <c r="G839">
        <v>569</v>
      </c>
    </row>
    <row r="840" spans="3:7" hidden="1" x14ac:dyDescent="0.3">
      <c r="C840" t="s">
        <v>21</v>
      </c>
      <c r="D840" t="s">
        <v>40</v>
      </c>
      <c r="E840" t="s">
        <v>13</v>
      </c>
      <c r="F840" t="s">
        <v>10</v>
      </c>
      <c r="G840">
        <v>569</v>
      </c>
    </row>
    <row r="841" spans="3:7" hidden="1" x14ac:dyDescent="0.3">
      <c r="C841" t="s">
        <v>21</v>
      </c>
      <c r="D841" t="s">
        <v>726</v>
      </c>
      <c r="E841" t="s">
        <v>13</v>
      </c>
      <c r="F841" t="s">
        <v>136</v>
      </c>
      <c r="G841">
        <v>568.29974103585596</v>
      </c>
    </row>
    <row r="842" spans="3:7" hidden="1" x14ac:dyDescent="0.3">
      <c r="C842" t="s">
        <v>418</v>
      </c>
      <c r="D842" t="s">
        <v>515</v>
      </c>
      <c r="E842" t="s">
        <v>13</v>
      </c>
      <c r="F842" t="s">
        <v>10</v>
      </c>
      <c r="G842">
        <v>565</v>
      </c>
    </row>
    <row r="843" spans="3:7" hidden="1" x14ac:dyDescent="0.3">
      <c r="C843" t="s">
        <v>7</v>
      </c>
      <c r="D843" t="s">
        <v>727</v>
      </c>
      <c r="E843" t="s">
        <v>13</v>
      </c>
      <c r="F843" t="s">
        <v>10</v>
      </c>
      <c r="G843">
        <v>564</v>
      </c>
    </row>
    <row r="844" spans="3:7" hidden="1" x14ac:dyDescent="0.3">
      <c r="C844" t="s">
        <v>11</v>
      </c>
      <c r="D844" t="s">
        <v>728</v>
      </c>
      <c r="E844" t="s">
        <v>13</v>
      </c>
      <c r="F844" t="s">
        <v>136</v>
      </c>
      <c r="G844">
        <v>559.01599151343703</v>
      </c>
    </row>
    <row r="845" spans="3:7" hidden="1" x14ac:dyDescent="0.3">
      <c r="C845" t="s">
        <v>21</v>
      </c>
      <c r="D845" t="s">
        <v>729</v>
      </c>
      <c r="E845" t="s">
        <v>9</v>
      </c>
      <c r="F845" t="s">
        <v>10</v>
      </c>
      <c r="G845">
        <v>553</v>
      </c>
    </row>
    <row r="846" spans="3:7" hidden="1" x14ac:dyDescent="0.3">
      <c r="C846" t="s">
        <v>14</v>
      </c>
      <c r="D846" t="s">
        <v>730</v>
      </c>
      <c r="E846" t="s">
        <v>17</v>
      </c>
      <c r="F846" t="s">
        <v>136</v>
      </c>
      <c r="G846">
        <v>550.32500000000005</v>
      </c>
    </row>
    <row r="847" spans="3:7" hidden="1" x14ac:dyDescent="0.3">
      <c r="C847" t="s">
        <v>7</v>
      </c>
      <c r="D847" t="s">
        <v>731</v>
      </c>
      <c r="E847" t="s">
        <v>13</v>
      </c>
      <c r="F847" t="s">
        <v>240</v>
      </c>
      <c r="G847">
        <v>550.21928934569098</v>
      </c>
    </row>
    <row r="848" spans="3:7" hidden="1" x14ac:dyDescent="0.3">
      <c r="C848" t="s">
        <v>7</v>
      </c>
      <c r="D848" t="s">
        <v>722</v>
      </c>
      <c r="E848" t="s">
        <v>13</v>
      </c>
      <c r="F848" t="s">
        <v>136</v>
      </c>
      <c r="G848">
        <v>549.89008003481899</v>
      </c>
    </row>
    <row r="849" spans="3:7" hidden="1" x14ac:dyDescent="0.3">
      <c r="C849" t="s">
        <v>126</v>
      </c>
      <c r="D849" t="s">
        <v>305</v>
      </c>
      <c r="E849" t="s">
        <v>13</v>
      </c>
      <c r="F849" t="s">
        <v>136</v>
      </c>
      <c r="G849">
        <v>548.61538461538396</v>
      </c>
    </row>
    <row r="850" spans="3:7" hidden="1" x14ac:dyDescent="0.3">
      <c r="C850" t="s">
        <v>126</v>
      </c>
      <c r="D850" t="s">
        <v>171</v>
      </c>
      <c r="E850" t="s">
        <v>13</v>
      </c>
      <c r="F850" t="s">
        <v>136</v>
      </c>
      <c r="G850">
        <v>544.25003690680705</v>
      </c>
    </row>
    <row r="851" spans="3:7" hidden="1" x14ac:dyDescent="0.3">
      <c r="C851" t="s">
        <v>14</v>
      </c>
      <c r="D851" t="s">
        <v>732</v>
      </c>
      <c r="E851" t="s">
        <v>13</v>
      </c>
      <c r="F851" t="s">
        <v>10</v>
      </c>
      <c r="G851">
        <v>544</v>
      </c>
    </row>
    <row r="852" spans="3:7" hidden="1" x14ac:dyDescent="0.3">
      <c r="C852" t="s">
        <v>7</v>
      </c>
      <c r="D852" t="s">
        <v>733</v>
      </c>
      <c r="E852" t="s">
        <v>9</v>
      </c>
      <c r="F852" t="s">
        <v>136</v>
      </c>
      <c r="G852">
        <v>541.59215827338096</v>
      </c>
    </row>
    <row r="853" spans="3:7" hidden="1" x14ac:dyDescent="0.3">
      <c r="C853" t="s">
        <v>11</v>
      </c>
      <c r="D853" t="s">
        <v>734</v>
      </c>
      <c r="E853" t="s">
        <v>9</v>
      </c>
      <c r="F853" t="s">
        <v>10</v>
      </c>
      <c r="G853">
        <v>540</v>
      </c>
    </row>
    <row r="854" spans="3:7" hidden="1" x14ac:dyDescent="0.3">
      <c r="C854" t="s">
        <v>14</v>
      </c>
      <c r="D854" t="s">
        <v>735</v>
      </c>
      <c r="E854" t="s">
        <v>17</v>
      </c>
      <c r="F854" t="s">
        <v>136</v>
      </c>
      <c r="G854">
        <v>538.89</v>
      </c>
    </row>
    <row r="855" spans="3:7" hidden="1" x14ac:dyDescent="0.3">
      <c r="C855" t="s">
        <v>7</v>
      </c>
      <c r="D855" t="s">
        <v>736</v>
      </c>
      <c r="E855" t="s">
        <v>9</v>
      </c>
      <c r="F855" t="s">
        <v>136</v>
      </c>
      <c r="G855">
        <v>538.4</v>
      </c>
    </row>
    <row r="856" spans="3:7" hidden="1" x14ac:dyDescent="0.3">
      <c r="C856" t="s">
        <v>19</v>
      </c>
      <c r="D856" t="s">
        <v>335</v>
      </c>
      <c r="E856" t="s">
        <v>13</v>
      </c>
      <c r="F856" t="s">
        <v>10</v>
      </c>
      <c r="G856">
        <v>538</v>
      </c>
    </row>
    <row r="857" spans="3:7" hidden="1" x14ac:dyDescent="0.3">
      <c r="C857" t="s">
        <v>11</v>
      </c>
      <c r="D857" t="s">
        <v>737</v>
      </c>
      <c r="E857" t="s">
        <v>13</v>
      </c>
      <c r="F857" t="s">
        <v>10</v>
      </c>
      <c r="G857">
        <v>537</v>
      </c>
    </row>
    <row r="858" spans="3:7" hidden="1" x14ac:dyDescent="0.3">
      <c r="C858" t="s">
        <v>78</v>
      </c>
      <c r="D858" t="s">
        <v>335</v>
      </c>
      <c r="E858" t="s">
        <v>13</v>
      </c>
      <c r="F858" t="s">
        <v>10</v>
      </c>
      <c r="G858">
        <v>530</v>
      </c>
    </row>
    <row r="859" spans="3:7" hidden="1" x14ac:dyDescent="0.3">
      <c r="C859" t="s">
        <v>429</v>
      </c>
      <c r="D859" t="s">
        <v>738</v>
      </c>
      <c r="E859" t="s">
        <v>13</v>
      </c>
      <c r="F859" t="s">
        <v>10</v>
      </c>
      <c r="G859">
        <v>530</v>
      </c>
    </row>
    <row r="860" spans="3:7" hidden="1" x14ac:dyDescent="0.3">
      <c r="C860" t="s">
        <v>78</v>
      </c>
      <c r="D860" t="s">
        <v>739</v>
      </c>
      <c r="E860" t="s">
        <v>17</v>
      </c>
      <c r="F860" t="s">
        <v>10</v>
      </c>
      <c r="G860">
        <v>529</v>
      </c>
    </row>
    <row r="861" spans="3:7" hidden="1" x14ac:dyDescent="0.3">
      <c r="C861" t="s">
        <v>78</v>
      </c>
      <c r="D861" t="s">
        <v>740</v>
      </c>
      <c r="E861" t="s">
        <v>13</v>
      </c>
      <c r="F861" t="s">
        <v>10</v>
      </c>
      <c r="G861">
        <v>524</v>
      </c>
    </row>
    <row r="862" spans="3:7" hidden="1" x14ac:dyDescent="0.3">
      <c r="C862" t="s">
        <v>7</v>
      </c>
      <c r="D862" t="s">
        <v>741</v>
      </c>
      <c r="E862" t="s">
        <v>13</v>
      </c>
      <c r="F862" t="s">
        <v>136</v>
      </c>
      <c r="G862">
        <v>522.49123778313196</v>
      </c>
    </row>
    <row r="863" spans="3:7" hidden="1" x14ac:dyDescent="0.3">
      <c r="C863" t="s">
        <v>78</v>
      </c>
      <c r="D863" t="s">
        <v>742</v>
      </c>
      <c r="E863" t="s">
        <v>17</v>
      </c>
      <c r="F863" t="s">
        <v>10</v>
      </c>
      <c r="G863">
        <v>520</v>
      </c>
    </row>
    <row r="864" spans="3:7" hidden="1" x14ac:dyDescent="0.3">
      <c r="C864" t="s">
        <v>78</v>
      </c>
      <c r="D864" t="s">
        <v>743</v>
      </c>
      <c r="E864" t="s">
        <v>13</v>
      </c>
      <c r="F864" t="s">
        <v>10</v>
      </c>
      <c r="G864">
        <v>520</v>
      </c>
    </row>
    <row r="865" spans="3:7" hidden="1" x14ac:dyDescent="0.3">
      <c r="C865" t="s">
        <v>19</v>
      </c>
      <c r="D865" t="s">
        <v>744</v>
      </c>
      <c r="E865" t="s">
        <v>17</v>
      </c>
      <c r="F865" t="s">
        <v>136</v>
      </c>
      <c r="G865">
        <v>518.6</v>
      </c>
    </row>
    <row r="866" spans="3:7" hidden="1" x14ac:dyDescent="0.3">
      <c r="C866" t="s">
        <v>19</v>
      </c>
      <c r="D866" t="s">
        <v>745</v>
      </c>
      <c r="E866" t="s">
        <v>13</v>
      </c>
      <c r="F866" t="s">
        <v>240</v>
      </c>
      <c r="G866">
        <v>517.48240270843803</v>
      </c>
    </row>
    <row r="867" spans="3:7" hidden="1" x14ac:dyDescent="0.3">
      <c r="C867" t="s">
        <v>19</v>
      </c>
      <c r="D867" t="s">
        <v>650</v>
      </c>
      <c r="E867" t="s">
        <v>13</v>
      </c>
      <c r="F867" t="s">
        <v>240</v>
      </c>
      <c r="G867">
        <v>515.35287707103305</v>
      </c>
    </row>
    <row r="868" spans="3:7" hidden="1" x14ac:dyDescent="0.3">
      <c r="C868" t="s">
        <v>7</v>
      </c>
      <c r="D868" t="s">
        <v>746</v>
      </c>
      <c r="E868" t="s">
        <v>17</v>
      </c>
      <c r="F868" t="s">
        <v>136</v>
      </c>
      <c r="G868">
        <v>512.72690713623695</v>
      </c>
    </row>
    <row r="869" spans="3:7" hidden="1" x14ac:dyDescent="0.3">
      <c r="C869" t="s">
        <v>7</v>
      </c>
      <c r="D869" t="s">
        <v>747</v>
      </c>
      <c r="E869" t="s">
        <v>9</v>
      </c>
      <c r="F869" t="s">
        <v>136</v>
      </c>
      <c r="G869">
        <v>512.56969696969702</v>
      </c>
    </row>
    <row r="870" spans="3:7" hidden="1" x14ac:dyDescent="0.3">
      <c r="C870" t="s">
        <v>278</v>
      </c>
      <c r="D870" t="s">
        <v>748</v>
      </c>
      <c r="E870" t="s">
        <v>13</v>
      </c>
      <c r="F870" t="s">
        <v>10</v>
      </c>
      <c r="G870">
        <v>508</v>
      </c>
    </row>
    <row r="871" spans="3:7" hidden="1" x14ac:dyDescent="0.3">
      <c r="C871" t="s">
        <v>78</v>
      </c>
      <c r="D871" t="s">
        <v>749</v>
      </c>
      <c r="E871" t="s">
        <v>17</v>
      </c>
      <c r="F871" t="s">
        <v>136</v>
      </c>
      <c r="G871">
        <v>507.79999999999899</v>
      </c>
    </row>
    <row r="872" spans="3:7" hidden="1" x14ac:dyDescent="0.3">
      <c r="C872" t="s">
        <v>21</v>
      </c>
      <c r="D872" t="s">
        <v>750</v>
      </c>
      <c r="E872" t="s">
        <v>17</v>
      </c>
      <c r="F872" t="s">
        <v>136</v>
      </c>
      <c r="G872">
        <v>507.4</v>
      </c>
    </row>
    <row r="873" spans="3:7" hidden="1" x14ac:dyDescent="0.3">
      <c r="C873" t="s">
        <v>14</v>
      </c>
      <c r="D873" t="s">
        <v>350</v>
      </c>
      <c r="E873" t="s">
        <v>9</v>
      </c>
      <c r="F873" t="s">
        <v>136</v>
      </c>
      <c r="G873">
        <v>506.8</v>
      </c>
    </row>
    <row r="874" spans="3:7" hidden="1" x14ac:dyDescent="0.3">
      <c r="C874" t="s">
        <v>21</v>
      </c>
      <c r="D874" t="s">
        <v>584</v>
      </c>
      <c r="E874" t="s">
        <v>13</v>
      </c>
      <c r="F874" t="s">
        <v>240</v>
      </c>
      <c r="G874">
        <v>505.139651539966</v>
      </c>
    </row>
    <row r="875" spans="3:7" hidden="1" x14ac:dyDescent="0.3">
      <c r="C875" t="s">
        <v>19</v>
      </c>
      <c r="D875" t="s">
        <v>751</v>
      </c>
      <c r="E875" t="s">
        <v>17</v>
      </c>
      <c r="F875" t="s">
        <v>136</v>
      </c>
      <c r="G875">
        <v>505</v>
      </c>
    </row>
    <row r="876" spans="3:7" hidden="1" x14ac:dyDescent="0.3">
      <c r="C876" t="s">
        <v>21</v>
      </c>
      <c r="D876" t="s">
        <v>728</v>
      </c>
      <c r="E876" t="s">
        <v>13</v>
      </c>
      <c r="F876" t="s">
        <v>136</v>
      </c>
      <c r="G876">
        <v>502.41584158415799</v>
      </c>
    </row>
    <row r="877" spans="3:7" hidden="1" x14ac:dyDescent="0.3">
      <c r="C877" t="s">
        <v>78</v>
      </c>
      <c r="D877" t="s">
        <v>363</v>
      </c>
      <c r="E877" t="s">
        <v>13</v>
      </c>
      <c r="F877" t="s">
        <v>10</v>
      </c>
      <c r="G877">
        <v>501</v>
      </c>
    </row>
    <row r="878" spans="3:7" hidden="1" x14ac:dyDescent="0.3">
      <c r="C878" t="s">
        <v>21</v>
      </c>
      <c r="D878" t="s">
        <v>752</v>
      </c>
      <c r="E878" t="s">
        <v>13</v>
      </c>
      <c r="F878" t="s">
        <v>10</v>
      </c>
      <c r="G878">
        <v>498</v>
      </c>
    </row>
    <row r="879" spans="3:7" hidden="1" x14ac:dyDescent="0.3">
      <c r="C879" t="s">
        <v>19</v>
      </c>
      <c r="D879" t="s">
        <v>753</v>
      </c>
      <c r="E879" t="s">
        <v>9</v>
      </c>
      <c r="F879" t="s">
        <v>136</v>
      </c>
      <c r="G879">
        <v>497.85125545851503</v>
      </c>
    </row>
    <row r="880" spans="3:7" hidden="1" x14ac:dyDescent="0.3">
      <c r="C880" t="s">
        <v>19</v>
      </c>
      <c r="D880" t="s">
        <v>754</v>
      </c>
      <c r="E880" t="s">
        <v>17</v>
      </c>
      <c r="F880" t="s">
        <v>136</v>
      </c>
      <c r="G880">
        <v>497.493333333333</v>
      </c>
    </row>
    <row r="881" spans="3:7" hidden="1" x14ac:dyDescent="0.3">
      <c r="C881" t="s">
        <v>19</v>
      </c>
      <c r="D881" t="s">
        <v>315</v>
      </c>
      <c r="E881" t="s">
        <v>13</v>
      </c>
      <c r="F881" t="s">
        <v>10</v>
      </c>
      <c r="G881">
        <v>495</v>
      </c>
    </row>
    <row r="882" spans="3:7" hidden="1" x14ac:dyDescent="0.3">
      <c r="C882" t="s">
        <v>269</v>
      </c>
      <c r="D882" t="s">
        <v>388</v>
      </c>
      <c r="E882" t="s">
        <v>13</v>
      </c>
      <c r="F882" t="s">
        <v>10</v>
      </c>
      <c r="G882">
        <v>493</v>
      </c>
    </row>
    <row r="883" spans="3:7" hidden="1" x14ac:dyDescent="0.3">
      <c r="C883" t="s">
        <v>429</v>
      </c>
      <c r="D883" t="s">
        <v>755</v>
      </c>
      <c r="E883" t="s">
        <v>13</v>
      </c>
      <c r="F883" t="s">
        <v>10</v>
      </c>
      <c r="G883">
        <v>492</v>
      </c>
    </row>
    <row r="884" spans="3:7" hidden="1" x14ac:dyDescent="0.3">
      <c r="C884" t="s">
        <v>21</v>
      </c>
      <c r="D884" t="s">
        <v>395</v>
      </c>
      <c r="E884" t="s">
        <v>13</v>
      </c>
      <c r="F884" t="s">
        <v>136</v>
      </c>
      <c r="G884">
        <v>491.95864663855701</v>
      </c>
    </row>
    <row r="885" spans="3:7" hidden="1" x14ac:dyDescent="0.3">
      <c r="C885" t="s">
        <v>14</v>
      </c>
      <c r="D885" t="s">
        <v>756</v>
      </c>
      <c r="E885" t="s">
        <v>13</v>
      </c>
      <c r="F885" t="s">
        <v>136</v>
      </c>
      <c r="G885">
        <v>491.38</v>
      </c>
    </row>
    <row r="886" spans="3:7" hidden="1" x14ac:dyDescent="0.3">
      <c r="C886" t="s">
        <v>11</v>
      </c>
      <c r="D886" t="s">
        <v>757</v>
      </c>
      <c r="E886" t="s">
        <v>17</v>
      </c>
      <c r="F886" t="s">
        <v>136</v>
      </c>
      <c r="G886">
        <v>488.01499999999999</v>
      </c>
    </row>
    <row r="887" spans="3:7" hidden="1" x14ac:dyDescent="0.3">
      <c r="C887" t="s">
        <v>188</v>
      </c>
      <c r="D887" t="s">
        <v>758</v>
      </c>
      <c r="E887" t="s">
        <v>9</v>
      </c>
      <c r="F887" t="s">
        <v>10</v>
      </c>
      <c r="G887">
        <v>488</v>
      </c>
    </row>
    <row r="888" spans="3:7" hidden="1" x14ac:dyDescent="0.3">
      <c r="C888" t="s">
        <v>21</v>
      </c>
      <c r="D888" t="s">
        <v>718</v>
      </c>
      <c r="E888" t="s">
        <v>13</v>
      </c>
      <c r="F888" t="s">
        <v>136</v>
      </c>
      <c r="G888">
        <v>486.56017161154398</v>
      </c>
    </row>
    <row r="889" spans="3:7" hidden="1" x14ac:dyDescent="0.3">
      <c r="C889" t="s">
        <v>21</v>
      </c>
      <c r="D889" t="s">
        <v>390</v>
      </c>
      <c r="E889" t="s">
        <v>13</v>
      </c>
      <c r="F889" t="s">
        <v>136</v>
      </c>
      <c r="G889">
        <v>483.65715896688198</v>
      </c>
    </row>
    <row r="890" spans="3:7" hidden="1" x14ac:dyDescent="0.3">
      <c r="C890" t="s">
        <v>11</v>
      </c>
      <c r="D890" t="s">
        <v>759</v>
      </c>
      <c r="E890" t="s">
        <v>17</v>
      </c>
      <c r="F890" t="s">
        <v>136</v>
      </c>
      <c r="G890">
        <v>483.44</v>
      </c>
    </row>
    <row r="891" spans="3:7" hidden="1" x14ac:dyDescent="0.3">
      <c r="C891" t="s">
        <v>19</v>
      </c>
      <c r="D891" t="s">
        <v>712</v>
      </c>
      <c r="E891" t="s">
        <v>13</v>
      </c>
      <c r="F891" t="s">
        <v>136</v>
      </c>
      <c r="G891">
        <v>481.381868171326</v>
      </c>
    </row>
    <row r="892" spans="3:7" hidden="1" x14ac:dyDescent="0.3">
      <c r="C892" t="s">
        <v>7</v>
      </c>
      <c r="D892" t="s">
        <v>760</v>
      </c>
      <c r="E892" t="s">
        <v>17</v>
      </c>
      <c r="F892" t="s">
        <v>136</v>
      </c>
      <c r="G892">
        <v>475.58</v>
      </c>
    </row>
    <row r="893" spans="3:7" hidden="1" x14ac:dyDescent="0.3">
      <c r="C893" t="s">
        <v>7</v>
      </c>
      <c r="D893" t="s">
        <v>761</v>
      </c>
      <c r="E893" t="s">
        <v>17</v>
      </c>
      <c r="F893" t="s">
        <v>136</v>
      </c>
      <c r="G893">
        <v>474.05999999999898</v>
      </c>
    </row>
    <row r="894" spans="3:7" hidden="1" x14ac:dyDescent="0.3">
      <c r="C894" t="s">
        <v>11</v>
      </c>
      <c r="D894" t="s">
        <v>762</v>
      </c>
      <c r="E894" t="s">
        <v>9</v>
      </c>
      <c r="F894" t="s">
        <v>136</v>
      </c>
      <c r="G894">
        <v>472.766750329091</v>
      </c>
    </row>
    <row r="895" spans="3:7" hidden="1" x14ac:dyDescent="0.3">
      <c r="C895" t="s">
        <v>21</v>
      </c>
      <c r="D895" t="s">
        <v>763</v>
      </c>
      <c r="E895" t="s">
        <v>17</v>
      </c>
      <c r="F895" t="s">
        <v>136</v>
      </c>
      <c r="G895">
        <v>470.18</v>
      </c>
    </row>
    <row r="896" spans="3:7" hidden="1" x14ac:dyDescent="0.3">
      <c r="C896" t="s">
        <v>14</v>
      </c>
      <c r="D896" t="s">
        <v>764</v>
      </c>
      <c r="E896" t="s">
        <v>13</v>
      </c>
      <c r="F896" t="s">
        <v>240</v>
      </c>
      <c r="G896">
        <v>468.16</v>
      </c>
    </row>
    <row r="897" spans="3:7" hidden="1" x14ac:dyDescent="0.3">
      <c r="C897" t="s">
        <v>14</v>
      </c>
      <c r="D897" t="s">
        <v>765</v>
      </c>
      <c r="E897" t="s">
        <v>9</v>
      </c>
      <c r="F897" t="s">
        <v>136</v>
      </c>
      <c r="G897">
        <v>467.54742857142799</v>
      </c>
    </row>
    <row r="898" spans="3:7" hidden="1" x14ac:dyDescent="0.3">
      <c r="C898" t="s">
        <v>11</v>
      </c>
      <c r="D898" t="s">
        <v>766</v>
      </c>
      <c r="E898" t="s">
        <v>17</v>
      </c>
      <c r="F898" t="s">
        <v>136</v>
      </c>
      <c r="G898">
        <v>465.68</v>
      </c>
    </row>
    <row r="899" spans="3:7" hidden="1" x14ac:dyDescent="0.3">
      <c r="C899" t="s">
        <v>188</v>
      </c>
      <c r="D899" t="s">
        <v>767</v>
      </c>
      <c r="E899" t="s">
        <v>9</v>
      </c>
      <c r="F899" t="s">
        <v>136</v>
      </c>
      <c r="G899">
        <v>456.6</v>
      </c>
    </row>
    <row r="900" spans="3:7" hidden="1" x14ac:dyDescent="0.3">
      <c r="C900" t="s">
        <v>21</v>
      </c>
      <c r="D900" t="s">
        <v>768</v>
      </c>
      <c r="E900" t="s">
        <v>13</v>
      </c>
      <c r="F900" t="s">
        <v>136</v>
      </c>
      <c r="G900">
        <v>453.03158803711801</v>
      </c>
    </row>
    <row r="901" spans="3:7" hidden="1" x14ac:dyDescent="0.3">
      <c r="C901" t="s">
        <v>21</v>
      </c>
      <c r="D901" t="s">
        <v>769</v>
      </c>
      <c r="E901" t="s">
        <v>9</v>
      </c>
      <c r="F901" t="s">
        <v>136</v>
      </c>
      <c r="G901">
        <v>448.84500000000003</v>
      </c>
    </row>
    <row r="902" spans="3:7" hidden="1" x14ac:dyDescent="0.3">
      <c r="C902" t="s">
        <v>19</v>
      </c>
      <c r="D902" t="s">
        <v>770</v>
      </c>
      <c r="E902" t="s">
        <v>13</v>
      </c>
      <c r="F902" t="s">
        <v>136</v>
      </c>
      <c r="G902">
        <v>447.168136289541</v>
      </c>
    </row>
    <row r="903" spans="3:7" hidden="1" x14ac:dyDescent="0.3">
      <c r="C903" t="s">
        <v>11</v>
      </c>
      <c r="D903" t="s">
        <v>771</v>
      </c>
      <c r="E903" t="s">
        <v>13</v>
      </c>
      <c r="F903" t="s">
        <v>10</v>
      </c>
      <c r="G903">
        <v>447</v>
      </c>
    </row>
    <row r="904" spans="3:7" hidden="1" x14ac:dyDescent="0.3">
      <c r="C904" t="s">
        <v>11</v>
      </c>
      <c r="D904" t="s">
        <v>772</v>
      </c>
      <c r="E904" t="s">
        <v>17</v>
      </c>
      <c r="F904" t="s">
        <v>136</v>
      </c>
      <c r="G904">
        <v>444.2</v>
      </c>
    </row>
    <row r="905" spans="3:7" hidden="1" x14ac:dyDescent="0.3">
      <c r="C905" t="s">
        <v>21</v>
      </c>
      <c r="D905" t="s">
        <v>773</v>
      </c>
      <c r="E905" t="s">
        <v>17</v>
      </c>
      <c r="F905" t="s">
        <v>136</v>
      </c>
      <c r="G905">
        <v>444.01</v>
      </c>
    </row>
    <row r="906" spans="3:7" hidden="1" x14ac:dyDescent="0.3">
      <c r="C906" t="s">
        <v>14</v>
      </c>
      <c r="D906" t="s">
        <v>774</v>
      </c>
      <c r="E906" t="s">
        <v>13</v>
      </c>
      <c r="F906" t="s">
        <v>240</v>
      </c>
      <c r="G906">
        <v>442.65202179776202</v>
      </c>
    </row>
    <row r="907" spans="3:7" hidden="1" x14ac:dyDescent="0.3">
      <c r="C907" t="s">
        <v>7</v>
      </c>
      <c r="D907" t="s">
        <v>775</v>
      </c>
      <c r="E907" t="s">
        <v>17</v>
      </c>
      <c r="F907" t="s">
        <v>136</v>
      </c>
      <c r="G907">
        <v>441.28199999999998</v>
      </c>
    </row>
    <row r="908" spans="3:7" hidden="1" x14ac:dyDescent="0.3">
      <c r="C908" t="s">
        <v>7</v>
      </c>
      <c r="D908" t="s">
        <v>776</v>
      </c>
      <c r="E908" t="s">
        <v>17</v>
      </c>
      <c r="F908" t="s">
        <v>136</v>
      </c>
      <c r="G908">
        <v>439.2</v>
      </c>
    </row>
    <row r="909" spans="3:7" hidden="1" x14ac:dyDescent="0.3">
      <c r="C909" t="s">
        <v>21</v>
      </c>
      <c r="D909" t="s">
        <v>168</v>
      </c>
      <c r="E909" t="s">
        <v>13</v>
      </c>
      <c r="F909" t="s">
        <v>10</v>
      </c>
      <c r="G909">
        <v>439</v>
      </c>
    </row>
    <row r="910" spans="3:7" hidden="1" x14ac:dyDescent="0.3">
      <c r="C910" t="s">
        <v>21</v>
      </c>
      <c r="D910" t="s">
        <v>777</v>
      </c>
      <c r="E910" t="s">
        <v>9</v>
      </c>
      <c r="F910" t="s">
        <v>136</v>
      </c>
      <c r="G910">
        <v>435.22738930885498</v>
      </c>
    </row>
    <row r="911" spans="3:7" hidden="1" x14ac:dyDescent="0.3">
      <c r="C911" t="s">
        <v>188</v>
      </c>
      <c r="D911" t="s">
        <v>778</v>
      </c>
      <c r="E911" t="s">
        <v>13</v>
      </c>
      <c r="F911" t="s">
        <v>10</v>
      </c>
      <c r="G911">
        <v>433</v>
      </c>
    </row>
    <row r="912" spans="3:7" hidden="1" x14ac:dyDescent="0.3">
      <c r="C912" t="s">
        <v>188</v>
      </c>
      <c r="D912" t="s">
        <v>257</v>
      </c>
      <c r="E912" t="s">
        <v>13</v>
      </c>
      <c r="F912" t="s">
        <v>240</v>
      </c>
      <c r="G912">
        <v>432.81875000000002</v>
      </c>
    </row>
    <row r="913" spans="3:7" hidden="1" x14ac:dyDescent="0.3">
      <c r="C913" t="s">
        <v>11</v>
      </c>
      <c r="D913" t="s">
        <v>779</v>
      </c>
      <c r="E913" t="s">
        <v>9</v>
      </c>
      <c r="F913" t="s">
        <v>136</v>
      </c>
      <c r="G913">
        <v>431.87127032652802</v>
      </c>
    </row>
    <row r="914" spans="3:7" hidden="1" x14ac:dyDescent="0.3">
      <c r="C914" t="s">
        <v>11</v>
      </c>
      <c r="D914" t="s">
        <v>780</v>
      </c>
      <c r="E914" t="s">
        <v>9</v>
      </c>
      <c r="F914" t="s">
        <v>136</v>
      </c>
      <c r="G914">
        <v>430.10550000000001</v>
      </c>
    </row>
    <row r="915" spans="3:7" hidden="1" x14ac:dyDescent="0.3">
      <c r="C915" t="s">
        <v>19</v>
      </c>
      <c r="D915" t="s">
        <v>781</v>
      </c>
      <c r="E915" t="s">
        <v>13</v>
      </c>
      <c r="F915" t="s">
        <v>136</v>
      </c>
      <c r="G915">
        <v>429.14587225488702</v>
      </c>
    </row>
    <row r="916" spans="3:7" hidden="1" x14ac:dyDescent="0.3">
      <c r="C916" t="s">
        <v>14</v>
      </c>
      <c r="D916" t="s">
        <v>782</v>
      </c>
      <c r="E916" t="s">
        <v>17</v>
      </c>
      <c r="F916" t="s">
        <v>136</v>
      </c>
      <c r="G916">
        <v>428.85</v>
      </c>
    </row>
    <row r="917" spans="3:7" hidden="1" x14ac:dyDescent="0.3">
      <c r="C917" t="s">
        <v>7</v>
      </c>
      <c r="D917" t="s">
        <v>783</v>
      </c>
      <c r="E917" t="s">
        <v>9</v>
      </c>
      <c r="F917" t="s">
        <v>136</v>
      </c>
      <c r="G917">
        <v>428.3254</v>
      </c>
    </row>
    <row r="918" spans="3:7" hidden="1" x14ac:dyDescent="0.3">
      <c r="C918" t="s">
        <v>11</v>
      </c>
      <c r="D918" t="s">
        <v>784</v>
      </c>
      <c r="E918" t="s">
        <v>17</v>
      </c>
      <c r="F918" t="s">
        <v>136</v>
      </c>
      <c r="G918">
        <v>427.35</v>
      </c>
    </row>
    <row r="919" spans="3:7" hidden="1" x14ac:dyDescent="0.3">
      <c r="C919" t="s">
        <v>21</v>
      </c>
      <c r="D919" t="s">
        <v>745</v>
      </c>
      <c r="E919" t="s">
        <v>13</v>
      </c>
      <c r="F919" t="s">
        <v>240</v>
      </c>
      <c r="G919">
        <v>426.84281832681302</v>
      </c>
    </row>
    <row r="920" spans="3:7" hidden="1" x14ac:dyDescent="0.3">
      <c r="C920" t="s">
        <v>19</v>
      </c>
      <c r="D920" t="s">
        <v>764</v>
      </c>
      <c r="E920" t="s">
        <v>13</v>
      </c>
      <c r="F920" t="s">
        <v>240</v>
      </c>
      <c r="G920">
        <v>426.553333333333</v>
      </c>
    </row>
    <row r="921" spans="3:7" hidden="1" x14ac:dyDescent="0.3">
      <c r="C921" t="s">
        <v>11</v>
      </c>
      <c r="D921" t="s">
        <v>785</v>
      </c>
      <c r="E921" t="s">
        <v>9</v>
      </c>
      <c r="F921" t="s">
        <v>136</v>
      </c>
      <c r="G921">
        <v>426.30922401171301</v>
      </c>
    </row>
    <row r="922" spans="3:7" hidden="1" x14ac:dyDescent="0.3">
      <c r="C922" t="s">
        <v>21</v>
      </c>
      <c r="D922" t="s">
        <v>786</v>
      </c>
      <c r="E922" t="s">
        <v>17</v>
      </c>
      <c r="F922" t="s">
        <v>136</v>
      </c>
      <c r="G922">
        <v>425.3</v>
      </c>
    </row>
    <row r="923" spans="3:7" hidden="1" x14ac:dyDescent="0.3">
      <c r="C923" t="s">
        <v>188</v>
      </c>
      <c r="D923" t="s">
        <v>787</v>
      </c>
      <c r="E923" t="s">
        <v>13</v>
      </c>
      <c r="F923" t="s">
        <v>10</v>
      </c>
      <c r="G923">
        <v>425</v>
      </c>
    </row>
    <row r="924" spans="3:7" hidden="1" x14ac:dyDescent="0.3">
      <c r="C924" t="s">
        <v>7</v>
      </c>
      <c r="D924" t="s">
        <v>395</v>
      </c>
      <c r="E924" t="s">
        <v>13</v>
      </c>
      <c r="F924" t="s">
        <v>136</v>
      </c>
      <c r="G924">
        <v>424.59806991319402</v>
      </c>
    </row>
    <row r="925" spans="3:7" hidden="1" x14ac:dyDescent="0.3">
      <c r="C925" t="s">
        <v>11</v>
      </c>
      <c r="D925" t="s">
        <v>788</v>
      </c>
      <c r="E925" t="s">
        <v>13</v>
      </c>
      <c r="F925" t="s">
        <v>136</v>
      </c>
      <c r="G925">
        <v>424.57901147418301</v>
      </c>
    </row>
    <row r="926" spans="3:7" hidden="1" x14ac:dyDescent="0.3">
      <c r="C926" t="s">
        <v>188</v>
      </c>
      <c r="D926" t="s">
        <v>396</v>
      </c>
      <c r="E926" t="s">
        <v>13</v>
      </c>
      <c r="F926" t="s">
        <v>240</v>
      </c>
      <c r="G926">
        <v>422.02827586206899</v>
      </c>
    </row>
    <row r="927" spans="3:7" hidden="1" x14ac:dyDescent="0.3">
      <c r="C927" t="s">
        <v>11</v>
      </c>
      <c r="D927" t="s">
        <v>789</v>
      </c>
      <c r="E927" t="s">
        <v>13</v>
      </c>
      <c r="F927" t="s">
        <v>10</v>
      </c>
      <c r="G927">
        <v>421</v>
      </c>
    </row>
    <row r="928" spans="3:7" hidden="1" x14ac:dyDescent="0.3">
      <c r="C928" t="s">
        <v>19</v>
      </c>
      <c r="D928" t="s">
        <v>790</v>
      </c>
      <c r="E928" t="s">
        <v>17</v>
      </c>
      <c r="F928" t="s">
        <v>10</v>
      </c>
      <c r="G928">
        <v>420.32305022543699</v>
      </c>
    </row>
    <row r="929" spans="3:7" hidden="1" x14ac:dyDescent="0.3">
      <c r="C929" t="s">
        <v>21</v>
      </c>
      <c r="D929" t="s">
        <v>270</v>
      </c>
      <c r="E929" t="s">
        <v>13</v>
      </c>
      <c r="F929" t="s">
        <v>10</v>
      </c>
      <c r="G929">
        <v>420</v>
      </c>
    </row>
    <row r="930" spans="3:7" hidden="1" x14ac:dyDescent="0.3">
      <c r="C930" t="s">
        <v>21</v>
      </c>
      <c r="D930" t="s">
        <v>791</v>
      </c>
      <c r="E930" t="s">
        <v>9</v>
      </c>
      <c r="F930" t="s">
        <v>136</v>
      </c>
      <c r="G930">
        <v>418.45730999999898</v>
      </c>
    </row>
    <row r="931" spans="3:7" hidden="1" x14ac:dyDescent="0.3">
      <c r="C931" t="s">
        <v>21</v>
      </c>
      <c r="D931" t="s">
        <v>663</v>
      </c>
      <c r="E931" t="s">
        <v>13</v>
      </c>
      <c r="F931" t="s">
        <v>136</v>
      </c>
      <c r="G931">
        <v>417.47</v>
      </c>
    </row>
    <row r="932" spans="3:7" hidden="1" x14ac:dyDescent="0.3">
      <c r="C932" t="s">
        <v>11</v>
      </c>
      <c r="D932" t="s">
        <v>792</v>
      </c>
      <c r="E932" t="s">
        <v>17</v>
      </c>
      <c r="F932" t="s">
        <v>136</v>
      </c>
      <c r="G932">
        <v>416.5</v>
      </c>
    </row>
    <row r="933" spans="3:7" hidden="1" x14ac:dyDescent="0.3">
      <c r="C933" t="s">
        <v>14</v>
      </c>
      <c r="D933" t="s">
        <v>712</v>
      </c>
      <c r="E933" t="s">
        <v>13</v>
      </c>
      <c r="F933" t="s">
        <v>136</v>
      </c>
      <c r="G933">
        <v>414.39403077997798</v>
      </c>
    </row>
    <row r="934" spans="3:7" hidden="1" x14ac:dyDescent="0.3">
      <c r="C934" t="s">
        <v>7</v>
      </c>
      <c r="D934" t="s">
        <v>377</v>
      </c>
      <c r="E934" t="s">
        <v>13</v>
      </c>
      <c r="F934" t="s">
        <v>136</v>
      </c>
      <c r="G934">
        <v>413.78770301624098</v>
      </c>
    </row>
    <row r="935" spans="3:7" hidden="1" x14ac:dyDescent="0.3">
      <c r="C935" t="s">
        <v>14</v>
      </c>
      <c r="D935" t="s">
        <v>793</v>
      </c>
      <c r="E935" t="s">
        <v>13</v>
      </c>
      <c r="F935" t="s">
        <v>136</v>
      </c>
      <c r="G935">
        <v>410.62400000000002</v>
      </c>
    </row>
    <row r="936" spans="3:7" hidden="1" x14ac:dyDescent="0.3">
      <c r="C936" t="s">
        <v>11</v>
      </c>
      <c r="D936" t="s">
        <v>794</v>
      </c>
      <c r="E936" t="s">
        <v>13</v>
      </c>
      <c r="F936" t="s">
        <v>10</v>
      </c>
      <c r="G936">
        <v>407</v>
      </c>
    </row>
    <row r="937" spans="3:7" hidden="1" x14ac:dyDescent="0.3">
      <c r="C937" t="s">
        <v>21</v>
      </c>
      <c r="D937" t="s">
        <v>795</v>
      </c>
      <c r="E937" t="s">
        <v>13</v>
      </c>
      <c r="F937" t="s">
        <v>10</v>
      </c>
      <c r="G937">
        <v>406</v>
      </c>
    </row>
    <row r="938" spans="3:7" hidden="1" x14ac:dyDescent="0.3">
      <c r="C938" t="s">
        <v>78</v>
      </c>
      <c r="D938" t="s">
        <v>239</v>
      </c>
      <c r="E938" t="s">
        <v>13</v>
      </c>
      <c r="F938" t="s">
        <v>240</v>
      </c>
      <c r="G938">
        <v>405.05472162262799</v>
      </c>
    </row>
    <row r="939" spans="3:7" hidden="1" x14ac:dyDescent="0.3">
      <c r="C939" t="s">
        <v>11</v>
      </c>
      <c r="D939" t="s">
        <v>796</v>
      </c>
      <c r="E939" t="s">
        <v>9</v>
      </c>
      <c r="F939" t="s">
        <v>136</v>
      </c>
      <c r="G939">
        <v>404.63200000000001</v>
      </c>
    </row>
    <row r="940" spans="3:7" hidden="1" x14ac:dyDescent="0.3">
      <c r="C940" t="s">
        <v>11</v>
      </c>
      <c r="D940" t="s">
        <v>797</v>
      </c>
      <c r="E940" t="s">
        <v>13</v>
      </c>
      <c r="F940" t="s">
        <v>240</v>
      </c>
      <c r="G940">
        <v>404.63200000000001</v>
      </c>
    </row>
    <row r="941" spans="3:7" hidden="1" x14ac:dyDescent="0.3">
      <c r="C941" t="s">
        <v>19</v>
      </c>
      <c r="D941" t="s">
        <v>635</v>
      </c>
      <c r="E941" t="s">
        <v>13</v>
      </c>
      <c r="F941" t="s">
        <v>136</v>
      </c>
      <c r="G941">
        <v>404.10313562907601</v>
      </c>
    </row>
    <row r="942" spans="3:7" hidden="1" x14ac:dyDescent="0.3">
      <c r="C942" t="s">
        <v>21</v>
      </c>
      <c r="D942" t="s">
        <v>671</v>
      </c>
      <c r="E942" t="s">
        <v>13</v>
      </c>
      <c r="F942" t="s">
        <v>136</v>
      </c>
      <c r="G942">
        <v>402.83057285079599</v>
      </c>
    </row>
    <row r="943" spans="3:7" hidden="1" x14ac:dyDescent="0.3">
      <c r="C943" t="s">
        <v>418</v>
      </c>
      <c r="D943" t="s">
        <v>469</v>
      </c>
      <c r="E943" t="s">
        <v>13</v>
      </c>
      <c r="F943" t="s">
        <v>10</v>
      </c>
      <c r="G943">
        <v>402</v>
      </c>
    </row>
    <row r="944" spans="3:7" hidden="1" x14ac:dyDescent="0.3">
      <c r="C944" t="s">
        <v>188</v>
      </c>
      <c r="D944" t="s">
        <v>798</v>
      </c>
      <c r="E944" t="s">
        <v>9</v>
      </c>
      <c r="F944" t="s">
        <v>136</v>
      </c>
      <c r="G944">
        <v>398.71</v>
      </c>
    </row>
    <row r="945" spans="3:7" hidden="1" x14ac:dyDescent="0.3">
      <c r="C945" t="s">
        <v>21</v>
      </c>
      <c r="D945" t="s">
        <v>799</v>
      </c>
      <c r="E945" t="s">
        <v>13</v>
      </c>
      <c r="F945" t="s">
        <v>240</v>
      </c>
      <c r="G945">
        <v>396.63396018108801</v>
      </c>
    </row>
    <row r="946" spans="3:7" hidden="1" x14ac:dyDescent="0.3">
      <c r="C946" t="s">
        <v>11</v>
      </c>
      <c r="D946" t="s">
        <v>800</v>
      </c>
      <c r="E946" t="s">
        <v>9</v>
      </c>
      <c r="F946" t="s">
        <v>136</v>
      </c>
      <c r="G946">
        <v>396.19621235664403</v>
      </c>
    </row>
    <row r="947" spans="3:7" hidden="1" x14ac:dyDescent="0.3">
      <c r="C947" t="s">
        <v>19</v>
      </c>
      <c r="D947" t="s">
        <v>801</v>
      </c>
      <c r="E947" t="s">
        <v>9</v>
      </c>
      <c r="F947" t="s">
        <v>136</v>
      </c>
      <c r="G947">
        <v>396.08624454148401</v>
      </c>
    </row>
    <row r="948" spans="3:7" hidden="1" x14ac:dyDescent="0.3">
      <c r="C948" t="s">
        <v>126</v>
      </c>
      <c r="D948" t="s">
        <v>802</v>
      </c>
      <c r="E948" t="s">
        <v>13</v>
      </c>
      <c r="F948" t="s">
        <v>10</v>
      </c>
      <c r="G948">
        <v>396</v>
      </c>
    </row>
    <row r="949" spans="3:7" hidden="1" x14ac:dyDescent="0.3">
      <c r="C949" t="s">
        <v>21</v>
      </c>
      <c r="D949" t="s">
        <v>410</v>
      </c>
      <c r="E949" t="s">
        <v>13</v>
      </c>
      <c r="F949" t="s">
        <v>136</v>
      </c>
      <c r="G949">
        <v>395.83545619355499</v>
      </c>
    </row>
    <row r="950" spans="3:7" hidden="1" x14ac:dyDescent="0.3">
      <c r="C950" t="s">
        <v>14</v>
      </c>
      <c r="D950" t="s">
        <v>662</v>
      </c>
      <c r="E950" t="s">
        <v>13</v>
      </c>
      <c r="F950" t="s">
        <v>10</v>
      </c>
      <c r="G950">
        <v>394</v>
      </c>
    </row>
    <row r="951" spans="3:7" hidden="1" x14ac:dyDescent="0.3">
      <c r="C951" t="s">
        <v>52</v>
      </c>
      <c r="D951" t="s">
        <v>681</v>
      </c>
      <c r="E951" t="s">
        <v>13</v>
      </c>
      <c r="F951" t="s">
        <v>10</v>
      </c>
      <c r="G951">
        <v>394</v>
      </c>
    </row>
    <row r="952" spans="3:7" hidden="1" x14ac:dyDescent="0.3">
      <c r="C952" t="s">
        <v>7</v>
      </c>
      <c r="D952" t="s">
        <v>803</v>
      </c>
      <c r="E952" t="s">
        <v>17</v>
      </c>
      <c r="F952" t="s">
        <v>136</v>
      </c>
      <c r="G952">
        <v>393.12</v>
      </c>
    </row>
    <row r="953" spans="3:7" hidden="1" x14ac:dyDescent="0.3">
      <c r="C953" t="s">
        <v>78</v>
      </c>
      <c r="D953" t="s">
        <v>804</v>
      </c>
      <c r="E953" t="s">
        <v>13</v>
      </c>
      <c r="F953" t="s">
        <v>136</v>
      </c>
      <c r="G953">
        <v>389.02</v>
      </c>
    </row>
    <row r="954" spans="3:7" hidden="1" x14ac:dyDescent="0.3">
      <c r="C954" t="s">
        <v>78</v>
      </c>
      <c r="D954" t="s">
        <v>805</v>
      </c>
      <c r="E954" t="s">
        <v>13</v>
      </c>
      <c r="F954" t="s">
        <v>136</v>
      </c>
      <c r="G954">
        <v>386.70600000000002</v>
      </c>
    </row>
    <row r="955" spans="3:7" hidden="1" x14ac:dyDescent="0.3">
      <c r="C955" t="s">
        <v>7</v>
      </c>
      <c r="D955" t="s">
        <v>806</v>
      </c>
      <c r="E955" t="s">
        <v>13</v>
      </c>
      <c r="F955" t="s">
        <v>136</v>
      </c>
      <c r="G955">
        <v>385.76106689159201</v>
      </c>
    </row>
    <row r="956" spans="3:7" hidden="1" x14ac:dyDescent="0.3">
      <c r="C956" t="s">
        <v>14</v>
      </c>
      <c r="D956" t="s">
        <v>807</v>
      </c>
      <c r="E956" t="s">
        <v>13</v>
      </c>
      <c r="F956" t="s">
        <v>240</v>
      </c>
      <c r="G956">
        <v>383.37261948502697</v>
      </c>
    </row>
    <row r="957" spans="3:7" hidden="1" x14ac:dyDescent="0.3">
      <c r="C957" t="s">
        <v>808</v>
      </c>
      <c r="D957" t="s">
        <v>809</v>
      </c>
      <c r="E957" t="s">
        <v>17</v>
      </c>
      <c r="F957" t="s">
        <v>136</v>
      </c>
      <c r="G957">
        <v>382.469999999999</v>
      </c>
    </row>
    <row r="958" spans="3:7" hidden="1" x14ac:dyDescent="0.3">
      <c r="C958" t="s">
        <v>78</v>
      </c>
      <c r="D958" t="s">
        <v>315</v>
      </c>
      <c r="E958" t="s">
        <v>13</v>
      </c>
      <c r="F958" t="s">
        <v>10</v>
      </c>
      <c r="G958">
        <v>382</v>
      </c>
    </row>
    <row r="959" spans="3:7" hidden="1" x14ac:dyDescent="0.3">
      <c r="C959" t="s">
        <v>11</v>
      </c>
      <c r="D959" t="s">
        <v>810</v>
      </c>
      <c r="E959" t="s">
        <v>17</v>
      </c>
      <c r="F959" t="s">
        <v>136</v>
      </c>
      <c r="G959">
        <v>381.55399999999997</v>
      </c>
    </row>
    <row r="960" spans="3:7" hidden="1" x14ac:dyDescent="0.3">
      <c r="C960" t="s">
        <v>11</v>
      </c>
      <c r="D960" t="s">
        <v>811</v>
      </c>
      <c r="E960" t="s">
        <v>17</v>
      </c>
      <c r="F960" t="s">
        <v>136</v>
      </c>
      <c r="G960">
        <v>380.29999999999899</v>
      </c>
    </row>
    <row r="961" spans="3:7" hidden="1" x14ac:dyDescent="0.3">
      <c r="C961" t="s">
        <v>808</v>
      </c>
      <c r="D961" t="s">
        <v>24</v>
      </c>
      <c r="E961" t="s">
        <v>13</v>
      </c>
      <c r="F961" t="s">
        <v>10</v>
      </c>
      <c r="G961">
        <v>380</v>
      </c>
    </row>
    <row r="962" spans="3:7" hidden="1" x14ac:dyDescent="0.3">
      <c r="C962" t="s">
        <v>19</v>
      </c>
      <c r="D962" t="s">
        <v>812</v>
      </c>
      <c r="E962" t="s">
        <v>9</v>
      </c>
      <c r="F962" t="s">
        <v>136</v>
      </c>
      <c r="G962">
        <v>379.335499999999</v>
      </c>
    </row>
    <row r="963" spans="3:7" hidden="1" x14ac:dyDescent="0.3">
      <c r="C963" t="s">
        <v>21</v>
      </c>
      <c r="D963" t="s">
        <v>556</v>
      </c>
      <c r="E963" t="s">
        <v>17</v>
      </c>
      <c r="F963" t="s">
        <v>136</v>
      </c>
      <c r="G963">
        <v>377.52</v>
      </c>
    </row>
    <row r="964" spans="3:7" hidden="1" x14ac:dyDescent="0.3">
      <c r="C964" t="s">
        <v>7</v>
      </c>
      <c r="D964" t="s">
        <v>813</v>
      </c>
      <c r="E964" t="s">
        <v>9</v>
      </c>
      <c r="F964" t="s">
        <v>136</v>
      </c>
      <c r="G964">
        <v>377.41613816960302</v>
      </c>
    </row>
    <row r="965" spans="3:7" hidden="1" x14ac:dyDescent="0.3">
      <c r="C965" t="s">
        <v>7</v>
      </c>
      <c r="D965" t="s">
        <v>814</v>
      </c>
      <c r="E965" t="s">
        <v>9</v>
      </c>
      <c r="F965" t="s">
        <v>136</v>
      </c>
      <c r="G965">
        <v>375.84023285899099</v>
      </c>
    </row>
    <row r="966" spans="3:7" hidden="1" x14ac:dyDescent="0.3">
      <c r="C966" t="s">
        <v>19</v>
      </c>
      <c r="D966" t="s">
        <v>815</v>
      </c>
      <c r="E966" t="s">
        <v>17</v>
      </c>
      <c r="F966" t="s">
        <v>136</v>
      </c>
      <c r="G966">
        <v>374.14499999999998</v>
      </c>
    </row>
    <row r="967" spans="3:7" hidden="1" x14ac:dyDescent="0.3">
      <c r="C967" t="s">
        <v>19</v>
      </c>
      <c r="D967" t="s">
        <v>816</v>
      </c>
      <c r="E967" t="s">
        <v>13</v>
      </c>
      <c r="F967" t="s">
        <v>240</v>
      </c>
      <c r="G967">
        <v>373.55827199999999</v>
      </c>
    </row>
    <row r="968" spans="3:7" hidden="1" x14ac:dyDescent="0.3">
      <c r="C968" t="s">
        <v>19</v>
      </c>
      <c r="D968" t="s">
        <v>395</v>
      </c>
      <c r="E968" t="s">
        <v>13</v>
      </c>
      <c r="F968" t="s">
        <v>136</v>
      </c>
      <c r="G968">
        <v>372.39244677755198</v>
      </c>
    </row>
    <row r="969" spans="3:7" hidden="1" x14ac:dyDescent="0.3">
      <c r="C969" t="s">
        <v>21</v>
      </c>
      <c r="D969" t="s">
        <v>817</v>
      </c>
      <c r="E969" t="s">
        <v>9</v>
      </c>
      <c r="F969" t="s">
        <v>136</v>
      </c>
      <c r="G969">
        <v>372.36094252873499</v>
      </c>
    </row>
    <row r="970" spans="3:7" hidden="1" x14ac:dyDescent="0.3">
      <c r="C970" t="s">
        <v>90</v>
      </c>
      <c r="D970" t="s">
        <v>818</v>
      </c>
      <c r="E970" t="s">
        <v>17</v>
      </c>
      <c r="F970" t="s">
        <v>136</v>
      </c>
      <c r="G970">
        <v>370.65</v>
      </c>
    </row>
    <row r="971" spans="3:7" hidden="1" x14ac:dyDescent="0.3">
      <c r="C971" t="s">
        <v>78</v>
      </c>
      <c r="D971" t="s">
        <v>173</v>
      </c>
      <c r="E971" t="s">
        <v>13</v>
      </c>
      <c r="F971" t="s">
        <v>10</v>
      </c>
      <c r="G971">
        <v>369</v>
      </c>
    </row>
    <row r="972" spans="3:7" hidden="1" x14ac:dyDescent="0.3">
      <c r="C972" t="s">
        <v>78</v>
      </c>
      <c r="D972" t="s">
        <v>203</v>
      </c>
      <c r="E972" t="s">
        <v>13</v>
      </c>
      <c r="F972" t="s">
        <v>10</v>
      </c>
      <c r="G972">
        <v>369</v>
      </c>
    </row>
    <row r="973" spans="3:7" hidden="1" x14ac:dyDescent="0.3">
      <c r="C973" t="s">
        <v>269</v>
      </c>
      <c r="D973" t="s">
        <v>819</v>
      </c>
      <c r="E973" t="s">
        <v>13</v>
      </c>
      <c r="F973" t="s">
        <v>10</v>
      </c>
      <c r="G973">
        <v>367</v>
      </c>
    </row>
    <row r="974" spans="3:7" hidden="1" x14ac:dyDescent="0.3">
      <c r="C974" t="s">
        <v>19</v>
      </c>
      <c r="D974" t="s">
        <v>657</v>
      </c>
      <c r="E974" t="s">
        <v>13</v>
      </c>
      <c r="F974" t="s">
        <v>136</v>
      </c>
      <c r="G974">
        <v>364.51154756669899</v>
      </c>
    </row>
    <row r="975" spans="3:7" hidden="1" x14ac:dyDescent="0.3">
      <c r="C975" t="s">
        <v>11</v>
      </c>
      <c r="D975" t="s">
        <v>820</v>
      </c>
      <c r="E975" t="s">
        <v>9</v>
      </c>
      <c r="F975" t="s">
        <v>136</v>
      </c>
      <c r="G975">
        <v>364.49677997520098</v>
      </c>
    </row>
    <row r="976" spans="3:7" hidden="1" x14ac:dyDescent="0.3">
      <c r="C976" t="s">
        <v>11</v>
      </c>
      <c r="D976" t="s">
        <v>821</v>
      </c>
      <c r="E976" t="s">
        <v>17</v>
      </c>
      <c r="F976" t="s">
        <v>136</v>
      </c>
      <c r="G976">
        <v>364.344999999999</v>
      </c>
    </row>
    <row r="977" spans="3:7" hidden="1" x14ac:dyDescent="0.3">
      <c r="C977" t="s">
        <v>269</v>
      </c>
      <c r="D977" t="s">
        <v>161</v>
      </c>
      <c r="E977" t="s">
        <v>13</v>
      </c>
      <c r="F977" t="s">
        <v>10</v>
      </c>
      <c r="G977">
        <v>363</v>
      </c>
    </row>
    <row r="978" spans="3:7" hidden="1" x14ac:dyDescent="0.3">
      <c r="C978" t="s">
        <v>126</v>
      </c>
      <c r="D978" t="s">
        <v>822</v>
      </c>
      <c r="E978" t="s">
        <v>9</v>
      </c>
      <c r="F978" t="s">
        <v>10</v>
      </c>
      <c r="G978">
        <v>363</v>
      </c>
    </row>
    <row r="979" spans="3:7" hidden="1" x14ac:dyDescent="0.3">
      <c r="C979" t="s">
        <v>126</v>
      </c>
      <c r="D979" t="s">
        <v>823</v>
      </c>
      <c r="E979" t="s">
        <v>13</v>
      </c>
      <c r="F979" t="s">
        <v>10</v>
      </c>
      <c r="G979">
        <v>363</v>
      </c>
    </row>
    <row r="980" spans="3:7" hidden="1" x14ac:dyDescent="0.3">
      <c r="C980" t="s">
        <v>126</v>
      </c>
      <c r="D980" t="s">
        <v>824</v>
      </c>
      <c r="E980" t="s">
        <v>17</v>
      </c>
      <c r="F980" t="s">
        <v>10</v>
      </c>
      <c r="G980">
        <v>363</v>
      </c>
    </row>
    <row r="981" spans="3:7" hidden="1" x14ac:dyDescent="0.3">
      <c r="C981" t="s">
        <v>11</v>
      </c>
      <c r="D981" t="s">
        <v>825</v>
      </c>
      <c r="E981" t="s">
        <v>9</v>
      </c>
      <c r="F981" t="s">
        <v>10</v>
      </c>
      <c r="G981">
        <v>362</v>
      </c>
    </row>
    <row r="982" spans="3:7" hidden="1" x14ac:dyDescent="0.3">
      <c r="C982" t="s">
        <v>7</v>
      </c>
      <c r="D982" t="s">
        <v>503</v>
      </c>
      <c r="E982" t="s">
        <v>9</v>
      </c>
      <c r="F982" t="s">
        <v>136</v>
      </c>
      <c r="G982">
        <v>359.90710958118098</v>
      </c>
    </row>
    <row r="983" spans="3:7" hidden="1" x14ac:dyDescent="0.3">
      <c r="C983" t="s">
        <v>21</v>
      </c>
      <c r="D983" t="s">
        <v>722</v>
      </c>
      <c r="E983" t="s">
        <v>13</v>
      </c>
      <c r="F983" t="s">
        <v>136</v>
      </c>
      <c r="G983">
        <v>353.41286092098397</v>
      </c>
    </row>
    <row r="984" spans="3:7" hidden="1" x14ac:dyDescent="0.3">
      <c r="C984" t="s">
        <v>429</v>
      </c>
      <c r="D984" t="s">
        <v>826</v>
      </c>
      <c r="E984" t="s">
        <v>13</v>
      </c>
      <c r="F984" t="s">
        <v>10</v>
      </c>
      <c r="G984">
        <v>353</v>
      </c>
    </row>
    <row r="985" spans="3:7" hidden="1" x14ac:dyDescent="0.3">
      <c r="C985" t="s">
        <v>11</v>
      </c>
      <c r="D985" t="s">
        <v>827</v>
      </c>
      <c r="E985" t="s">
        <v>9</v>
      </c>
      <c r="F985" t="s">
        <v>136</v>
      </c>
      <c r="G985">
        <v>351.52492307692302</v>
      </c>
    </row>
    <row r="986" spans="3:7" hidden="1" x14ac:dyDescent="0.3">
      <c r="C986" t="s">
        <v>21</v>
      </c>
      <c r="D986" t="s">
        <v>828</v>
      </c>
      <c r="E986" t="s">
        <v>17</v>
      </c>
      <c r="F986" t="s">
        <v>136</v>
      </c>
      <c r="G986">
        <v>350.77</v>
      </c>
    </row>
    <row r="987" spans="3:7" hidden="1" x14ac:dyDescent="0.3">
      <c r="C987" t="s">
        <v>11</v>
      </c>
      <c r="D987" t="s">
        <v>829</v>
      </c>
      <c r="E987" t="s">
        <v>13</v>
      </c>
      <c r="F987" t="s">
        <v>136</v>
      </c>
      <c r="G987">
        <v>350.62381598062899</v>
      </c>
    </row>
    <row r="988" spans="3:7" hidden="1" x14ac:dyDescent="0.3">
      <c r="C988" t="s">
        <v>19</v>
      </c>
      <c r="D988" t="s">
        <v>830</v>
      </c>
      <c r="E988" t="s">
        <v>9</v>
      </c>
      <c r="F988" t="s">
        <v>136</v>
      </c>
      <c r="G988">
        <v>348.427272727272</v>
      </c>
    </row>
    <row r="989" spans="3:7" hidden="1" x14ac:dyDescent="0.3">
      <c r="C989" t="s">
        <v>11</v>
      </c>
      <c r="D989" t="s">
        <v>831</v>
      </c>
      <c r="E989" t="s">
        <v>9</v>
      </c>
      <c r="F989" t="s">
        <v>136</v>
      </c>
      <c r="G989">
        <v>348.100686498855</v>
      </c>
    </row>
    <row r="990" spans="3:7" hidden="1" x14ac:dyDescent="0.3">
      <c r="C990" t="s">
        <v>11</v>
      </c>
      <c r="D990" t="s">
        <v>832</v>
      </c>
      <c r="E990" t="s">
        <v>13</v>
      </c>
      <c r="F990" t="s">
        <v>240</v>
      </c>
      <c r="G990">
        <v>347.65409856950703</v>
      </c>
    </row>
    <row r="991" spans="3:7" hidden="1" x14ac:dyDescent="0.3">
      <c r="C991" t="s">
        <v>269</v>
      </c>
      <c r="D991" t="s">
        <v>171</v>
      </c>
      <c r="E991" t="s">
        <v>13</v>
      </c>
      <c r="F991" t="s">
        <v>136</v>
      </c>
      <c r="G991">
        <v>347.08592726542003</v>
      </c>
    </row>
    <row r="992" spans="3:7" hidden="1" x14ac:dyDescent="0.3">
      <c r="C992" t="s">
        <v>7</v>
      </c>
      <c r="D992" t="s">
        <v>833</v>
      </c>
      <c r="E992" t="s">
        <v>9</v>
      </c>
      <c r="F992" t="s">
        <v>136</v>
      </c>
      <c r="G992">
        <v>346.85358560854797</v>
      </c>
    </row>
    <row r="993" spans="3:7" hidden="1" x14ac:dyDescent="0.3">
      <c r="C993" t="s">
        <v>7</v>
      </c>
      <c r="D993" t="s">
        <v>834</v>
      </c>
      <c r="E993" t="s">
        <v>13</v>
      </c>
      <c r="F993" t="s">
        <v>136</v>
      </c>
      <c r="G993">
        <v>344.300653355458</v>
      </c>
    </row>
    <row r="994" spans="3:7" hidden="1" x14ac:dyDescent="0.3">
      <c r="C994" t="s">
        <v>21</v>
      </c>
      <c r="D994" t="s">
        <v>642</v>
      </c>
      <c r="E994" t="s">
        <v>13</v>
      </c>
      <c r="F994" t="s">
        <v>136</v>
      </c>
      <c r="G994">
        <v>344.220682396173</v>
      </c>
    </row>
    <row r="995" spans="3:7" hidden="1" x14ac:dyDescent="0.3">
      <c r="C995" t="s">
        <v>21</v>
      </c>
      <c r="D995" t="s">
        <v>835</v>
      </c>
      <c r="E995" t="s">
        <v>17</v>
      </c>
      <c r="F995" t="s">
        <v>136</v>
      </c>
      <c r="G995">
        <v>343.77</v>
      </c>
    </row>
    <row r="996" spans="3:7" hidden="1" x14ac:dyDescent="0.3">
      <c r="C996" t="s">
        <v>19</v>
      </c>
      <c r="D996" t="s">
        <v>836</v>
      </c>
      <c r="E996" t="s">
        <v>17</v>
      </c>
      <c r="F996" t="s">
        <v>136</v>
      </c>
      <c r="G996">
        <v>343.35500000000002</v>
      </c>
    </row>
    <row r="997" spans="3:7" hidden="1" x14ac:dyDescent="0.3">
      <c r="C997" t="s">
        <v>808</v>
      </c>
      <c r="D997" t="s">
        <v>239</v>
      </c>
      <c r="E997" t="s">
        <v>13</v>
      </c>
      <c r="F997" t="s">
        <v>240</v>
      </c>
      <c r="G997">
        <v>343.30700140036402</v>
      </c>
    </row>
    <row r="998" spans="3:7" hidden="1" x14ac:dyDescent="0.3">
      <c r="C998" t="s">
        <v>11</v>
      </c>
      <c r="D998" t="s">
        <v>837</v>
      </c>
      <c r="E998" t="s">
        <v>9</v>
      </c>
      <c r="F998" t="s">
        <v>136</v>
      </c>
      <c r="G998">
        <v>342.75326658767699</v>
      </c>
    </row>
    <row r="999" spans="3:7" hidden="1" x14ac:dyDescent="0.3">
      <c r="C999" t="s">
        <v>429</v>
      </c>
      <c r="D999" t="s">
        <v>384</v>
      </c>
      <c r="E999" t="s">
        <v>13</v>
      </c>
      <c r="F999" t="s">
        <v>136</v>
      </c>
      <c r="G999">
        <v>342.00918611904501</v>
      </c>
    </row>
    <row r="1000" spans="3:7" hidden="1" x14ac:dyDescent="0.3">
      <c r="C1000" t="s">
        <v>11</v>
      </c>
      <c r="D1000" t="s">
        <v>838</v>
      </c>
      <c r="E1000" t="s">
        <v>13</v>
      </c>
      <c r="F1000" t="s">
        <v>136</v>
      </c>
      <c r="G1000">
        <v>341.06528330856901</v>
      </c>
    </row>
    <row r="1001" spans="3:7" hidden="1" x14ac:dyDescent="0.3">
      <c r="C1001" t="s">
        <v>11</v>
      </c>
      <c r="D1001" t="s">
        <v>687</v>
      </c>
      <c r="E1001" t="s">
        <v>13</v>
      </c>
      <c r="F1001" t="s">
        <v>240</v>
      </c>
      <c r="G1001">
        <v>341.06528330856901</v>
      </c>
    </row>
    <row r="1002" spans="3:7" hidden="1" x14ac:dyDescent="0.3">
      <c r="C1002" t="s">
        <v>21</v>
      </c>
      <c r="D1002" t="s">
        <v>504</v>
      </c>
      <c r="E1002" t="s">
        <v>9</v>
      </c>
      <c r="F1002" t="s">
        <v>136</v>
      </c>
      <c r="G1002">
        <v>339.452785775226</v>
      </c>
    </row>
    <row r="1003" spans="3:7" hidden="1" x14ac:dyDescent="0.3">
      <c r="C1003" t="s">
        <v>21</v>
      </c>
      <c r="D1003" t="s">
        <v>839</v>
      </c>
      <c r="E1003" t="s">
        <v>17</v>
      </c>
      <c r="F1003" t="s">
        <v>136</v>
      </c>
      <c r="G1003">
        <v>339.42500000000001</v>
      </c>
    </row>
    <row r="1004" spans="3:7" hidden="1" x14ac:dyDescent="0.3">
      <c r="C1004" t="s">
        <v>11</v>
      </c>
      <c r="D1004" t="s">
        <v>840</v>
      </c>
      <c r="E1004" t="s">
        <v>9</v>
      </c>
      <c r="F1004" t="s">
        <v>136</v>
      </c>
      <c r="G1004">
        <v>339.10245635193502</v>
      </c>
    </row>
    <row r="1005" spans="3:7" hidden="1" x14ac:dyDescent="0.3">
      <c r="C1005" t="s">
        <v>19</v>
      </c>
      <c r="D1005" t="s">
        <v>807</v>
      </c>
      <c r="E1005" t="s">
        <v>13</v>
      </c>
      <c r="F1005" t="s">
        <v>240</v>
      </c>
      <c r="G1005">
        <v>334.16187751198299</v>
      </c>
    </row>
    <row r="1006" spans="3:7" hidden="1" x14ac:dyDescent="0.3">
      <c r="C1006" t="s">
        <v>21</v>
      </c>
      <c r="D1006" t="s">
        <v>788</v>
      </c>
      <c r="E1006" t="s">
        <v>13</v>
      </c>
      <c r="F1006" t="s">
        <v>136</v>
      </c>
      <c r="G1006">
        <v>329.84996179965998</v>
      </c>
    </row>
    <row r="1007" spans="3:7" hidden="1" x14ac:dyDescent="0.3">
      <c r="C1007" t="s">
        <v>19</v>
      </c>
      <c r="D1007" t="s">
        <v>403</v>
      </c>
      <c r="E1007" t="s">
        <v>13</v>
      </c>
      <c r="F1007" t="s">
        <v>136</v>
      </c>
      <c r="G1007">
        <v>327.28888362755902</v>
      </c>
    </row>
    <row r="1008" spans="3:7" hidden="1" x14ac:dyDescent="0.3">
      <c r="C1008" t="s">
        <v>14</v>
      </c>
      <c r="D1008" t="s">
        <v>841</v>
      </c>
      <c r="E1008" t="s">
        <v>13</v>
      </c>
      <c r="F1008" t="s">
        <v>136</v>
      </c>
      <c r="G1008">
        <v>325.06478353256801</v>
      </c>
    </row>
    <row r="1009" spans="3:7" hidden="1" x14ac:dyDescent="0.3">
      <c r="C1009" t="s">
        <v>429</v>
      </c>
      <c r="D1009" t="s">
        <v>399</v>
      </c>
      <c r="E1009" t="s">
        <v>9</v>
      </c>
      <c r="F1009" t="s">
        <v>136</v>
      </c>
      <c r="G1009">
        <v>323.53239436619702</v>
      </c>
    </row>
    <row r="1010" spans="3:7" hidden="1" x14ac:dyDescent="0.3">
      <c r="C1010" t="s">
        <v>21</v>
      </c>
      <c r="D1010" t="s">
        <v>842</v>
      </c>
      <c r="E1010" t="s">
        <v>13</v>
      </c>
      <c r="F1010" t="s">
        <v>136</v>
      </c>
      <c r="G1010">
        <v>323.42999999999898</v>
      </c>
    </row>
    <row r="1011" spans="3:7" hidden="1" x14ac:dyDescent="0.3">
      <c r="C1011" t="s">
        <v>7</v>
      </c>
      <c r="D1011" t="s">
        <v>843</v>
      </c>
      <c r="E1011" t="s">
        <v>9</v>
      </c>
      <c r="F1011" t="s">
        <v>136</v>
      </c>
      <c r="G1011">
        <v>323</v>
      </c>
    </row>
    <row r="1012" spans="3:7" hidden="1" x14ac:dyDescent="0.3">
      <c r="C1012" t="s">
        <v>11</v>
      </c>
      <c r="D1012" t="s">
        <v>844</v>
      </c>
      <c r="E1012" t="s">
        <v>9</v>
      </c>
      <c r="F1012" t="s">
        <v>136</v>
      </c>
      <c r="G1012">
        <v>322.91174999999998</v>
      </c>
    </row>
    <row r="1013" spans="3:7" hidden="1" x14ac:dyDescent="0.3">
      <c r="C1013" t="s">
        <v>21</v>
      </c>
      <c r="D1013" t="s">
        <v>712</v>
      </c>
      <c r="E1013" t="s">
        <v>13</v>
      </c>
      <c r="F1013" t="s">
        <v>136</v>
      </c>
      <c r="G1013">
        <v>322.45482009770802</v>
      </c>
    </row>
    <row r="1014" spans="3:7" hidden="1" x14ac:dyDescent="0.3">
      <c r="C1014" t="s">
        <v>90</v>
      </c>
      <c r="D1014" t="s">
        <v>845</v>
      </c>
      <c r="E1014" t="s">
        <v>9</v>
      </c>
      <c r="F1014" t="s">
        <v>136</v>
      </c>
      <c r="G1014">
        <v>322.304347826087</v>
      </c>
    </row>
    <row r="1015" spans="3:7" hidden="1" x14ac:dyDescent="0.3">
      <c r="C1015" t="s">
        <v>21</v>
      </c>
      <c r="D1015" t="s">
        <v>846</v>
      </c>
      <c r="E1015" t="s">
        <v>17</v>
      </c>
      <c r="F1015" t="s">
        <v>136</v>
      </c>
      <c r="G1015">
        <v>320.94</v>
      </c>
    </row>
    <row r="1016" spans="3:7" hidden="1" x14ac:dyDescent="0.3">
      <c r="C1016" t="s">
        <v>21</v>
      </c>
      <c r="D1016" t="s">
        <v>847</v>
      </c>
      <c r="E1016" t="s">
        <v>9</v>
      </c>
      <c r="F1016" t="s">
        <v>10</v>
      </c>
      <c r="G1016">
        <v>318</v>
      </c>
    </row>
    <row r="1017" spans="3:7" hidden="1" x14ac:dyDescent="0.3">
      <c r="C1017" t="s">
        <v>269</v>
      </c>
      <c r="D1017" t="s">
        <v>848</v>
      </c>
      <c r="E1017" t="s">
        <v>17</v>
      </c>
      <c r="F1017" t="s">
        <v>136</v>
      </c>
      <c r="G1017">
        <v>317.88</v>
      </c>
    </row>
    <row r="1018" spans="3:7" hidden="1" x14ac:dyDescent="0.3">
      <c r="C1018" t="s">
        <v>11</v>
      </c>
      <c r="D1018" t="s">
        <v>712</v>
      </c>
      <c r="E1018" t="s">
        <v>13</v>
      </c>
      <c r="F1018" t="s">
        <v>136</v>
      </c>
      <c r="G1018">
        <v>317.66435856218197</v>
      </c>
    </row>
    <row r="1019" spans="3:7" hidden="1" x14ac:dyDescent="0.3">
      <c r="C1019" t="s">
        <v>126</v>
      </c>
      <c r="D1019" t="s">
        <v>849</v>
      </c>
      <c r="E1019" t="s">
        <v>13</v>
      </c>
      <c r="F1019" t="s">
        <v>136</v>
      </c>
      <c r="G1019">
        <v>315.56447393364903</v>
      </c>
    </row>
    <row r="1020" spans="3:7" hidden="1" x14ac:dyDescent="0.3">
      <c r="C1020" t="s">
        <v>126</v>
      </c>
      <c r="D1020" t="s">
        <v>239</v>
      </c>
      <c r="E1020" t="s">
        <v>13</v>
      </c>
      <c r="F1020" t="s">
        <v>240</v>
      </c>
      <c r="G1020">
        <v>312.60175952466801</v>
      </c>
    </row>
    <row r="1021" spans="3:7" hidden="1" x14ac:dyDescent="0.3">
      <c r="C1021" t="s">
        <v>269</v>
      </c>
      <c r="D1021" t="s">
        <v>850</v>
      </c>
      <c r="E1021" t="s">
        <v>13</v>
      </c>
      <c r="F1021" t="s">
        <v>10</v>
      </c>
      <c r="G1021">
        <v>311</v>
      </c>
    </row>
    <row r="1022" spans="3:7" hidden="1" x14ac:dyDescent="0.3">
      <c r="C1022" t="s">
        <v>11</v>
      </c>
      <c r="D1022" t="s">
        <v>851</v>
      </c>
      <c r="E1022" t="s">
        <v>17</v>
      </c>
      <c r="F1022" t="s">
        <v>136</v>
      </c>
      <c r="G1022">
        <v>310.42246153846099</v>
      </c>
    </row>
    <row r="1023" spans="3:7" hidden="1" x14ac:dyDescent="0.3">
      <c r="C1023" t="s">
        <v>21</v>
      </c>
      <c r="D1023" t="s">
        <v>852</v>
      </c>
      <c r="E1023" t="s">
        <v>13</v>
      </c>
      <c r="F1023" t="s">
        <v>240</v>
      </c>
      <c r="G1023">
        <v>309.25220824454902</v>
      </c>
    </row>
    <row r="1024" spans="3:7" hidden="1" x14ac:dyDescent="0.3">
      <c r="C1024" t="s">
        <v>7</v>
      </c>
      <c r="D1024" t="s">
        <v>853</v>
      </c>
      <c r="E1024" t="s">
        <v>9</v>
      </c>
      <c r="F1024" t="s">
        <v>136</v>
      </c>
      <c r="G1024">
        <v>307.65913043478201</v>
      </c>
    </row>
    <row r="1025" spans="3:7" hidden="1" x14ac:dyDescent="0.3">
      <c r="C1025" t="s">
        <v>7</v>
      </c>
      <c r="D1025" t="s">
        <v>854</v>
      </c>
      <c r="E1025" t="s">
        <v>9</v>
      </c>
      <c r="F1025" t="s">
        <v>136</v>
      </c>
      <c r="G1025">
        <v>307.54181818181797</v>
      </c>
    </row>
    <row r="1026" spans="3:7" hidden="1" x14ac:dyDescent="0.3">
      <c r="C1026" t="s">
        <v>19</v>
      </c>
      <c r="D1026" t="s">
        <v>728</v>
      </c>
      <c r="E1026" t="s">
        <v>13</v>
      </c>
      <c r="F1026" t="s">
        <v>136</v>
      </c>
      <c r="G1026">
        <v>307.5</v>
      </c>
    </row>
    <row r="1027" spans="3:7" hidden="1" x14ac:dyDescent="0.3">
      <c r="C1027" t="s">
        <v>855</v>
      </c>
      <c r="D1027" t="s">
        <v>611</v>
      </c>
      <c r="E1027" t="s">
        <v>13</v>
      </c>
      <c r="F1027" t="s">
        <v>10</v>
      </c>
      <c r="G1027">
        <v>305</v>
      </c>
    </row>
    <row r="1028" spans="3:7" hidden="1" x14ac:dyDescent="0.3">
      <c r="C1028" t="s">
        <v>11</v>
      </c>
      <c r="D1028" t="s">
        <v>657</v>
      </c>
      <c r="E1028" t="s">
        <v>13</v>
      </c>
      <c r="F1028" t="s">
        <v>136</v>
      </c>
      <c r="G1028">
        <v>303.57141991227701</v>
      </c>
    </row>
    <row r="1029" spans="3:7" hidden="1" x14ac:dyDescent="0.3">
      <c r="C1029" t="s">
        <v>188</v>
      </c>
      <c r="D1029" t="s">
        <v>856</v>
      </c>
      <c r="E1029" t="s">
        <v>9</v>
      </c>
      <c r="F1029" t="s">
        <v>136</v>
      </c>
      <c r="G1029">
        <v>302</v>
      </c>
    </row>
    <row r="1030" spans="3:7" hidden="1" x14ac:dyDescent="0.3">
      <c r="C1030" t="s">
        <v>19</v>
      </c>
      <c r="D1030" t="s">
        <v>350</v>
      </c>
      <c r="E1030" t="s">
        <v>9</v>
      </c>
      <c r="F1030" t="s">
        <v>136</v>
      </c>
      <c r="G1030">
        <v>299.31599999999997</v>
      </c>
    </row>
    <row r="1031" spans="3:7" hidden="1" x14ac:dyDescent="0.3">
      <c r="C1031" t="s">
        <v>19</v>
      </c>
      <c r="D1031" t="s">
        <v>857</v>
      </c>
      <c r="E1031" t="s">
        <v>9</v>
      </c>
      <c r="F1031" t="s">
        <v>136</v>
      </c>
      <c r="G1031">
        <v>299.31599999999997</v>
      </c>
    </row>
    <row r="1032" spans="3:7" hidden="1" x14ac:dyDescent="0.3">
      <c r="C1032" t="s">
        <v>14</v>
      </c>
      <c r="D1032" t="s">
        <v>858</v>
      </c>
      <c r="E1032" t="s">
        <v>17</v>
      </c>
      <c r="F1032" t="s">
        <v>136</v>
      </c>
      <c r="G1032">
        <v>297.29899999999998</v>
      </c>
    </row>
    <row r="1033" spans="3:7" hidden="1" x14ac:dyDescent="0.3">
      <c r="C1033" t="s">
        <v>78</v>
      </c>
      <c r="D1033" t="s">
        <v>859</v>
      </c>
      <c r="E1033" t="s">
        <v>17</v>
      </c>
      <c r="F1033" t="s">
        <v>136</v>
      </c>
      <c r="G1033">
        <v>297</v>
      </c>
    </row>
    <row r="1034" spans="3:7" hidden="1" x14ac:dyDescent="0.3">
      <c r="C1034" t="s">
        <v>11</v>
      </c>
      <c r="D1034" t="s">
        <v>768</v>
      </c>
      <c r="E1034" t="s">
        <v>13</v>
      </c>
      <c r="F1034" t="s">
        <v>136</v>
      </c>
      <c r="G1034">
        <v>296.88582957400399</v>
      </c>
    </row>
    <row r="1035" spans="3:7" hidden="1" x14ac:dyDescent="0.3">
      <c r="C1035" t="s">
        <v>11</v>
      </c>
      <c r="D1035" t="s">
        <v>860</v>
      </c>
      <c r="E1035" t="s">
        <v>9</v>
      </c>
      <c r="F1035" t="s">
        <v>136</v>
      </c>
      <c r="G1035">
        <v>296.050193050193</v>
      </c>
    </row>
    <row r="1036" spans="3:7" hidden="1" x14ac:dyDescent="0.3">
      <c r="C1036" t="s">
        <v>21</v>
      </c>
      <c r="D1036" t="s">
        <v>861</v>
      </c>
      <c r="E1036" t="s">
        <v>9</v>
      </c>
      <c r="F1036" t="s">
        <v>136</v>
      </c>
      <c r="G1036">
        <v>293.39092872570097</v>
      </c>
    </row>
    <row r="1037" spans="3:7" hidden="1" x14ac:dyDescent="0.3">
      <c r="C1037" t="s">
        <v>21</v>
      </c>
      <c r="D1037" t="s">
        <v>691</v>
      </c>
      <c r="E1037" t="s">
        <v>13</v>
      </c>
      <c r="F1037" t="s">
        <v>136</v>
      </c>
      <c r="G1037">
        <v>292.94242475049901</v>
      </c>
    </row>
    <row r="1038" spans="3:7" hidden="1" x14ac:dyDescent="0.3">
      <c r="C1038" t="s">
        <v>7</v>
      </c>
      <c r="D1038" t="s">
        <v>845</v>
      </c>
      <c r="E1038" t="s">
        <v>9</v>
      </c>
      <c r="F1038" t="s">
        <v>136</v>
      </c>
      <c r="G1038">
        <v>291.92723440134898</v>
      </c>
    </row>
    <row r="1039" spans="3:7" hidden="1" x14ac:dyDescent="0.3">
      <c r="C1039" t="s">
        <v>7</v>
      </c>
      <c r="D1039" t="s">
        <v>862</v>
      </c>
      <c r="E1039" t="s">
        <v>9</v>
      </c>
      <c r="F1039" t="s">
        <v>136</v>
      </c>
      <c r="G1039">
        <v>286.06200000000001</v>
      </c>
    </row>
    <row r="1040" spans="3:7" hidden="1" x14ac:dyDescent="0.3">
      <c r="C1040" t="s">
        <v>126</v>
      </c>
      <c r="D1040" t="s">
        <v>863</v>
      </c>
      <c r="E1040" t="s">
        <v>13</v>
      </c>
      <c r="F1040" t="s">
        <v>10</v>
      </c>
      <c r="G1040">
        <v>286</v>
      </c>
    </row>
    <row r="1041" spans="3:7" hidden="1" x14ac:dyDescent="0.3">
      <c r="C1041" t="s">
        <v>808</v>
      </c>
      <c r="D1041" t="s">
        <v>493</v>
      </c>
      <c r="E1041" t="s">
        <v>13</v>
      </c>
      <c r="F1041" t="s">
        <v>136</v>
      </c>
      <c r="G1041">
        <v>285.92470588235199</v>
      </c>
    </row>
    <row r="1042" spans="3:7" hidden="1" x14ac:dyDescent="0.3">
      <c r="C1042" t="s">
        <v>11</v>
      </c>
      <c r="D1042" t="s">
        <v>864</v>
      </c>
      <c r="E1042" t="s">
        <v>13</v>
      </c>
      <c r="F1042" t="s">
        <v>136</v>
      </c>
      <c r="G1042">
        <v>284.76699999999897</v>
      </c>
    </row>
    <row r="1043" spans="3:7" hidden="1" x14ac:dyDescent="0.3">
      <c r="C1043" t="s">
        <v>21</v>
      </c>
      <c r="D1043" t="s">
        <v>865</v>
      </c>
      <c r="E1043" t="s">
        <v>17</v>
      </c>
      <c r="F1043" t="s">
        <v>136</v>
      </c>
      <c r="G1043">
        <v>283.13499999999902</v>
      </c>
    </row>
    <row r="1044" spans="3:7" hidden="1" x14ac:dyDescent="0.3">
      <c r="C1044" t="s">
        <v>78</v>
      </c>
      <c r="D1044" t="s">
        <v>423</v>
      </c>
      <c r="E1044" t="s">
        <v>17</v>
      </c>
      <c r="F1044" t="s">
        <v>10</v>
      </c>
      <c r="G1044">
        <v>283</v>
      </c>
    </row>
    <row r="1045" spans="3:7" hidden="1" x14ac:dyDescent="0.3">
      <c r="C1045" t="s">
        <v>19</v>
      </c>
      <c r="D1045" t="s">
        <v>866</v>
      </c>
      <c r="E1045" t="s">
        <v>13</v>
      </c>
      <c r="F1045" t="s">
        <v>240</v>
      </c>
      <c r="G1045">
        <v>282.37478083233998</v>
      </c>
    </row>
    <row r="1046" spans="3:7" hidden="1" x14ac:dyDescent="0.3">
      <c r="C1046" t="s">
        <v>11</v>
      </c>
      <c r="D1046" t="s">
        <v>867</v>
      </c>
      <c r="E1046" t="s">
        <v>17</v>
      </c>
      <c r="F1046" t="s">
        <v>136</v>
      </c>
      <c r="G1046">
        <v>282.24</v>
      </c>
    </row>
    <row r="1047" spans="3:7" hidden="1" x14ac:dyDescent="0.3">
      <c r="C1047" t="s">
        <v>21</v>
      </c>
      <c r="D1047" t="s">
        <v>868</v>
      </c>
      <c r="E1047" t="s">
        <v>17</v>
      </c>
      <c r="F1047" t="s">
        <v>136</v>
      </c>
      <c r="G1047">
        <v>281.33999999999997</v>
      </c>
    </row>
    <row r="1048" spans="3:7" hidden="1" x14ac:dyDescent="0.3">
      <c r="C1048" t="s">
        <v>126</v>
      </c>
      <c r="D1048" t="s">
        <v>869</v>
      </c>
      <c r="E1048" t="s">
        <v>13</v>
      </c>
      <c r="F1048" t="s">
        <v>10</v>
      </c>
      <c r="G1048">
        <v>281</v>
      </c>
    </row>
    <row r="1049" spans="3:7" hidden="1" x14ac:dyDescent="0.3">
      <c r="C1049" t="s">
        <v>126</v>
      </c>
      <c r="D1049" t="s">
        <v>870</v>
      </c>
      <c r="E1049" t="s">
        <v>17</v>
      </c>
      <c r="F1049" t="s">
        <v>136</v>
      </c>
      <c r="G1049">
        <v>280.55099999999999</v>
      </c>
    </row>
    <row r="1050" spans="3:7" hidden="1" x14ac:dyDescent="0.3">
      <c r="C1050" t="s">
        <v>90</v>
      </c>
      <c r="D1050" t="s">
        <v>671</v>
      </c>
      <c r="E1050" t="s">
        <v>13</v>
      </c>
      <c r="F1050" t="s">
        <v>136</v>
      </c>
      <c r="G1050">
        <v>279.78782608695599</v>
      </c>
    </row>
    <row r="1051" spans="3:7" hidden="1" x14ac:dyDescent="0.3">
      <c r="C1051" t="s">
        <v>21</v>
      </c>
      <c r="D1051" t="s">
        <v>785</v>
      </c>
      <c r="E1051" t="s">
        <v>9</v>
      </c>
      <c r="F1051" t="s">
        <v>136</v>
      </c>
      <c r="G1051">
        <v>277.26149341142002</v>
      </c>
    </row>
    <row r="1052" spans="3:7" hidden="1" x14ac:dyDescent="0.3">
      <c r="C1052" t="s">
        <v>7</v>
      </c>
      <c r="D1052" t="s">
        <v>642</v>
      </c>
      <c r="E1052" t="s">
        <v>13</v>
      </c>
      <c r="F1052" t="s">
        <v>136</v>
      </c>
      <c r="G1052">
        <v>275.86786489454602</v>
      </c>
    </row>
    <row r="1053" spans="3:7" hidden="1" x14ac:dyDescent="0.3">
      <c r="C1053" t="s">
        <v>78</v>
      </c>
      <c r="D1053" t="s">
        <v>453</v>
      </c>
      <c r="E1053" t="s">
        <v>13</v>
      </c>
      <c r="F1053" t="s">
        <v>136</v>
      </c>
      <c r="G1053">
        <v>275.334599999999</v>
      </c>
    </row>
    <row r="1054" spans="3:7" hidden="1" x14ac:dyDescent="0.3">
      <c r="C1054" t="s">
        <v>11</v>
      </c>
      <c r="D1054" t="s">
        <v>871</v>
      </c>
      <c r="E1054" t="s">
        <v>17</v>
      </c>
      <c r="F1054" t="s">
        <v>136</v>
      </c>
      <c r="G1054">
        <v>274.76</v>
      </c>
    </row>
    <row r="1055" spans="3:7" hidden="1" x14ac:dyDescent="0.3">
      <c r="C1055" t="s">
        <v>11</v>
      </c>
      <c r="D1055" t="s">
        <v>872</v>
      </c>
      <c r="E1055" t="s">
        <v>9</v>
      </c>
      <c r="F1055" t="s">
        <v>136</v>
      </c>
      <c r="G1055">
        <v>270.85658250676198</v>
      </c>
    </row>
    <row r="1056" spans="3:7" hidden="1" x14ac:dyDescent="0.3">
      <c r="C1056" t="s">
        <v>11</v>
      </c>
      <c r="D1056" t="s">
        <v>873</v>
      </c>
      <c r="E1056" t="s">
        <v>9</v>
      </c>
      <c r="F1056" t="s">
        <v>136</v>
      </c>
      <c r="G1056">
        <v>270.45594405594397</v>
      </c>
    </row>
    <row r="1057" spans="3:7" hidden="1" x14ac:dyDescent="0.3">
      <c r="C1057" t="s">
        <v>21</v>
      </c>
      <c r="D1057" t="s">
        <v>874</v>
      </c>
      <c r="E1057" t="s">
        <v>9</v>
      </c>
      <c r="F1057" t="s">
        <v>10</v>
      </c>
      <c r="G1057">
        <v>270</v>
      </c>
    </row>
    <row r="1058" spans="3:7" hidden="1" x14ac:dyDescent="0.3">
      <c r="C1058" t="s">
        <v>21</v>
      </c>
      <c r="D1058" t="s">
        <v>875</v>
      </c>
      <c r="E1058" t="s">
        <v>9</v>
      </c>
      <c r="F1058" t="s">
        <v>10</v>
      </c>
      <c r="G1058">
        <v>270</v>
      </c>
    </row>
    <row r="1059" spans="3:7" hidden="1" x14ac:dyDescent="0.3">
      <c r="C1059" t="s">
        <v>19</v>
      </c>
      <c r="D1059" t="s">
        <v>834</v>
      </c>
      <c r="E1059" t="s">
        <v>13</v>
      </c>
      <c r="F1059" t="s">
        <v>136</v>
      </c>
      <c r="G1059">
        <v>269.58802732285301</v>
      </c>
    </row>
    <row r="1060" spans="3:7" hidden="1" x14ac:dyDescent="0.3">
      <c r="C1060" t="s">
        <v>14</v>
      </c>
      <c r="D1060" t="s">
        <v>876</v>
      </c>
      <c r="E1060" t="s">
        <v>13</v>
      </c>
      <c r="F1060" t="s">
        <v>136</v>
      </c>
      <c r="G1060">
        <v>268.39999999999998</v>
      </c>
    </row>
    <row r="1061" spans="3:7" hidden="1" x14ac:dyDescent="0.3">
      <c r="C1061" t="s">
        <v>7</v>
      </c>
      <c r="D1061" t="s">
        <v>877</v>
      </c>
      <c r="E1061" t="s">
        <v>9</v>
      </c>
      <c r="F1061" t="s">
        <v>10</v>
      </c>
      <c r="G1061">
        <v>265.82053012048198</v>
      </c>
    </row>
    <row r="1062" spans="3:7" hidden="1" x14ac:dyDescent="0.3">
      <c r="C1062" t="s">
        <v>429</v>
      </c>
      <c r="D1062" t="s">
        <v>24</v>
      </c>
      <c r="E1062" t="s">
        <v>13</v>
      </c>
      <c r="F1062" t="s">
        <v>10</v>
      </c>
      <c r="G1062">
        <v>265</v>
      </c>
    </row>
    <row r="1063" spans="3:7" hidden="1" x14ac:dyDescent="0.3">
      <c r="C1063" t="s">
        <v>19</v>
      </c>
      <c r="D1063" t="s">
        <v>438</v>
      </c>
      <c r="E1063" t="s">
        <v>13</v>
      </c>
      <c r="F1063" t="s">
        <v>136</v>
      </c>
      <c r="G1063">
        <v>264.70903737733101</v>
      </c>
    </row>
    <row r="1064" spans="3:7" hidden="1" x14ac:dyDescent="0.3">
      <c r="C1064" t="s">
        <v>11</v>
      </c>
      <c r="D1064" t="s">
        <v>647</v>
      </c>
      <c r="E1064" t="s">
        <v>13</v>
      </c>
      <c r="F1064" t="s">
        <v>136</v>
      </c>
      <c r="G1064">
        <v>264.38573073959498</v>
      </c>
    </row>
    <row r="1065" spans="3:7" hidden="1" x14ac:dyDescent="0.3">
      <c r="C1065" t="s">
        <v>269</v>
      </c>
      <c r="D1065" t="s">
        <v>878</v>
      </c>
      <c r="E1065" t="s">
        <v>17</v>
      </c>
      <c r="F1065" t="s">
        <v>136</v>
      </c>
      <c r="G1065">
        <v>263.97800000000001</v>
      </c>
    </row>
    <row r="1066" spans="3:7" hidden="1" x14ac:dyDescent="0.3">
      <c r="C1066" t="s">
        <v>11</v>
      </c>
      <c r="D1066" t="s">
        <v>879</v>
      </c>
      <c r="E1066" t="s">
        <v>9</v>
      </c>
      <c r="F1066" t="s">
        <v>136</v>
      </c>
      <c r="G1066">
        <v>263.22726883561597</v>
      </c>
    </row>
    <row r="1067" spans="3:7" hidden="1" x14ac:dyDescent="0.3">
      <c r="C1067" t="s">
        <v>11</v>
      </c>
      <c r="D1067" t="s">
        <v>880</v>
      </c>
      <c r="E1067" t="s">
        <v>9</v>
      </c>
      <c r="F1067" t="s">
        <v>136</v>
      </c>
      <c r="G1067">
        <v>262.82</v>
      </c>
    </row>
    <row r="1068" spans="3:7" hidden="1" x14ac:dyDescent="0.3">
      <c r="C1068" t="s">
        <v>11</v>
      </c>
      <c r="D1068" t="s">
        <v>881</v>
      </c>
      <c r="E1068" t="s">
        <v>17</v>
      </c>
      <c r="F1068" t="s">
        <v>136</v>
      </c>
      <c r="G1068">
        <v>261.66000000000003</v>
      </c>
    </row>
    <row r="1069" spans="3:7" hidden="1" x14ac:dyDescent="0.3">
      <c r="C1069" t="s">
        <v>19</v>
      </c>
      <c r="D1069" t="s">
        <v>882</v>
      </c>
      <c r="E1069" t="s">
        <v>17</v>
      </c>
      <c r="F1069" t="s">
        <v>136</v>
      </c>
      <c r="G1069">
        <v>260.25</v>
      </c>
    </row>
    <row r="1070" spans="3:7" hidden="1" x14ac:dyDescent="0.3">
      <c r="C1070" t="s">
        <v>19</v>
      </c>
      <c r="D1070" t="s">
        <v>883</v>
      </c>
      <c r="E1070" t="s">
        <v>9</v>
      </c>
      <c r="F1070" t="s">
        <v>136</v>
      </c>
      <c r="G1070">
        <v>259.8</v>
      </c>
    </row>
    <row r="1071" spans="3:7" hidden="1" x14ac:dyDescent="0.3">
      <c r="C1071" t="s">
        <v>7</v>
      </c>
      <c r="D1071" t="s">
        <v>884</v>
      </c>
      <c r="E1071" t="s">
        <v>9</v>
      </c>
      <c r="F1071" t="s">
        <v>136</v>
      </c>
      <c r="G1071">
        <v>259.53237410071898</v>
      </c>
    </row>
    <row r="1072" spans="3:7" hidden="1" x14ac:dyDescent="0.3">
      <c r="C1072" t="s">
        <v>11</v>
      </c>
      <c r="D1072" t="s">
        <v>885</v>
      </c>
      <c r="E1072" t="s">
        <v>13</v>
      </c>
      <c r="F1072" t="s">
        <v>136</v>
      </c>
      <c r="G1072">
        <v>259.12676329098298</v>
      </c>
    </row>
    <row r="1073" spans="3:7" hidden="1" x14ac:dyDescent="0.3">
      <c r="C1073" t="s">
        <v>19</v>
      </c>
      <c r="D1073" t="s">
        <v>320</v>
      </c>
      <c r="E1073" t="s">
        <v>13</v>
      </c>
      <c r="F1073" t="s">
        <v>136</v>
      </c>
      <c r="G1073">
        <v>258.82011805200199</v>
      </c>
    </row>
    <row r="1074" spans="3:7" hidden="1" x14ac:dyDescent="0.3">
      <c r="C1074" t="s">
        <v>7</v>
      </c>
      <c r="D1074" t="s">
        <v>886</v>
      </c>
      <c r="E1074" t="s">
        <v>9</v>
      </c>
      <c r="F1074" t="s">
        <v>136</v>
      </c>
      <c r="G1074">
        <v>258.125</v>
      </c>
    </row>
    <row r="1075" spans="3:7" hidden="1" x14ac:dyDescent="0.3">
      <c r="C1075" t="s">
        <v>21</v>
      </c>
      <c r="D1075" t="s">
        <v>887</v>
      </c>
      <c r="E1075" t="s">
        <v>13</v>
      </c>
      <c r="F1075" t="s">
        <v>136</v>
      </c>
      <c r="G1075">
        <v>257.660956175298</v>
      </c>
    </row>
    <row r="1076" spans="3:7" hidden="1" x14ac:dyDescent="0.3">
      <c r="C1076" t="s">
        <v>19</v>
      </c>
      <c r="D1076" t="s">
        <v>888</v>
      </c>
      <c r="E1076" t="s">
        <v>9</v>
      </c>
      <c r="F1076" t="s">
        <v>136</v>
      </c>
      <c r="G1076">
        <v>255</v>
      </c>
    </row>
    <row r="1077" spans="3:7" hidden="1" x14ac:dyDescent="0.3">
      <c r="C1077" t="s">
        <v>78</v>
      </c>
      <c r="D1077" t="s">
        <v>655</v>
      </c>
      <c r="E1077" t="s">
        <v>13</v>
      </c>
      <c r="F1077" t="s">
        <v>136</v>
      </c>
      <c r="G1077">
        <v>254.683333333333</v>
      </c>
    </row>
    <row r="1078" spans="3:7" hidden="1" x14ac:dyDescent="0.3">
      <c r="C1078" t="s">
        <v>78</v>
      </c>
      <c r="D1078" t="s">
        <v>889</v>
      </c>
      <c r="E1078" t="s">
        <v>13</v>
      </c>
      <c r="F1078" t="s">
        <v>10</v>
      </c>
      <c r="G1078">
        <v>254.49871465295601</v>
      </c>
    </row>
    <row r="1079" spans="3:7" hidden="1" x14ac:dyDescent="0.3">
      <c r="C1079" t="s">
        <v>14</v>
      </c>
      <c r="D1079" t="s">
        <v>890</v>
      </c>
      <c r="E1079" t="s">
        <v>13</v>
      </c>
      <c r="F1079" t="s">
        <v>240</v>
      </c>
      <c r="G1079">
        <v>254.275486874363</v>
      </c>
    </row>
    <row r="1080" spans="3:7" hidden="1" x14ac:dyDescent="0.3">
      <c r="C1080" t="s">
        <v>21</v>
      </c>
      <c r="D1080" t="s">
        <v>797</v>
      </c>
      <c r="E1080" t="s">
        <v>13</v>
      </c>
      <c r="F1080" t="s">
        <v>240</v>
      </c>
      <c r="G1080">
        <v>252.590860215053</v>
      </c>
    </row>
    <row r="1081" spans="3:7" hidden="1" x14ac:dyDescent="0.3">
      <c r="C1081" t="s">
        <v>19</v>
      </c>
      <c r="D1081" t="s">
        <v>891</v>
      </c>
      <c r="E1081" t="s">
        <v>17</v>
      </c>
      <c r="F1081" t="s">
        <v>136</v>
      </c>
      <c r="G1081">
        <v>252.536</v>
      </c>
    </row>
    <row r="1082" spans="3:7" hidden="1" x14ac:dyDescent="0.3">
      <c r="C1082" t="s">
        <v>19</v>
      </c>
      <c r="D1082" t="s">
        <v>686</v>
      </c>
      <c r="E1082" t="s">
        <v>9</v>
      </c>
      <c r="F1082" t="s">
        <v>136</v>
      </c>
      <c r="G1082">
        <v>251.87708333333299</v>
      </c>
    </row>
    <row r="1083" spans="3:7" hidden="1" x14ac:dyDescent="0.3">
      <c r="C1083" t="s">
        <v>14</v>
      </c>
      <c r="D1083" t="s">
        <v>653</v>
      </c>
      <c r="E1083" t="s">
        <v>13</v>
      </c>
      <c r="F1083" t="s">
        <v>240</v>
      </c>
      <c r="G1083">
        <v>250.61575438409201</v>
      </c>
    </row>
    <row r="1084" spans="3:7" hidden="1" x14ac:dyDescent="0.3">
      <c r="C1084" t="s">
        <v>7</v>
      </c>
      <c r="D1084" t="s">
        <v>671</v>
      </c>
      <c r="E1084" t="s">
        <v>13</v>
      </c>
      <c r="F1084" t="s">
        <v>136</v>
      </c>
      <c r="G1084">
        <v>249.219262507026</v>
      </c>
    </row>
    <row r="1085" spans="3:7" hidden="1" x14ac:dyDescent="0.3">
      <c r="C1085" t="s">
        <v>78</v>
      </c>
      <c r="D1085" t="s">
        <v>892</v>
      </c>
      <c r="E1085" t="s">
        <v>9</v>
      </c>
      <c r="F1085" t="s">
        <v>136</v>
      </c>
      <c r="G1085">
        <v>248.64524421593799</v>
      </c>
    </row>
    <row r="1086" spans="3:7" hidden="1" x14ac:dyDescent="0.3">
      <c r="C1086" t="s">
        <v>21</v>
      </c>
      <c r="D1086" t="s">
        <v>893</v>
      </c>
      <c r="E1086" t="s">
        <v>17</v>
      </c>
      <c r="F1086" t="s">
        <v>136</v>
      </c>
      <c r="G1086">
        <v>247.32</v>
      </c>
    </row>
    <row r="1087" spans="3:7" hidden="1" x14ac:dyDescent="0.3">
      <c r="C1087" t="s">
        <v>7</v>
      </c>
      <c r="D1087" t="s">
        <v>894</v>
      </c>
      <c r="E1087" t="s">
        <v>17</v>
      </c>
      <c r="F1087" t="s">
        <v>136</v>
      </c>
      <c r="G1087">
        <v>245.85</v>
      </c>
    </row>
    <row r="1088" spans="3:7" hidden="1" x14ac:dyDescent="0.3">
      <c r="C1088" t="s">
        <v>7</v>
      </c>
      <c r="D1088" t="s">
        <v>895</v>
      </c>
      <c r="E1088" t="s">
        <v>17</v>
      </c>
      <c r="F1088" t="s">
        <v>136</v>
      </c>
      <c r="G1088">
        <v>244</v>
      </c>
    </row>
    <row r="1089" spans="3:7" hidden="1" x14ac:dyDescent="0.3">
      <c r="C1089" t="s">
        <v>21</v>
      </c>
      <c r="D1089" t="s">
        <v>896</v>
      </c>
      <c r="E1089" t="s">
        <v>9</v>
      </c>
      <c r="F1089" t="s">
        <v>136</v>
      </c>
      <c r="G1089">
        <v>242.61268999999999</v>
      </c>
    </row>
    <row r="1090" spans="3:7" hidden="1" x14ac:dyDescent="0.3">
      <c r="C1090" t="s">
        <v>78</v>
      </c>
      <c r="D1090" t="s">
        <v>897</v>
      </c>
      <c r="E1090" t="s">
        <v>13</v>
      </c>
      <c r="F1090" t="s">
        <v>10</v>
      </c>
      <c r="G1090">
        <v>242</v>
      </c>
    </row>
    <row r="1091" spans="3:7" hidden="1" x14ac:dyDescent="0.3">
      <c r="C1091" t="s">
        <v>429</v>
      </c>
      <c r="D1091" t="s">
        <v>898</v>
      </c>
      <c r="E1091" t="s">
        <v>13</v>
      </c>
      <c r="F1091" t="s">
        <v>10</v>
      </c>
      <c r="G1091">
        <v>242</v>
      </c>
    </row>
    <row r="1092" spans="3:7" hidden="1" x14ac:dyDescent="0.3">
      <c r="C1092" t="s">
        <v>21</v>
      </c>
      <c r="D1092" t="s">
        <v>899</v>
      </c>
      <c r="E1092" t="s">
        <v>13</v>
      </c>
      <c r="F1092" t="s">
        <v>10</v>
      </c>
      <c r="G1092">
        <v>242</v>
      </c>
    </row>
    <row r="1093" spans="3:7" hidden="1" x14ac:dyDescent="0.3">
      <c r="C1093" t="s">
        <v>7</v>
      </c>
      <c r="D1093" t="s">
        <v>900</v>
      </c>
      <c r="E1093" t="s">
        <v>13</v>
      </c>
      <c r="F1093" t="s">
        <v>136</v>
      </c>
      <c r="G1093">
        <v>240.38399999999999</v>
      </c>
    </row>
    <row r="1094" spans="3:7" hidden="1" x14ac:dyDescent="0.3">
      <c r="C1094" t="s">
        <v>19</v>
      </c>
      <c r="D1094" t="s">
        <v>901</v>
      </c>
      <c r="E1094" t="s">
        <v>17</v>
      </c>
      <c r="F1094" t="s">
        <v>136</v>
      </c>
      <c r="G1094">
        <v>240.17099999999999</v>
      </c>
    </row>
    <row r="1095" spans="3:7" hidden="1" x14ac:dyDescent="0.3">
      <c r="C1095" t="s">
        <v>21</v>
      </c>
      <c r="D1095" t="s">
        <v>902</v>
      </c>
      <c r="E1095" t="s">
        <v>13</v>
      </c>
      <c r="F1095" t="s">
        <v>10</v>
      </c>
      <c r="G1095">
        <v>240</v>
      </c>
    </row>
    <row r="1096" spans="3:7" hidden="1" x14ac:dyDescent="0.3">
      <c r="C1096" t="s">
        <v>19</v>
      </c>
      <c r="D1096" t="s">
        <v>903</v>
      </c>
      <c r="E1096" t="s">
        <v>17</v>
      </c>
      <c r="F1096" t="s">
        <v>136</v>
      </c>
      <c r="G1096">
        <v>238.021999999999</v>
      </c>
    </row>
    <row r="1097" spans="3:7" hidden="1" x14ac:dyDescent="0.3">
      <c r="C1097" t="s">
        <v>19</v>
      </c>
      <c r="D1097" t="s">
        <v>904</v>
      </c>
      <c r="E1097" t="s">
        <v>9</v>
      </c>
      <c r="F1097" t="s">
        <v>136</v>
      </c>
      <c r="G1097">
        <v>236.78200000000001</v>
      </c>
    </row>
    <row r="1098" spans="3:7" hidden="1" x14ac:dyDescent="0.3">
      <c r="C1098" t="s">
        <v>165</v>
      </c>
      <c r="D1098" t="s">
        <v>691</v>
      </c>
      <c r="E1098" t="s">
        <v>13</v>
      </c>
      <c r="F1098" t="s">
        <v>136</v>
      </c>
      <c r="G1098">
        <v>236.44</v>
      </c>
    </row>
    <row r="1099" spans="3:7" hidden="1" x14ac:dyDescent="0.3">
      <c r="C1099" t="s">
        <v>21</v>
      </c>
      <c r="D1099" t="s">
        <v>772</v>
      </c>
      <c r="E1099" t="s">
        <v>17</v>
      </c>
      <c r="F1099" t="s">
        <v>136</v>
      </c>
      <c r="G1099">
        <v>235.78</v>
      </c>
    </row>
    <row r="1100" spans="3:7" hidden="1" x14ac:dyDescent="0.3">
      <c r="C1100" t="s">
        <v>7</v>
      </c>
      <c r="D1100" t="s">
        <v>905</v>
      </c>
      <c r="E1100" t="s">
        <v>13</v>
      </c>
      <c r="F1100" t="s">
        <v>240</v>
      </c>
      <c r="G1100">
        <v>235.36712261296299</v>
      </c>
    </row>
    <row r="1101" spans="3:7" hidden="1" x14ac:dyDescent="0.3">
      <c r="C1101" t="s">
        <v>269</v>
      </c>
      <c r="D1101" t="s">
        <v>906</v>
      </c>
      <c r="E1101" t="s">
        <v>13</v>
      </c>
      <c r="F1101" t="s">
        <v>136</v>
      </c>
      <c r="G1101">
        <v>235.11211061877901</v>
      </c>
    </row>
    <row r="1102" spans="3:7" hidden="1" x14ac:dyDescent="0.3">
      <c r="C1102" t="s">
        <v>126</v>
      </c>
      <c r="D1102" t="s">
        <v>907</v>
      </c>
      <c r="E1102" t="s">
        <v>13</v>
      </c>
      <c r="F1102" t="s">
        <v>136</v>
      </c>
      <c r="G1102">
        <v>234</v>
      </c>
    </row>
    <row r="1103" spans="3:7" hidden="1" x14ac:dyDescent="0.3">
      <c r="C1103" t="s">
        <v>78</v>
      </c>
      <c r="D1103" t="s">
        <v>908</v>
      </c>
      <c r="E1103" t="s">
        <v>9</v>
      </c>
      <c r="F1103" t="s">
        <v>136</v>
      </c>
      <c r="G1103">
        <v>233.18285189759499</v>
      </c>
    </row>
    <row r="1104" spans="3:7" hidden="1" x14ac:dyDescent="0.3">
      <c r="C1104" t="s">
        <v>11</v>
      </c>
      <c r="D1104" t="s">
        <v>909</v>
      </c>
      <c r="E1104" t="s">
        <v>9</v>
      </c>
      <c r="F1104" t="s">
        <v>136</v>
      </c>
      <c r="G1104">
        <v>232.92</v>
      </c>
    </row>
    <row r="1105" spans="3:7" hidden="1" x14ac:dyDescent="0.3">
      <c r="C1105" t="s">
        <v>78</v>
      </c>
      <c r="D1105" t="s">
        <v>910</v>
      </c>
      <c r="E1105" t="s">
        <v>17</v>
      </c>
      <c r="F1105" t="s">
        <v>136</v>
      </c>
      <c r="G1105">
        <v>232.629999999999</v>
      </c>
    </row>
    <row r="1106" spans="3:7" hidden="1" x14ac:dyDescent="0.3">
      <c r="C1106" t="s">
        <v>7</v>
      </c>
      <c r="D1106" t="s">
        <v>351</v>
      </c>
      <c r="E1106" t="s">
        <v>9</v>
      </c>
      <c r="F1106" t="s">
        <v>240</v>
      </c>
      <c r="G1106">
        <v>232.41445890180901</v>
      </c>
    </row>
    <row r="1107" spans="3:7" hidden="1" x14ac:dyDescent="0.3">
      <c r="C1107" t="s">
        <v>19</v>
      </c>
      <c r="D1107" t="s">
        <v>911</v>
      </c>
      <c r="E1107" t="s">
        <v>13</v>
      </c>
      <c r="F1107" t="s">
        <v>136</v>
      </c>
      <c r="G1107">
        <v>231.498999999999</v>
      </c>
    </row>
    <row r="1108" spans="3:7" hidden="1" x14ac:dyDescent="0.3">
      <c r="C1108" t="s">
        <v>14</v>
      </c>
      <c r="D1108" t="s">
        <v>912</v>
      </c>
      <c r="E1108" t="s">
        <v>17</v>
      </c>
      <c r="F1108" t="s">
        <v>136</v>
      </c>
      <c r="G1108">
        <v>231.03</v>
      </c>
    </row>
    <row r="1109" spans="3:7" hidden="1" x14ac:dyDescent="0.3">
      <c r="C1109" t="s">
        <v>78</v>
      </c>
      <c r="D1109" t="s">
        <v>411</v>
      </c>
      <c r="E1109" t="s">
        <v>13</v>
      </c>
      <c r="F1109" t="s">
        <v>136</v>
      </c>
      <c r="G1109">
        <v>230.681428571428</v>
      </c>
    </row>
    <row r="1110" spans="3:7" hidden="1" x14ac:dyDescent="0.3">
      <c r="C1110" t="s">
        <v>14</v>
      </c>
      <c r="D1110" t="s">
        <v>913</v>
      </c>
      <c r="E1110" t="s">
        <v>17</v>
      </c>
      <c r="F1110" t="s">
        <v>136</v>
      </c>
      <c r="G1110">
        <v>229.64</v>
      </c>
    </row>
    <row r="1111" spans="3:7" hidden="1" x14ac:dyDescent="0.3">
      <c r="C1111" t="s">
        <v>19</v>
      </c>
      <c r="D1111" t="s">
        <v>914</v>
      </c>
      <c r="E1111" t="s">
        <v>9</v>
      </c>
      <c r="F1111" t="s">
        <v>136</v>
      </c>
      <c r="G1111">
        <v>228.72</v>
      </c>
    </row>
    <row r="1112" spans="3:7" hidden="1" x14ac:dyDescent="0.3">
      <c r="C1112" t="s">
        <v>269</v>
      </c>
      <c r="D1112" t="s">
        <v>915</v>
      </c>
      <c r="E1112" t="s">
        <v>9</v>
      </c>
      <c r="F1112" t="s">
        <v>136</v>
      </c>
      <c r="G1112">
        <v>228.058747300215</v>
      </c>
    </row>
    <row r="1113" spans="3:7" hidden="1" x14ac:dyDescent="0.3">
      <c r="C1113" t="s">
        <v>21</v>
      </c>
      <c r="D1113" t="s">
        <v>832</v>
      </c>
      <c r="E1113" t="s">
        <v>13</v>
      </c>
      <c r="F1113" t="s">
        <v>240</v>
      </c>
      <c r="G1113">
        <v>227.415321539937</v>
      </c>
    </row>
    <row r="1114" spans="3:7" hidden="1" x14ac:dyDescent="0.3">
      <c r="C1114" t="s">
        <v>21</v>
      </c>
      <c r="D1114" t="s">
        <v>916</v>
      </c>
      <c r="E1114" t="s">
        <v>17</v>
      </c>
      <c r="F1114" t="s">
        <v>136</v>
      </c>
      <c r="G1114">
        <v>226.4</v>
      </c>
    </row>
    <row r="1115" spans="3:7" hidden="1" x14ac:dyDescent="0.3">
      <c r="C1115" t="s">
        <v>78</v>
      </c>
      <c r="D1115" t="s">
        <v>917</v>
      </c>
      <c r="E1115" t="s">
        <v>13</v>
      </c>
      <c r="F1115" t="s">
        <v>136</v>
      </c>
      <c r="G1115">
        <v>226.38</v>
      </c>
    </row>
    <row r="1116" spans="3:7" hidden="1" x14ac:dyDescent="0.3">
      <c r="C1116" t="s">
        <v>19</v>
      </c>
      <c r="D1116" t="s">
        <v>918</v>
      </c>
      <c r="E1116" t="s">
        <v>13</v>
      </c>
      <c r="F1116" t="s">
        <v>136</v>
      </c>
      <c r="G1116">
        <v>226.29602520841601</v>
      </c>
    </row>
    <row r="1117" spans="3:7" hidden="1" x14ac:dyDescent="0.3">
      <c r="C1117" t="s">
        <v>19</v>
      </c>
      <c r="D1117" t="s">
        <v>919</v>
      </c>
      <c r="E1117" t="s">
        <v>13</v>
      </c>
      <c r="F1117" t="s">
        <v>240</v>
      </c>
      <c r="G1117">
        <v>223.890521514977</v>
      </c>
    </row>
    <row r="1118" spans="3:7" hidden="1" x14ac:dyDescent="0.3">
      <c r="C1118" t="s">
        <v>7</v>
      </c>
      <c r="D1118" t="s">
        <v>647</v>
      </c>
      <c r="E1118" t="s">
        <v>13</v>
      </c>
      <c r="F1118" t="s">
        <v>136</v>
      </c>
      <c r="G1118">
        <v>223.79447674569701</v>
      </c>
    </row>
    <row r="1119" spans="3:7" hidden="1" x14ac:dyDescent="0.3">
      <c r="C1119" t="s">
        <v>78</v>
      </c>
      <c r="D1119" t="s">
        <v>920</v>
      </c>
      <c r="E1119" t="s">
        <v>13</v>
      </c>
      <c r="F1119" t="s">
        <v>136</v>
      </c>
      <c r="G1119">
        <v>223.73665480426999</v>
      </c>
    </row>
    <row r="1120" spans="3:7" hidden="1" x14ac:dyDescent="0.3">
      <c r="C1120" t="s">
        <v>188</v>
      </c>
      <c r="D1120" t="s">
        <v>921</v>
      </c>
      <c r="E1120" t="s">
        <v>13</v>
      </c>
      <c r="F1120" t="s">
        <v>10</v>
      </c>
      <c r="G1120">
        <v>223</v>
      </c>
    </row>
    <row r="1121" spans="3:7" hidden="1" x14ac:dyDescent="0.3">
      <c r="C1121" t="s">
        <v>21</v>
      </c>
      <c r="D1121" t="s">
        <v>820</v>
      </c>
      <c r="E1121" t="s">
        <v>9</v>
      </c>
      <c r="F1121" t="s">
        <v>136</v>
      </c>
      <c r="G1121">
        <v>221.86896752817501</v>
      </c>
    </row>
    <row r="1122" spans="3:7" hidden="1" x14ac:dyDescent="0.3">
      <c r="C1122" t="s">
        <v>19</v>
      </c>
      <c r="D1122" t="s">
        <v>922</v>
      </c>
      <c r="E1122" t="s">
        <v>13</v>
      </c>
      <c r="F1122" t="s">
        <v>136</v>
      </c>
      <c r="G1122">
        <v>219.95054770303</v>
      </c>
    </row>
    <row r="1123" spans="3:7" hidden="1" x14ac:dyDescent="0.3">
      <c r="C1123" t="s">
        <v>19</v>
      </c>
      <c r="D1123" t="s">
        <v>923</v>
      </c>
      <c r="E1123" t="s">
        <v>13</v>
      </c>
      <c r="F1123" t="s">
        <v>136</v>
      </c>
      <c r="G1123">
        <v>218.719999999999</v>
      </c>
    </row>
    <row r="1124" spans="3:7" hidden="1" x14ac:dyDescent="0.3">
      <c r="C1124" t="s">
        <v>7</v>
      </c>
      <c r="D1124" t="s">
        <v>924</v>
      </c>
      <c r="E1124" t="s">
        <v>9</v>
      </c>
      <c r="F1124" t="s">
        <v>136</v>
      </c>
      <c r="G1124">
        <v>218.07</v>
      </c>
    </row>
    <row r="1125" spans="3:7" hidden="1" x14ac:dyDescent="0.3">
      <c r="C1125" t="s">
        <v>21</v>
      </c>
      <c r="D1125" t="s">
        <v>925</v>
      </c>
      <c r="E1125" t="s">
        <v>13</v>
      </c>
      <c r="F1125" t="s">
        <v>136</v>
      </c>
      <c r="G1125">
        <v>217.745</v>
      </c>
    </row>
    <row r="1126" spans="3:7" hidden="1" x14ac:dyDescent="0.3">
      <c r="C1126" t="s">
        <v>21</v>
      </c>
      <c r="D1126" t="s">
        <v>926</v>
      </c>
      <c r="E1126" t="s">
        <v>13</v>
      </c>
      <c r="F1126" t="s">
        <v>136</v>
      </c>
      <c r="G1126">
        <v>217.43499999999901</v>
      </c>
    </row>
    <row r="1127" spans="3:7" hidden="1" x14ac:dyDescent="0.3">
      <c r="C1127" t="s">
        <v>7</v>
      </c>
      <c r="D1127" t="s">
        <v>718</v>
      </c>
      <c r="E1127" t="s">
        <v>13</v>
      </c>
      <c r="F1127" t="s">
        <v>136</v>
      </c>
      <c r="G1127">
        <v>216.25852308041999</v>
      </c>
    </row>
    <row r="1128" spans="3:7" hidden="1" x14ac:dyDescent="0.3">
      <c r="C1128" t="s">
        <v>7</v>
      </c>
      <c r="D1128" t="s">
        <v>927</v>
      </c>
      <c r="E1128" t="s">
        <v>13</v>
      </c>
      <c r="F1128" t="s">
        <v>240</v>
      </c>
      <c r="G1128">
        <v>215.93053588270499</v>
      </c>
    </row>
    <row r="1129" spans="3:7" hidden="1" x14ac:dyDescent="0.3">
      <c r="C1129" t="s">
        <v>7</v>
      </c>
      <c r="D1129" t="s">
        <v>928</v>
      </c>
      <c r="E1129" t="s">
        <v>9</v>
      </c>
      <c r="F1129" t="s">
        <v>136</v>
      </c>
      <c r="G1129">
        <v>215</v>
      </c>
    </row>
    <row r="1130" spans="3:7" hidden="1" x14ac:dyDescent="0.3">
      <c r="C1130" t="s">
        <v>11</v>
      </c>
      <c r="D1130" t="s">
        <v>929</v>
      </c>
      <c r="E1130" t="s">
        <v>13</v>
      </c>
      <c r="F1130" t="s">
        <v>240</v>
      </c>
      <c r="G1130">
        <v>214.1402578668</v>
      </c>
    </row>
    <row r="1131" spans="3:7" hidden="1" x14ac:dyDescent="0.3">
      <c r="C1131" t="s">
        <v>429</v>
      </c>
      <c r="D1131" t="s">
        <v>930</v>
      </c>
      <c r="E1131" t="s">
        <v>13</v>
      </c>
      <c r="F1131" t="s">
        <v>10</v>
      </c>
      <c r="G1131">
        <v>214</v>
      </c>
    </row>
    <row r="1132" spans="3:7" hidden="1" x14ac:dyDescent="0.3">
      <c r="C1132" t="s">
        <v>78</v>
      </c>
      <c r="D1132" t="s">
        <v>931</v>
      </c>
      <c r="E1132" t="s">
        <v>9</v>
      </c>
      <c r="F1132" t="s">
        <v>136</v>
      </c>
      <c r="G1132">
        <v>213.83997219033901</v>
      </c>
    </row>
    <row r="1133" spans="3:7" hidden="1" x14ac:dyDescent="0.3">
      <c r="C1133" t="s">
        <v>19</v>
      </c>
      <c r="D1133" t="s">
        <v>932</v>
      </c>
      <c r="E1133" t="s">
        <v>9</v>
      </c>
      <c r="F1133" t="s">
        <v>136</v>
      </c>
      <c r="G1133">
        <v>213.35599999999999</v>
      </c>
    </row>
    <row r="1134" spans="3:7" hidden="1" x14ac:dyDescent="0.3">
      <c r="C1134" t="s">
        <v>933</v>
      </c>
      <c r="D1134" t="s">
        <v>161</v>
      </c>
      <c r="E1134" t="s">
        <v>13</v>
      </c>
      <c r="F1134" t="s">
        <v>10</v>
      </c>
      <c r="G1134">
        <v>213</v>
      </c>
    </row>
    <row r="1135" spans="3:7" hidden="1" x14ac:dyDescent="0.3">
      <c r="C1135" t="s">
        <v>19</v>
      </c>
      <c r="D1135" t="s">
        <v>934</v>
      </c>
      <c r="E1135" t="s">
        <v>9</v>
      </c>
      <c r="F1135" t="s">
        <v>136</v>
      </c>
      <c r="G1135">
        <v>211.443478260869</v>
      </c>
    </row>
    <row r="1136" spans="3:7" hidden="1" x14ac:dyDescent="0.3">
      <c r="C1136" t="s">
        <v>855</v>
      </c>
      <c r="D1136" t="s">
        <v>499</v>
      </c>
      <c r="E1136" t="s">
        <v>13</v>
      </c>
      <c r="F1136" t="s">
        <v>136</v>
      </c>
      <c r="G1136">
        <v>211.15384615384599</v>
      </c>
    </row>
    <row r="1137" spans="3:7" hidden="1" x14ac:dyDescent="0.3">
      <c r="C1137" t="s">
        <v>429</v>
      </c>
      <c r="D1137" t="s">
        <v>935</v>
      </c>
      <c r="E1137" t="s">
        <v>13</v>
      </c>
      <c r="F1137" t="s">
        <v>10</v>
      </c>
      <c r="G1137">
        <v>211</v>
      </c>
    </row>
    <row r="1138" spans="3:7" hidden="1" x14ac:dyDescent="0.3">
      <c r="C1138" t="s">
        <v>21</v>
      </c>
      <c r="D1138" t="s">
        <v>936</v>
      </c>
      <c r="E1138" t="s">
        <v>9</v>
      </c>
      <c r="F1138" t="s">
        <v>10</v>
      </c>
      <c r="G1138">
        <v>210</v>
      </c>
    </row>
    <row r="1139" spans="3:7" hidden="1" x14ac:dyDescent="0.3">
      <c r="C1139" t="s">
        <v>21</v>
      </c>
      <c r="D1139" t="s">
        <v>937</v>
      </c>
      <c r="E1139" t="s">
        <v>9</v>
      </c>
      <c r="F1139" t="s">
        <v>10</v>
      </c>
      <c r="G1139">
        <v>210</v>
      </c>
    </row>
    <row r="1140" spans="3:7" hidden="1" x14ac:dyDescent="0.3">
      <c r="C1140" t="s">
        <v>21</v>
      </c>
      <c r="D1140" t="s">
        <v>872</v>
      </c>
      <c r="E1140" t="s">
        <v>9</v>
      </c>
      <c r="F1140" t="s">
        <v>136</v>
      </c>
      <c r="G1140">
        <v>209.91213706041401</v>
      </c>
    </row>
    <row r="1141" spans="3:7" hidden="1" x14ac:dyDescent="0.3">
      <c r="C1141" t="s">
        <v>429</v>
      </c>
      <c r="D1141" t="s">
        <v>938</v>
      </c>
      <c r="E1141" t="s">
        <v>13</v>
      </c>
      <c r="F1141" t="s">
        <v>136</v>
      </c>
      <c r="G1141">
        <v>209.44</v>
      </c>
    </row>
    <row r="1142" spans="3:7" hidden="1" x14ac:dyDescent="0.3">
      <c r="C1142" t="s">
        <v>7</v>
      </c>
      <c r="D1142" t="s">
        <v>622</v>
      </c>
      <c r="E1142" t="s">
        <v>13</v>
      </c>
      <c r="F1142" t="s">
        <v>136</v>
      </c>
      <c r="G1142">
        <v>209.178827751196</v>
      </c>
    </row>
    <row r="1143" spans="3:7" hidden="1" x14ac:dyDescent="0.3">
      <c r="C1143" t="s">
        <v>808</v>
      </c>
      <c r="D1143" t="s">
        <v>802</v>
      </c>
      <c r="E1143" t="s">
        <v>13</v>
      </c>
      <c r="F1143" t="s">
        <v>10</v>
      </c>
      <c r="G1143">
        <v>208</v>
      </c>
    </row>
    <row r="1144" spans="3:7" hidden="1" x14ac:dyDescent="0.3">
      <c r="C1144" t="s">
        <v>19</v>
      </c>
      <c r="D1144" t="s">
        <v>656</v>
      </c>
      <c r="E1144" t="s">
        <v>9</v>
      </c>
      <c r="F1144" t="s">
        <v>136</v>
      </c>
      <c r="G1144">
        <v>207.410232558139</v>
      </c>
    </row>
    <row r="1145" spans="3:7" hidden="1" x14ac:dyDescent="0.3">
      <c r="C1145" t="s">
        <v>19</v>
      </c>
      <c r="D1145" t="s">
        <v>939</v>
      </c>
      <c r="E1145" t="s">
        <v>17</v>
      </c>
      <c r="F1145" t="s">
        <v>136</v>
      </c>
      <c r="G1145">
        <v>204.2</v>
      </c>
    </row>
    <row r="1146" spans="3:7" hidden="1" x14ac:dyDescent="0.3">
      <c r="C1146" t="s">
        <v>7</v>
      </c>
      <c r="D1146" t="s">
        <v>691</v>
      </c>
      <c r="E1146" t="s">
        <v>13</v>
      </c>
      <c r="F1146" t="s">
        <v>136</v>
      </c>
      <c r="G1146">
        <v>203.02449999999999</v>
      </c>
    </row>
    <row r="1147" spans="3:7" hidden="1" x14ac:dyDescent="0.3">
      <c r="C1147" t="s">
        <v>808</v>
      </c>
      <c r="D1147" t="s">
        <v>940</v>
      </c>
      <c r="E1147" t="s">
        <v>17</v>
      </c>
      <c r="F1147" t="s">
        <v>136</v>
      </c>
      <c r="G1147">
        <v>202.53</v>
      </c>
    </row>
    <row r="1148" spans="3:7" hidden="1" x14ac:dyDescent="0.3">
      <c r="C1148" t="s">
        <v>21</v>
      </c>
      <c r="D1148" t="s">
        <v>757</v>
      </c>
      <c r="E1148" t="s">
        <v>17</v>
      </c>
      <c r="F1148" t="s">
        <v>136</v>
      </c>
      <c r="G1148">
        <v>202.04999999999899</v>
      </c>
    </row>
    <row r="1149" spans="3:7" hidden="1" x14ac:dyDescent="0.3">
      <c r="C1149" t="s">
        <v>808</v>
      </c>
      <c r="D1149" t="s">
        <v>941</v>
      </c>
      <c r="E1149" t="s">
        <v>9</v>
      </c>
      <c r="F1149" t="s">
        <v>136</v>
      </c>
      <c r="G1149">
        <v>200.14729411764699</v>
      </c>
    </row>
    <row r="1150" spans="3:7" hidden="1" x14ac:dyDescent="0.3">
      <c r="C1150" t="s">
        <v>418</v>
      </c>
      <c r="D1150" t="s">
        <v>681</v>
      </c>
      <c r="E1150" t="s">
        <v>13</v>
      </c>
      <c r="F1150" t="s">
        <v>10</v>
      </c>
      <c r="G1150">
        <v>200</v>
      </c>
    </row>
    <row r="1151" spans="3:7" hidden="1" x14ac:dyDescent="0.3">
      <c r="C1151" t="s">
        <v>21</v>
      </c>
      <c r="D1151" t="s">
        <v>800</v>
      </c>
      <c r="E1151" t="s">
        <v>9</v>
      </c>
      <c r="F1151" t="s">
        <v>136</v>
      </c>
      <c r="G1151">
        <v>199.939042918056</v>
      </c>
    </row>
    <row r="1152" spans="3:7" hidden="1" x14ac:dyDescent="0.3">
      <c r="C1152" t="s">
        <v>21</v>
      </c>
      <c r="D1152" t="s">
        <v>942</v>
      </c>
      <c r="E1152" t="s">
        <v>17</v>
      </c>
      <c r="F1152" t="s">
        <v>136</v>
      </c>
      <c r="G1152">
        <v>199.79</v>
      </c>
    </row>
    <row r="1153" spans="3:7" hidden="1" x14ac:dyDescent="0.3">
      <c r="C1153" t="s">
        <v>21</v>
      </c>
      <c r="D1153" t="s">
        <v>943</v>
      </c>
      <c r="E1153" t="s">
        <v>13</v>
      </c>
      <c r="F1153" t="s">
        <v>136</v>
      </c>
      <c r="G1153">
        <v>199.12584016467</v>
      </c>
    </row>
    <row r="1154" spans="3:7" hidden="1" x14ac:dyDescent="0.3">
      <c r="C1154" t="s">
        <v>78</v>
      </c>
      <c r="D1154" t="s">
        <v>677</v>
      </c>
      <c r="E1154" t="s">
        <v>13</v>
      </c>
      <c r="F1154" t="s">
        <v>136</v>
      </c>
      <c r="G1154">
        <v>198.62</v>
      </c>
    </row>
    <row r="1155" spans="3:7" hidden="1" x14ac:dyDescent="0.3">
      <c r="C1155" t="s">
        <v>11</v>
      </c>
      <c r="D1155" t="s">
        <v>944</v>
      </c>
      <c r="E1155" t="s">
        <v>9</v>
      </c>
      <c r="F1155" t="s">
        <v>136</v>
      </c>
      <c r="G1155">
        <v>198.45</v>
      </c>
    </row>
    <row r="1156" spans="3:7" hidden="1" x14ac:dyDescent="0.3">
      <c r="C1156" t="s">
        <v>19</v>
      </c>
      <c r="D1156" t="s">
        <v>945</v>
      </c>
      <c r="E1156" t="s">
        <v>9</v>
      </c>
      <c r="F1156" t="s">
        <v>136</v>
      </c>
      <c r="G1156">
        <v>198.35999999999899</v>
      </c>
    </row>
    <row r="1157" spans="3:7" hidden="1" x14ac:dyDescent="0.3">
      <c r="C1157" t="s">
        <v>52</v>
      </c>
      <c r="D1157" t="s">
        <v>946</v>
      </c>
      <c r="E1157" t="s">
        <v>13</v>
      </c>
      <c r="F1157" t="s">
        <v>240</v>
      </c>
      <c r="G1157">
        <v>196.315</v>
      </c>
    </row>
    <row r="1158" spans="3:7" hidden="1" x14ac:dyDescent="0.3">
      <c r="C1158" t="s">
        <v>21</v>
      </c>
      <c r="D1158" t="s">
        <v>947</v>
      </c>
      <c r="E1158" t="s">
        <v>9</v>
      </c>
      <c r="F1158" t="s">
        <v>136</v>
      </c>
      <c r="G1158">
        <v>195.90775435857401</v>
      </c>
    </row>
    <row r="1159" spans="3:7" hidden="1" x14ac:dyDescent="0.3">
      <c r="C1159" t="s">
        <v>19</v>
      </c>
      <c r="D1159" t="s">
        <v>948</v>
      </c>
      <c r="E1159" t="s">
        <v>9</v>
      </c>
      <c r="F1159" t="s">
        <v>136</v>
      </c>
      <c r="G1159">
        <v>195.9</v>
      </c>
    </row>
    <row r="1160" spans="3:7" hidden="1" x14ac:dyDescent="0.3">
      <c r="C1160" t="s">
        <v>126</v>
      </c>
      <c r="D1160" t="s">
        <v>949</v>
      </c>
      <c r="E1160" t="s">
        <v>17</v>
      </c>
      <c r="F1160" t="s">
        <v>136</v>
      </c>
      <c r="G1160">
        <v>195.69</v>
      </c>
    </row>
    <row r="1161" spans="3:7" hidden="1" x14ac:dyDescent="0.3">
      <c r="C1161" t="s">
        <v>429</v>
      </c>
      <c r="D1161" t="s">
        <v>950</v>
      </c>
      <c r="E1161" t="s">
        <v>13</v>
      </c>
      <c r="F1161" t="s">
        <v>10</v>
      </c>
      <c r="G1161">
        <v>194</v>
      </c>
    </row>
    <row r="1162" spans="3:7" hidden="1" x14ac:dyDescent="0.3">
      <c r="C1162" t="s">
        <v>429</v>
      </c>
      <c r="D1162" t="s">
        <v>951</v>
      </c>
      <c r="E1162" t="s">
        <v>17</v>
      </c>
      <c r="F1162" t="s">
        <v>29</v>
      </c>
      <c r="G1162">
        <v>194</v>
      </c>
    </row>
    <row r="1163" spans="3:7" hidden="1" x14ac:dyDescent="0.3">
      <c r="C1163" t="s">
        <v>7</v>
      </c>
      <c r="D1163" t="s">
        <v>720</v>
      </c>
      <c r="E1163" t="s">
        <v>13</v>
      </c>
      <c r="F1163" t="s">
        <v>136</v>
      </c>
      <c r="G1163">
        <v>192.762105263157</v>
      </c>
    </row>
    <row r="1164" spans="3:7" hidden="1" x14ac:dyDescent="0.3">
      <c r="C1164" t="s">
        <v>14</v>
      </c>
      <c r="D1164" t="s">
        <v>952</v>
      </c>
      <c r="E1164" t="s">
        <v>17</v>
      </c>
      <c r="F1164" t="s">
        <v>136</v>
      </c>
      <c r="G1164">
        <v>191.71199999999999</v>
      </c>
    </row>
    <row r="1165" spans="3:7" hidden="1" x14ac:dyDescent="0.3">
      <c r="C1165" t="s">
        <v>126</v>
      </c>
      <c r="D1165" t="s">
        <v>953</v>
      </c>
      <c r="E1165" t="s">
        <v>13</v>
      </c>
      <c r="F1165" t="s">
        <v>10</v>
      </c>
      <c r="G1165">
        <v>191</v>
      </c>
    </row>
    <row r="1166" spans="3:7" hidden="1" x14ac:dyDescent="0.3">
      <c r="C1166" t="s">
        <v>19</v>
      </c>
      <c r="D1166" t="s">
        <v>954</v>
      </c>
      <c r="E1166" t="s">
        <v>9</v>
      </c>
      <c r="F1166" t="s">
        <v>136</v>
      </c>
      <c r="G1166">
        <v>188.767</v>
      </c>
    </row>
    <row r="1167" spans="3:7" hidden="1" x14ac:dyDescent="0.3">
      <c r="C1167" t="s">
        <v>126</v>
      </c>
      <c r="D1167" t="s">
        <v>955</v>
      </c>
      <c r="E1167" t="s">
        <v>13</v>
      </c>
      <c r="F1167" t="s">
        <v>10</v>
      </c>
      <c r="G1167">
        <v>188</v>
      </c>
    </row>
    <row r="1168" spans="3:7" hidden="1" x14ac:dyDescent="0.3">
      <c r="C1168" t="s">
        <v>7</v>
      </c>
      <c r="D1168" t="s">
        <v>956</v>
      </c>
      <c r="E1168" t="s">
        <v>13</v>
      </c>
      <c r="F1168" t="s">
        <v>240</v>
      </c>
      <c r="G1168">
        <v>187.20905365917099</v>
      </c>
    </row>
    <row r="1169" spans="3:7" hidden="1" x14ac:dyDescent="0.3">
      <c r="C1169" t="s">
        <v>11</v>
      </c>
      <c r="D1169" t="s">
        <v>957</v>
      </c>
      <c r="E1169" t="s">
        <v>17</v>
      </c>
      <c r="F1169" t="s">
        <v>136</v>
      </c>
      <c r="G1169">
        <v>187.2</v>
      </c>
    </row>
    <row r="1170" spans="3:7" hidden="1" x14ac:dyDescent="0.3">
      <c r="C1170" t="s">
        <v>11</v>
      </c>
      <c r="D1170" t="s">
        <v>958</v>
      </c>
      <c r="E1170" t="s">
        <v>13</v>
      </c>
      <c r="F1170" t="s">
        <v>240</v>
      </c>
      <c r="G1170">
        <v>187.088205829983</v>
      </c>
    </row>
    <row r="1171" spans="3:7" hidden="1" x14ac:dyDescent="0.3">
      <c r="C1171" t="s">
        <v>19</v>
      </c>
      <c r="D1171" t="s">
        <v>959</v>
      </c>
      <c r="E1171" t="s">
        <v>13</v>
      </c>
      <c r="F1171" t="s">
        <v>240</v>
      </c>
      <c r="G1171">
        <v>186.55920041379301</v>
      </c>
    </row>
    <row r="1172" spans="3:7" hidden="1" x14ac:dyDescent="0.3">
      <c r="C1172" t="s">
        <v>19</v>
      </c>
      <c r="D1172" t="s">
        <v>272</v>
      </c>
      <c r="E1172" t="s">
        <v>13</v>
      </c>
      <c r="F1172" t="s">
        <v>10</v>
      </c>
      <c r="G1172">
        <v>185.82608695652101</v>
      </c>
    </row>
    <row r="1173" spans="3:7" hidden="1" x14ac:dyDescent="0.3">
      <c r="C1173" t="s">
        <v>21</v>
      </c>
      <c r="D1173" t="s">
        <v>617</v>
      </c>
      <c r="E1173" t="s">
        <v>13</v>
      </c>
      <c r="F1173" t="s">
        <v>136</v>
      </c>
      <c r="G1173">
        <v>185.74859687858901</v>
      </c>
    </row>
    <row r="1174" spans="3:7" hidden="1" x14ac:dyDescent="0.3">
      <c r="C1174" t="s">
        <v>21</v>
      </c>
      <c r="D1174" t="s">
        <v>849</v>
      </c>
      <c r="E1174" t="s">
        <v>13</v>
      </c>
      <c r="F1174" t="s">
        <v>136</v>
      </c>
      <c r="G1174">
        <v>185.74859687858901</v>
      </c>
    </row>
    <row r="1175" spans="3:7" hidden="1" x14ac:dyDescent="0.3">
      <c r="C1175" t="s">
        <v>7</v>
      </c>
      <c r="D1175" t="s">
        <v>960</v>
      </c>
      <c r="E1175" t="s">
        <v>9</v>
      </c>
      <c r="F1175" t="s">
        <v>136</v>
      </c>
      <c r="G1175">
        <v>184.72499999999999</v>
      </c>
    </row>
    <row r="1176" spans="3:7" hidden="1" x14ac:dyDescent="0.3">
      <c r="C1176" t="s">
        <v>21</v>
      </c>
      <c r="D1176" t="s">
        <v>779</v>
      </c>
      <c r="E1176" t="s">
        <v>9</v>
      </c>
      <c r="F1176" t="s">
        <v>136</v>
      </c>
      <c r="G1176">
        <v>184.398493014378</v>
      </c>
    </row>
    <row r="1177" spans="3:7" hidden="1" x14ac:dyDescent="0.3">
      <c r="C1177" t="s">
        <v>7</v>
      </c>
      <c r="D1177" t="s">
        <v>961</v>
      </c>
      <c r="E1177" t="s">
        <v>9</v>
      </c>
      <c r="F1177" t="s">
        <v>136</v>
      </c>
      <c r="G1177">
        <v>184.077368421052</v>
      </c>
    </row>
    <row r="1178" spans="3:7" hidden="1" x14ac:dyDescent="0.3">
      <c r="C1178" t="s">
        <v>7</v>
      </c>
      <c r="D1178" t="s">
        <v>299</v>
      </c>
      <c r="E1178" t="s">
        <v>9</v>
      </c>
      <c r="F1178" t="s">
        <v>136</v>
      </c>
      <c r="G1178">
        <v>183.61332346410001</v>
      </c>
    </row>
    <row r="1179" spans="3:7" hidden="1" x14ac:dyDescent="0.3">
      <c r="C1179" t="s">
        <v>11</v>
      </c>
      <c r="D1179" t="s">
        <v>962</v>
      </c>
      <c r="E1179" t="s">
        <v>13</v>
      </c>
      <c r="F1179" t="s">
        <v>136</v>
      </c>
      <c r="G1179">
        <v>182.17250000000001</v>
      </c>
    </row>
    <row r="1180" spans="3:7" hidden="1" x14ac:dyDescent="0.3">
      <c r="C1180" t="s">
        <v>11</v>
      </c>
      <c r="D1180" t="s">
        <v>963</v>
      </c>
      <c r="E1180" t="s">
        <v>13</v>
      </c>
      <c r="F1180" t="s">
        <v>136</v>
      </c>
      <c r="G1180">
        <v>180.97357704054701</v>
      </c>
    </row>
    <row r="1181" spans="3:7" hidden="1" x14ac:dyDescent="0.3">
      <c r="C1181" t="s">
        <v>7</v>
      </c>
      <c r="D1181" t="s">
        <v>964</v>
      </c>
      <c r="E1181" t="s">
        <v>9</v>
      </c>
      <c r="F1181" t="s">
        <v>136</v>
      </c>
      <c r="G1181">
        <v>180.03346999999999</v>
      </c>
    </row>
    <row r="1182" spans="3:7" hidden="1" x14ac:dyDescent="0.3">
      <c r="C1182" t="s">
        <v>188</v>
      </c>
      <c r="D1182" t="s">
        <v>965</v>
      </c>
      <c r="E1182" t="s">
        <v>9</v>
      </c>
      <c r="F1182" t="s">
        <v>29</v>
      </c>
      <c r="G1182">
        <v>180</v>
      </c>
    </row>
    <row r="1183" spans="3:7" hidden="1" x14ac:dyDescent="0.3">
      <c r="C1183" t="s">
        <v>78</v>
      </c>
      <c r="D1183" t="s">
        <v>966</v>
      </c>
      <c r="E1183" t="s">
        <v>13</v>
      </c>
      <c r="F1183" t="s">
        <v>10</v>
      </c>
      <c r="G1183">
        <v>180</v>
      </c>
    </row>
    <row r="1184" spans="3:7" hidden="1" x14ac:dyDescent="0.3">
      <c r="C1184" t="s">
        <v>78</v>
      </c>
      <c r="D1184" t="s">
        <v>967</v>
      </c>
      <c r="E1184" t="s">
        <v>13</v>
      </c>
      <c r="F1184" t="s">
        <v>10</v>
      </c>
      <c r="G1184">
        <v>180</v>
      </c>
    </row>
    <row r="1185" spans="3:7" hidden="1" x14ac:dyDescent="0.3">
      <c r="C1185" t="s">
        <v>21</v>
      </c>
      <c r="D1185" t="s">
        <v>244</v>
      </c>
      <c r="E1185" t="s">
        <v>13</v>
      </c>
      <c r="F1185" t="s">
        <v>10</v>
      </c>
      <c r="G1185">
        <v>180</v>
      </c>
    </row>
    <row r="1186" spans="3:7" hidden="1" x14ac:dyDescent="0.3">
      <c r="C1186" t="s">
        <v>90</v>
      </c>
      <c r="D1186" t="s">
        <v>490</v>
      </c>
      <c r="E1186" t="s">
        <v>13</v>
      </c>
      <c r="F1186" t="s">
        <v>136</v>
      </c>
      <c r="G1186">
        <v>178.51079435957601</v>
      </c>
    </row>
    <row r="1187" spans="3:7" hidden="1" x14ac:dyDescent="0.3">
      <c r="C1187" t="s">
        <v>7</v>
      </c>
      <c r="D1187" t="s">
        <v>885</v>
      </c>
      <c r="E1187" t="s">
        <v>13</v>
      </c>
      <c r="F1187" t="s">
        <v>136</v>
      </c>
      <c r="G1187">
        <v>176.48260289348701</v>
      </c>
    </row>
    <row r="1188" spans="3:7" hidden="1" x14ac:dyDescent="0.3">
      <c r="C1188" t="s">
        <v>269</v>
      </c>
      <c r="D1188" t="s">
        <v>333</v>
      </c>
      <c r="E1188" t="s">
        <v>13</v>
      </c>
      <c r="F1188" t="s">
        <v>136</v>
      </c>
      <c r="G1188">
        <v>176.39646143780499</v>
      </c>
    </row>
    <row r="1189" spans="3:7" hidden="1" x14ac:dyDescent="0.3">
      <c r="C1189" t="s">
        <v>269</v>
      </c>
      <c r="D1189" t="s">
        <v>968</v>
      </c>
      <c r="E1189" t="s">
        <v>17</v>
      </c>
      <c r="F1189" t="s">
        <v>136</v>
      </c>
      <c r="G1189">
        <v>175.6</v>
      </c>
    </row>
    <row r="1190" spans="3:7" hidden="1" x14ac:dyDescent="0.3">
      <c r="C1190" t="s">
        <v>7</v>
      </c>
      <c r="D1190" t="s">
        <v>969</v>
      </c>
      <c r="E1190" t="s">
        <v>9</v>
      </c>
      <c r="F1190" t="s">
        <v>136</v>
      </c>
      <c r="G1190">
        <v>175.07599700450299</v>
      </c>
    </row>
    <row r="1191" spans="3:7" hidden="1" x14ac:dyDescent="0.3">
      <c r="C1191" t="s">
        <v>11</v>
      </c>
      <c r="D1191" t="s">
        <v>970</v>
      </c>
      <c r="E1191" t="s">
        <v>9</v>
      </c>
      <c r="F1191" t="s">
        <v>136</v>
      </c>
      <c r="G1191">
        <v>174.922</v>
      </c>
    </row>
    <row r="1192" spans="3:7" hidden="1" x14ac:dyDescent="0.3">
      <c r="C1192" t="s">
        <v>11</v>
      </c>
      <c r="D1192" t="s">
        <v>971</v>
      </c>
      <c r="E1192" t="s">
        <v>9</v>
      </c>
      <c r="F1192" t="s">
        <v>136</v>
      </c>
      <c r="G1192">
        <v>174.52156165823499</v>
      </c>
    </row>
    <row r="1193" spans="3:7" hidden="1" x14ac:dyDescent="0.3">
      <c r="C1193" t="s">
        <v>11</v>
      </c>
      <c r="D1193" t="s">
        <v>972</v>
      </c>
      <c r="E1193" t="s">
        <v>9</v>
      </c>
      <c r="F1193" t="s">
        <v>136</v>
      </c>
      <c r="G1193">
        <v>173.96182386991899</v>
      </c>
    </row>
    <row r="1194" spans="3:7" hidden="1" x14ac:dyDescent="0.3">
      <c r="C1194" t="s">
        <v>21</v>
      </c>
      <c r="D1194" t="s">
        <v>493</v>
      </c>
      <c r="E1194" t="s">
        <v>13</v>
      </c>
      <c r="F1194" t="s">
        <v>136</v>
      </c>
      <c r="G1194">
        <v>172.532080113185</v>
      </c>
    </row>
    <row r="1195" spans="3:7" hidden="1" x14ac:dyDescent="0.3">
      <c r="C1195" t="s">
        <v>126</v>
      </c>
      <c r="D1195" t="s">
        <v>973</v>
      </c>
      <c r="E1195" t="s">
        <v>9</v>
      </c>
      <c r="F1195" t="s">
        <v>136</v>
      </c>
      <c r="G1195">
        <v>172.04999999999899</v>
      </c>
    </row>
    <row r="1196" spans="3:7" hidden="1" x14ac:dyDescent="0.3">
      <c r="C1196" t="s">
        <v>808</v>
      </c>
      <c r="D1196" t="s">
        <v>974</v>
      </c>
      <c r="E1196" t="s">
        <v>13</v>
      </c>
      <c r="F1196" t="s">
        <v>10</v>
      </c>
      <c r="G1196">
        <v>172</v>
      </c>
    </row>
    <row r="1197" spans="3:7" hidden="1" x14ac:dyDescent="0.3">
      <c r="C1197" t="s">
        <v>278</v>
      </c>
      <c r="D1197" t="s">
        <v>975</v>
      </c>
      <c r="E1197" t="s">
        <v>13</v>
      </c>
      <c r="F1197" t="s">
        <v>10</v>
      </c>
      <c r="G1197">
        <v>172</v>
      </c>
    </row>
    <row r="1198" spans="3:7" hidden="1" x14ac:dyDescent="0.3">
      <c r="C1198" t="s">
        <v>21</v>
      </c>
      <c r="D1198" t="s">
        <v>976</v>
      </c>
      <c r="E1198" t="s">
        <v>17</v>
      </c>
      <c r="F1198" t="s">
        <v>136</v>
      </c>
      <c r="G1198">
        <v>171.82</v>
      </c>
    </row>
    <row r="1199" spans="3:7" hidden="1" x14ac:dyDescent="0.3">
      <c r="C1199" t="s">
        <v>14</v>
      </c>
      <c r="D1199" t="s">
        <v>977</v>
      </c>
      <c r="E1199" t="s">
        <v>13</v>
      </c>
      <c r="F1199" t="s">
        <v>240</v>
      </c>
      <c r="G1199">
        <v>170.740842105263</v>
      </c>
    </row>
    <row r="1200" spans="3:7" hidden="1" x14ac:dyDescent="0.3">
      <c r="C1200" t="s">
        <v>19</v>
      </c>
      <c r="D1200" t="s">
        <v>978</v>
      </c>
      <c r="E1200" t="s">
        <v>17</v>
      </c>
      <c r="F1200" t="s">
        <v>136</v>
      </c>
      <c r="G1200">
        <v>169.70999999999901</v>
      </c>
    </row>
    <row r="1201" spans="3:7" hidden="1" x14ac:dyDescent="0.3">
      <c r="C1201" t="s">
        <v>21</v>
      </c>
      <c r="D1201" t="s">
        <v>860</v>
      </c>
      <c r="E1201" t="s">
        <v>9</v>
      </c>
      <c r="F1201" t="s">
        <v>136</v>
      </c>
      <c r="G1201">
        <v>168.986486486486</v>
      </c>
    </row>
    <row r="1202" spans="3:7" hidden="1" x14ac:dyDescent="0.3">
      <c r="C1202" t="s">
        <v>269</v>
      </c>
      <c r="D1202" t="s">
        <v>502</v>
      </c>
      <c r="E1202" t="s">
        <v>13</v>
      </c>
      <c r="F1202" t="s">
        <v>10</v>
      </c>
      <c r="G1202">
        <v>167</v>
      </c>
    </row>
    <row r="1203" spans="3:7" hidden="1" x14ac:dyDescent="0.3">
      <c r="C1203" t="s">
        <v>7</v>
      </c>
      <c r="D1203" t="s">
        <v>979</v>
      </c>
      <c r="E1203" t="s">
        <v>9</v>
      </c>
      <c r="F1203" t="s">
        <v>136</v>
      </c>
      <c r="G1203">
        <v>166.093199999999</v>
      </c>
    </row>
    <row r="1204" spans="3:7" hidden="1" x14ac:dyDescent="0.3">
      <c r="C1204" t="s">
        <v>78</v>
      </c>
      <c r="D1204" t="s">
        <v>396</v>
      </c>
      <c r="E1204" t="s">
        <v>13</v>
      </c>
      <c r="F1204" t="s">
        <v>240</v>
      </c>
      <c r="G1204">
        <v>165.82599800654199</v>
      </c>
    </row>
    <row r="1205" spans="3:7" hidden="1" x14ac:dyDescent="0.3">
      <c r="C1205" t="s">
        <v>21</v>
      </c>
      <c r="D1205" t="s">
        <v>657</v>
      </c>
      <c r="E1205" t="s">
        <v>13</v>
      </c>
      <c r="F1205" t="s">
        <v>136</v>
      </c>
      <c r="G1205">
        <v>165.766241077941</v>
      </c>
    </row>
    <row r="1206" spans="3:7" hidden="1" x14ac:dyDescent="0.3">
      <c r="C1206" t="s">
        <v>19</v>
      </c>
      <c r="D1206" t="s">
        <v>980</v>
      </c>
      <c r="E1206" t="s">
        <v>9</v>
      </c>
      <c r="F1206" t="s">
        <v>136</v>
      </c>
      <c r="G1206">
        <v>164.4</v>
      </c>
    </row>
    <row r="1207" spans="3:7" hidden="1" x14ac:dyDescent="0.3">
      <c r="C1207" t="s">
        <v>14</v>
      </c>
      <c r="D1207" t="s">
        <v>981</v>
      </c>
      <c r="E1207" t="s">
        <v>13</v>
      </c>
      <c r="F1207" t="s">
        <v>136</v>
      </c>
      <c r="G1207">
        <v>163.72</v>
      </c>
    </row>
    <row r="1208" spans="3:7" hidden="1" x14ac:dyDescent="0.3">
      <c r="C1208" t="s">
        <v>11</v>
      </c>
      <c r="D1208" t="s">
        <v>982</v>
      </c>
      <c r="E1208" t="s">
        <v>17</v>
      </c>
      <c r="F1208" t="s">
        <v>136</v>
      </c>
      <c r="G1208">
        <v>163.52000000000001</v>
      </c>
    </row>
    <row r="1209" spans="3:7" hidden="1" x14ac:dyDescent="0.3">
      <c r="C1209" t="s">
        <v>269</v>
      </c>
      <c r="D1209" t="s">
        <v>983</v>
      </c>
      <c r="E1209" t="s">
        <v>17</v>
      </c>
      <c r="F1209" t="s">
        <v>136</v>
      </c>
      <c r="G1209">
        <v>162.97399999999999</v>
      </c>
    </row>
    <row r="1210" spans="3:7" hidden="1" x14ac:dyDescent="0.3">
      <c r="C1210" t="s">
        <v>11</v>
      </c>
      <c r="D1210" t="s">
        <v>984</v>
      </c>
      <c r="E1210" t="s">
        <v>9</v>
      </c>
      <c r="F1210" t="s">
        <v>136</v>
      </c>
      <c r="G1210">
        <v>162.876219336492</v>
      </c>
    </row>
    <row r="1211" spans="3:7" hidden="1" x14ac:dyDescent="0.3">
      <c r="C1211" t="s">
        <v>269</v>
      </c>
      <c r="D1211" t="s">
        <v>985</v>
      </c>
      <c r="E1211" t="s">
        <v>9</v>
      </c>
      <c r="F1211" t="s">
        <v>136</v>
      </c>
      <c r="G1211">
        <v>162.13461987474801</v>
      </c>
    </row>
    <row r="1212" spans="3:7" hidden="1" x14ac:dyDescent="0.3">
      <c r="C1212" t="s">
        <v>78</v>
      </c>
      <c r="D1212" t="s">
        <v>479</v>
      </c>
      <c r="E1212" t="s">
        <v>17</v>
      </c>
      <c r="F1212" t="s">
        <v>136</v>
      </c>
      <c r="G1212">
        <v>161.477</v>
      </c>
    </row>
    <row r="1213" spans="3:7" hidden="1" x14ac:dyDescent="0.3">
      <c r="C1213" t="s">
        <v>11</v>
      </c>
      <c r="D1213" t="s">
        <v>986</v>
      </c>
      <c r="E1213" t="s">
        <v>13</v>
      </c>
      <c r="F1213" t="s">
        <v>136</v>
      </c>
      <c r="G1213">
        <v>160.458</v>
      </c>
    </row>
    <row r="1214" spans="3:7" hidden="1" x14ac:dyDescent="0.3">
      <c r="C1214" t="s">
        <v>19</v>
      </c>
      <c r="D1214" t="s">
        <v>324</v>
      </c>
      <c r="E1214" t="s">
        <v>13</v>
      </c>
      <c r="F1214" t="s">
        <v>240</v>
      </c>
      <c r="G1214">
        <v>159.89336642840601</v>
      </c>
    </row>
    <row r="1215" spans="3:7" hidden="1" x14ac:dyDescent="0.3">
      <c r="C1215" t="s">
        <v>19</v>
      </c>
      <c r="D1215" t="s">
        <v>503</v>
      </c>
      <c r="E1215" t="s">
        <v>9</v>
      </c>
      <c r="F1215" t="s">
        <v>136</v>
      </c>
      <c r="G1215">
        <v>159.481685887412</v>
      </c>
    </row>
    <row r="1216" spans="3:7" hidden="1" x14ac:dyDescent="0.3">
      <c r="C1216" t="s">
        <v>11</v>
      </c>
      <c r="D1216" t="s">
        <v>987</v>
      </c>
      <c r="E1216" t="s">
        <v>13</v>
      </c>
      <c r="F1216" t="s">
        <v>136</v>
      </c>
      <c r="G1216">
        <v>158.148</v>
      </c>
    </row>
    <row r="1217" spans="3:7" hidden="1" x14ac:dyDescent="0.3">
      <c r="C1217" t="s">
        <v>21</v>
      </c>
      <c r="D1217" t="s">
        <v>962</v>
      </c>
      <c r="E1217" t="s">
        <v>13</v>
      </c>
      <c r="F1217" t="s">
        <v>136</v>
      </c>
      <c r="G1217">
        <v>156.97999999999999</v>
      </c>
    </row>
    <row r="1218" spans="3:7" hidden="1" x14ac:dyDescent="0.3">
      <c r="C1218" t="s">
        <v>165</v>
      </c>
      <c r="D1218" t="s">
        <v>171</v>
      </c>
      <c r="E1218" t="s">
        <v>13</v>
      </c>
      <c r="F1218" t="s">
        <v>136</v>
      </c>
      <c r="G1218">
        <v>156.72</v>
      </c>
    </row>
    <row r="1219" spans="3:7" hidden="1" x14ac:dyDescent="0.3">
      <c r="C1219" t="s">
        <v>21</v>
      </c>
      <c r="D1219" t="s">
        <v>988</v>
      </c>
      <c r="E1219" t="s">
        <v>13</v>
      </c>
      <c r="F1219" t="s">
        <v>10</v>
      </c>
      <c r="G1219">
        <v>156</v>
      </c>
    </row>
    <row r="1220" spans="3:7" hidden="1" x14ac:dyDescent="0.3">
      <c r="C1220" t="s">
        <v>21</v>
      </c>
      <c r="D1220" t="s">
        <v>989</v>
      </c>
      <c r="E1220" t="s">
        <v>13</v>
      </c>
      <c r="F1220" t="s">
        <v>10</v>
      </c>
      <c r="G1220">
        <v>156</v>
      </c>
    </row>
    <row r="1221" spans="3:7" hidden="1" x14ac:dyDescent="0.3">
      <c r="C1221" t="s">
        <v>19</v>
      </c>
      <c r="D1221" t="s">
        <v>990</v>
      </c>
      <c r="E1221" t="s">
        <v>9</v>
      </c>
      <c r="F1221" t="s">
        <v>136</v>
      </c>
      <c r="G1221">
        <v>155.983</v>
      </c>
    </row>
    <row r="1222" spans="3:7" hidden="1" x14ac:dyDescent="0.3">
      <c r="C1222" t="s">
        <v>19</v>
      </c>
      <c r="D1222" t="s">
        <v>991</v>
      </c>
      <c r="E1222" t="s">
        <v>13</v>
      </c>
      <c r="F1222" t="s">
        <v>136</v>
      </c>
      <c r="G1222">
        <v>155.98299999999901</v>
      </c>
    </row>
    <row r="1223" spans="3:7" hidden="1" x14ac:dyDescent="0.3">
      <c r="C1223" t="s">
        <v>14</v>
      </c>
      <c r="D1223" t="s">
        <v>992</v>
      </c>
      <c r="E1223" t="s">
        <v>9</v>
      </c>
      <c r="F1223" t="s">
        <v>136</v>
      </c>
      <c r="G1223">
        <v>155.38</v>
      </c>
    </row>
    <row r="1224" spans="3:7" hidden="1" x14ac:dyDescent="0.3">
      <c r="C1224" t="s">
        <v>11</v>
      </c>
      <c r="D1224" t="s">
        <v>993</v>
      </c>
      <c r="E1224" t="s">
        <v>9</v>
      </c>
      <c r="F1224" t="s">
        <v>136</v>
      </c>
      <c r="G1224">
        <v>155.37299999999999</v>
      </c>
    </row>
    <row r="1225" spans="3:7" hidden="1" x14ac:dyDescent="0.3">
      <c r="C1225" t="s">
        <v>269</v>
      </c>
      <c r="D1225" t="s">
        <v>718</v>
      </c>
      <c r="E1225" t="s">
        <v>13</v>
      </c>
      <c r="F1225" t="s">
        <v>136</v>
      </c>
      <c r="G1225">
        <v>155.26286979166599</v>
      </c>
    </row>
    <row r="1226" spans="3:7" hidden="1" x14ac:dyDescent="0.3">
      <c r="C1226" t="s">
        <v>11</v>
      </c>
      <c r="D1226" t="s">
        <v>745</v>
      </c>
      <c r="E1226" t="s">
        <v>13</v>
      </c>
      <c r="F1226" t="s">
        <v>240</v>
      </c>
      <c r="G1226">
        <v>155.16382138762501</v>
      </c>
    </row>
    <row r="1227" spans="3:7" hidden="1" x14ac:dyDescent="0.3">
      <c r="C1227" t="s">
        <v>21</v>
      </c>
      <c r="D1227" t="s">
        <v>203</v>
      </c>
      <c r="E1227" t="s">
        <v>13</v>
      </c>
      <c r="F1227" t="s">
        <v>10</v>
      </c>
      <c r="G1227">
        <v>154</v>
      </c>
    </row>
    <row r="1228" spans="3:7" hidden="1" x14ac:dyDescent="0.3">
      <c r="C1228" t="s">
        <v>19</v>
      </c>
      <c r="D1228" t="s">
        <v>518</v>
      </c>
      <c r="E1228" t="s">
        <v>13</v>
      </c>
      <c r="F1228" t="s">
        <v>136</v>
      </c>
      <c r="G1228">
        <v>153.73985416666599</v>
      </c>
    </row>
    <row r="1229" spans="3:7" hidden="1" x14ac:dyDescent="0.3">
      <c r="C1229" t="s">
        <v>21</v>
      </c>
      <c r="D1229" t="s">
        <v>720</v>
      </c>
      <c r="E1229" t="s">
        <v>13</v>
      </c>
      <c r="F1229" t="s">
        <v>136</v>
      </c>
      <c r="G1229">
        <v>153.66</v>
      </c>
    </row>
    <row r="1230" spans="3:7" hidden="1" x14ac:dyDescent="0.3">
      <c r="C1230" t="s">
        <v>269</v>
      </c>
      <c r="D1230" t="s">
        <v>994</v>
      </c>
      <c r="E1230" t="s">
        <v>9</v>
      </c>
      <c r="F1230" t="s">
        <v>136</v>
      </c>
      <c r="G1230">
        <v>152.905</v>
      </c>
    </row>
    <row r="1231" spans="3:7" hidden="1" x14ac:dyDescent="0.3">
      <c r="C1231" t="s">
        <v>78</v>
      </c>
      <c r="D1231" t="s">
        <v>995</v>
      </c>
      <c r="E1231" t="s">
        <v>9</v>
      </c>
      <c r="F1231" t="s">
        <v>136</v>
      </c>
      <c r="G1231">
        <v>152.81</v>
      </c>
    </row>
    <row r="1232" spans="3:7" hidden="1" x14ac:dyDescent="0.3">
      <c r="C1232" t="s">
        <v>11</v>
      </c>
      <c r="D1232" t="s">
        <v>996</v>
      </c>
      <c r="E1232" t="s">
        <v>17</v>
      </c>
      <c r="F1232" t="s">
        <v>136</v>
      </c>
      <c r="G1232">
        <v>152.69496355999101</v>
      </c>
    </row>
    <row r="1233" spans="3:7" hidden="1" x14ac:dyDescent="0.3">
      <c r="C1233" t="s">
        <v>19</v>
      </c>
      <c r="D1233" t="s">
        <v>799</v>
      </c>
      <c r="E1233" t="s">
        <v>13</v>
      </c>
      <c r="F1233" t="s">
        <v>240</v>
      </c>
      <c r="G1233">
        <v>152.65220656255099</v>
      </c>
    </row>
    <row r="1234" spans="3:7" hidden="1" x14ac:dyDescent="0.3">
      <c r="C1234" t="s">
        <v>21</v>
      </c>
      <c r="D1234" t="s">
        <v>806</v>
      </c>
      <c r="E1234" t="s">
        <v>13</v>
      </c>
      <c r="F1234" t="s">
        <v>136</v>
      </c>
      <c r="G1234">
        <v>152.56005002168001</v>
      </c>
    </row>
    <row r="1235" spans="3:7" hidden="1" x14ac:dyDescent="0.3">
      <c r="C1235" t="s">
        <v>7</v>
      </c>
      <c r="D1235" t="s">
        <v>997</v>
      </c>
      <c r="E1235" t="s">
        <v>9</v>
      </c>
      <c r="F1235" t="s">
        <v>136</v>
      </c>
      <c r="G1235">
        <v>151.38096615629399</v>
      </c>
    </row>
    <row r="1236" spans="3:7" hidden="1" x14ac:dyDescent="0.3">
      <c r="C1236" t="s">
        <v>19</v>
      </c>
      <c r="D1236" t="s">
        <v>956</v>
      </c>
      <c r="E1236" t="s">
        <v>13</v>
      </c>
      <c r="F1236" t="s">
        <v>240</v>
      </c>
      <c r="G1236">
        <v>150.953283278421</v>
      </c>
    </row>
    <row r="1237" spans="3:7" hidden="1" x14ac:dyDescent="0.3">
      <c r="C1237" t="s">
        <v>7</v>
      </c>
      <c r="D1237" t="s">
        <v>998</v>
      </c>
      <c r="E1237" t="s">
        <v>17</v>
      </c>
      <c r="F1237" t="s">
        <v>136</v>
      </c>
      <c r="G1237">
        <v>149.25</v>
      </c>
    </row>
    <row r="1238" spans="3:7" hidden="1" x14ac:dyDescent="0.3">
      <c r="C1238" t="s">
        <v>78</v>
      </c>
      <c r="D1238" t="s">
        <v>999</v>
      </c>
      <c r="E1238" t="s">
        <v>13</v>
      </c>
      <c r="F1238" t="s">
        <v>10</v>
      </c>
      <c r="G1238">
        <v>149.18</v>
      </c>
    </row>
    <row r="1239" spans="3:7" hidden="1" x14ac:dyDescent="0.3">
      <c r="C1239" t="s">
        <v>19</v>
      </c>
      <c r="D1239" t="s">
        <v>1000</v>
      </c>
      <c r="E1239" t="s">
        <v>9</v>
      </c>
      <c r="F1239" t="s">
        <v>136</v>
      </c>
      <c r="G1239">
        <v>149.126</v>
      </c>
    </row>
    <row r="1240" spans="3:7" hidden="1" x14ac:dyDescent="0.3">
      <c r="C1240" t="s">
        <v>19</v>
      </c>
      <c r="D1240" t="s">
        <v>1001</v>
      </c>
      <c r="E1240" t="s">
        <v>9</v>
      </c>
      <c r="F1240" t="s">
        <v>136</v>
      </c>
      <c r="G1240">
        <v>148.53333333333299</v>
      </c>
    </row>
    <row r="1241" spans="3:7" hidden="1" x14ac:dyDescent="0.3">
      <c r="C1241" t="s">
        <v>126</v>
      </c>
      <c r="D1241" t="s">
        <v>438</v>
      </c>
      <c r="E1241" t="s">
        <v>13</v>
      </c>
      <c r="F1241" t="s">
        <v>136</v>
      </c>
      <c r="G1241">
        <v>148.48809523809501</v>
      </c>
    </row>
    <row r="1242" spans="3:7" hidden="1" x14ac:dyDescent="0.3">
      <c r="C1242" t="s">
        <v>19</v>
      </c>
      <c r="D1242" t="s">
        <v>1002</v>
      </c>
      <c r="E1242" t="s">
        <v>13</v>
      </c>
      <c r="F1242" t="s">
        <v>136</v>
      </c>
      <c r="G1242">
        <v>146.62899999999999</v>
      </c>
    </row>
    <row r="1243" spans="3:7" hidden="1" x14ac:dyDescent="0.3">
      <c r="C1243" t="s">
        <v>78</v>
      </c>
      <c r="D1243" t="s">
        <v>1003</v>
      </c>
      <c r="E1243" t="s">
        <v>9</v>
      </c>
      <c r="F1243" t="s">
        <v>136</v>
      </c>
      <c r="G1243">
        <v>145.63999999999999</v>
      </c>
    </row>
    <row r="1244" spans="3:7" hidden="1" x14ac:dyDescent="0.3">
      <c r="C1244" t="s">
        <v>7</v>
      </c>
      <c r="D1244" t="s">
        <v>1004</v>
      </c>
      <c r="E1244" t="s">
        <v>13</v>
      </c>
      <c r="F1244" t="s">
        <v>136</v>
      </c>
      <c r="G1244">
        <v>145.08854307259699</v>
      </c>
    </row>
    <row r="1245" spans="3:7" hidden="1" x14ac:dyDescent="0.3">
      <c r="C1245" t="s">
        <v>21</v>
      </c>
      <c r="D1245" t="s">
        <v>272</v>
      </c>
      <c r="E1245" t="s">
        <v>13</v>
      </c>
      <c r="F1245" t="s">
        <v>10</v>
      </c>
      <c r="G1245">
        <v>144.79087452471401</v>
      </c>
    </row>
    <row r="1246" spans="3:7" hidden="1" x14ac:dyDescent="0.3">
      <c r="C1246" t="s">
        <v>78</v>
      </c>
      <c r="D1246" t="s">
        <v>1005</v>
      </c>
      <c r="E1246" t="s">
        <v>13</v>
      </c>
      <c r="F1246" t="s">
        <v>136</v>
      </c>
      <c r="G1246">
        <v>144.70686046511599</v>
      </c>
    </row>
    <row r="1247" spans="3:7" hidden="1" x14ac:dyDescent="0.3">
      <c r="C1247" t="s">
        <v>7</v>
      </c>
      <c r="D1247" t="s">
        <v>1006</v>
      </c>
      <c r="E1247" t="s">
        <v>9</v>
      </c>
      <c r="F1247" t="s">
        <v>136</v>
      </c>
      <c r="G1247">
        <v>144.57157894736801</v>
      </c>
    </row>
    <row r="1248" spans="3:7" hidden="1" x14ac:dyDescent="0.3">
      <c r="C1248" t="s">
        <v>269</v>
      </c>
      <c r="D1248" t="s">
        <v>1007</v>
      </c>
      <c r="E1248" t="s">
        <v>13</v>
      </c>
      <c r="F1248" t="s">
        <v>136</v>
      </c>
      <c r="G1248">
        <v>143.86201072665199</v>
      </c>
    </row>
    <row r="1249" spans="3:7" hidden="1" x14ac:dyDescent="0.3">
      <c r="C1249" t="s">
        <v>14</v>
      </c>
      <c r="D1249" t="s">
        <v>1008</v>
      </c>
      <c r="E1249" t="s">
        <v>13</v>
      </c>
      <c r="F1249" t="s">
        <v>240</v>
      </c>
      <c r="G1249">
        <v>143.185447058823</v>
      </c>
    </row>
    <row r="1250" spans="3:7" hidden="1" x14ac:dyDescent="0.3">
      <c r="C1250" t="s">
        <v>21</v>
      </c>
      <c r="D1250" t="s">
        <v>1009</v>
      </c>
      <c r="E1250" t="s">
        <v>9</v>
      </c>
      <c r="F1250" t="s">
        <v>136</v>
      </c>
      <c r="G1250">
        <v>143.13513513513499</v>
      </c>
    </row>
    <row r="1251" spans="3:7" hidden="1" x14ac:dyDescent="0.3">
      <c r="C1251" t="s">
        <v>78</v>
      </c>
      <c r="D1251" t="s">
        <v>1010</v>
      </c>
      <c r="E1251" t="s">
        <v>13</v>
      </c>
      <c r="F1251" t="s">
        <v>240</v>
      </c>
      <c r="G1251">
        <v>142.662450057077</v>
      </c>
    </row>
    <row r="1252" spans="3:7" hidden="1" x14ac:dyDescent="0.3">
      <c r="C1252" t="s">
        <v>269</v>
      </c>
      <c r="D1252" t="s">
        <v>1011</v>
      </c>
      <c r="E1252" t="s">
        <v>17</v>
      </c>
      <c r="F1252" t="s">
        <v>136</v>
      </c>
      <c r="G1252">
        <v>142.53</v>
      </c>
    </row>
    <row r="1253" spans="3:7" hidden="1" x14ac:dyDescent="0.3">
      <c r="C1253" t="s">
        <v>7</v>
      </c>
      <c r="D1253" t="s">
        <v>650</v>
      </c>
      <c r="E1253" t="s">
        <v>13</v>
      </c>
      <c r="F1253" t="s">
        <v>240</v>
      </c>
      <c r="G1253">
        <v>142.46810737827099</v>
      </c>
    </row>
    <row r="1254" spans="3:7" hidden="1" x14ac:dyDescent="0.3">
      <c r="C1254" t="s">
        <v>7</v>
      </c>
      <c r="D1254" t="s">
        <v>1012</v>
      </c>
      <c r="E1254" t="s">
        <v>9</v>
      </c>
      <c r="F1254" t="s">
        <v>136</v>
      </c>
      <c r="G1254">
        <v>141.90501901140601</v>
      </c>
    </row>
    <row r="1255" spans="3:7" hidden="1" x14ac:dyDescent="0.3">
      <c r="C1255" t="s">
        <v>7</v>
      </c>
      <c r="D1255" t="s">
        <v>1013</v>
      </c>
      <c r="E1255" t="s">
        <v>9</v>
      </c>
      <c r="F1255" t="s">
        <v>136</v>
      </c>
      <c r="G1255">
        <v>141.902751069293</v>
      </c>
    </row>
    <row r="1256" spans="3:7" hidden="1" x14ac:dyDescent="0.3">
      <c r="C1256" t="s">
        <v>78</v>
      </c>
      <c r="D1256" t="s">
        <v>1014</v>
      </c>
      <c r="E1256" t="s">
        <v>17</v>
      </c>
      <c r="F1256" t="s">
        <v>136</v>
      </c>
      <c r="G1256">
        <v>140.85</v>
      </c>
    </row>
    <row r="1257" spans="3:7" hidden="1" x14ac:dyDescent="0.3">
      <c r="C1257" t="s">
        <v>7</v>
      </c>
      <c r="D1257" t="s">
        <v>919</v>
      </c>
      <c r="E1257" t="s">
        <v>13</v>
      </c>
      <c r="F1257" t="s">
        <v>240</v>
      </c>
      <c r="G1257">
        <v>140.845108297156</v>
      </c>
    </row>
    <row r="1258" spans="3:7" hidden="1" x14ac:dyDescent="0.3">
      <c r="C1258" t="s">
        <v>14</v>
      </c>
      <c r="D1258" t="s">
        <v>1015</v>
      </c>
      <c r="E1258" t="s">
        <v>13</v>
      </c>
      <c r="F1258" t="s">
        <v>136</v>
      </c>
      <c r="G1258">
        <v>140.6</v>
      </c>
    </row>
    <row r="1259" spans="3:7" hidden="1" x14ac:dyDescent="0.3">
      <c r="C1259" t="s">
        <v>78</v>
      </c>
      <c r="D1259" t="s">
        <v>438</v>
      </c>
      <c r="E1259" t="s">
        <v>13</v>
      </c>
      <c r="F1259" t="s">
        <v>136</v>
      </c>
      <c r="G1259">
        <v>140.50696073431899</v>
      </c>
    </row>
    <row r="1260" spans="3:7" hidden="1" x14ac:dyDescent="0.3">
      <c r="C1260" t="s">
        <v>21</v>
      </c>
      <c r="D1260" t="s">
        <v>1016</v>
      </c>
      <c r="E1260" t="s">
        <v>9</v>
      </c>
      <c r="F1260" t="s">
        <v>136</v>
      </c>
      <c r="G1260">
        <v>140.37</v>
      </c>
    </row>
    <row r="1261" spans="3:7" hidden="1" x14ac:dyDescent="0.3">
      <c r="C1261" t="s">
        <v>11</v>
      </c>
      <c r="D1261" t="s">
        <v>1017</v>
      </c>
      <c r="E1261" t="s">
        <v>17</v>
      </c>
      <c r="F1261" t="s">
        <v>136</v>
      </c>
      <c r="G1261">
        <v>140.07</v>
      </c>
    </row>
    <row r="1262" spans="3:7" hidden="1" x14ac:dyDescent="0.3">
      <c r="C1262" t="s">
        <v>21</v>
      </c>
      <c r="D1262" t="s">
        <v>1018</v>
      </c>
      <c r="E1262" t="s">
        <v>9</v>
      </c>
      <c r="F1262" t="s">
        <v>136</v>
      </c>
      <c r="G1262">
        <v>139.34628422999899</v>
      </c>
    </row>
    <row r="1263" spans="3:7" hidden="1" x14ac:dyDescent="0.3">
      <c r="C1263" t="s">
        <v>21</v>
      </c>
      <c r="D1263" t="s">
        <v>1019</v>
      </c>
      <c r="E1263" t="s">
        <v>9</v>
      </c>
      <c r="F1263" t="s">
        <v>136</v>
      </c>
      <c r="G1263">
        <v>139.34628422999899</v>
      </c>
    </row>
    <row r="1264" spans="3:7" hidden="1" x14ac:dyDescent="0.3">
      <c r="C1264" t="s">
        <v>21</v>
      </c>
      <c r="D1264" t="s">
        <v>1020</v>
      </c>
      <c r="E1264" t="s">
        <v>9</v>
      </c>
      <c r="F1264" t="s">
        <v>136</v>
      </c>
      <c r="G1264">
        <v>139.34628422999899</v>
      </c>
    </row>
    <row r="1265" spans="3:7" hidden="1" x14ac:dyDescent="0.3">
      <c r="C1265" t="s">
        <v>11</v>
      </c>
      <c r="D1265" t="s">
        <v>1021</v>
      </c>
      <c r="E1265" t="s">
        <v>13</v>
      </c>
      <c r="F1265" t="s">
        <v>136</v>
      </c>
      <c r="G1265">
        <v>139.20195439739399</v>
      </c>
    </row>
    <row r="1266" spans="3:7" hidden="1" x14ac:dyDescent="0.3">
      <c r="C1266" t="s">
        <v>11</v>
      </c>
      <c r="D1266" t="s">
        <v>1022</v>
      </c>
      <c r="E1266" t="s">
        <v>13</v>
      </c>
      <c r="F1266" t="s">
        <v>136</v>
      </c>
      <c r="G1266">
        <v>139.001547959281</v>
      </c>
    </row>
    <row r="1267" spans="3:7" hidden="1" x14ac:dyDescent="0.3">
      <c r="C1267" t="s">
        <v>11</v>
      </c>
      <c r="D1267" t="s">
        <v>1023</v>
      </c>
      <c r="E1267" t="s">
        <v>9</v>
      </c>
      <c r="F1267" t="s">
        <v>136</v>
      </c>
      <c r="G1267">
        <v>138.775633172444</v>
      </c>
    </row>
    <row r="1268" spans="3:7" hidden="1" x14ac:dyDescent="0.3">
      <c r="C1268" t="s">
        <v>855</v>
      </c>
      <c r="D1268" t="s">
        <v>598</v>
      </c>
      <c r="E1268" t="s">
        <v>9</v>
      </c>
      <c r="F1268" t="s">
        <v>136</v>
      </c>
      <c r="G1268">
        <v>137.25</v>
      </c>
    </row>
    <row r="1269" spans="3:7" hidden="1" x14ac:dyDescent="0.3">
      <c r="C1269" t="s">
        <v>269</v>
      </c>
      <c r="D1269" t="s">
        <v>320</v>
      </c>
      <c r="E1269" t="s">
        <v>13</v>
      </c>
      <c r="F1269" t="s">
        <v>136</v>
      </c>
      <c r="G1269">
        <v>136.95228627848701</v>
      </c>
    </row>
    <row r="1270" spans="3:7" hidden="1" x14ac:dyDescent="0.3">
      <c r="C1270" t="s">
        <v>14</v>
      </c>
      <c r="D1270" t="s">
        <v>1024</v>
      </c>
      <c r="E1270" t="s">
        <v>17</v>
      </c>
      <c r="F1270" t="s">
        <v>136</v>
      </c>
      <c r="G1270">
        <v>136.91999999999999</v>
      </c>
    </row>
    <row r="1271" spans="3:7" hidden="1" x14ac:dyDescent="0.3">
      <c r="C1271" t="s">
        <v>7</v>
      </c>
      <c r="D1271" t="s">
        <v>1025</v>
      </c>
      <c r="E1271" t="s">
        <v>17</v>
      </c>
      <c r="F1271" t="s">
        <v>136</v>
      </c>
      <c r="G1271">
        <v>136.63999999999999</v>
      </c>
    </row>
    <row r="1272" spans="3:7" hidden="1" x14ac:dyDescent="0.3">
      <c r="C1272" t="s">
        <v>19</v>
      </c>
      <c r="D1272" t="s">
        <v>1026</v>
      </c>
      <c r="E1272" t="s">
        <v>9</v>
      </c>
      <c r="F1272" t="s">
        <v>136</v>
      </c>
      <c r="G1272">
        <v>136.08000000000001</v>
      </c>
    </row>
    <row r="1273" spans="3:7" hidden="1" x14ac:dyDescent="0.3">
      <c r="C1273" t="s">
        <v>78</v>
      </c>
      <c r="D1273" t="s">
        <v>1027</v>
      </c>
      <c r="E1273" t="s">
        <v>13</v>
      </c>
      <c r="F1273" t="s">
        <v>10</v>
      </c>
      <c r="G1273">
        <v>136</v>
      </c>
    </row>
    <row r="1274" spans="3:7" hidden="1" x14ac:dyDescent="0.3">
      <c r="C1274" t="s">
        <v>126</v>
      </c>
      <c r="D1274" t="s">
        <v>1028</v>
      </c>
      <c r="E1274" t="s">
        <v>13</v>
      </c>
      <c r="F1274" t="s">
        <v>10</v>
      </c>
      <c r="G1274">
        <v>136</v>
      </c>
    </row>
    <row r="1275" spans="3:7" hidden="1" x14ac:dyDescent="0.3">
      <c r="C1275" t="s">
        <v>19</v>
      </c>
      <c r="D1275" t="s">
        <v>1029</v>
      </c>
      <c r="E1275" t="s">
        <v>17</v>
      </c>
      <c r="F1275" t="s">
        <v>136</v>
      </c>
      <c r="G1275">
        <v>135.51499999999999</v>
      </c>
    </row>
    <row r="1276" spans="3:7" hidden="1" x14ac:dyDescent="0.3">
      <c r="C1276" t="s">
        <v>269</v>
      </c>
      <c r="D1276" t="s">
        <v>1030</v>
      </c>
      <c r="E1276" t="s">
        <v>13</v>
      </c>
      <c r="F1276" t="s">
        <v>136</v>
      </c>
      <c r="G1276">
        <v>135.35094936708799</v>
      </c>
    </row>
    <row r="1277" spans="3:7" hidden="1" x14ac:dyDescent="0.3">
      <c r="C1277" t="s">
        <v>21</v>
      </c>
      <c r="D1277" t="s">
        <v>774</v>
      </c>
      <c r="E1277" t="s">
        <v>13</v>
      </c>
      <c r="F1277" t="s">
        <v>240</v>
      </c>
      <c r="G1277">
        <v>135.325133657929</v>
      </c>
    </row>
    <row r="1278" spans="3:7" hidden="1" x14ac:dyDescent="0.3">
      <c r="C1278" t="s">
        <v>21</v>
      </c>
      <c r="D1278" t="s">
        <v>956</v>
      </c>
      <c r="E1278" t="s">
        <v>13</v>
      </c>
      <c r="F1278" t="s">
        <v>240</v>
      </c>
      <c r="G1278">
        <v>134.699154623368</v>
      </c>
    </row>
    <row r="1279" spans="3:7" hidden="1" x14ac:dyDescent="0.3">
      <c r="C1279" t="s">
        <v>126</v>
      </c>
      <c r="D1279" t="s">
        <v>1031</v>
      </c>
      <c r="E1279" t="s">
        <v>17</v>
      </c>
      <c r="F1279" t="s">
        <v>136</v>
      </c>
      <c r="G1279">
        <v>134.48999999999899</v>
      </c>
    </row>
    <row r="1280" spans="3:7" hidden="1" x14ac:dyDescent="0.3">
      <c r="C1280" t="s">
        <v>126</v>
      </c>
      <c r="D1280" t="s">
        <v>493</v>
      </c>
      <c r="E1280" t="s">
        <v>13</v>
      </c>
      <c r="F1280" t="s">
        <v>136</v>
      </c>
      <c r="G1280">
        <v>134.033177711859</v>
      </c>
    </row>
    <row r="1281" spans="3:7" hidden="1" x14ac:dyDescent="0.3">
      <c r="C1281" t="s">
        <v>52</v>
      </c>
      <c r="D1281" t="s">
        <v>1032</v>
      </c>
      <c r="E1281" t="s">
        <v>13</v>
      </c>
      <c r="F1281" t="s">
        <v>10</v>
      </c>
      <c r="G1281">
        <v>134</v>
      </c>
    </row>
    <row r="1282" spans="3:7" hidden="1" x14ac:dyDescent="0.3">
      <c r="C1282" t="s">
        <v>7</v>
      </c>
      <c r="D1282" t="s">
        <v>770</v>
      </c>
      <c r="E1282" t="s">
        <v>13</v>
      </c>
      <c r="F1282" t="s">
        <v>136</v>
      </c>
      <c r="G1282">
        <v>133.295149559035</v>
      </c>
    </row>
    <row r="1283" spans="3:7" hidden="1" x14ac:dyDescent="0.3">
      <c r="C1283" t="s">
        <v>14</v>
      </c>
      <c r="D1283" t="s">
        <v>1033</v>
      </c>
      <c r="E1283" t="s">
        <v>13</v>
      </c>
      <c r="F1283" t="s">
        <v>136</v>
      </c>
      <c r="G1283">
        <v>133.154312738632</v>
      </c>
    </row>
    <row r="1284" spans="3:7" hidden="1" x14ac:dyDescent="0.3">
      <c r="C1284" t="s">
        <v>269</v>
      </c>
      <c r="D1284" t="s">
        <v>1034</v>
      </c>
      <c r="E1284" t="s">
        <v>13</v>
      </c>
      <c r="F1284" t="s">
        <v>10</v>
      </c>
      <c r="G1284">
        <v>132</v>
      </c>
    </row>
    <row r="1285" spans="3:7" hidden="1" x14ac:dyDescent="0.3">
      <c r="C1285" t="s">
        <v>21</v>
      </c>
      <c r="D1285" t="s">
        <v>867</v>
      </c>
      <c r="E1285" t="s">
        <v>17</v>
      </c>
      <c r="F1285" t="s">
        <v>136</v>
      </c>
      <c r="G1285">
        <v>131.83000000000001</v>
      </c>
    </row>
    <row r="1286" spans="3:7" hidden="1" x14ac:dyDescent="0.3">
      <c r="C1286" t="s">
        <v>19</v>
      </c>
      <c r="D1286" t="s">
        <v>1035</v>
      </c>
      <c r="E1286" t="s">
        <v>13</v>
      </c>
      <c r="F1286" t="s">
        <v>136</v>
      </c>
      <c r="G1286">
        <v>131.75256779177701</v>
      </c>
    </row>
    <row r="1287" spans="3:7" hidden="1" x14ac:dyDescent="0.3">
      <c r="C1287" t="s">
        <v>11</v>
      </c>
      <c r="D1287" t="s">
        <v>1036</v>
      </c>
      <c r="E1287" t="s">
        <v>13</v>
      </c>
      <c r="F1287" t="s">
        <v>136</v>
      </c>
      <c r="G1287">
        <v>131.53154801310001</v>
      </c>
    </row>
    <row r="1288" spans="3:7" hidden="1" x14ac:dyDescent="0.3">
      <c r="C1288" t="s">
        <v>269</v>
      </c>
      <c r="D1288" t="s">
        <v>1037</v>
      </c>
      <c r="E1288" t="s">
        <v>17</v>
      </c>
      <c r="F1288" t="s">
        <v>136</v>
      </c>
      <c r="G1288">
        <v>131.25</v>
      </c>
    </row>
    <row r="1289" spans="3:7" hidden="1" x14ac:dyDescent="0.3">
      <c r="C1289" t="s">
        <v>7</v>
      </c>
      <c r="D1289" t="s">
        <v>1038</v>
      </c>
      <c r="E1289" t="s">
        <v>17</v>
      </c>
      <c r="F1289" t="s">
        <v>136</v>
      </c>
      <c r="G1289">
        <v>131.12</v>
      </c>
    </row>
    <row r="1290" spans="3:7" hidden="1" x14ac:dyDescent="0.3">
      <c r="C1290" t="s">
        <v>14</v>
      </c>
      <c r="D1290" t="s">
        <v>257</v>
      </c>
      <c r="E1290" t="s">
        <v>13</v>
      </c>
      <c r="F1290" t="s">
        <v>240</v>
      </c>
      <c r="G1290">
        <v>131.044210526315</v>
      </c>
    </row>
    <row r="1291" spans="3:7" hidden="1" x14ac:dyDescent="0.3">
      <c r="C1291" t="s">
        <v>11</v>
      </c>
      <c r="D1291" t="s">
        <v>1039</v>
      </c>
      <c r="E1291" t="s">
        <v>13</v>
      </c>
      <c r="F1291" t="s">
        <v>136</v>
      </c>
      <c r="G1291">
        <v>130.963759781942</v>
      </c>
    </row>
    <row r="1292" spans="3:7" hidden="1" x14ac:dyDescent="0.3">
      <c r="C1292" t="s">
        <v>7</v>
      </c>
      <c r="D1292" t="s">
        <v>1040</v>
      </c>
      <c r="E1292" t="s">
        <v>9</v>
      </c>
      <c r="F1292" t="s">
        <v>136</v>
      </c>
      <c r="G1292">
        <v>130.88</v>
      </c>
    </row>
    <row r="1293" spans="3:7" hidden="1" x14ac:dyDescent="0.3">
      <c r="C1293" t="s">
        <v>7</v>
      </c>
      <c r="D1293" t="s">
        <v>1041</v>
      </c>
      <c r="E1293" t="s">
        <v>9</v>
      </c>
      <c r="F1293" t="s">
        <v>136</v>
      </c>
      <c r="G1293">
        <v>130.50505050505001</v>
      </c>
    </row>
    <row r="1294" spans="3:7" hidden="1" x14ac:dyDescent="0.3">
      <c r="C1294" t="s">
        <v>11</v>
      </c>
      <c r="D1294" t="s">
        <v>1042</v>
      </c>
      <c r="E1294" t="s">
        <v>13</v>
      </c>
      <c r="F1294" t="s">
        <v>136</v>
      </c>
      <c r="G1294">
        <v>130.36975781798699</v>
      </c>
    </row>
    <row r="1295" spans="3:7" hidden="1" x14ac:dyDescent="0.3">
      <c r="C1295" t="s">
        <v>21</v>
      </c>
      <c r="D1295" t="s">
        <v>1043</v>
      </c>
      <c r="E1295" t="s">
        <v>17</v>
      </c>
      <c r="F1295" t="s">
        <v>136</v>
      </c>
      <c r="G1295">
        <v>130.21061007957499</v>
      </c>
    </row>
    <row r="1296" spans="3:7" hidden="1" x14ac:dyDescent="0.3">
      <c r="C1296" t="s">
        <v>19</v>
      </c>
      <c r="D1296" t="s">
        <v>1044</v>
      </c>
      <c r="E1296" t="s">
        <v>9</v>
      </c>
      <c r="F1296" t="s">
        <v>136</v>
      </c>
      <c r="G1296">
        <v>130.125</v>
      </c>
    </row>
    <row r="1297" spans="3:7" hidden="1" x14ac:dyDescent="0.3">
      <c r="C1297" t="s">
        <v>14</v>
      </c>
      <c r="D1297" t="s">
        <v>1045</v>
      </c>
      <c r="E1297" t="s">
        <v>13</v>
      </c>
      <c r="F1297" t="s">
        <v>136</v>
      </c>
      <c r="G1297">
        <v>129.98303802817799</v>
      </c>
    </row>
    <row r="1298" spans="3:7" hidden="1" x14ac:dyDescent="0.3">
      <c r="C1298" t="s">
        <v>21</v>
      </c>
      <c r="D1298" t="s">
        <v>1046</v>
      </c>
      <c r="E1298" t="s">
        <v>9</v>
      </c>
      <c r="F1298" t="s">
        <v>136</v>
      </c>
      <c r="G1298">
        <v>129.62625</v>
      </c>
    </row>
    <row r="1299" spans="3:7" hidden="1" x14ac:dyDescent="0.3">
      <c r="C1299" t="s">
        <v>14</v>
      </c>
      <c r="D1299" t="s">
        <v>1047</v>
      </c>
      <c r="E1299" t="s">
        <v>9</v>
      </c>
      <c r="F1299" t="s">
        <v>240</v>
      </c>
      <c r="G1299">
        <v>129.23400000000001</v>
      </c>
    </row>
    <row r="1300" spans="3:7" hidden="1" x14ac:dyDescent="0.3">
      <c r="C1300" t="s">
        <v>933</v>
      </c>
      <c r="D1300" t="s">
        <v>322</v>
      </c>
      <c r="E1300" t="s">
        <v>13</v>
      </c>
      <c r="F1300" t="s">
        <v>10</v>
      </c>
      <c r="G1300">
        <v>128</v>
      </c>
    </row>
    <row r="1301" spans="3:7" hidden="1" x14ac:dyDescent="0.3">
      <c r="C1301" t="s">
        <v>21</v>
      </c>
      <c r="D1301" t="s">
        <v>1048</v>
      </c>
      <c r="E1301" t="s">
        <v>9</v>
      </c>
      <c r="F1301" t="s">
        <v>10</v>
      </c>
      <c r="G1301">
        <v>128</v>
      </c>
    </row>
    <row r="1302" spans="3:7" hidden="1" x14ac:dyDescent="0.3">
      <c r="C1302" t="s">
        <v>78</v>
      </c>
      <c r="D1302" t="s">
        <v>1049</v>
      </c>
      <c r="E1302" t="s">
        <v>13</v>
      </c>
      <c r="F1302" t="s">
        <v>136</v>
      </c>
      <c r="G1302">
        <v>127.833333333333</v>
      </c>
    </row>
    <row r="1303" spans="3:7" hidden="1" x14ac:dyDescent="0.3">
      <c r="C1303" t="s">
        <v>14</v>
      </c>
      <c r="D1303" t="s">
        <v>905</v>
      </c>
      <c r="E1303" t="s">
        <v>13</v>
      </c>
      <c r="F1303" t="s">
        <v>240</v>
      </c>
      <c r="G1303">
        <v>127.449737498693</v>
      </c>
    </row>
    <row r="1304" spans="3:7" hidden="1" x14ac:dyDescent="0.3">
      <c r="C1304" t="s">
        <v>269</v>
      </c>
      <c r="D1304" t="s">
        <v>1050</v>
      </c>
      <c r="E1304" t="s">
        <v>9</v>
      </c>
      <c r="F1304" t="s">
        <v>136</v>
      </c>
      <c r="G1304">
        <v>127.42083333333299</v>
      </c>
    </row>
    <row r="1305" spans="3:7" hidden="1" x14ac:dyDescent="0.3">
      <c r="C1305" t="s">
        <v>19</v>
      </c>
      <c r="D1305" t="s">
        <v>1051</v>
      </c>
      <c r="E1305" t="s">
        <v>9</v>
      </c>
      <c r="F1305" t="s">
        <v>136</v>
      </c>
      <c r="G1305">
        <v>126.8475</v>
      </c>
    </row>
    <row r="1306" spans="3:7" hidden="1" x14ac:dyDescent="0.3">
      <c r="C1306" t="s">
        <v>7</v>
      </c>
      <c r="D1306" t="s">
        <v>1052</v>
      </c>
      <c r="E1306" t="s">
        <v>13</v>
      </c>
      <c r="F1306" t="s">
        <v>136</v>
      </c>
      <c r="G1306">
        <v>126.27078112655499</v>
      </c>
    </row>
    <row r="1307" spans="3:7" hidden="1" x14ac:dyDescent="0.3">
      <c r="C1307" t="s">
        <v>269</v>
      </c>
      <c r="D1307" t="s">
        <v>1053</v>
      </c>
      <c r="E1307" t="s">
        <v>17</v>
      </c>
      <c r="F1307" t="s">
        <v>136</v>
      </c>
      <c r="G1307">
        <v>126.27</v>
      </c>
    </row>
    <row r="1308" spans="3:7" hidden="1" x14ac:dyDescent="0.3">
      <c r="C1308" t="s">
        <v>19</v>
      </c>
      <c r="D1308" t="s">
        <v>1054</v>
      </c>
      <c r="E1308" t="s">
        <v>9</v>
      </c>
      <c r="F1308" t="s">
        <v>136</v>
      </c>
      <c r="G1308">
        <v>126.25</v>
      </c>
    </row>
    <row r="1309" spans="3:7" hidden="1" x14ac:dyDescent="0.3">
      <c r="C1309" t="s">
        <v>21</v>
      </c>
      <c r="D1309" t="s">
        <v>563</v>
      </c>
      <c r="E1309" t="s">
        <v>13</v>
      </c>
      <c r="F1309" t="s">
        <v>240</v>
      </c>
      <c r="G1309">
        <v>126.06634971800599</v>
      </c>
    </row>
    <row r="1310" spans="3:7" hidden="1" x14ac:dyDescent="0.3">
      <c r="C1310" t="s">
        <v>188</v>
      </c>
      <c r="D1310" t="s">
        <v>1055</v>
      </c>
      <c r="E1310" t="s">
        <v>13</v>
      </c>
      <c r="F1310" t="s">
        <v>10</v>
      </c>
      <c r="G1310">
        <v>126</v>
      </c>
    </row>
    <row r="1311" spans="3:7" hidden="1" x14ac:dyDescent="0.3">
      <c r="C1311" t="s">
        <v>52</v>
      </c>
      <c r="D1311" t="s">
        <v>1056</v>
      </c>
      <c r="E1311" t="s">
        <v>13</v>
      </c>
      <c r="F1311" t="s">
        <v>10</v>
      </c>
      <c r="G1311">
        <v>125.91</v>
      </c>
    </row>
    <row r="1312" spans="3:7" hidden="1" x14ac:dyDescent="0.3">
      <c r="C1312" t="s">
        <v>11</v>
      </c>
      <c r="D1312" t="s">
        <v>887</v>
      </c>
      <c r="E1312" t="s">
        <v>13</v>
      </c>
      <c r="F1312" t="s">
        <v>136</v>
      </c>
      <c r="G1312">
        <v>125.463107569721</v>
      </c>
    </row>
    <row r="1313" spans="3:7" hidden="1" x14ac:dyDescent="0.3">
      <c r="C1313" t="s">
        <v>14</v>
      </c>
      <c r="D1313" t="s">
        <v>1057</v>
      </c>
      <c r="E1313" t="s">
        <v>13</v>
      </c>
      <c r="F1313" t="s">
        <v>240</v>
      </c>
      <c r="G1313">
        <v>125.41030588235201</v>
      </c>
    </row>
    <row r="1314" spans="3:7" hidden="1" x14ac:dyDescent="0.3">
      <c r="C1314" t="s">
        <v>126</v>
      </c>
      <c r="D1314" t="s">
        <v>1058</v>
      </c>
      <c r="E1314" t="s">
        <v>17</v>
      </c>
      <c r="F1314" t="s">
        <v>136</v>
      </c>
      <c r="G1314">
        <v>124.729999999999</v>
      </c>
    </row>
    <row r="1315" spans="3:7" hidden="1" x14ac:dyDescent="0.3">
      <c r="C1315" t="s">
        <v>19</v>
      </c>
      <c r="D1315" t="s">
        <v>1059</v>
      </c>
      <c r="E1315" t="s">
        <v>17</v>
      </c>
      <c r="F1315" t="s">
        <v>136</v>
      </c>
      <c r="G1315">
        <v>124.66500000000001</v>
      </c>
    </row>
    <row r="1316" spans="3:7" hidden="1" x14ac:dyDescent="0.3">
      <c r="C1316" t="s">
        <v>11</v>
      </c>
      <c r="D1316" t="s">
        <v>1060</v>
      </c>
      <c r="E1316" t="s">
        <v>13</v>
      </c>
      <c r="F1316" t="s">
        <v>136</v>
      </c>
      <c r="G1316">
        <v>124.16767178587099</v>
      </c>
    </row>
    <row r="1317" spans="3:7" hidden="1" x14ac:dyDescent="0.3">
      <c r="C1317" t="s">
        <v>269</v>
      </c>
      <c r="D1317" t="s">
        <v>1061</v>
      </c>
      <c r="E1317" t="s">
        <v>13</v>
      </c>
      <c r="F1317" t="s">
        <v>10</v>
      </c>
      <c r="G1317">
        <v>124</v>
      </c>
    </row>
    <row r="1318" spans="3:7" hidden="1" x14ac:dyDescent="0.3">
      <c r="C1318" t="s">
        <v>21</v>
      </c>
      <c r="D1318" t="s">
        <v>1062</v>
      </c>
      <c r="E1318" t="s">
        <v>9</v>
      </c>
      <c r="F1318" t="s">
        <v>136</v>
      </c>
      <c r="G1318">
        <v>123.325627376425</v>
      </c>
    </row>
    <row r="1319" spans="3:7" hidden="1" x14ac:dyDescent="0.3">
      <c r="C1319" t="s">
        <v>78</v>
      </c>
      <c r="D1319" t="s">
        <v>1063</v>
      </c>
      <c r="E1319" t="s">
        <v>9</v>
      </c>
      <c r="F1319" t="s">
        <v>10</v>
      </c>
      <c r="G1319">
        <v>123.2</v>
      </c>
    </row>
    <row r="1320" spans="3:7" hidden="1" x14ac:dyDescent="0.3">
      <c r="C1320" t="s">
        <v>429</v>
      </c>
      <c r="D1320" t="s">
        <v>1064</v>
      </c>
      <c r="E1320" t="s">
        <v>17</v>
      </c>
      <c r="F1320" t="s">
        <v>29</v>
      </c>
      <c r="G1320">
        <v>123</v>
      </c>
    </row>
    <row r="1321" spans="3:7" hidden="1" x14ac:dyDescent="0.3">
      <c r="C1321" t="s">
        <v>19</v>
      </c>
      <c r="D1321" t="s">
        <v>351</v>
      </c>
      <c r="E1321" t="s">
        <v>9</v>
      </c>
      <c r="F1321" t="s">
        <v>136</v>
      </c>
      <c r="G1321">
        <v>121.99584950153201</v>
      </c>
    </row>
    <row r="1322" spans="3:7" hidden="1" x14ac:dyDescent="0.3">
      <c r="C1322" t="s">
        <v>11</v>
      </c>
      <c r="D1322" t="s">
        <v>1065</v>
      </c>
      <c r="E1322" t="s">
        <v>13</v>
      </c>
      <c r="F1322" t="s">
        <v>240</v>
      </c>
      <c r="G1322">
        <v>121.630929708012</v>
      </c>
    </row>
    <row r="1323" spans="3:7" hidden="1" x14ac:dyDescent="0.3">
      <c r="C1323" t="s">
        <v>14</v>
      </c>
      <c r="D1323" t="s">
        <v>1066</v>
      </c>
      <c r="E1323" t="s">
        <v>9</v>
      </c>
      <c r="F1323" t="s">
        <v>10</v>
      </c>
      <c r="G1323">
        <v>121</v>
      </c>
    </row>
    <row r="1324" spans="3:7" hidden="1" x14ac:dyDescent="0.3">
      <c r="C1324" t="s">
        <v>14</v>
      </c>
      <c r="D1324" t="s">
        <v>1067</v>
      </c>
      <c r="E1324" t="s">
        <v>9</v>
      </c>
      <c r="F1324" t="s">
        <v>136</v>
      </c>
      <c r="G1324">
        <v>120.82499999999899</v>
      </c>
    </row>
    <row r="1325" spans="3:7" hidden="1" x14ac:dyDescent="0.3">
      <c r="C1325" t="s">
        <v>78</v>
      </c>
      <c r="D1325" t="s">
        <v>1068</v>
      </c>
      <c r="E1325" t="s">
        <v>9</v>
      </c>
      <c r="F1325" t="s">
        <v>10</v>
      </c>
      <c r="G1325">
        <v>120</v>
      </c>
    </row>
    <row r="1326" spans="3:7" hidden="1" x14ac:dyDescent="0.3">
      <c r="C1326" t="s">
        <v>21</v>
      </c>
      <c r="D1326" t="s">
        <v>1069</v>
      </c>
      <c r="E1326" t="s">
        <v>9</v>
      </c>
      <c r="F1326" t="s">
        <v>10</v>
      </c>
      <c r="G1326">
        <v>120</v>
      </c>
    </row>
    <row r="1327" spans="3:7" hidden="1" x14ac:dyDescent="0.3">
      <c r="C1327" t="s">
        <v>11</v>
      </c>
      <c r="D1327" t="s">
        <v>701</v>
      </c>
      <c r="E1327" t="s">
        <v>13</v>
      </c>
      <c r="F1327" t="s">
        <v>10</v>
      </c>
      <c r="G1327">
        <v>120</v>
      </c>
    </row>
    <row r="1328" spans="3:7" hidden="1" x14ac:dyDescent="0.3">
      <c r="C1328" t="s">
        <v>11</v>
      </c>
      <c r="D1328" t="s">
        <v>777</v>
      </c>
      <c r="E1328" t="s">
        <v>9</v>
      </c>
      <c r="F1328" t="s">
        <v>136</v>
      </c>
      <c r="G1328">
        <v>119.57525399129101</v>
      </c>
    </row>
    <row r="1329" spans="3:7" hidden="1" x14ac:dyDescent="0.3">
      <c r="C1329" t="s">
        <v>19</v>
      </c>
      <c r="D1329" t="s">
        <v>1070</v>
      </c>
      <c r="E1329" t="s">
        <v>17</v>
      </c>
      <c r="F1329" t="s">
        <v>136</v>
      </c>
      <c r="G1329">
        <v>118.33499999999999</v>
      </c>
    </row>
    <row r="1330" spans="3:7" hidden="1" x14ac:dyDescent="0.3">
      <c r="C1330" t="s">
        <v>7</v>
      </c>
      <c r="D1330" t="s">
        <v>1071</v>
      </c>
      <c r="E1330" t="s">
        <v>13</v>
      </c>
      <c r="F1330" t="s">
        <v>136</v>
      </c>
      <c r="G1330">
        <v>118.194084155236</v>
      </c>
    </row>
    <row r="1331" spans="3:7" hidden="1" x14ac:dyDescent="0.3">
      <c r="C1331" t="s">
        <v>11</v>
      </c>
      <c r="D1331" t="s">
        <v>718</v>
      </c>
      <c r="E1331" t="s">
        <v>13</v>
      </c>
      <c r="F1331" t="s">
        <v>136</v>
      </c>
      <c r="G1331">
        <v>117.946822539073</v>
      </c>
    </row>
    <row r="1332" spans="3:7" hidden="1" x14ac:dyDescent="0.3">
      <c r="C1332" t="s">
        <v>21</v>
      </c>
      <c r="D1332" t="s">
        <v>1072</v>
      </c>
      <c r="E1332" t="s">
        <v>13</v>
      </c>
      <c r="F1332" t="s">
        <v>136</v>
      </c>
      <c r="G1332">
        <v>117.40673538340501</v>
      </c>
    </row>
    <row r="1333" spans="3:7" hidden="1" x14ac:dyDescent="0.3">
      <c r="C1333" t="s">
        <v>19</v>
      </c>
      <c r="D1333" t="s">
        <v>1073</v>
      </c>
      <c r="E1333" t="s">
        <v>17</v>
      </c>
      <c r="F1333" t="s">
        <v>136</v>
      </c>
      <c r="G1333">
        <v>117.36799999999999</v>
      </c>
    </row>
    <row r="1334" spans="3:7" hidden="1" x14ac:dyDescent="0.3">
      <c r="C1334" t="s">
        <v>188</v>
      </c>
      <c r="D1334" t="s">
        <v>1074</v>
      </c>
      <c r="E1334" t="s">
        <v>13</v>
      </c>
      <c r="F1334" t="s">
        <v>136</v>
      </c>
      <c r="G1334">
        <v>117.267647058823</v>
      </c>
    </row>
    <row r="1335" spans="3:7" hidden="1" x14ac:dyDescent="0.3">
      <c r="C1335" t="s">
        <v>11</v>
      </c>
      <c r="D1335" t="s">
        <v>852</v>
      </c>
      <c r="E1335" t="s">
        <v>13</v>
      </c>
      <c r="F1335" t="s">
        <v>240</v>
      </c>
      <c r="G1335">
        <v>116.30096182994799</v>
      </c>
    </row>
    <row r="1336" spans="3:7" hidden="1" x14ac:dyDescent="0.3">
      <c r="C1336" t="s">
        <v>7</v>
      </c>
      <c r="D1336" t="s">
        <v>1075</v>
      </c>
      <c r="E1336" t="s">
        <v>9</v>
      </c>
      <c r="F1336" t="s">
        <v>136</v>
      </c>
      <c r="G1336">
        <v>115.372950991089</v>
      </c>
    </row>
    <row r="1337" spans="3:7" hidden="1" x14ac:dyDescent="0.3">
      <c r="C1337" t="s">
        <v>19</v>
      </c>
      <c r="D1337" t="s">
        <v>1076</v>
      </c>
      <c r="E1337" t="s">
        <v>17</v>
      </c>
      <c r="F1337" t="s">
        <v>136</v>
      </c>
      <c r="G1337">
        <v>114.66</v>
      </c>
    </row>
    <row r="1338" spans="3:7" hidden="1" x14ac:dyDescent="0.3">
      <c r="C1338" t="s">
        <v>11</v>
      </c>
      <c r="D1338" t="s">
        <v>1077</v>
      </c>
      <c r="E1338" t="s">
        <v>13</v>
      </c>
      <c r="F1338" t="s">
        <v>136</v>
      </c>
      <c r="G1338">
        <v>114.33001839136401</v>
      </c>
    </row>
    <row r="1339" spans="3:7" hidden="1" x14ac:dyDescent="0.3">
      <c r="C1339" t="s">
        <v>11</v>
      </c>
      <c r="D1339" t="s">
        <v>726</v>
      </c>
      <c r="E1339" t="s">
        <v>13</v>
      </c>
      <c r="F1339" t="s">
        <v>136</v>
      </c>
      <c r="G1339">
        <v>114.132908366533</v>
      </c>
    </row>
    <row r="1340" spans="3:7" hidden="1" x14ac:dyDescent="0.3">
      <c r="C1340" t="s">
        <v>429</v>
      </c>
      <c r="D1340" t="s">
        <v>239</v>
      </c>
      <c r="E1340" t="s">
        <v>13</v>
      </c>
      <c r="F1340" t="s">
        <v>240</v>
      </c>
      <c r="G1340">
        <v>113.986445352479</v>
      </c>
    </row>
    <row r="1341" spans="3:7" hidden="1" x14ac:dyDescent="0.3">
      <c r="C1341" t="s">
        <v>19</v>
      </c>
      <c r="D1341" t="s">
        <v>1078</v>
      </c>
      <c r="E1341" t="s">
        <v>17</v>
      </c>
      <c r="F1341" t="s">
        <v>136</v>
      </c>
      <c r="G1341">
        <v>113.714</v>
      </c>
    </row>
    <row r="1342" spans="3:7" hidden="1" x14ac:dyDescent="0.3">
      <c r="C1342" t="s">
        <v>11</v>
      </c>
      <c r="D1342" t="s">
        <v>1079</v>
      </c>
      <c r="E1342" t="s">
        <v>13</v>
      </c>
      <c r="F1342" t="s">
        <v>136</v>
      </c>
      <c r="G1342">
        <v>113.570677290836</v>
      </c>
    </row>
    <row r="1343" spans="3:7" hidden="1" x14ac:dyDescent="0.3">
      <c r="C1343" t="s">
        <v>78</v>
      </c>
      <c r="D1343" t="s">
        <v>1080</v>
      </c>
      <c r="E1343" t="s">
        <v>9</v>
      </c>
      <c r="F1343" t="s">
        <v>136</v>
      </c>
      <c r="G1343">
        <v>113.46499999999899</v>
      </c>
    </row>
    <row r="1344" spans="3:7" hidden="1" x14ac:dyDescent="0.3">
      <c r="C1344" t="s">
        <v>429</v>
      </c>
      <c r="D1344" t="s">
        <v>395</v>
      </c>
      <c r="E1344" t="s">
        <v>13</v>
      </c>
      <c r="F1344" t="s">
        <v>136</v>
      </c>
      <c r="G1344">
        <v>113.16764000000001</v>
      </c>
    </row>
    <row r="1345" spans="3:7" hidden="1" x14ac:dyDescent="0.3">
      <c r="C1345" t="s">
        <v>11</v>
      </c>
      <c r="D1345" t="s">
        <v>1081</v>
      </c>
      <c r="E1345" t="s">
        <v>13</v>
      </c>
      <c r="F1345" t="s">
        <v>136</v>
      </c>
      <c r="G1345">
        <v>112.81032062499899</v>
      </c>
    </row>
    <row r="1346" spans="3:7" hidden="1" x14ac:dyDescent="0.3">
      <c r="C1346" t="s">
        <v>269</v>
      </c>
      <c r="D1346" t="s">
        <v>1082</v>
      </c>
      <c r="E1346" t="s">
        <v>13</v>
      </c>
      <c r="F1346" t="s">
        <v>136</v>
      </c>
      <c r="G1346">
        <v>112.77010050251199</v>
      </c>
    </row>
    <row r="1347" spans="3:7" hidden="1" x14ac:dyDescent="0.3">
      <c r="C1347" t="s">
        <v>11</v>
      </c>
      <c r="D1347" t="s">
        <v>1083</v>
      </c>
      <c r="E1347" t="s">
        <v>17</v>
      </c>
      <c r="F1347" t="s">
        <v>136</v>
      </c>
      <c r="G1347">
        <v>112.702983004983</v>
      </c>
    </row>
    <row r="1348" spans="3:7" hidden="1" x14ac:dyDescent="0.3">
      <c r="C1348" t="s">
        <v>21</v>
      </c>
      <c r="D1348" t="s">
        <v>622</v>
      </c>
      <c r="E1348" t="s">
        <v>13</v>
      </c>
      <c r="F1348" t="s">
        <v>136</v>
      </c>
      <c r="G1348">
        <v>112.678064516129</v>
      </c>
    </row>
    <row r="1349" spans="3:7" hidden="1" x14ac:dyDescent="0.3">
      <c r="C1349" t="s">
        <v>188</v>
      </c>
      <c r="D1349" t="s">
        <v>1084</v>
      </c>
      <c r="E1349" t="s">
        <v>13</v>
      </c>
      <c r="F1349" t="s">
        <v>240</v>
      </c>
      <c r="G1349">
        <v>112.41</v>
      </c>
    </row>
    <row r="1350" spans="3:7" hidden="1" x14ac:dyDescent="0.3">
      <c r="C1350" t="s">
        <v>19</v>
      </c>
      <c r="D1350" t="s">
        <v>1085</v>
      </c>
      <c r="E1350" t="s">
        <v>17</v>
      </c>
      <c r="F1350" t="s">
        <v>136</v>
      </c>
      <c r="G1350">
        <v>111.4</v>
      </c>
    </row>
    <row r="1351" spans="3:7" hidden="1" x14ac:dyDescent="0.3">
      <c r="C1351" t="s">
        <v>11</v>
      </c>
      <c r="D1351" t="s">
        <v>1086</v>
      </c>
      <c r="E1351" t="s">
        <v>9</v>
      </c>
      <c r="F1351" t="s">
        <v>136</v>
      </c>
      <c r="G1351">
        <v>111.263969171483</v>
      </c>
    </row>
    <row r="1352" spans="3:7" hidden="1" x14ac:dyDescent="0.3">
      <c r="C1352" t="s">
        <v>418</v>
      </c>
      <c r="D1352" t="s">
        <v>1034</v>
      </c>
      <c r="E1352" t="s">
        <v>13</v>
      </c>
      <c r="F1352" t="s">
        <v>10</v>
      </c>
      <c r="G1352">
        <v>111</v>
      </c>
    </row>
    <row r="1353" spans="3:7" hidden="1" x14ac:dyDescent="0.3">
      <c r="C1353" t="s">
        <v>21</v>
      </c>
      <c r="D1353" t="s">
        <v>972</v>
      </c>
      <c r="E1353" t="s">
        <v>9</v>
      </c>
      <c r="F1353" t="s">
        <v>136</v>
      </c>
      <c r="G1353">
        <v>110.134538835005</v>
      </c>
    </row>
    <row r="1354" spans="3:7" hidden="1" x14ac:dyDescent="0.3">
      <c r="C1354" t="s">
        <v>126</v>
      </c>
      <c r="D1354" t="s">
        <v>1087</v>
      </c>
      <c r="E1354" t="s">
        <v>13</v>
      </c>
      <c r="F1354" t="s">
        <v>10</v>
      </c>
      <c r="G1354">
        <v>110</v>
      </c>
    </row>
    <row r="1355" spans="3:7" hidden="1" x14ac:dyDescent="0.3">
      <c r="C1355" t="s">
        <v>7</v>
      </c>
      <c r="D1355" t="s">
        <v>1088</v>
      </c>
      <c r="E1355" t="s">
        <v>9</v>
      </c>
      <c r="F1355" t="s">
        <v>136</v>
      </c>
      <c r="G1355">
        <v>109.88883874233601</v>
      </c>
    </row>
    <row r="1356" spans="3:7" hidden="1" x14ac:dyDescent="0.3">
      <c r="C1356" t="s">
        <v>7</v>
      </c>
      <c r="D1356" t="s">
        <v>1089</v>
      </c>
      <c r="E1356" t="s">
        <v>9</v>
      </c>
      <c r="F1356" t="s">
        <v>136</v>
      </c>
      <c r="G1356">
        <v>109.83</v>
      </c>
    </row>
    <row r="1357" spans="3:7" hidden="1" x14ac:dyDescent="0.3">
      <c r="C1357" t="s">
        <v>14</v>
      </c>
      <c r="D1357" t="s">
        <v>1090</v>
      </c>
      <c r="E1357" t="s">
        <v>17</v>
      </c>
      <c r="F1357" t="s">
        <v>136</v>
      </c>
      <c r="G1357">
        <v>109.54395553453099</v>
      </c>
    </row>
    <row r="1358" spans="3:7" hidden="1" x14ac:dyDescent="0.3">
      <c r="C1358" t="s">
        <v>7</v>
      </c>
      <c r="D1358" t="s">
        <v>1091</v>
      </c>
      <c r="E1358" t="s">
        <v>17</v>
      </c>
      <c r="F1358" t="s">
        <v>136</v>
      </c>
      <c r="G1358">
        <v>109.364999999999</v>
      </c>
    </row>
    <row r="1359" spans="3:7" hidden="1" x14ac:dyDescent="0.3">
      <c r="C1359" t="s">
        <v>11</v>
      </c>
      <c r="D1359" t="s">
        <v>1092</v>
      </c>
      <c r="E1359" t="s">
        <v>9</v>
      </c>
      <c r="F1359" t="s">
        <v>136</v>
      </c>
      <c r="G1359">
        <v>109.303499999999</v>
      </c>
    </row>
    <row r="1360" spans="3:7" hidden="1" x14ac:dyDescent="0.3">
      <c r="C1360" t="s">
        <v>19</v>
      </c>
      <c r="D1360" t="s">
        <v>563</v>
      </c>
      <c r="E1360" t="s">
        <v>13</v>
      </c>
      <c r="F1360" t="s">
        <v>240</v>
      </c>
      <c r="G1360">
        <v>109.065591189778</v>
      </c>
    </row>
    <row r="1361" spans="3:7" hidden="1" x14ac:dyDescent="0.3">
      <c r="C1361" t="s">
        <v>21</v>
      </c>
      <c r="D1361" t="s">
        <v>879</v>
      </c>
      <c r="E1361" t="s">
        <v>9</v>
      </c>
      <c r="F1361" t="s">
        <v>136</v>
      </c>
      <c r="G1361">
        <v>108.98244863013601</v>
      </c>
    </row>
    <row r="1362" spans="3:7" hidden="1" x14ac:dyDescent="0.3">
      <c r="C1362" t="s">
        <v>11</v>
      </c>
      <c r="D1362" t="s">
        <v>1093</v>
      </c>
      <c r="E1362" t="s">
        <v>9</v>
      </c>
      <c r="F1362" t="s">
        <v>136</v>
      </c>
      <c r="G1362">
        <v>107.968499999999</v>
      </c>
    </row>
    <row r="1363" spans="3:7" hidden="1" x14ac:dyDescent="0.3">
      <c r="C1363" t="s">
        <v>11</v>
      </c>
      <c r="D1363" t="s">
        <v>1094</v>
      </c>
      <c r="E1363" t="s">
        <v>13</v>
      </c>
      <c r="F1363" t="s">
        <v>136</v>
      </c>
      <c r="G1363">
        <v>107.49284253578701</v>
      </c>
    </row>
    <row r="1364" spans="3:7" hidden="1" x14ac:dyDescent="0.3">
      <c r="C1364" t="s">
        <v>19</v>
      </c>
      <c r="D1364" t="s">
        <v>1095</v>
      </c>
      <c r="E1364" t="s">
        <v>17</v>
      </c>
      <c r="F1364" t="s">
        <v>136</v>
      </c>
      <c r="G1364">
        <v>106.979999999999</v>
      </c>
    </row>
    <row r="1365" spans="3:7" hidden="1" x14ac:dyDescent="0.3">
      <c r="C1365" t="s">
        <v>78</v>
      </c>
      <c r="D1365" t="s">
        <v>1034</v>
      </c>
      <c r="E1365" t="s">
        <v>13</v>
      </c>
      <c r="F1365" t="s">
        <v>10</v>
      </c>
      <c r="G1365">
        <v>106</v>
      </c>
    </row>
    <row r="1366" spans="3:7" hidden="1" x14ac:dyDescent="0.3">
      <c r="C1366" t="s">
        <v>126</v>
      </c>
      <c r="D1366" t="s">
        <v>1096</v>
      </c>
      <c r="E1366" t="s">
        <v>17</v>
      </c>
      <c r="F1366" t="s">
        <v>136</v>
      </c>
      <c r="G1366">
        <v>105.87</v>
      </c>
    </row>
    <row r="1367" spans="3:7" hidden="1" x14ac:dyDescent="0.3">
      <c r="C1367" t="s">
        <v>14</v>
      </c>
      <c r="D1367" t="s">
        <v>1097</v>
      </c>
      <c r="E1367" t="s">
        <v>13</v>
      </c>
      <c r="F1367" t="s">
        <v>136</v>
      </c>
      <c r="G1367">
        <v>105.51475170317499</v>
      </c>
    </row>
    <row r="1368" spans="3:7" hidden="1" x14ac:dyDescent="0.3">
      <c r="C1368" t="s">
        <v>21</v>
      </c>
      <c r="D1368" t="s">
        <v>1098</v>
      </c>
      <c r="E1368" t="s">
        <v>9</v>
      </c>
      <c r="F1368" t="s">
        <v>136</v>
      </c>
      <c r="G1368">
        <v>105.207457627118</v>
      </c>
    </row>
    <row r="1369" spans="3:7" hidden="1" x14ac:dyDescent="0.3">
      <c r="C1369" t="s">
        <v>19</v>
      </c>
      <c r="D1369" t="s">
        <v>1099</v>
      </c>
      <c r="E1369" t="s">
        <v>17</v>
      </c>
      <c r="F1369" t="s">
        <v>136</v>
      </c>
      <c r="G1369">
        <v>104.7606</v>
      </c>
    </row>
    <row r="1370" spans="3:7" hidden="1" x14ac:dyDescent="0.3">
      <c r="C1370" t="s">
        <v>21</v>
      </c>
      <c r="D1370" t="s">
        <v>1100</v>
      </c>
      <c r="E1370" t="s">
        <v>17</v>
      </c>
      <c r="F1370" t="s">
        <v>136</v>
      </c>
      <c r="G1370">
        <v>104.719999999999</v>
      </c>
    </row>
    <row r="1371" spans="3:7" hidden="1" x14ac:dyDescent="0.3">
      <c r="C1371" t="s">
        <v>7</v>
      </c>
      <c r="D1371" t="s">
        <v>1101</v>
      </c>
      <c r="E1371" t="s">
        <v>17</v>
      </c>
      <c r="F1371" t="s">
        <v>136</v>
      </c>
      <c r="G1371">
        <v>104.565</v>
      </c>
    </row>
    <row r="1372" spans="3:7" hidden="1" x14ac:dyDescent="0.3">
      <c r="C1372" t="s">
        <v>21</v>
      </c>
      <c r="D1372" t="s">
        <v>1102</v>
      </c>
      <c r="E1372" t="s">
        <v>9</v>
      </c>
      <c r="F1372" t="s">
        <v>136</v>
      </c>
      <c r="G1372">
        <v>104.455448010645</v>
      </c>
    </row>
    <row r="1373" spans="3:7" hidden="1" x14ac:dyDescent="0.3">
      <c r="C1373" t="s">
        <v>269</v>
      </c>
      <c r="D1373" t="s">
        <v>1103</v>
      </c>
      <c r="E1373" t="s">
        <v>9</v>
      </c>
      <c r="F1373" t="s">
        <v>136</v>
      </c>
      <c r="G1373">
        <v>104.259633027522</v>
      </c>
    </row>
    <row r="1374" spans="3:7" hidden="1" x14ac:dyDescent="0.3">
      <c r="C1374" t="s">
        <v>78</v>
      </c>
      <c r="D1374" t="s">
        <v>617</v>
      </c>
      <c r="E1374" t="s">
        <v>13</v>
      </c>
      <c r="F1374" t="s">
        <v>136</v>
      </c>
      <c r="G1374">
        <v>104.015156971153</v>
      </c>
    </row>
    <row r="1375" spans="3:7" hidden="1" x14ac:dyDescent="0.3">
      <c r="C1375" t="s">
        <v>19</v>
      </c>
      <c r="D1375" t="s">
        <v>647</v>
      </c>
      <c r="E1375" t="s">
        <v>13</v>
      </c>
      <c r="F1375" t="s">
        <v>136</v>
      </c>
      <c r="G1375">
        <v>103.36895400130101</v>
      </c>
    </row>
    <row r="1376" spans="3:7" hidden="1" x14ac:dyDescent="0.3">
      <c r="C1376" t="s">
        <v>19</v>
      </c>
      <c r="D1376" t="s">
        <v>797</v>
      </c>
      <c r="E1376" t="s">
        <v>13</v>
      </c>
      <c r="F1376" t="s">
        <v>240</v>
      </c>
      <c r="G1376">
        <v>103.23125</v>
      </c>
    </row>
    <row r="1377" spans="3:7" hidden="1" x14ac:dyDescent="0.3">
      <c r="C1377" t="s">
        <v>78</v>
      </c>
      <c r="D1377" t="s">
        <v>1104</v>
      </c>
      <c r="E1377" t="s">
        <v>17</v>
      </c>
      <c r="F1377" t="s">
        <v>136</v>
      </c>
      <c r="G1377">
        <v>103.18799999999899</v>
      </c>
    </row>
    <row r="1378" spans="3:7" hidden="1" x14ac:dyDescent="0.3">
      <c r="C1378" t="s">
        <v>14</v>
      </c>
      <c r="D1378" t="s">
        <v>849</v>
      </c>
      <c r="E1378" t="s">
        <v>13</v>
      </c>
      <c r="F1378" t="s">
        <v>136</v>
      </c>
      <c r="G1378">
        <v>103.107299328</v>
      </c>
    </row>
    <row r="1379" spans="3:7" hidden="1" x14ac:dyDescent="0.3">
      <c r="C1379" t="s">
        <v>14</v>
      </c>
      <c r="D1379" t="s">
        <v>1003</v>
      </c>
      <c r="E1379" t="s">
        <v>9</v>
      </c>
      <c r="F1379" t="s">
        <v>136</v>
      </c>
      <c r="G1379">
        <v>103.08</v>
      </c>
    </row>
    <row r="1380" spans="3:7" hidden="1" x14ac:dyDescent="0.3">
      <c r="C1380" t="s">
        <v>78</v>
      </c>
      <c r="D1380" t="s">
        <v>1102</v>
      </c>
      <c r="E1380" t="s">
        <v>9</v>
      </c>
      <c r="F1380" t="s">
        <v>136</v>
      </c>
      <c r="G1380">
        <v>102.79637252924501</v>
      </c>
    </row>
    <row r="1381" spans="3:7" hidden="1" x14ac:dyDescent="0.3">
      <c r="C1381" t="s">
        <v>21</v>
      </c>
      <c r="D1381" t="s">
        <v>793</v>
      </c>
      <c r="E1381" t="s">
        <v>13</v>
      </c>
      <c r="F1381" t="s">
        <v>136</v>
      </c>
      <c r="G1381">
        <v>102.49</v>
      </c>
    </row>
    <row r="1382" spans="3:7" hidden="1" x14ac:dyDescent="0.3">
      <c r="C1382" t="s">
        <v>19</v>
      </c>
      <c r="D1382" t="s">
        <v>1105</v>
      </c>
      <c r="E1382" t="s">
        <v>9</v>
      </c>
      <c r="F1382" t="s">
        <v>136</v>
      </c>
      <c r="G1382">
        <v>102.38521168753699</v>
      </c>
    </row>
    <row r="1383" spans="3:7" hidden="1" x14ac:dyDescent="0.3">
      <c r="C1383" t="s">
        <v>19</v>
      </c>
      <c r="D1383" t="s">
        <v>1106</v>
      </c>
      <c r="E1383" t="s">
        <v>13</v>
      </c>
      <c r="F1383" t="s">
        <v>240</v>
      </c>
      <c r="G1383">
        <v>101.63625</v>
      </c>
    </row>
    <row r="1384" spans="3:7" hidden="1" x14ac:dyDescent="0.3">
      <c r="C1384" t="s">
        <v>21</v>
      </c>
      <c r="D1384" t="s">
        <v>1107</v>
      </c>
      <c r="E1384" t="s">
        <v>13</v>
      </c>
      <c r="F1384" t="s">
        <v>136</v>
      </c>
      <c r="G1384">
        <v>101.208</v>
      </c>
    </row>
    <row r="1385" spans="3:7" hidden="1" x14ac:dyDescent="0.3">
      <c r="C1385" t="s">
        <v>7</v>
      </c>
      <c r="D1385" t="s">
        <v>1108</v>
      </c>
      <c r="E1385" t="s">
        <v>9</v>
      </c>
      <c r="F1385" t="s">
        <v>136</v>
      </c>
      <c r="G1385">
        <v>101.151550461333</v>
      </c>
    </row>
    <row r="1386" spans="3:7" hidden="1" x14ac:dyDescent="0.3">
      <c r="C1386" t="s">
        <v>19</v>
      </c>
      <c r="D1386" t="s">
        <v>1109</v>
      </c>
      <c r="E1386" t="s">
        <v>9</v>
      </c>
      <c r="F1386" t="s">
        <v>136</v>
      </c>
      <c r="G1386">
        <v>100.75083333333301</v>
      </c>
    </row>
    <row r="1387" spans="3:7" hidden="1" x14ac:dyDescent="0.3">
      <c r="C1387" t="s">
        <v>14</v>
      </c>
      <c r="D1387" t="s">
        <v>1110</v>
      </c>
      <c r="E1387" t="s">
        <v>13</v>
      </c>
      <c r="F1387" t="s">
        <v>136</v>
      </c>
      <c r="G1387">
        <v>100.435789473684</v>
      </c>
    </row>
    <row r="1388" spans="3:7" hidden="1" x14ac:dyDescent="0.3">
      <c r="C1388" t="s">
        <v>14</v>
      </c>
      <c r="D1388" t="s">
        <v>1111</v>
      </c>
      <c r="E1388" t="s">
        <v>13</v>
      </c>
      <c r="F1388" t="s">
        <v>136</v>
      </c>
      <c r="G1388">
        <v>100.435789473684</v>
      </c>
    </row>
    <row r="1389" spans="3:7" hidden="1" x14ac:dyDescent="0.3">
      <c r="C1389" t="s">
        <v>90</v>
      </c>
      <c r="D1389" t="s">
        <v>257</v>
      </c>
      <c r="E1389" t="s">
        <v>13</v>
      </c>
      <c r="F1389" t="s">
        <v>240</v>
      </c>
      <c r="G1389">
        <v>100.25730434782599</v>
      </c>
    </row>
    <row r="1390" spans="3:7" hidden="1" x14ac:dyDescent="0.3">
      <c r="C1390" t="s">
        <v>21</v>
      </c>
      <c r="D1390" t="s">
        <v>1112</v>
      </c>
      <c r="E1390" t="s">
        <v>17</v>
      </c>
      <c r="F1390" t="s">
        <v>136</v>
      </c>
      <c r="G1390">
        <v>99.58</v>
      </c>
    </row>
    <row r="1391" spans="3:7" hidden="1" x14ac:dyDescent="0.3">
      <c r="C1391" t="s">
        <v>19</v>
      </c>
      <c r="D1391" t="s">
        <v>1113</v>
      </c>
      <c r="E1391" t="s">
        <v>13</v>
      </c>
      <c r="F1391" t="s">
        <v>136</v>
      </c>
      <c r="G1391">
        <v>99.12</v>
      </c>
    </row>
    <row r="1392" spans="3:7" hidden="1" x14ac:dyDescent="0.3">
      <c r="C1392" t="s">
        <v>21</v>
      </c>
      <c r="D1392" t="s">
        <v>844</v>
      </c>
      <c r="E1392" t="s">
        <v>9</v>
      </c>
      <c r="F1392" t="s">
        <v>136</v>
      </c>
      <c r="G1392">
        <v>99.098999999999904</v>
      </c>
    </row>
    <row r="1393" spans="3:7" hidden="1" x14ac:dyDescent="0.3">
      <c r="C1393" t="s">
        <v>21</v>
      </c>
      <c r="D1393" t="s">
        <v>837</v>
      </c>
      <c r="E1393" t="s">
        <v>9</v>
      </c>
      <c r="F1393" t="s">
        <v>136</v>
      </c>
      <c r="G1393">
        <v>99.098999999999904</v>
      </c>
    </row>
    <row r="1394" spans="3:7" hidden="1" x14ac:dyDescent="0.3">
      <c r="C1394" t="s">
        <v>11</v>
      </c>
      <c r="D1394" t="s">
        <v>1114</v>
      </c>
      <c r="E1394" t="s">
        <v>9</v>
      </c>
      <c r="F1394" t="s">
        <v>136</v>
      </c>
      <c r="G1394">
        <v>98.366024360189499</v>
      </c>
    </row>
    <row r="1395" spans="3:7" hidden="1" x14ac:dyDescent="0.3">
      <c r="C1395" t="s">
        <v>188</v>
      </c>
      <c r="D1395" t="s">
        <v>1115</v>
      </c>
      <c r="E1395" t="s">
        <v>13</v>
      </c>
      <c r="F1395" t="s">
        <v>240</v>
      </c>
      <c r="G1395">
        <v>98.28</v>
      </c>
    </row>
    <row r="1396" spans="3:7" hidden="1" x14ac:dyDescent="0.3">
      <c r="C1396" t="s">
        <v>269</v>
      </c>
      <c r="D1396" t="s">
        <v>1032</v>
      </c>
      <c r="E1396" t="s">
        <v>13</v>
      </c>
      <c r="F1396" t="s">
        <v>10</v>
      </c>
      <c r="G1396">
        <v>98</v>
      </c>
    </row>
    <row r="1397" spans="3:7" hidden="1" x14ac:dyDescent="0.3">
      <c r="C1397" t="s">
        <v>21</v>
      </c>
      <c r="D1397" t="s">
        <v>864</v>
      </c>
      <c r="E1397" t="s">
        <v>13</v>
      </c>
      <c r="F1397" t="s">
        <v>136</v>
      </c>
      <c r="G1397">
        <v>97.747714285714295</v>
      </c>
    </row>
    <row r="1398" spans="3:7" hidden="1" x14ac:dyDescent="0.3">
      <c r="C1398" t="s">
        <v>19</v>
      </c>
      <c r="D1398" t="s">
        <v>1116</v>
      </c>
      <c r="E1398" t="s">
        <v>9</v>
      </c>
      <c r="F1398" t="s">
        <v>136</v>
      </c>
      <c r="G1398">
        <v>97.6666666666666</v>
      </c>
    </row>
    <row r="1399" spans="3:7" hidden="1" x14ac:dyDescent="0.3">
      <c r="C1399" t="s">
        <v>21</v>
      </c>
      <c r="D1399" t="s">
        <v>1117</v>
      </c>
      <c r="E1399" t="s">
        <v>13</v>
      </c>
      <c r="F1399" t="s">
        <v>136</v>
      </c>
      <c r="G1399">
        <v>97.565217391304301</v>
      </c>
    </row>
    <row r="1400" spans="3:7" hidden="1" x14ac:dyDescent="0.3">
      <c r="C1400" t="s">
        <v>7</v>
      </c>
      <c r="D1400" t="s">
        <v>1118</v>
      </c>
      <c r="E1400" t="s">
        <v>13</v>
      </c>
      <c r="F1400" t="s">
        <v>136</v>
      </c>
      <c r="G1400">
        <v>97.047362110311695</v>
      </c>
    </row>
    <row r="1401" spans="3:7" hidden="1" x14ac:dyDescent="0.3">
      <c r="C1401" t="s">
        <v>21</v>
      </c>
      <c r="D1401" t="s">
        <v>1114</v>
      </c>
      <c r="E1401" t="s">
        <v>9</v>
      </c>
      <c r="F1401" t="s">
        <v>136</v>
      </c>
      <c r="G1401">
        <v>97.038735483870894</v>
      </c>
    </row>
    <row r="1402" spans="3:7" hidden="1" x14ac:dyDescent="0.3">
      <c r="C1402" t="s">
        <v>933</v>
      </c>
      <c r="D1402" t="s">
        <v>382</v>
      </c>
      <c r="E1402" t="s">
        <v>13</v>
      </c>
      <c r="F1402" t="s">
        <v>10</v>
      </c>
      <c r="G1402">
        <v>97</v>
      </c>
    </row>
    <row r="1403" spans="3:7" hidden="1" x14ac:dyDescent="0.3">
      <c r="C1403" t="s">
        <v>7</v>
      </c>
      <c r="D1403" t="s">
        <v>1119</v>
      </c>
      <c r="E1403" t="s">
        <v>13</v>
      </c>
      <c r="F1403" t="s">
        <v>136</v>
      </c>
      <c r="G1403">
        <v>96.913278832515005</v>
      </c>
    </row>
    <row r="1404" spans="3:7" hidden="1" x14ac:dyDescent="0.3">
      <c r="C1404" t="s">
        <v>11</v>
      </c>
      <c r="D1404" t="s">
        <v>1120</v>
      </c>
      <c r="E1404" t="s">
        <v>9</v>
      </c>
      <c r="F1404" t="s">
        <v>136</v>
      </c>
      <c r="G1404">
        <v>96.75</v>
      </c>
    </row>
    <row r="1405" spans="3:7" hidden="1" x14ac:dyDescent="0.3">
      <c r="C1405" t="s">
        <v>11</v>
      </c>
      <c r="D1405" t="s">
        <v>381</v>
      </c>
      <c r="E1405" t="s">
        <v>13</v>
      </c>
      <c r="F1405" t="s">
        <v>136</v>
      </c>
      <c r="G1405">
        <v>96.591408591408594</v>
      </c>
    </row>
    <row r="1406" spans="3:7" hidden="1" x14ac:dyDescent="0.3">
      <c r="C1406" t="s">
        <v>11</v>
      </c>
      <c r="D1406" t="s">
        <v>1121</v>
      </c>
      <c r="E1406" t="s">
        <v>13</v>
      </c>
      <c r="F1406" t="s">
        <v>240</v>
      </c>
      <c r="G1406">
        <v>96.360171973410104</v>
      </c>
    </row>
    <row r="1407" spans="3:7" hidden="1" x14ac:dyDescent="0.3">
      <c r="C1407" t="s">
        <v>7</v>
      </c>
      <c r="D1407" t="s">
        <v>1122</v>
      </c>
      <c r="E1407" t="s">
        <v>17</v>
      </c>
      <c r="F1407" t="s">
        <v>136</v>
      </c>
      <c r="G1407">
        <v>96.2</v>
      </c>
    </row>
    <row r="1408" spans="3:7" hidden="1" x14ac:dyDescent="0.3">
      <c r="C1408" t="s">
        <v>78</v>
      </c>
      <c r="D1408" t="s">
        <v>1123</v>
      </c>
      <c r="E1408" t="s">
        <v>17</v>
      </c>
      <c r="F1408" t="s">
        <v>136</v>
      </c>
      <c r="G1408">
        <v>95.734999999999999</v>
      </c>
    </row>
    <row r="1409" spans="3:7" hidden="1" x14ac:dyDescent="0.3">
      <c r="C1409" t="s">
        <v>7</v>
      </c>
      <c r="D1409" t="s">
        <v>1124</v>
      </c>
      <c r="E1409" t="s">
        <v>13</v>
      </c>
      <c r="F1409" t="s">
        <v>136</v>
      </c>
      <c r="G1409">
        <v>95.639534883720899</v>
      </c>
    </row>
    <row r="1410" spans="3:7" hidden="1" x14ac:dyDescent="0.3">
      <c r="C1410" t="s">
        <v>269</v>
      </c>
      <c r="D1410" t="s">
        <v>1125</v>
      </c>
      <c r="E1410" t="s">
        <v>13</v>
      </c>
      <c r="F1410" t="s">
        <v>136</v>
      </c>
      <c r="G1410">
        <v>95.02</v>
      </c>
    </row>
    <row r="1411" spans="3:7" hidden="1" x14ac:dyDescent="0.3">
      <c r="C1411" t="s">
        <v>14</v>
      </c>
      <c r="D1411" t="s">
        <v>1126</v>
      </c>
      <c r="E1411" t="s">
        <v>9</v>
      </c>
      <c r="F1411" t="s">
        <v>136</v>
      </c>
      <c r="G1411">
        <v>94.45</v>
      </c>
    </row>
    <row r="1412" spans="3:7" hidden="1" x14ac:dyDescent="0.3">
      <c r="C1412" t="s">
        <v>269</v>
      </c>
      <c r="D1412" t="s">
        <v>403</v>
      </c>
      <c r="E1412" t="s">
        <v>13</v>
      </c>
      <c r="F1412" t="s">
        <v>136</v>
      </c>
      <c r="G1412">
        <v>94.447846398083698</v>
      </c>
    </row>
    <row r="1413" spans="3:7" hidden="1" x14ac:dyDescent="0.3">
      <c r="C1413" t="s">
        <v>269</v>
      </c>
      <c r="D1413" t="s">
        <v>1127</v>
      </c>
      <c r="E1413" t="s">
        <v>13</v>
      </c>
      <c r="F1413" t="s">
        <v>10</v>
      </c>
      <c r="G1413">
        <v>94</v>
      </c>
    </row>
    <row r="1414" spans="3:7" hidden="1" x14ac:dyDescent="0.3">
      <c r="C1414" t="s">
        <v>126</v>
      </c>
      <c r="D1414" t="s">
        <v>1128</v>
      </c>
      <c r="E1414" t="s">
        <v>13</v>
      </c>
      <c r="F1414" t="s">
        <v>10</v>
      </c>
      <c r="G1414">
        <v>94</v>
      </c>
    </row>
    <row r="1415" spans="3:7" hidden="1" x14ac:dyDescent="0.3">
      <c r="C1415" t="s">
        <v>418</v>
      </c>
      <c r="D1415" t="s">
        <v>1129</v>
      </c>
      <c r="E1415" t="s">
        <v>13</v>
      </c>
      <c r="F1415" t="s">
        <v>10</v>
      </c>
      <c r="G1415">
        <v>94</v>
      </c>
    </row>
    <row r="1416" spans="3:7" hidden="1" x14ac:dyDescent="0.3">
      <c r="C1416" t="s">
        <v>14</v>
      </c>
      <c r="D1416" t="s">
        <v>1130</v>
      </c>
      <c r="E1416" t="s">
        <v>17</v>
      </c>
      <c r="F1416" t="s">
        <v>136</v>
      </c>
      <c r="G1416">
        <v>93.339020270270197</v>
      </c>
    </row>
    <row r="1417" spans="3:7" hidden="1" x14ac:dyDescent="0.3">
      <c r="C1417" t="s">
        <v>90</v>
      </c>
      <c r="D1417" t="s">
        <v>1131</v>
      </c>
      <c r="E1417" t="s">
        <v>17</v>
      </c>
      <c r="F1417" t="s">
        <v>136</v>
      </c>
      <c r="G1417">
        <v>93</v>
      </c>
    </row>
    <row r="1418" spans="3:7" hidden="1" x14ac:dyDescent="0.3">
      <c r="C1418" t="s">
        <v>429</v>
      </c>
      <c r="D1418" t="s">
        <v>1132</v>
      </c>
      <c r="E1418" t="s">
        <v>17</v>
      </c>
      <c r="F1418" t="s">
        <v>136</v>
      </c>
      <c r="G1418">
        <v>92.998000000000005</v>
      </c>
    </row>
    <row r="1419" spans="3:7" hidden="1" x14ac:dyDescent="0.3">
      <c r="C1419" t="s">
        <v>14</v>
      </c>
      <c r="D1419" t="s">
        <v>995</v>
      </c>
      <c r="E1419" t="s">
        <v>9</v>
      </c>
      <c r="F1419" t="s">
        <v>136</v>
      </c>
      <c r="G1419">
        <v>92.96</v>
      </c>
    </row>
    <row r="1420" spans="3:7" hidden="1" x14ac:dyDescent="0.3">
      <c r="C1420" t="s">
        <v>21</v>
      </c>
      <c r="D1420" t="s">
        <v>1097</v>
      </c>
      <c r="E1420" t="s">
        <v>13</v>
      </c>
      <c r="F1420" t="s">
        <v>136</v>
      </c>
      <c r="G1420">
        <v>91.657486116518896</v>
      </c>
    </row>
    <row r="1421" spans="3:7" hidden="1" x14ac:dyDescent="0.3">
      <c r="C1421" t="s">
        <v>21</v>
      </c>
      <c r="D1421" t="s">
        <v>871</v>
      </c>
      <c r="E1421" t="s">
        <v>17</v>
      </c>
      <c r="F1421" t="s">
        <v>136</v>
      </c>
      <c r="G1421">
        <v>91.52</v>
      </c>
    </row>
    <row r="1422" spans="3:7" hidden="1" x14ac:dyDescent="0.3">
      <c r="C1422" t="s">
        <v>418</v>
      </c>
      <c r="D1422" t="s">
        <v>1032</v>
      </c>
      <c r="E1422" t="s">
        <v>13</v>
      </c>
      <c r="F1422" t="s">
        <v>10</v>
      </c>
      <c r="G1422">
        <v>91</v>
      </c>
    </row>
    <row r="1423" spans="3:7" hidden="1" x14ac:dyDescent="0.3">
      <c r="C1423" t="s">
        <v>21</v>
      </c>
      <c r="D1423" t="s">
        <v>546</v>
      </c>
      <c r="E1423" t="s">
        <v>13</v>
      </c>
      <c r="F1423" t="s">
        <v>136</v>
      </c>
      <c r="G1423">
        <v>90.966396380090501</v>
      </c>
    </row>
    <row r="1424" spans="3:7" hidden="1" x14ac:dyDescent="0.3">
      <c r="C1424" t="s">
        <v>19</v>
      </c>
      <c r="D1424" t="s">
        <v>1133</v>
      </c>
      <c r="E1424" t="s">
        <v>17</v>
      </c>
      <c r="F1424" t="s">
        <v>136</v>
      </c>
      <c r="G1424">
        <v>90.83</v>
      </c>
    </row>
    <row r="1425" spans="3:7" hidden="1" x14ac:dyDescent="0.3">
      <c r="C1425" t="s">
        <v>14</v>
      </c>
      <c r="D1425" t="s">
        <v>1065</v>
      </c>
      <c r="E1425" t="s">
        <v>13</v>
      </c>
      <c r="F1425" t="s">
        <v>240</v>
      </c>
      <c r="G1425">
        <v>90.08</v>
      </c>
    </row>
    <row r="1426" spans="3:7" hidden="1" x14ac:dyDescent="0.3">
      <c r="C1426" t="s">
        <v>126</v>
      </c>
      <c r="D1426" t="s">
        <v>1134</v>
      </c>
      <c r="E1426" t="s">
        <v>13</v>
      </c>
      <c r="F1426" t="s">
        <v>10</v>
      </c>
      <c r="G1426">
        <v>90</v>
      </c>
    </row>
    <row r="1427" spans="3:7" hidden="1" x14ac:dyDescent="0.3">
      <c r="C1427" t="s">
        <v>126</v>
      </c>
      <c r="D1427" t="s">
        <v>1135</v>
      </c>
      <c r="E1427" t="s">
        <v>17</v>
      </c>
      <c r="F1427" t="s">
        <v>136</v>
      </c>
      <c r="G1427">
        <v>89.99</v>
      </c>
    </row>
    <row r="1428" spans="3:7" hidden="1" x14ac:dyDescent="0.3">
      <c r="C1428" t="s">
        <v>269</v>
      </c>
      <c r="D1428" t="s">
        <v>1136</v>
      </c>
      <c r="E1428" t="s">
        <v>17</v>
      </c>
      <c r="F1428" t="s">
        <v>136</v>
      </c>
      <c r="G1428">
        <v>89.88</v>
      </c>
    </row>
    <row r="1429" spans="3:7" hidden="1" x14ac:dyDescent="0.3">
      <c r="C1429" t="s">
        <v>269</v>
      </c>
      <c r="D1429" t="s">
        <v>1137</v>
      </c>
      <c r="E1429" t="s">
        <v>17</v>
      </c>
      <c r="F1429" t="s">
        <v>136</v>
      </c>
      <c r="G1429">
        <v>89.765000000000001</v>
      </c>
    </row>
    <row r="1430" spans="3:7" hidden="1" x14ac:dyDescent="0.3">
      <c r="C1430" t="s">
        <v>11</v>
      </c>
      <c r="D1430" t="s">
        <v>1138</v>
      </c>
      <c r="E1430" t="s">
        <v>9</v>
      </c>
      <c r="F1430" t="s">
        <v>136</v>
      </c>
      <c r="G1430">
        <v>89.408867994780806</v>
      </c>
    </row>
    <row r="1431" spans="3:7" hidden="1" x14ac:dyDescent="0.3">
      <c r="C1431" t="s">
        <v>11</v>
      </c>
      <c r="D1431" t="s">
        <v>1139</v>
      </c>
      <c r="E1431" t="s">
        <v>9</v>
      </c>
      <c r="F1431" t="s">
        <v>136</v>
      </c>
      <c r="G1431">
        <v>89.384245734597101</v>
      </c>
    </row>
    <row r="1432" spans="3:7" hidden="1" x14ac:dyDescent="0.3">
      <c r="C1432" t="s">
        <v>19</v>
      </c>
      <c r="D1432" t="s">
        <v>1140</v>
      </c>
      <c r="E1432" t="s">
        <v>9</v>
      </c>
      <c r="F1432" t="s">
        <v>136</v>
      </c>
      <c r="G1432">
        <v>89.119999999999905</v>
      </c>
    </row>
    <row r="1433" spans="3:7" hidden="1" x14ac:dyDescent="0.3">
      <c r="C1433" t="s">
        <v>126</v>
      </c>
      <c r="D1433" t="s">
        <v>584</v>
      </c>
      <c r="E1433" t="s">
        <v>13</v>
      </c>
      <c r="F1433" t="s">
        <v>240</v>
      </c>
      <c r="G1433">
        <v>88.376129032258007</v>
      </c>
    </row>
    <row r="1434" spans="3:7" hidden="1" x14ac:dyDescent="0.3">
      <c r="C1434" t="s">
        <v>11</v>
      </c>
      <c r="D1434" t="s">
        <v>1141</v>
      </c>
      <c r="E1434" t="s">
        <v>13</v>
      </c>
      <c r="F1434" t="s">
        <v>136</v>
      </c>
      <c r="G1434">
        <v>88.207095579955805</v>
      </c>
    </row>
    <row r="1435" spans="3:7" hidden="1" x14ac:dyDescent="0.3">
      <c r="C1435" t="s">
        <v>14</v>
      </c>
      <c r="D1435" t="s">
        <v>1142</v>
      </c>
      <c r="E1435" t="s">
        <v>13</v>
      </c>
      <c r="F1435" t="s">
        <v>136</v>
      </c>
      <c r="G1435">
        <v>88.154643820831097</v>
      </c>
    </row>
    <row r="1436" spans="3:7" hidden="1" x14ac:dyDescent="0.3">
      <c r="C1436" t="s">
        <v>269</v>
      </c>
      <c r="D1436" t="s">
        <v>741</v>
      </c>
      <c r="E1436" t="s">
        <v>13</v>
      </c>
      <c r="F1436" t="s">
        <v>136</v>
      </c>
      <c r="G1436">
        <v>86.682047619047594</v>
      </c>
    </row>
    <row r="1437" spans="3:7" hidden="1" x14ac:dyDescent="0.3">
      <c r="C1437" t="s">
        <v>90</v>
      </c>
      <c r="D1437" t="s">
        <v>324</v>
      </c>
      <c r="E1437" t="s">
        <v>13</v>
      </c>
      <c r="F1437" t="s">
        <v>240</v>
      </c>
      <c r="G1437">
        <v>86.528873877710396</v>
      </c>
    </row>
    <row r="1438" spans="3:7" hidden="1" x14ac:dyDescent="0.3">
      <c r="C1438" t="s">
        <v>14</v>
      </c>
      <c r="D1438" t="s">
        <v>1143</v>
      </c>
      <c r="E1438" t="s">
        <v>9</v>
      </c>
      <c r="F1438" t="s">
        <v>136</v>
      </c>
      <c r="G1438">
        <v>86.435000000000002</v>
      </c>
    </row>
    <row r="1439" spans="3:7" hidden="1" x14ac:dyDescent="0.3">
      <c r="C1439" t="s">
        <v>14</v>
      </c>
      <c r="D1439" t="s">
        <v>647</v>
      </c>
      <c r="E1439" t="s">
        <v>13</v>
      </c>
      <c r="F1439" t="s">
        <v>136</v>
      </c>
      <c r="G1439">
        <v>86.379320320046901</v>
      </c>
    </row>
    <row r="1440" spans="3:7" hidden="1" x14ac:dyDescent="0.3">
      <c r="C1440" t="s">
        <v>19</v>
      </c>
      <c r="D1440" t="s">
        <v>1144</v>
      </c>
      <c r="E1440" t="s">
        <v>17</v>
      </c>
      <c r="F1440" t="s">
        <v>136</v>
      </c>
      <c r="G1440">
        <v>85.85</v>
      </c>
    </row>
    <row r="1441" spans="3:7" hidden="1" x14ac:dyDescent="0.3">
      <c r="C1441" t="s">
        <v>19</v>
      </c>
      <c r="D1441" t="s">
        <v>532</v>
      </c>
      <c r="E1441" t="s">
        <v>13</v>
      </c>
      <c r="F1441" t="s">
        <v>136</v>
      </c>
      <c r="G1441">
        <v>85.704000753947</v>
      </c>
    </row>
    <row r="1442" spans="3:7" hidden="1" x14ac:dyDescent="0.3">
      <c r="C1442" t="s">
        <v>11</v>
      </c>
      <c r="D1442" t="s">
        <v>1145</v>
      </c>
      <c r="E1442" t="s">
        <v>9</v>
      </c>
      <c r="F1442" t="s">
        <v>136</v>
      </c>
      <c r="G1442">
        <v>85.593933042403407</v>
      </c>
    </row>
    <row r="1443" spans="3:7" hidden="1" x14ac:dyDescent="0.3">
      <c r="C1443" t="s">
        <v>19</v>
      </c>
      <c r="D1443" t="s">
        <v>1146</v>
      </c>
      <c r="E1443" t="s">
        <v>17</v>
      </c>
      <c r="F1443" t="s">
        <v>136</v>
      </c>
      <c r="G1443">
        <v>85.16</v>
      </c>
    </row>
    <row r="1444" spans="3:7" hidden="1" x14ac:dyDescent="0.3">
      <c r="C1444" t="s">
        <v>11</v>
      </c>
      <c r="D1444" t="s">
        <v>1147</v>
      </c>
      <c r="E1444" t="s">
        <v>13</v>
      </c>
      <c r="F1444" t="s">
        <v>136</v>
      </c>
      <c r="G1444">
        <v>85.128325506453706</v>
      </c>
    </row>
    <row r="1445" spans="3:7" hidden="1" x14ac:dyDescent="0.3">
      <c r="C1445" t="s">
        <v>126</v>
      </c>
      <c r="D1445" t="s">
        <v>799</v>
      </c>
      <c r="E1445" t="s">
        <v>13</v>
      </c>
      <c r="F1445" t="s">
        <v>240</v>
      </c>
      <c r="G1445">
        <v>84.052270337880401</v>
      </c>
    </row>
    <row r="1446" spans="3:7" hidden="1" x14ac:dyDescent="0.3">
      <c r="C1446" t="s">
        <v>52</v>
      </c>
      <c r="D1446" t="s">
        <v>1148</v>
      </c>
      <c r="E1446" t="s">
        <v>13</v>
      </c>
      <c r="F1446" t="s">
        <v>240</v>
      </c>
      <c r="G1446">
        <v>83.94</v>
      </c>
    </row>
    <row r="1447" spans="3:7" hidden="1" x14ac:dyDescent="0.3">
      <c r="C1447" t="s">
        <v>7</v>
      </c>
      <c r="D1447" t="s">
        <v>1111</v>
      </c>
      <c r="E1447" t="s">
        <v>13</v>
      </c>
      <c r="F1447" t="s">
        <v>136</v>
      </c>
      <c r="G1447">
        <v>83.800261119631799</v>
      </c>
    </row>
    <row r="1448" spans="3:7" hidden="1" x14ac:dyDescent="0.3">
      <c r="C1448" t="s">
        <v>78</v>
      </c>
      <c r="D1448" t="s">
        <v>1149</v>
      </c>
      <c r="E1448" t="s">
        <v>13</v>
      </c>
      <c r="F1448" t="s">
        <v>136</v>
      </c>
      <c r="G1448">
        <v>83.759999999999906</v>
      </c>
    </row>
    <row r="1449" spans="3:7" hidden="1" x14ac:dyDescent="0.3">
      <c r="C1449" t="s">
        <v>19</v>
      </c>
      <c r="D1449" t="s">
        <v>1111</v>
      </c>
      <c r="E1449" t="s">
        <v>13</v>
      </c>
      <c r="F1449" t="s">
        <v>136</v>
      </c>
      <c r="G1449">
        <v>83.370323956442803</v>
      </c>
    </row>
    <row r="1450" spans="3:7" hidden="1" x14ac:dyDescent="0.3">
      <c r="C1450" t="s">
        <v>11</v>
      </c>
      <c r="D1450" t="s">
        <v>1150</v>
      </c>
      <c r="E1450" t="s">
        <v>13</v>
      </c>
      <c r="F1450" t="s">
        <v>136</v>
      </c>
      <c r="G1450">
        <v>83.196391344336106</v>
      </c>
    </row>
    <row r="1451" spans="3:7" hidden="1" x14ac:dyDescent="0.3">
      <c r="C1451" t="s">
        <v>78</v>
      </c>
      <c r="D1451" t="s">
        <v>1151</v>
      </c>
      <c r="E1451" t="s">
        <v>13</v>
      </c>
      <c r="F1451" t="s">
        <v>136</v>
      </c>
      <c r="G1451">
        <v>83.080273032521106</v>
      </c>
    </row>
    <row r="1452" spans="3:7" hidden="1" x14ac:dyDescent="0.3">
      <c r="C1452" t="s">
        <v>14</v>
      </c>
      <c r="D1452" t="s">
        <v>320</v>
      </c>
      <c r="E1452" t="s">
        <v>13</v>
      </c>
      <c r="F1452" t="s">
        <v>136</v>
      </c>
      <c r="G1452">
        <v>82.917874396135204</v>
      </c>
    </row>
    <row r="1453" spans="3:7" hidden="1" x14ac:dyDescent="0.3">
      <c r="C1453" t="s">
        <v>14</v>
      </c>
      <c r="D1453" t="s">
        <v>1005</v>
      </c>
      <c r="E1453" t="s">
        <v>13</v>
      </c>
      <c r="F1453" t="s">
        <v>136</v>
      </c>
      <c r="G1453">
        <v>82.338742697472</v>
      </c>
    </row>
    <row r="1454" spans="3:7" hidden="1" x14ac:dyDescent="0.3">
      <c r="C1454" t="s">
        <v>21</v>
      </c>
      <c r="D1454" t="s">
        <v>1152</v>
      </c>
      <c r="E1454" t="s">
        <v>9</v>
      </c>
      <c r="F1454" t="s">
        <v>136</v>
      </c>
      <c r="G1454">
        <v>82.229999999999905</v>
      </c>
    </row>
    <row r="1455" spans="3:7" hidden="1" x14ac:dyDescent="0.3">
      <c r="C1455" t="s">
        <v>21</v>
      </c>
      <c r="D1455" t="s">
        <v>1153</v>
      </c>
      <c r="E1455" t="s">
        <v>17</v>
      </c>
      <c r="F1455" t="s">
        <v>136</v>
      </c>
      <c r="G1455">
        <v>81.58</v>
      </c>
    </row>
    <row r="1456" spans="3:7" hidden="1" x14ac:dyDescent="0.3">
      <c r="C1456" t="s">
        <v>19</v>
      </c>
      <c r="D1456" t="s">
        <v>1052</v>
      </c>
      <c r="E1456" t="s">
        <v>13</v>
      </c>
      <c r="F1456" t="s">
        <v>136</v>
      </c>
      <c r="G1456">
        <v>80.122303136486494</v>
      </c>
    </row>
    <row r="1457" spans="3:7" hidden="1" x14ac:dyDescent="0.3">
      <c r="C1457" t="s">
        <v>455</v>
      </c>
      <c r="D1457" t="s">
        <v>534</v>
      </c>
      <c r="E1457" t="s">
        <v>17</v>
      </c>
      <c r="F1457" t="s">
        <v>136</v>
      </c>
      <c r="G1457">
        <v>79.8</v>
      </c>
    </row>
    <row r="1458" spans="3:7" hidden="1" x14ac:dyDescent="0.3">
      <c r="C1458" t="s">
        <v>19</v>
      </c>
      <c r="D1458" t="s">
        <v>205</v>
      </c>
      <c r="E1458" t="s">
        <v>13</v>
      </c>
      <c r="F1458" t="s">
        <v>136</v>
      </c>
      <c r="G1458">
        <v>79.3603508771929</v>
      </c>
    </row>
    <row r="1459" spans="3:7" hidden="1" x14ac:dyDescent="0.3">
      <c r="C1459" t="s">
        <v>19</v>
      </c>
      <c r="D1459" t="s">
        <v>411</v>
      </c>
      <c r="E1459" t="s">
        <v>13</v>
      </c>
      <c r="F1459" t="s">
        <v>136</v>
      </c>
      <c r="G1459">
        <v>79.05</v>
      </c>
    </row>
    <row r="1460" spans="3:7" hidden="1" x14ac:dyDescent="0.3">
      <c r="C1460" t="s">
        <v>19</v>
      </c>
      <c r="D1460" t="s">
        <v>1154</v>
      </c>
      <c r="E1460" t="s">
        <v>17</v>
      </c>
      <c r="F1460" t="s">
        <v>136</v>
      </c>
      <c r="G1460">
        <v>79.05</v>
      </c>
    </row>
    <row r="1461" spans="3:7" hidden="1" x14ac:dyDescent="0.3">
      <c r="C1461" t="s">
        <v>11</v>
      </c>
      <c r="D1461" t="s">
        <v>1155</v>
      </c>
      <c r="E1461" t="s">
        <v>13</v>
      </c>
      <c r="F1461" t="s">
        <v>136</v>
      </c>
      <c r="G1461">
        <v>78.532137599999999</v>
      </c>
    </row>
    <row r="1462" spans="3:7" hidden="1" x14ac:dyDescent="0.3">
      <c r="C1462" t="s">
        <v>19</v>
      </c>
      <c r="D1462" t="s">
        <v>1156</v>
      </c>
      <c r="E1462" t="s">
        <v>13</v>
      </c>
      <c r="F1462" t="s">
        <v>136</v>
      </c>
      <c r="G1462">
        <v>78.340988703030206</v>
      </c>
    </row>
    <row r="1463" spans="3:7" hidden="1" x14ac:dyDescent="0.3">
      <c r="C1463" t="s">
        <v>78</v>
      </c>
      <c r="D1463" t="s">
        <v>324</v>
      </c>
      <c r="E1463" t="s">
        <v>13</v>
      </c>
      <c r="F1463" t="s">
        <v>240</v>
      </c>
      <c r="G1463">
        <v>78.159910863678604</v>
      </c>
    </row>
    <row r="1464" spans="3:7" hidden="1" x14ac:dyDescent="0.3">
      <c r="C1464" t="s">
        <v>429</v>
      </c>
      <c r="D1464" t="s">
        <v>1157</v>
      </c>
      <c r="E1464" t="s">
        <v>13</v>
      </c>
      <c r="F1464" t="s">
        <v>10</v>
      </c>
      <c r="G1464">
        <v>78</v>
      </c>
    </row>
    <row r="1465" spans="3:7" hidden="1" x14ac:dyDescent="0.3">
      <c r="C1465" t="s">
        <v>78</v>
      </c>
      <c r="D1465" t="s">
        <v>1158</v>
      </c>
      <c r="E1465" t="s">
        <v>9</v>
      </c>
      <c r="F1465" t="s">
        <v>136</v>
      </c>
      <c r="G1465">
        <v>77.5453499999999</v>
      </c>
    </row>
    <row r="1466" spans="3:7" hidden="1" x14ac:dyDescent="0.3">
      <c r="C1466" t="s">
        <v>269</v>
      </c>
      <c r="D1466" t="s">
        <v>1159</v>
      </c>
      <c r="E1466" t="s">
        <v>13</v>
      </c>
      <c r="F1466" t="s">
        <v>136</v>
      </c>
      <c r="G1466">
        <v>77.359548847776693</v>
      </c>
    </row>
    <row r="1467" spans="3:7" hidden="1" x14ac:dyDescent="0.3">
      <c r="C1467" t="s">
        <v>90</v>
      </c>
      <c r="D1467" t="s">
        <v>834</v>
      </c>
      <c r="E1467" t="s">
        <v>13</v>
      </c>
      <c r="F1467" t="s">
        <v>136</v>
      </c>
      <c r="G1467">
        <v>77.284307232133301</v>
      </c>
    </row>
    <row r="1468" spans="3:7" hidden="1" x14ac:dyDescent="0.3">
      <c r="C1468" t="s">
        <v>14</v>
      </c>
      <c r="D1468" t="s">
        <v>1001</v>
      </c>
      <c r="E1468" t="s">
        <v>9</v>
      </c>
      <c r="F1468" t="s">
        <v>136</v>
      </c>
      <c r="G1468">
        <v>77.165032679738502</v>
      </c>
    </row>
    <row r="1469" spans="3:7" hidden="1" x14ac:dyDescent="0.3">
      <c r="C1469" t="s">
        <v>90</v>
      </c>
      <c r="D1469" t="s">
        <v>351</v>
      </c>
      <c r="E1469" t="s">
        <v>9</v>
      </c>
      <c r="F1469" t="s">
        <v>136</v>
      </c>
      <c r="G1469">
        <v>76.412550331177002</v>
      </c>
    </row>
    <row r="1470" spans="3:7" hidden="1" x14ac:dyDescent="0.3">
      <c r="C1470" t="s">
        <v>78</v>
      </c>
      <c r="D1470" t="s">
        <v>793</v>
      </c>
      <c r="E1470" t="s">
        <v>13</v>
      </c>
      <c r="F1470" t="s">
        <v>136</v>
      </c>
      <c r="G1470">
        <v>76.116</v>
      </c>
    </row>
    <row r="1471" spans="3:7" hidden="1" x14ac:dyDescent="0.3">
      <c r="C1471" t="s">
        <v>21</v>
      </c>
      <c r="D1471" t="s">
        <v>635</v>
      </c>
      <c r="E1471" t="s">
        <v>13</v>
      </c>
      <c r="F1471" t="s">
        <v>136</v>
      </c>
      <c r="G1471">
        <v>76.031447725438198</v>
      </c>
    </row>
    <row r="1472" spans="3:7" hidden="1" x14ac:dyDescent="0.3">
      <c r="C1472" t="s">
        <v>14</v>
      </c>
      <c r="D1472" t="s">
        <v>1160</v>
      </c>
      <c r="E1472" t="s">
        <v>13</v>
      </c>
      <c r="F1472" t="s">
        <v>136</v>
      </c>
      <c r="G1472">
        <v>75.495993477681495</v>
      </c>
    </row>
    <row r="1473" spans="3:7" hidden="1" x14ac:dyDescent="0.3">
      <c r="C1473" t="s">
        <v>19</v>
      </c>
      <c r="D1473" t="s">
        <v>561</v>
      </c>
      <c r="E1473" t="s">
        <v>9</v>
      </c>
      <c r="F1473" t="s">
        <v>136</v>
      </c>
      <c r="G1473">
        <v>75.4182754182754</v>
      </c>
    </row>
    <row r="1474" spans="3:7" hidden="1" x14ac:dyDescent="0.3">
      <c r="C1474" t="s">
        <v>21</v>
      </c>
      <c r="D1474" t="s">
        <v>929</v>
      </c>
      <c r="E1474" t="s">
        <v>13</v>
      </c>
      <c r="F1474" t="s">
        <v>240</v>
      </c>
      <c r="G1474">
        <v>75.362376237623707</v>
      </c>
    </row>
    <row r="1475" spans="3:7" hidden="1" x14ac:dyDescent="0.3">
      <c r="C1475" t="s">
        <v>7</v>
      </c>
      <c r="D1475" t="s">
        <v>1161</v>
      </c>
      <c r="E1475" t="s">
        <v>9</v>
      </c>
      <c r="F1475" t="s">
        <v>136</v>
      </c>
      <c r="G1475">
        <v>75.237916013274003</v>
      </c>
    </row>
    <row r="1476" spans="3:7" hidden="1" x14ac:dyDescent="0.3">
      <c r="C1476" t="s">
        <v>21</v>
      </c>
      <c r="D1476" t="s">
        <v>1160</v>
      </c>
      <c r="E1476" t="s">
        <v>13</v>
      </c>
      <c r="F1476" t="s">
        <v>136</v>
      </c>
      <c r="G1476">
        <v>75.137560808898201</v>
      </c>
    </row>
    <row r="1477" spans="3:7" hidden="1" x14ac:dyDescent="0.3">
      <c r="C1477" t="s">
        <v>78</v>
      </c>
      <c r="D1477" t="s">
        <v>1162</v>
      </c>
      <c r="E1477" t="s">
        <v>13</v>
      </c>
      <c r="F1477" t="s">
        <v>240</v>
      </c>
      <c r="G1477">
        <v>74.92</v>
      </c>
    </row>
    <row r="1478" spans="3:7" hidden="1" x14ac:dyDescent="0.3">
      <c r="C1478" t="s">
        <v>7</v>
      </c>
      <c r="D1478" t="s">
        <v>1163</v>
      </c>
      <c r="E1478" t="s">
        <v>9</v>
      </c>
      <c r="F1478" t="s">
        <v>136</v>
      </c>
      <c r="G1478">
        <v>74.84</v>
      </c>
    </row>
    <row r="1479" spans="3:7" hidden="1" x14ac:dyDescent="0.3">
      <c r="C1479" t="s">
        <v>429</v>
      </c>
      <c r="D1479" t="s">
        <v>411</v>
      </c>
      <c r="E1479" t="s">
        <v>13</v>
      </c>
      <c r="F1479" t="s">
        <v>136</v>
      </c>
      <c r="G1479">
        <v>74.8</v>
      </c>
    </row>
    <row r="1480" spans="3:7" hidden="1" x14ac:dyDescent="0.3">
      <c r="C1480" t="s">
        <v>19</v>
      </c>
      <c r="D1480" t="s">
        <v>1164</v>
      </c>
      <c r="E1480" t="s">
        <v>9</v>
      </c>
      <c r="F1480" t="s">
        <v>136</v>
      </c>
      <c r="G1480">
        <v>74.533999999999907</v>
      </c>
    </row>
    <row r="1481" spans="3:7" hidden="1" x14ac:dyDescent="0.3">
      <c r="C1481" t="s">
        <v>269</v>
      </c>
      <c r="D1481" t="s">
        <v>1165</v>
      </c>
      <c r="E1481" t="s">
        <v>9</v>
      </c>
      <c r="F1481" t="s">
        <v>136</v>
      </c>
      <c r="G1481">
        <v>74.520685714285705</v>
      </c>
    </row>
    <row r="1482" spans="3:7" hidden="1" x14ac:dyDescent="0.3">
      <c r="C1482" t="s">
        <v>90</v>
      </c>
      <c r="D1482" t="s">
        <v>563</v>
      </c>
      <c r="E1482" t="s">
        <v>13</v>
      </c>
      <c r="F1482" t="s">
        <v>240</v>
      </c>
      <c r="G1482">
        <v>73.881565950568202</v>
      </c>
    </row>
    <row r="1483" spans="3:7" hidden="1" x14ac:dyDescent="0.3">
      <c r="C1483" t="s">
        <v>11</v>
      </c>
      <c r="D1483" t="s">
        <v>1166</v>
      </c>
      <c r="E1483" t="s">
        <v>13</v>
      </c>
      <c r="F1483" t="s">
        <v>136</v>
      </c>
      <c r="G1483">
        <v>73.443119393939298</v>
      </c>
    </row>
    <row r="1484" spans="3:7" hidden="1" x14ac:dyDescent="0.3">
      <c r="C1484" t="s">
        <v>21</v>
      </c>
      <c r="D1484" t="s">
        <v>601</v>
      </c>
      <c r="E1484" t="s">
        <v>9</v>
      </c>
      <c r="F1484" t="s">
        <v>136</v>
      </c>
      <c r="G1484">
        <v>73.2904615384615</v>
      </c>
    </row>
    <row r="1485" spans="3:7" hidden="1" x14ac:dyDescent="0.3">
      <c r="C1485" t="s">
        <v>11</v>
      </c>
      <c r="D1485" t="s">
        <v>438</v>
      </c>
      <c r="E1485" t="s">
        <v>13</v>
      </c>
      <c r="F1485" t="s">
        <v>136</v>
      </c>
      <c r="G1485">
        <v>73.172119815668196</v>
      </c>
    </row>
    <row r="1486" spans="3:7" hidden="1" x14ac:dyDescent="0.3">
      <c r="C1486" t="s">
        <v>11</v>
      </c>
      <c r="D1486" t="s">
        <v>1167</v>
      </c>
      <c r="E1486" t="s">
        <v>9</v>
      </c>
      <c r="F1486" t="s">
        <v>136</v>
      </c>
      <c r="G1486">
        <v>72.869</v>
      </c>
    </row>
    <row r="1487" spans="3:7" hidden="1" x14ac:dyDescent="0.3">
      <c r="C1487" t="s">
        <v>52</v>
      </c>
      <c r="D1487" t="s">
        <v>635</v>
      </c>
      <c r="E1487" t="s">
        <v>13</v>
      </c>
      <c r="F1487" t="s">
        <v>136</v>
      </c>
      <c r="G1487">
        <v>72.55</v>
      </c>
    </row>
    <row r="1488" spans="3:7" hidden="1" x14ac:dyDescent="0.3">
      <c r="C1488" t="s">
        <v>7</v>
      </c>
      <c r="D1488" t="s">
        <v>563</v>
      </c>
      <c r="E1488" t="s">
        <v>13</v>
      </c>
      <c r="F1488" t="s">
        <v>240</v>
      </c>
      <c r="G1488">
        <v>72.302318683179294</v>
      </c>
    </row>
    <row r="1489" spans="3:7" hidden="1" x14ac:dyDescent="0.3">
      <c r="C1489" t="s">
        <v>19</v>
      </c>
      <c r="D1489" t="s">
        <v>1168</v>
      </c>
      <c r="E1489" t="s">
        <v>17</v>
      </c>
      <c r="F1489" t="s">
        <v>136</v>
      </c>
      <c r="G1489">
        <v>72.069999999999993</v>
      </c>
    </row>
    <row r="1490" spans="3:7" hidden="1" x14ac:dyDescent="0.3">
      <c r="C1490" t="s">
        <v>126</v>
      </c>
      <c r="D1490" t="s">
        <v>1169</v>
      </c>
      <c r="E1490" t="s">
        <v>17</v>
      </c>
      <c r="F1490" t="s">
        <v>29</v>
      </c>
      <c r="G1490">
        <v>71.6875</v>
      </c>
    </row>
    <row r="1491" spans="3:7" hidden="1" x14ac:dyDescent="0.3">
      <c r="C1491" t="s">
        <v>126</v>
      </c>
      <c r="D1491" t="s">
        <v>83</v>
      </c>
      <c r="E1491" t="s">
        <v>13</v>
      </c>
      <c r="F1491" t="s">
        <v>10</v>
      </c>
      <c r="G1491">
        <v>71.6875</v>
      </c>
    </row>
    <row r="1492" spans="3:7" hidden="1" x14ac:dyDescent="0.3">
      <c r="C1492" t="s">
        <v>126</v>
      </c>
      <c r="D1492" t="s">
        <v>1030</v>
      </c>
      <c r="E1492" t="s">
        <v>13</v>
      </c>
      <c r="F1492" t="s">
        <v>136</v>
      </c>
      <c r="G1492">
        <v>71.6875</v>
      </c>
    </row>
    <row r="1493" spans="3:7" hidden="1" x14ac:dyDescent="0.3">
      <c r="C1493" t="s">
        <v>269</v>
      </c>
      <c r="D1493" t="s">
        <v>1079</v>
      </c>
      <c r="E1493" t="s">
        <v>13</v>
      </c>
      <c r="F1493" t="s">
        <v>136</v>
      </c>
      <c r="G1493">
        <v>71.192079207920699</v>
      </c>
    </row>
    <row r="1494" spans="3:7" hidden="1" x14ac:dyDescent="0.3">
      <c r="C1494" t="s">
        <v>7</v>
      </c>
      <c r="D1494" t="s">
        <v>1170</v>
      </c>
      <c r="E1494" t="s">
        <v>13</v>
      </c>
      <c r="F1494" t="s">
        <v>240</v>
      </c>
      <c r="G1494">
        <v>70.293073619631798</v>
      </c>
    </row>
    <row r="1495" spans="3:7" hidden="1" x14ac:dyDescent="0.3">
      <c r="C1495" t="s">
        <v>126</v>
      </c>
      <c r="D1495" t="s">
        <v>320</v>
      </c>
      <c r="E1495" t="s">
        <v>13</v>
      </c>
      <c r="F1495" t="s">
        <v>136</v>
      </c>
      <c r="G1495">
        <v>69.712500000000006</v>
      </c>
    </row>
    <row r="1496" spans="3:7" hidden="1" x14ac:dyDescent="0.3">
      <c r="C1496" t="s">
        <v>78</v>
      </c>
      <c r="D1496" t="s">
        <v>351</v>
      </c>
      <c r="E1496" t="s">
        <v>9</v>
      </c>
      <c r="F1496" t="s">
        <v>240</v>
      </c>
      <c r="G1496">
        <v>69.554519091338406</v>
      </c>
    </row>
    <row r="1497" spans="3:7" hidden="1" x14ac:dyDescent="0.3">
      <c r="C1497" t="s">
        <v>78</v>
      </c>
      <c r="D1497" t="s">
        <v>1171</v>
      </c>
      <c r="E1497" t="s">
        <v>17</v>
      </c>
      <c r="F1497" t="s">
        <v>136</v>
      </c>
      <c r="G1497">
        <v>69.492000000000004</v>
      </c>
    </row>
    <row r="1498" spans="3:7" hidden="1" x14ac:dyDescent="0.3">
      <c r="C1498" t="s">
        <v>269</v>
      </c>
      <c r="D1498" t="s">
        <v>1172</v>
      </c>
      <c r="E1498" t="s">
        <v>17</v>
      </c>
      <c r="F1498" t="s">
        <v>136</v>
      </c>
      <c r="G1498">
        <v>69.02</v>
      </c>
    </row>
    <row r="1499" spans="3:7" hidden="1" x14ac:dyDescent="0.3">
      <c r="C1499" t="s">
        <v>269</v>
      </c>
      <c r="D1499" t="s">
        <v>1173</v>
      </c>
      <c r="E1499" t="s">
        <v>9</v>
      </c>
      <c r="F1499" t="s">
        <v>136</v>
      </c>
      <c r="G1499">
        <v>67.662060301507495</v>
      </c>
    </row>
    <row r="1500" spans="3:7" hidden="1" x14ac:dyDescent="0.3">
      <c r="C1500" t="s">
        <v>855</v>
      </c>
      <c r="D1500" t="s">
        <v>655</v>
      </c>
      <c r="E1500" t="s">
        <v>13</v>
      </c>
      <c r="F1500" t="s">
        <v>136</v>
      </c>
      <c r="G1500">
        <v>67.5</v>
      </c>
    </row>
    <row r="1501" spans="3:7" hidden="1" x14ac:dyDescent="0.3">
      <c r="C1501" t="s">
        <v>269</v>
      </c>
      <c r="D1501" t="s">
        <v>1174</v>
      </c>
      <c r="E1501" t="s">
        <v>17</v>
      </c>
      <c r="F1501" t="s">
        <v>136</v>
      </c>
      <c r="G1501">
        <v>67.400000000000006</v>
      </c>
    </row>
    <row r="1502" spans="3:7" hidden="1" x14ac:dyDescent="0.3">
      <c r="C1502" t="s">
        <v>14</v>
      </c>
      <c r="D1502" t="s">
        <v>1175</v>
      </c>
      <c r="E1502" t="s">
        <v>13</v>
      </c>
      <c r="F1502" t="s">
        <v>136</v>
      </c>
      <c r="G1502">
        <v>67.225506962100098</v>
      </c>
    </row>
    <row r="1503" spans="3:7" hidden="1" x14ac:dyDescent="0.3">
      <c r="C1503" t="s">
        <v>14</v>
      </c>
      <c r="D1503" t="s">
        <v>718</v>
      </c>
      <c r="E1503" t="s">
        <v>13</v>
      </c>
      <c r="F1503" t="s">
        <v>136</v>
      </c>
      <c r="G1503">
        <v>67.1765570373</v>
      </c>
    </row>
    <row r="1504" spans="3:7" hidden="1" x14ac:dyDescent="0.3">
      <c r="C1504" t="s">
        <v>429</v>
      </c>
      <c r="D1504" t="s">
        <v>1176</v>
      </c>
      <c r="E1504" t="s">
        <v>13</v>
      </c>
      <c r="F1504" t="s">
        <v>10</v>
      </c>
      <c r="G1504">
        <v>67</v>
      </c>
    </row>
    <row r="1505" spans="3:7" hidden="1" x14ac:dyDescent="0.3">
      <c r="C1505" t="s">
        <v>429</v>
      </c>
      <c r="D1505" t="s">
        <v>1177</v>
      </c>
      <c r="E1505" t="s">
        <v>13</v>
      </c>
      <c r="F1505" t="s">
        <v>10</v>
      </c>
      <c r="G1505">
        <v>67</v>
      </c>
    </row>
    <row r="1506" spans="3:7" hidden="1" x14ac:dyDescent="0.3">
      <c r="C1506" t="s">
        <v>21</v>
      </c>
      <c r="D1506" t="s">
        <v>1178</v>
      </c>
      <c r="E1506" t="s">
        <v>9</v>
      </c>
      <c r="F1506" t="s">
        <v>136</v>
      </c>
      <c r="G1506">
        <v>66.593926094010399</v>
      </c>
    </row>
    <row r="1507" spans="3:7" hidden="1" x14ac:dyDescent="0.3">
      <c r="C1507" t="s">
        <v>14</v>
      </c>
      <c r="D1507" t="s">
        <v>1179</v>
      </c>
      <c r="E1507" t="s">
        <v>17</v>
      </c>
      <c r="F1507" t="s">
        <v>136</v>
      </c>
      <c r="G1507">
        <v>66.227999999999994</v>
      </c>
    </row>
    <row r="1508" spans="3:7" hidden="1" x14ac:dyDescent="0.3">
      <c r="C1508" t="s">
        <v>19</v>
      </c>
      <c r="D1508" t="s">
        <v>1180</v>
      </c>
      <c r="E1508" t="s">
        <v>9</v>
      </c>
      <c r="F1508" t="s">
        <v>136</v>
      </c>
      <c r="G1508">
        <v>66.038461538461505</v>
      </c>
    </row>
    <row r="1509" spans="3:7" hidden="1" x14ac:dyDescent="0.3">
      <c r="C1509" t="s">
        <v>11</v>
      </c>
      <c r="D1509" t="s">
        <v>770</v>
      </c>
      <c r="E1509" t="s">
        <v>13</v>
      </c>
      <c r="F1509" t="s">
        <v>136</v>
      </c>
      <c r="G1509">
        <v>65.841486955694904</v>
      </c>
    </row>
    <row r="1510" spans="3:7" hidden="1" x14ac:dyDescent="0.3">
      <c r="C1510" t="s">
        <v>78</v>
      </c>
      <c r="D1510" t="s">
        <v>635</v>
      </c>
      <c r="E1510" t="s">
        <v>13</v>
      </c>
      <c r="F1510" t="s">
        <v>136</v>
      </c>
      <c r="G1510">
        <v>65.192742519479694</v>
      </c>
    </row>
    <row r="1511" spans="3:7" hidden="1" x14ac:dyDescent="0.3">
      <c r="C1511" t="s">
        <v>19</v>
      </c>
      <c r="D1511" t="s">
        <v>410</v>
      </c>
      <c r="E1511" t="s">
        <v>13</v>
      </c>
      <c r="F1511" t="s">
        <v>136</v>
      </c>
      <c r="G1511">
        <v>64.871681456788707</v>
      </c>
    </row>
    <row r="1512" spans="3:7" hidden="1" x14ac:dyDescent="0.3">
      <c r="C1512" t="s">
        <v>7</v>
      </c>
      <c r="D1512" t="s">
        <v>958</v>
      </c>
      <c r="E1512" t="s">
        <v>13</v>
      </c>
      <c r="F1512" t="s">
        <v>240</v>
      </c>
      <c r="G1512">
        <v>64.825099432389806</v>
      </c>
    </row>
    <row r="1513" spans="3:7" hidden="1" x14ac:dyDescent="0.3">
      <c r="C1513" t="s">
        <v>19</v>
      </c>
      <c r="D1513" t="s">
        <v>1181</v>
      </c>
      <c r="E1513" t="s">
        <v>17</v>
      </c>
      <c r="F1513" t="s">
        <v>136</v>
      </c>
      <c r="G1513">
        <v>64.75</v>
      </c>
    </row>
    <row r="1514" spans="3:7" hidden="1" x14ac:dyDescent="0.3">
      <c r="C1514" t="s">
        <v>19</v>
      </c>
      <c r="D1514" t="s">
        <v>1182</v>
      </c>
      <c r="E1514" t="s">
        <v>13</v>
      </c>
      <c r="F1514" t="s">
        <v>136</v>
      </c>
      <c r="G1514">
        <v>64.530551415797305</v>
      </c>
    </row>
    <row r="1515" spans="3:7" hidden="1" x14ac:dyDescent="0.3">
      <c r="C1515" t="s">
        <v>11</v>
      </c>
      <c r="D1515" t="s">
        <v>1098</v>
      </c>
      <c r="E1515" t="s">
        <v>9</v>
      </c>
      <c r="F1515" t="s">
        <v>136</v>
      </c>
      <c r="G1515">
        <v>64.049110169491499</v>
      </c>
    </row>
    <row r="1516" spans="3:7" hidden="1" x14ac:dyDescent="0.3">
      <c r="C1516" t="s">
        <v>78</v>
      </c>
      <c r="D1516" t="s">
        <v>1183</v>
      </c>
      <c r="E1516" t="s">
        <v>9</v>
      </c>
      <c r="F1516" t="s">
        <v>136</v>
      </c>
      <c r="G1516">
        <v>63.4</v>
      </c>
    </row>
    <row r="1517" spans="3:7" hidden="1" x14ac:dyDescent="0.3">
      <c r="C1517" t="s">
        <v>19</v>
      </c>
      <c r="D1517" t="s">
        <v>813</v>
      </c>
      <c r="E1517" t="s">
        <v>9</v>
      </c>
      <c r="F1517" t="s">
        <v>136</v>
      </c>
      <c r="G1517">
        <v>63.125</v>
      </c>
    </row>
    <row r="1518" spans="3:7" hidden="1" x14ac:dyDescent="0.3">
      <c r="C1518" t="s">
        <v>11</v>
      </c>
      <c r="D1518" t="s">
        <v>1184</v>
      </c>
      <c r="E1518" t="s">
        <v>17</v>
      </c>
      <c r="F1518" t="s">
        <v>136</v>
      </c>
      <c r="G1518">
        <v>62.973999999999997</v>
      </c>
    </row>
    <row r="1519" spans="3:7" hidden="1" x14ac:dyDescent="0.3">
      <c r="C1519" t="s">
        <v>78</v>
      </c>
      <c r="D1519" t="s">
        <v>1185</v>
      </c>
      <c r="E1519" t="s">
        <v>9</v>
      </c>
      <c r="F1519" t="s">
        <v>136</v>
      </c>
      <c r="G1519">
        <v>62.87</v>
      </c>
    </row>
    <row r="1520" spans="3:7" hidden="1" x14ac:dyDescent="0.3">
      <c r="C1520" t="s">
        <v>14</v>
      </c>
      <c r="D1520" t="s">
        <v>1117</v>
      </c>
      <c r="E1520" t="s">
        <v>13</v>
      </c>
      <c r="F1520" t="s">
        <v>136</v>
      </c>
      <c r="G1520">
        <v>62.152000000000001</v>
      </c>
    </row>
    <row r="1521" spans="3:7" hidden="1" x14ac:dyDescent="0.3">
      <c r="C1521" t="s">
        <v>11</v>
      </c>
      <c r="D1521" t="s">
        <v>272</v>
      </c>
      <c r="E1521" t="s">
        <v>13</v>
      </c>
      <c r="F1521" t="s">
        <v>10</v>
      </c>
      <c r="G1521">
        <v>62.1309069562665</v>
      </c>
    </row>
    <row r="1522" spans="3:7" hidden="1" x14ac:dyDescent="0.3">
      <c r="C1522" t="s">
        <v>165</v>
      </c>
      <c r="D1522" t="s">
        <v>722</v>
      </c>
      <c r="E1522" t="s">
        <v>13</v>
      </c>
      <c r="F1522" t="s">
        <v>136</v>
      </c>
      <c r="G1522">
        <v>61.68</v>
      </c>
    </row>
    <row r="1523" spans="3:7" hidden="1" x14ac:dyDescent="0.3">
      <c r="C1523" t="s">
        <v>21</v>
      </c>
      <c r="D1523" t="s">
        <v>1186</v>
      </c>
      <c r="E1523" t="s">
        <v>9</v>
      </c>
      <c r="F1523" t="s">
        <v>136</v>
      </c>
      <c r="G1523">
        <v>61.607526881720403</v>
      </c>
    </row>
    <row r="1524" spans="3:7" hidden="1" x14ac:dyDescent="0.3">
      <c r="C1524" t="s">
        <v>418</v>
      </c>
      <c r="D1524" t="s">
        <v>1187</v>
      </c>
      <c r="E1524" t="s">
        <v>13</v>
      </c>
      <c r="F1524" t="s">
        <v>10</v>
      </c>
      <c r="G1524">
        <v>61</v>
      </c>
    </row>
    <row r="1525" spans="3:7" hidden="1" x14ac:dyDescent="0.3">
      <c r="C1525" t="s">
        <v>126</v>
      </c>
      <c r="D1525" t="s">
        <v>1188</v>
      </c>
      <c r="E1525" t="s">
        <v>17</v>
      </c>
      <c r="F1525" t="s">
        <v>136</v>
      </c>
      <c r="G1525">
        <v>60.84</v>
      </c>
    </row>
    <row r="1526" spans="3:7" hidden="1" x14ac:dyDescent="0.3">
      <c r="C1526" t="s">
        <v>11</v>
      </c>
      <c r="D1526" t="s">
        <v>1189</v>
      </c>
      <c r="E1526" t="s">
        <v>13</v>
      </c>
      <c r="F1526" t="s">
        <v>136</v>
      </c>
      <c r="G1526">
        <v>60.734424419766498</v>
      </c>
    </row>
    <row r="1527" spans="3:7" hidden="1" x14ac:dyDescent="0.3">
      <c r="C1527" t="s">
        <v>14</v>
      </c>
      <c r="D1527" t="s">
        <v>1190</v>
      </c>
      <c r="E1527" t="s">
        <v>13</v>
      </c>
      <c r="F1527" t="s">
        <v>136</v>
      </c>
      <c r="G1527">
        <v>60.317999999999898</v>
      </c>
    </row>
    <row r="1528" spans="3:7" hidden="1" x14ac:dyDescent="0.3">
      <c r="C1528" t="s">
        <v>14</v>
      </c>
      <c r="D1528" t="s">
        <v>1191</v>
      </c>
      <c r="E1528" t="s">
        <v>13</v>
      </c>
      <c r="F1528" t="s">
        <v>136</v>
      </c>
      <c r="G1528">
        <v>60.2614736842105</v>
      </c>
    </row>
    <row r="1529" spans="3:7" hidden="1" x14ac:dyDescent="0.3">
      <c r="C1529" t="s">
        <v>188</v>
      </c>
      <c r="D1529" t="s">
        <v>1192</v>
      </c>
      <c r="E1529" t="s">
        <v>9</v>
      </c>
      <c r="F1529" t="s">
        <v>10</v>
      </c>
      <c r="G1529">
        <v>60</v>
      </c>
    </row>
    <row r="1530" spans="3:7" hidden="1" x14ac:dyDescent="0.3">
      <c r="C1530" t="s">
        <v>269</v>
      </c>
      <c r="D1530" t="s">
        <v>1129</v>
      </c>
      <c r="E1530" t="s">
        <v>13</v>
      </c>
      <c r="F1530" t="s">
        <v>10</v>
      </c>
      <c r="G1530">
        <v>60</v>
      </c>
    </row>
    <row r="1531" spans="3:7" hidden="1" x14ac:dyDescent="0.3">
      <c r="C1531" t="s">
        <v>21</v>
      </c>
      <c r="D1531" t="s">
        <v>1193</v>
      </c>
      <c r="E1531" t="s">
        <v>9</v>
      </c>
      <c r="F1531" t="s">
        <v>10</v>
      </c>
      <c r="G1531">
        <v>60</v>
      </c>
    </row>
    <row r="1532" spans="3:7" hidden="1" x14ac:dyDescent="0.3">
      <c r="C1532" t="s">
        <v>21</v>
      </c>
      <c r="D1532" t="s">
        <v>1194</v>
      </c>
      <c r="E1532" t="s">
        <v>9</v>
      </c>
      <c r="F1532" t="s">
        <v>10</v>
      </c>
      <c r="G1532">
        <v>60</v>
      </c>
    </row>
    <row r="1533" spans="3:7" hidden="1" x14ac:dyDescent="0.3">
      <c r="C1533" t="s">
        <v>21</v>
      </c>
      <c r="D1533" t="s">
        <v>1195</v>
      </c>
      <c r="E1533" t="s">
        <v>13</v>
      </c>
      <c r="F1533" t="s">
        <v>10</v>
      </c>
      <c r="G1533">
        <v>60</v>
      </c>
    </row>
    <row r="1534" spans="3:7" hidden="1" x14ac:dyDescent="0.3">
      <c r="C1534" t="s">
        <v>78</v>
      </c>
      <c r="D1534" t="s">
        <v>1084</v>
      </c>
      <c r="E1534" t="s">
        <v>13</v>
      </c>
      <c r="F1534" t="s">
        <v>240</v>
      </c>
      <c r="G1534">
        <v>59.616</v>
      </c>
    </row>
    <row r="1535" spans="3:7" hidden="1" x14ac:dyDescent="0.3">
      <c r="C1535" t="s">
        <v>19</v>
      </c>
      <c r="D1535" t="s">
        <v>1196</v>
      </c>
      <c r="E1535" t="s">
        <v>17</v>
      </c>
      <c r="F1535" t="s">
        <v>136</v>
      </c>
      <c r="G1535">
        <v>59.4</v>
      </c>
    </row>
    <row r="1536" spans="3:7" hidden="1" x14ac:dyDescent="0.3">
      <c r="C1536" t="s">
        <v>126</v>
      </c>
      <c r="D1536" t="s">
        <v>1197</v>
      </c>
      <c r="E1536" t="s">
        <v>17</v>
      </c>
      <c r="F1536" t="s">
        <v>136</v>
      </c>
      <c r="G1536">
        <v>59.369999999999898</v>
      </c>
    </row>
    <row r="1537" spans="3:7" hidden="1" x14ac:dyDescent="0.3">
      <c r="C1537" t="s">
        <v>19</v>
      </c>
      <c r="D1537" t="s">
        <v>1198</v>
      </c>
      <c r="E1537" t="s">
        <v>9</v>
      </c>
      <c r="F1537" t="s">
        <v>136</v>
      </c>
      <c r="G1537">
        <v>59.195500000000003</v>
      </c>
    </row>
    <row r="1538" spans="3:7" hidden="1" x14ac:dyDescent="0.3">
      <c r="C1538" t="s">
        <v>21</v>
      </c>
      <c r="D1538" t="s">
        <v>1086</v>
      </c>
      <c r="E1538" t="s">
        <v>9</v>
      </c>
      <c r="F1538" t="s">
        <v>136</v>
      </c>
      <c r="G1538">
        <v>59.0585741811175</v>
      </c>
    </row>
    <row r="1539" spans="3:7" hidden="1" x14ac:dyDescent="0.3">
      <c r="C1539" t="s">
        <v>78</v>
      </c>
      <c r="D1539" t="s">
        <v>395</v>
      </c>
      <c r="E1539" t="s">
        <v>13</v>
      </c>
      <c r="F1539" t="s">
        <v>136</v>
      </c>
      <c r="G1539">
        <v>58.411363998591</v>
      </c>
    </row>
    <row r="1540" spans="3:7" hidden="1" x14ac:dyDescent="0.3">
      <c r="C1540" t="s">
        <v>14</v>
      </c>
      <c r="D1540" t="s">
        <v>1199</v>
      </c>
      <c r="E1540" t="s">
        <v>9</v>
      </c>
      <c r="F1540" t="s">
        <v>136</v>
      </c>
      <c r="G1540">
        <v>58.35</v>
      </c>
    </row>
    <row r="1541" spans="3:7" hidden="1" x14ac:dyDescent="0.3">
      <c r="C1541" t="s">
        <v>14</v>
      </c>
      <c r="D1541" t="s">
        <v>1200</v>
      </c>
      <c r="E1541" t="s">
        <v>13</v>
      </c>
      <c r="F1541" t="s">
        <v>136</v>
      </c>
      <c r="G1541">
        <v>58.343376470588197</v>
      </c>
    </row>
    <row r="1542" spans="3:7" hidden="1" x14ac:dyDescent="0.3">
      <c r="C1542" t="s">
        <v>14</v>
      </c>
      <c r="D1542" t="s">
        <v>324</v>
      </c>
      <c r="E1542" t="s">
        <v>13</v>
      </c>
      <c r="F1542" t="s">
        <v>240</v>
      </c>
      <c r="G1542">
        <v>58.328843823907697</v>
      </c>
    </row>
    <row r="1543" spans="3:7" hidden="1" x14ac:dyDescent="0.3">
      <c r="C1543" t="s">
        <v>7</v>
      </c>
      <c r="D1543" t="s">
        <v>832</v>
      </c>
      <c r="E1543" t="s">
        <v>13</v>
      </c>
      <c r="F1543" t="s">
        <v>240</v>
      </c>
      <c r="G1543">
        <v>58.167398418982202</v>
      </c>
    </row>
    <row r="1544" spans="3:7" hidden="1" x14ac:dyDescent="0.3">
      <c r="C1544" t="s">
        <v>21</v>
      </c>
      <c r="D1544" t="s">
        <v>1201</v>
      </c>
      <c r="E1544" t="s">
        <v>9</v>
      </c>
      <c r="F1544" t="s">
        <v>136</v>
      </c>
      <c r="G1544">
        <v>57.363712767940299</v>
      </c>
    </row>
    <row r="1545" spans="3:7" hidden="1" x14ac:dyDescent="0.3">
      <c r="C1545" t="s">
        <v>11</v>
      </c>
      <c r="D1545" t="s">
        <v>1202</v>
      </c>
      <c r="E1545" t="s">
        <v>13</v>
      </c>
      <c r="F1545" t="s">
        <v>240</v>
      </c>
      <c r="G1545">
        <v>57.3138461538461</v>
      </c>
    </row>
    <row r="1546" spans="3:7" hidden="1" x14ac:dyDescent="0.3">
      <c r="C1546" t="s">
        <v>19</v>
      </c>
      <c r="D1546" t="s">
        <v>1203</v>
      </c>
      <c r="E1546" t="s">
        <v>17</v>
      </c>
      <c r="F1546" t="s">
        <v>136</v>
      </c>
      <c r="G1546">
        <v>57.26</v>
      </c>
    </row>
    <row r="1547" spans="3:7" hidden="1" x14ac:dyDescent="0.3">
      <c r="C1547" t="s">
        <v>21</v>
      </c>
      <c r="D1547" t="s">
        <v>1204</v>
      </c>
      <c r="E1547" t="s">
        <v>17</v>
      </c>
      <c r="F1547" t="s">
        <v>136</v>
      </c>
      <c r="G1547">
        <v>56.87</v>
      </c>
    </row>
    <row r="1548" spans="3:7" hidden="1" x14ac:dyDescent="0.3">
      <c r="C1548" t="s">
        <v>21</v>
      </c>
      <c r="D1548" t="s">
        <v>1205</v>
      </c>
      <c r="E1548" t="s">
        <v>9</v>
      </c>
      <c r="F1548" t="s">
        <v>136</v>
      </c>
      <c r="G1548">
        <v>56.1</v>
      </c>
    </row>
    <row r="1549" spans="3:7" hidden="1" x14ac:dyDescent="0.3">
      <c r="C1549" t="s">
        <v>19</v>
      </c>
      <c r="D1549" t="s">
        <v>479</v>
      </c>
      <c r="E1549" t="s">
        <v>17</v>
      </c>
      <c r="F1549" t="s">
        <v>136</v>
      </c>
      <c r="G1549">
        <v>55.335000000000001</v>
      </c>
    </row>
    <row r="1550" spans="3:7" hidden="1" x14ac:dyDescent="0.3">
      <c r="C1550" t="s">
        <v>126</v>
      </c>
      <c r="D1550" t="s">
        <v>635</v>
      </c>
      <c r="E1550" t="s">
        <v>13</v>
      </c>
      <c r="F1550" t="s">
        <v>136</v>
      </c>
      <c r="G1550">
        <v>54.861538461538402</v>
      </c>
    </row>
    <row r="1551" spans="3:7" hidden="1" x14ac:dyDescent="0.3">
      <c r="C1551" t="s">
        <v>11</v>
      </c>
      <c r="D1551" t="s">
        <v>806</v>
      </c>
      <c r="E1551" t="s">
        <v>13</v>
      </c>
      <c r="F1551" t="s">
        <v>136</v>
      </c>
      <c r="G1551">
        <v>54.829581067003303</v>
      </c>
    </row>
    <row r="1552" spans="3:7" hidden="1" x14ac:dyDescent="0.3">
      <c r="C1552" t="s">
        <v>78</v>
      </c>
      <c r="D1552" t="s">
        <v>1115</v>
      </c>
      <c r="E1552" t="s">
        <v>13</v>
      </c>
      <c r="F1552" t="s">
        <v>240</v>
      </c>
      <c r="G1552">
        <v>54.72</v>
      </c>
    </row>
    <row r="1553" spans="3:7" hidden="1" x14ac:dyDescent="0.3">
      <c r="C1553" t="s">
        <v>7</v>
      </c>
      <c r="D1553" t="s">
        <v>1206</v>
      </c>
      <c r="E1553" t="s">
        <v>9</v>
      </c>
      <c r="F1553" t="s">
        <v>136</v>
      </c>
      <c r="G1553">
        <v>54.682499999999898</v>
      </c>
    </row>
    <row r="1554" spans="3:7" hidden="1" x14ac:dyDescent="0.3">
      <c r="C1554" t="s">
        <v>455</v>
      </c>
      <c r="D1554" t="s">
        <v>451</v>
      </c>
      <c r="E1554" t="s">
        <v>9</v>
      </c>
      <c r="F1554" t="s">
        <v>136</v>
      </c>
      <c r="G1554">
        <v>54.482077678989199</v>
      </c>
    </row>
    <row r="1555" spans="3:7" hidden="1" x14ac:dyDescent="0.3">
      <c r="C1555" t="s">
        <v>7</v>
      </c>
      <c r="D1555" t="s">
        <v>1207</v>
      </c>
      <c r="E1555" t="s">
        <v>13</v>
      </c>
      <c r="F1555" t="s">
        <v>136</v>
      </c>
      <c r="G1555">
        <v>54.390092879256898</v>
      </c>
    </row>
    <row r="1556" spans="3:7" hidden="1" x14ac:dyDescent="0.3">
      <c r="C1556" t="s">
        <v>269</v>
      </c>
      <c r="D1556" t="s">
        <v>1208</v>
      </c>
      <c r="E1556" t="s">
        <v>17</v>
      </c>
      <c r="F1556" t="s">
        <v>136</v>
      </c>
      <c r="G1556">
        <v>54.338000000000001</v>
      </c>
    </row>
    <row r="1557" spans="3:7" hidden="1" x14ac:dyDescent="0.3">
      <c r="C1557" t="s">
        <v>78</v>
      </c>
      <c r="D1557" t="s">
        <v>781</v>
      </c>
      <c r="E1557" t="s">
        <v>13</v>
      </c>
      <c r="F1557" t="s">
        <v>136</v>
      </c>
      <c r="G1557">
        <v>54.203759999999903</v>
      </c>
    </row>
    <row r="1558" spans="3:7" hidden="1" x14ac:dyDescent="0.3">
      <c r="C1558" t="s">
        <v>19</v>
      </c>
      <c r="D1558" t="s">
        <v>374</v>
      </c>
      <c r="E1558" t="s">
        <v>9</v>
      </c>
      <c r="F1558" t="s">
        <v>136</v>
      </c>
      <c r="G1558">
        <v>54.052500000000002</v>
      </c>
    </row>
    <row r="1559" spans="3:7" hidden="1" x14ac:dyDescent="0.3">
      <c r="C1559" t="s">
        <v>21</v>
      </c>
      <c r="D1559" t="s">
        <v>1209</v>
      </c>
      <c r="E1559" t="s">
        <v>13</v>
      </c>
      <c r="F1559" t="s">
        <v>136</v>
      </c>
      <c r="G1559">
        <v>53.819999999999901</v>
      </c>
    </row>
    <row r="1560" spans="3:7" hidden="1" x14ac:dyDescent="0.3">
      <c r="C1560" t="s">
        <v>78</v>
      </c>
      <c r="D1560" t="s">
        <v>746</v>
      </c>
      <c r="E1560" t="s">
        <v>17</v>
      </c>
      <c r="F1560" t="s">
        <v>136</v>
      </c>
      <c r="G1560">
        <v>53.765000000000001</v>
      </c>
    </row>
    <row r="1561" spans="3:7" hidden="1" x14ac:dyDescent="0.3">
      <c r="C1561" t="s">
        <v>21</v>
      </c>
      <c r="D1561" t="s">
        <v>1210</v>
      </c>
      <c r="E1561" t="s">
        <v>13</v>
      </c>
      <c r="F1561" t="s">
        <v>136</v>
      </c>
      <c r="G1561">
        <v>53.761750436438</v>
      </c>
    </row>
    <row r="1562" spans="3:7" hidden="1" x14ac:dyDescent="0.3">
      <c r="C1562" t="s">
        <v>19</v>
      </c>
      <c r="D1562" t="s">
        <v>1211</v>
      </c>
      <c r="E1562" t="s">
        <v>17</v>
      </c>
      <c r="F1562" t="s">
        <v>136</v>
      </c>
      <c r="G1562">
        <v>53.673999999999999</v>
      </c>
    </row>
    <row r="1563" spans="3:7" hidden="1" x14ac:dyDescent="0.3">
      <c r="C1563" t="s">
        <v>21</v>
      </c>
      <c r="D1563" t="s">
        <v>1079</v>
      </c>
      <c r="E1563" t="s">
        <v>13</v>
      </c>
      <c r="F1563" t="s">
        <v>136</v>
      </c>
      <c r="G1563">
        <v>53.047131474103502</v>
      </c>
    </row>
    <row r="1564" spans="3:7" hidden="1" x14ac:dyDescent="0.3">
      <c r="C1564" t="s">
        <v>11</v>
      </c>
      <c r="D1564" t="s">
        <v>1062</v>
      </c>
      <c r="E1564" t="s">
        <v>9</v>
      </c>
      <c r="F1564" t="s">
        <v>136</v>
      </c>
      <c r="G1564">
        <v>52.92</v>
      </c>
    </row>
    <row r="1565" spans="3:7" hidden="1" x14ac:dyDescent="0.3">
      <c r="C1565" t="s">
        <v>21</v>
      </c>
      <c r="D1565" t="s">
        <v>1083</v>
      </c>
      <c r="E1565" t="s">
        <v>17</v>
      </c>
      <c r="F1565" t="s">
        <v>136</v>
      </c>
      <c r="G1565">
        <v>52.887342105263102</v>
      </c>
    </row>
    <row r="1566" spans="3:7" hidden="1" x14ac:dyDescent="0.3">
      <c r="C1566" t="s">
        <v>19</v>
      </c>
      <c r="D1566" t="s">
        <v>453</v>
      </c>
      <c r="E1566" t="s">
        <v>13</v>
      </c>
      <c r="F1566" t="s">
        <v>136</v>
      </c>
      <c r="G1566">
        <v>52.621124454148401</v>
      </c>
    </row>
    <row r="1567" spans="3:7" hidden="1" x14ac:dyDescent="0.3">
      <c r="C1567" t="s">
        <v>19</v>
      </c>
      <c r="D1567" t="s">
        <v>1212</v>
      </c>
      <c r="E1567" t="s">
        <v>13</v>
      </c>
      <c r="F1567" t="s">
        <v>136</v>
      </c>
      <c r="G1567">
        <v>52.621124454148401</v>
      </c>
    </row>
    <row r="1568" spans="3:7" hidden="1" x14ac:dyDescent="0.3">
      <c r="C1568" t="s">
        <v>19</v>
      </c>
      <c r="D1568" t="s">
        <v>1213</v>
      </c>
      <c r="E1568" t="s">
        <v>13</v>
      </c>
      <c r="F1568" t="s">
        <v>136</v>
      </c>
      <c r="G1568">
        <v>52.621124454148401</v>
      </c>
    </row>
    <row r="1569" spans="3:7" hidden="1" x14ac:dyDescent="0.3">
      <c r="C1569" t="s">
        <v>14</v>
      </c>
      <c r="D1569" t="s">
        <v>943</v>
      </c>
      <c r="E1569" t="s">
        <v>13</v>
      </c>
      <c r="F1569" t="s">
        <v>136</v>
      </c>
      <c r="G1569">
        <v>52.454152395352601</v>
      </c>
    </row>
    <row r="1570" spans="3:7" hidden="1" x14ac:dyDescent="0.3">
      <c r="C1570" t="s">
        <v>429</v>
      </c>
      <c r="D1570" t="s">
        <v>479</v>
      </c>
      <c r="E1570" t="s">
        <v>17</v>
      </c>
      <c r="F1570" t="s">
        <v>136</v>
      </c>
      <c r="G1570">
        <v>52.36</v>
      </c>
    </row>
    <row r="1571" spans="3:7" hidden="1" x14ac:dyDescent="0.3">
      <c r="C1571" t="s">
        <v>7</v>
      </c>
      <c r="D1571" t="s">
        <v>1214</v>
      </c>
      <c r="E1571" t="s">
        <v>13</v>
      </c>
      <c r="F1571" t="s">
        <v>136</v>
      </c>
      <c r="G1571">
        <v>52.347253065152699</v>
      </c>
    </row>
    <row r="1572" spans="3:7" hidden="1" x14ac:dyDescent="0.3">
      <c r="C1572" t="s">
        <v>165</v>
      </c>
      <c r="D1572" t="s">
        <v>946</v>
      </c>
      <c r="E1572" t="s">
        <v>13</v>
      </c>
      <c r="F1572" t="s">
        <v>240</v>
      </c>
      <c r="G1572">
        <v>52.24</v>
      </c>
    </row>
    <row r="1573" spans="3:7" hidden="1" x14ac:dyDescent="0.3">
      <c r="C1573" t="s">
        <v>14</v>
      </c>
      <c r="D1573" t="s">
        <v>922</v>
      </c>
      <c r="E1573" t="s">
        <v>13</v>
      </c>
      <c r="F1573" t="s">
        <v>136</v>
      </c>
      <c r="G1573">
        <v>52.177624433421997</v>
      </c>
    </row>
    <row r="1574" spans="3:7" hidden="1" x14ac:dyDescent="0.3">
      <c r="C1574" t="s">
        <v>90</v>
      </c>
      <c r="D1574" t="s">
        <v>193</v>
      </c>
      <c r="E1574" t="s">
        <v>13</v>
      </c>
      <c r="F1574" t="s">
        <v>136</v>
      </c>
      <c r="G1574">
        <v>52.108627222480798</v>
      </c>
    </row>
    <row r="1575" spans="3:7" hidden="1" x14ac:dyDescent="0.3">
      <c r="C1575" t="s">
        <v>11</v>
      </c>
      <c r="D1575" t="s">
        <v>1071</v>
      </c>
      <c r="E1575" t="s">
        <v>13</v>
      </c>
      <c r="F1575" t="s">
        <v>136</v>
      </c>
      <c r="G1575">
        <v>51.819939759036103</v>
      </c>
    </row>
    <row r="1576" spans="3:7" hidden="1" x14ac:dyDescent="0.3">
      <c r="C1576" t="s">
        <v>188</v>
      </c>
      <c r="D1576" t="s">
        <v>635</v>
      </c>
      <c r="E1576" t="s">
        <v>13</v>
      </c>
      <c r="F1576" t="s">
        <v>136</v>
      </c>
      <c r="G1576">
        <v>51.768189655172399</v>
      </c>
    </row>
    <row r="1577" spans="3:7" hidden="1" x14ac:dyDescent="0.3">
      <c r="C1577" t="s">
        <v>11</v>
      </c>
      <c r="D1577" t="s">
        <v>1160</v>
      </c>
      <c r="E1577" t="s">
        <v>13</v>
      </c>
      <c r="F1577" t="s">
        <v>136</v>
      </c>
      <c r="G1577">
        <v>51.710670565103001</v>
      </c>
    </row>
    <row r="1578" spans="3:7" hidden="1" x14ac:dyDescent="0.3">
      <c r="C1578" t="s">
        <v>21</v>
      </c>
      <c r="D1578" t="s">
        <v>1215</v>
      </c>
      <c r="E1578" t="s">
        <v>17</v>
      </c>
      <c r="F1578" t="s">
        <v>136</v>
      </c>
      <c r="G1578">
        <v>51.67</v>
      </c>
    </row>
    <row r="1579" spans="3:7" hidden="1" x14ac:dyDescent="0.3">
      <c r="C1579" t="s">
        <v>11</v>
      </c>
      <c r="D1579" t="s">
        <v>1216</v>
      </c>
      <c r="E1579" t="s">
        <v>17</v>
      </c>
      <c r="F1579" t="s">
        <v>136</v>
      </c>
      <c r="G1579">
        <v>51.6</v>
      </c>
    </row>
    <row r="1580" spans="3:7" hidden="1" x14ac:dyDescent="0.3">
      <c r="C1580" t="s">
        <v>11</v>
      </c>
      <c r="D1580" t="s">
        <v>682</v>
      </c>
      <c r="E1580" t="s">
        <v>17</v>
      </c>
      <c r="F1580" t="s">
        <v>136</v>
      </c>
      <c r="G1580">
        <v>51.220483870967698</v>
      </c>
    </row>
    <row r="1581" spans="3:7" hidden="1" x14ac:dyDescent="0.3">
      <c r="C1581" t="s">
        <v>7</v>
      </c>
      <c r="D1581" t="s">
        <v>1217</v>
      </c>
      <c r="E1581" t="s">
        <v>13</v>
      </c>
      <c r="F1581" t="s">
        <v>136</v>
      </c>
      <c r="G1581">
        <v>51.184966382363598</v>
      </c>
    </row>
    <row r="1582" spans="3:7" hidden="1" x14ac:dyDescent="0.3">
      <c r="C1582" t="s">
        <v>7</v>
      </c>
      <c r="D1582" t="s">
        <v>1218</v>
      </c>
      <c r="E1582" t="s">
        <v>13</v>
      </c>
      <c r="F1582" t="s">
        <v>136</v>
      </c>
      <c r="G1582">
        <v>51.131712024728003</v>
      </c>
    </row>
    <row r="1583" spans="3:7" hidden="1" x14ac:dyDescent="0.3">
      <c r="C1583" t="s">
        <v>11</v>
      </c>
      <c r="D1583" t="s">
        <v>1219</v>
      </c>
      <c r="E1583" t="s">
        <v>9</v>
      </c>
      <c r="F1583" t="s">
        <v>136</v>
      </c>
      <c r="G1583">
        <v>50.899222950948698</v>
      </c>
    </row>
    <row r="1584" spans="3:7" hidden="1" x14ac:dyDescent="0.3">
      <c r="C1584" t="s">
        <v>11</v>
      </c>
      <c r="D1584" t="s">
        <v>1220</v>
      </c>
      <c r="E1584" t="s">
        <v>13</v>
      </c>
      <c r="F1584" t="s">
        <v>240</v>
      </c>
      <c r="G1584">
        <v>50.601539542665201</v>
      </c>
    </row>
    <row r="1585" spans="3:7" hidden="1" x14ac:dyDescent="0.3">
      <c r="C1585" t="s">
        <v>19</v>
      </c>
      <c r="D1585" t="s">
        <v>1221</v>
      </c>
      <c r="E1585" t="s">
        <v>13</v>
      </c>
      <c r="F1585" t="s">
        <v>136</v>
      </c>
      <c r="G1585">
        <v>50.500948566569498</v>
      </c>
    </row>
    <row r="1586" spans="3:7" hidden="1" x14ac:dyDescent="0.3">
      <c r="C1586" t="s">
        <v>19</v>
      </c>
      <c r="D1586" t="s">
        <v>1222</v>
      </c>
      <c r="E1586" t="s">
        <v>9</v>
      </c>
      <c r="F1586" t="s">
        <v>136</v>
      </c>
      <c r="G1586">
        <v>50.5</v>
      </c>
    </row>
    <row r="1587" spans="3:7" hidden="1" x14ac:dyDescent="0.3">
      <c r="C1587" t="s">
        <v>90</v>
      </c>
      <c r="D1587" t="s">
        <v>198</v>
      </c>
      <c r="E1587" t="s">
        <v>17</v>
      </c>
      <c r="F1587" t="s">
        <v>136</v>
      </c>
      <c r="G1587">
        <v>50.458520693768897</v>
      </c>
    </row>
    <row r="1588" spans="3:7" hidden="1" x14ac:dyDescent="0.3">
      <c r="C1588" t="s">
        <v>21</v>
      </c>
      <c r="D1588" t="s">
        <v>1223</v>
      </c>
      <c r="E1588" t="s">
        <v>17</v>
      </c>
      <c r="F1588" t="s">
        <v>136</v>
      </c>
      <c r="G1588">
        <v>50.409292035398202</v>
      </c>
    </row>
    <row r="1589" spans="3:7" hidden="1" x14ac:dyDescent="0.3">
      <c r="C1589" t="s">
        <v>78</v>
      </c>
      <c r="D1589" t="s">
        <v>503</v>
      </c>
      <c r="E1589" t="s">
        <v>9</v>
      </c>
      <c r="F1589" t="s">
        <v>136</v>
      </c>
      <c r="G1589">
        <v>50.210150943396201</v>
      </c>
    </row>
    <row r="1590" spans="3:7" hidden="1" x14ac:dyDescent="0.3">
      <c r="C1590" t="s">
        <v>11</v>
      </c>
      <c r="D1590" t="s">
        <v>1224</v>
      </c>
      <c r="E1590" t="s">
        <v>9</v>
      </c>
      <c r="F1590" t="s">
        <v>136</v>
      </c>
      <c r="G1590">
        <v>49.671999999999997</v>
      </c>
    </row>
    <row r="1591" spans="3:7" hidden="1" x14ac:dyDescent="0.3">
      <c r="C1591" t="s">
        <v>78</v>
      </c>
      <c r="D1591" t="s">
        <v>1065</v>
      </c>
      <c r="E1591" t="s">
        <v>13</v>
      </c>
      <c r="F1591" t="s">
        <v>240</v>
      </c>
      <c r="G1591">
        <v>49.327692307692303</v>
      </c>
    </row>
    <row r="1592" spans="3:7" hidden="1" x14ac:dyDescent="0.3">
      <c r="C1592" t="s">
        <v>21</v>
      </c>
      <c r="D1592" t="s">
        <v>1225</v>
      </c>
      <c r="E1592" t="s">
        <v>17</v>
      </c>
      <c r="F1592" t="s">
        <v>136</v>
      </c>
      <c r="G1592">
        <v>49.05</v>
      </c>
    </row>
    <row r="1593" spans="3:7" hidden="1" x14ac:dyDescent="0.3">
      <c r="C1593" t="s">
        <v>269</v>
      </c>
      <c r="D1593" t="s">
        <v>1226</v>
      </c>
      <c r="E1593" t="s">
        <v>13</v>
      </c>
      <c r="F1593" t="s">
        <v>136</v>
      </c>
      <c r="G1593">
        <v>48.728870711597402</v>
      </c>
    </row>
    <row r="1594" spans="3:7" hidden="1" x14ac:dyDescent="0.3">
      <c r="C1594" t="s">
        <v>7</v>
      </c>
      <c r="D1594" t="s">
        <v>1227</v>
      </c>
      <c r="E1594" t="s">
        <v>9</v>
      </c>
      <c r="F1594" t="s">
        <v>136</v>
      </c>
      <c r="G1594">
        <v>48.623727765623499</v>
      </c>
    </row>
    <row r="1595" spans="3:7" hidden="1" x14ac:dyDescent="0.3">
      <c r="C1595" t="s">
        <v>7</v>
      </c>
      <c r="D1595" t="s">
        <v>239</v>
      </c>
      <c r="E1595" t="s">
        <v>9</v>
      </c>
      <c r="F1595" t="s">
        <v>136</v>
      </c>
      <c r="G1595">
        <v>48.511505791505797</v>
      </c>
    </row>
    <row r="1596" spans="3:7" hidden="1" x14ac:dyDescent="0.3">
      <c r="C1596" t="s">
        <v>11</v>
      </c>
      <c r="D1596" t="s">
        <v>1228</v>
      </c>
      <c r="E1596" t="s">
        <v>13</v>
      </c>
      <c r="F1596" t="s">
        <v>136</v>
      </c>
      <c r="G1596">
        <v>48.475091765407399</v>
      </c>
    </row>
    <row r="1597" spans="3:7" hidden="1" x14ac:dyDescent="0.3">
      <c r="C1597" t="s">
        <v>21</v>
      </c>
      <c r="D1597" t="s">
        <v>1229</v>
      </c>
      <c r="E1597" t="s">
        <v>17</v>
      </c>
      <c r="F1597" t="s">
        <v>136</v>
      </c>
      <c r="G1597">
        <v>48.420999999999999</v>
      </c>
    </row>
    <row r="1598" spans="3:7" hidden="1" x14ac:dyDescent="0.3">
      <c r="C1598" t="s">
        <v>78</v>
      </c>
      <c r="D1598" t="s">
        <v>1230</v>
      </c>
      <c r="E1598" t="s">
        <v>13</v>
      </c>
      <c r="F1598" t="s">
        <v>136</v>
      </c>
      <c r="G1598">
        <v>48.295999999999999</v>
      </c>
    </row>
    <row r="1599" spans="3:7" hidden="1" x14ac:dyDescent="0.3">
      <c r="C1599" t="s">
        <v>269</v>
      </c>
      <c r="D1599" t="s">
        <v>381</v>
      </c>
      <c r="E1599" t="s">
        <v>13</v>
      </c>
      <c r="F1599" t="s">
        <v>136</v>
      </c>
      <c r="G1599">
        <v>48.285569620253099</v>
      </c>
    </row>
    <row r="1600" spans="3:7" hidden="1" x14ac:dyDescent="0.3">
      <c r="C1600" t="s">
        <v>269</v>
      </c>
      <c r="D1600" t="s">
        <v>1231</v>
      </c>
      <c r="E1600" t="s">
        <v>9</v>
      </c>
      <c r="F1600" t="s">
        <v>136</v>
      </c>
      <c r="G1600">
        <v>48.285569620253099</v>
      </c>
    </row>
    <row r="1601" spans="3:7" hidden="1" x14ac:dyDescent="0.3">
      <c r="C1601" t="s">
        <v>14</v>
      </c>
      <c r="D1601" t="s">
        <v>1210</v>
      </c>
      <c r="E1601" t="s">
        <v>13</v>
      </c>
      <c r="F1601" t="s">
        <v>136</v>
      </c>
      <c r="G1601">
        <v>48.147762049493601</v>
      </c>
    </row>
    <row r="1602" spans="3:7" hidden="1" x14ac:dyDescent="0.3">
      <c r="C1602" t="s">
        <v>7</v>
      </c>
      <c r="D1602" t="s">
        <v>1022</v>
      </c>
      <c r="E1602" t="s">
        <v>13</v>
      </c>
      <c r="F1602" t="s">
        <v>136</v>
      </c>
      <c r="G1602">
        <v>48.087793099086198</v>
      </c>
    </row>
    <row r="1603" spans="3:7" hidden="1" x14ac:dyDescent="0.3">
      <c r="C1603" t="s">
        <v>933</v>
      </c>
      <c r="D1603" t="s">
        <v>449</v>
      </c>
      <c r="E1603" t="s">
        <v>13</v>
      </c>
      <c r="F1603" t="s">
        <v>10</v>
      </c>
      <c r="G1603">
        <v>48</v>
      </c>
    </row>
    <row r="1604" spans="3:7" hidden="1" x14ac:dyDescent="0.3">
      <c r="C1604" t="s">
        <v>7</v>
      </c>
      <c r="D1604" t="s">
        <v>788</v>
      </c>
      <c r="E1604" t="s">
        <v>13</v>
      </c>
      <c r="F1604" t="s">
        <v>136</v>
      </c>
      <c r="G1604">
        <v>47.842280701754298</v>
      </c>
    </row>
    <row r="1605" spans="3:7" hidden="1" x14ac:dyDescent="0.3">
      <c r="C1605" t="s">
        <v>21</v>
      </c>
      <c r="D1605" t="s">
        <v>1228</v>
      </c>
      <c r="E1605" t="s">
        <v>13</v>
      </c>
      <c r="F1605" t="s">
        <v>136</v>
      </c>
      <c r="G1605">
        <v>47.784929148199197</v>
      </c>
    </row>
    <row r="1606" spans="3:7" hidden="1" x14ac:dyDescent="0.3">
      <c r="C1606" t="s">
        <v>19</v>
      </c>
      <c r="D1606" t="s">
        <v>585</v>
      </c>
      <c r="E1606" t="s">
        <v>13</v>
      </c>
      <c r="F1606" t="s">
        <v>136</v>
      </c>
      <c r="G1606">
        <v>47.597529411764697</v>
      </c>
    </row>
    <row r="1607" spans="3:7" hidden="1" x14ac:dyDescent="0.3">
      <c r="C1607" t="s">
        <v>188</v>
      </c>
      <c r="D1607" t="s">
        <v>1232</v>
      </c>
      <c r="E1607" t="s">
        <v>13</v>
      </c>
      <c r="F1607" t="s">
        <v>136</v>
      </c>
      <c r="G1607">
        <v>47.5625</v>
      </c>
    </row>
    <row r="1608" spans="3:7" hidden="1" x14ac:dyDescent="0.3">
      <c r="C1608" t="s">
        <v>21</v>
      </c>
      <c r="D1608" t="s">
        <v>1233</v>
      </c>
      <c r="E1608" t="s">
        <v>17</v>
      </c>
      <c r="F1608" t="s">
        <v>136</v>
      </c>
      <c r="G1608">
        <v>47.417000000000002</v>
      </c>
    </row>
    <row r="1609" spans="3:7" hidden="1" x14ac:dyDescent="0.3">
      <c r="C1609" t="s">
        <v>7</v>
      </c>
      <c r="D1609" t="s">
        <v>1234</v>
      </c>
      <c r="E1609" t="s">
        <v>9</v>
      </c>
      <c r="F1609" t="s">
        <v>136</v>
      </c>
      <c r="G1609">
        <v>47.28</v>
      </c>
    </row>
    <row r="1610" spans="3:7" hidden="1" x14ac:dyDescent="0.3">
      <c r="C1610" t="s">
        <v>21</v>
      </c>
      <c r="D1610" t="s">
        <v>1235</v>
      </c>
      <c r="E1610" t="s">
        <v>13</v>
      </c>
      <c r="F1610" t="s">
        <v>136</v>
      </c>
      <c r="G1610">
        <v>47.270251872021703</v>
      </c>
    </row>
    <row r="1611" spans="3:7" hidden="1" x14ac:dyDescent="0.3">
      <c r="C1611" t="s">
        <v>11</v>
      </c>
      <c r="D1611" t="s">
        <v>1236</v>
      </c>
      <c r="E1611" t="s">
        <v>17</v>
      </c>
      <c r="F1611" t="s">
        <v>136</v>
      </c>
      <c r="G1611">
        <v>46.8</v>
      </c>
    </row>
    <row r="1612" spans="3:7" hidden="1" x14ac:dyDescent="0.3">
      <c r="C1612" t="s">
        <v>11</v>
      </c>
      <c r="D1612" t="s">
        <v>1237</v>
      </c>
      <c r="E1612" t="s">
        <v>13</v>
      </c>
      <c r="F1612" t="s">
        <v>136</v>
      </c>
      <c r="G1612">
        <v>46.313193429019002</v>
      </c>
    </row>
    <row r="1613" spans="3:7" hidden="1" x14ac:dyDescent="0.3">
      <c r="C1613" t="s">
        <v>7</v>
      </c>
      <c r="D1613" t="s">
        <v>1238</v>
      </c>
      <c r="E1613" t="s">
        <v>9</v>
      </c>
      <c r="F1613" t="s">
        <v>136</v>
      </c>
      <c r="G1613">
        <v>46.231578947368398</v>
      </c>
    </row>
    <row r="1614" spans="3:7" hidden="1" x14ac:dyDescent="0.3">
      <c r="C1614" t="s">
        <v>19</v>
      </c>
      <c r="D1614" t="s">
        <v>239</v>
      </c>
      <c r="E1614" t="s">
        <v>9</v>
      </c>
      <c r="F1614" t="s">
        <v>136</v>
      </c>
      <c r="G1614">
        <v>46.093294460641403</v>
      </c>
    </row>
    <row r="1615" spans="3:7" hidden="1" x14ac:dyDescent="0.3">
      <c r="C1615" t="s">
        <v>126</v>
      </c>
      <c r="D1615" t="s">
        <v>1239</v>
      </c>
      <c r="E1615" t="s">
        <v>17</v>
      </c>
      <c r="F1615" t="s">
        <v>136</v>
      </c>
      <c r="G1615">
        <v>45.809999999999903</v>
      </c>
    </row>
    <row r="1616" spans="3:7" hidden="1" x14ac:dyDescent="0.3">
      <c r="C1616" t="s">
        <v>21</v>
      </c>
      <c r="D1616" t="s">
        <v>1240</v>
      </c>
      <c r="E1616" t="s">
        <v>17</v>
      </c>
      <c r="F1616" t="s">
        <v>136</v>
      </c>
      <c r="G1616">
        <v>45.707000000000001</v>
      </c>
    </row>
    <row r="1617" spans="3:7" hidden="1" x14ac:dyDescent="0.3">
      <c r="C1617" t="s">
        <v>7</v>
      </c>
      <c r="D1617" t="s">
        <v>1241</v>
      </c>
      <c r="E1617" t="s">
        <v>9</v>
      </c>
      <c r="F1617" t="s">
        <v>136</v>
      </c>
      <c r="G1617">
        <v>45.633000000000003</v>
      </c>
    </row>
    <row r="1618" spans="3:7" hidden="1" x14ac:dyDescent="0.3">
      <c r="C1618" t="s">
        <v>19</v>
      </c>
      <c r="D1618" t="s">
        <v>1242</v>
      </c>
      <c r="E1618" t="s">
        <v>13</v>
      </c>
      <c r="F1618" t="s">
        <v>136</v>
      </c>
      <c r="G1618">
        <v>45.527391304347802</v>
      </c>
    </row>
    <row r="1619" spans="3:7" hidden="1" x14ac:dyDescent="0.3">
      <c r="C1619" t="s">
        <v>14</v>
      </c>
      <c r="D1619" t="s">
        <v>1243</v>
      </c>
      <c r="E1619" t="s">
        <v>9</v>
      </c>
      <c r="F1619" t="s">
        <v>136</v>
      </c>
      <c r="G1619">
        <v>45.502293577981597</v>
      </c>
    </row>
    <row r="1620" spans="3:7" x14ac:dyDescent="0.3">
      <c r="C1620" t="s">
        <v>429</v>
      </c>
      <c r="D1620" t="s">
        <v>135</v>
      </c>
      <c r="E1620" t="s">
        <v>13</v>
      </c>
      <c r="F1620" t="s">
        <v>136</v>
      </c>
      <c r="G1620">
        <v>45.3359173126615</v>
      </c>
    </row>
    <row r="1621" spans="3:7" hidden="1" x14ac:dyDescent="0.3">
      <c r="C1621" t="s">
        <v>429</v>
      </c>
      <c r="D1621" t="s">
        <v>781</v>
      </c>
      <c r="E1621" t="s">
        <v>13</v>
      </c>
      <c r="F1621" t="s">
        <v>136</v>
      </c>
      <c r="G1621">
        <v>44.88</v>
      </c>
    </row>
    <row r="1622" spans="3:7" hidden="1" x14ac:dyDescent="0.3">
      <c r="C1622" t="s">
        <v>21</v>
      </c>
      <c r="D1622" t="s">
        <v>810</v>
      </c>
      <c r="E1622" t="s">
        <v>17</v>
      </c>
      <c r="F1622" t="s">
        <v>136</v>
      </c>
      <c r="G1622">
        <v>44.879999999999903</v>
      </c>
    </row>
    <row r="1623" spans="3:7" hidden="1" x14ac:dyDescent="0.3">
      <c r="C1623" t="s">
        <v>7</v>
      </c>
      <c r="D1623" t="s">
        <v>1244</v>
      </c>
      <c r="E1623" t="s">
        <v>13</v>
      </c>
      <c r="F1623" t="s">
        <v>240</v>
      </c>
      <c r="G1623">
        <v>44.808340819059097</v>
      </c>
    </row>
    <row r="1624" spans="3:7" hidden="1" x14ac:dyDescent="0.3">
      <c r="C1624" t="s">
        <v>11</v>
      </c>
      <c r="D1624" t="s">
        <v>1245</v>
      </c>
      <c r="E1624" t="s">
        <v>13</v>
      </c>
      <c r="F1624" t="s">
        <v>136</v>
      </c>
      <c r="G1624">
        <v>43.457162022630797</v>
      </c>
    </row>
    <row r="1625" spans="3:7" hidden="1" x14ac:dyDescent="0.3">
      <c r="C1625" t="s">
        <v>14</v>
      </c>
      <c r="D1625" t="s">
        <v>657</v>
      </c>
      <c r="E1625" t="s">
        <v>13</v>
      </c>
      <c r="F1625" t="s">
        <v>136</v>
      </c>
      <c r="G1625">
        <v>43.379788463451497</v>
      </c>
    </row>
    <row r="1626" spans="3:7" hidden="1" x14ac:dyDescent="0.3">
      <c r="C1626" t="s">
        <v>90</v>
      </c>
      <c r="D1626" t="s">
        <v>228</v>
      </c>
      <c r="E1626" t="s">
        <v>9</v>
      </c>
      <c r="F1626" t="s">
        <v>136</v>
      </c>
      <c r="G1626">
        <v>43.250160594659</v>
      </c>
    </row>
    <row r="1627" spans="3:7" hidden="1" x14ac:dyDescent="0.3">
      <c r="C1627" t="s">
        <v>7</v>
      </c>
      <c r="D1627" t="s">
        <v>1246</v>
      </c>
      <c r="E1627" t="s">
        <v>9</v>
      </c>
      <c r="F1627" t="s">
        <v>136</v>
      </c>
      <c r="G1627">
        <v>43.058052631578903</v>
      </c>
    </row>
    <row r="1628" spans="3:7" hidden="1" x14ac:dyDescent="0.3">
      <c r="C1628" t="s">
        <v>269</v>
      </c>
      <c r="D1628" t="s">
        <v>756</v>
      </c>
      <c r="E1628" t="s">
        <v>13</v>
      </c>
      <c r="F1628" t="s">
        <v>136</v>
      </c>
      <c r="G1628">
        <v>42.92</v>
      </c>
    </row>
    <row r="1629" spans="3:7" hidden="1" x14ac:dyDescent="0.3">
      <c r="C1629" t="s">
        <v>14</v>
      </c>
      <c r="D1629" t="s">
        <v>1159</v>
      </c>
      <c r="E1629" t="s">
        <v>13</v>
      </c>
      <c r="F1629" t="s">
        <v>136</v>
      </c>
      <c r="G1629">
        <v>42.9149082568807</v>
      </c>
    </row>
    <row r="1630" spans="3:7" hidden="1" x14ac:dyDescent="0.3">
      <c r="C1630" t="s">
        <v>14</v>
      </c>
      <c r="D1630" t="s">
        <v>1247</v>
      </c>
      <c r="E1630" t="s">
        <v>17</v>
      </c>
      <c r="F1630" t="s">
        <v>136</v>
      </c>
      <c r="G1630">
        <v>42.91</v>
      </c>
    </row>
    <row r="1631" spans="3:7" hidden="1" x14ac:dyDescent="0.3">
      <c r="C1631" t="s">
        <v>90</v>
      </c>
      <c r="D1631" t="s">
        <v>1248</v>
      </c>
      <c r="E1631" t="s">
        <v>9</v>
      </c>
      <c r="F1631" t="s">
        <v>136</v>
      </c>
      <c r="G1631">
        <v>42.506368977673297</v>
      </c>
    </row>
    <row r="1632" spans="3:7" hidden="1" x14ac:dyDescent="0.3">
      <c r="C1632" t="s">
        <v>21</v>
      </c>
      <c r="D1632" t="s">
        <v>958</v>
      </c>
      <c r="E1632" t="s">
        <v>13</v>
      </c>
      <c r="F1632" t="s">
        <v>240</v>
      </c>
      <c r="G1632">
        <v>42.065961876837001</v>
      </c>
    </row>
    <row r="1633" spans="3:7" hidden="1" x14ac:dyDescent="0.3">
      <c r="C1633" t="s">
        <v>429</v>
      </c>
      <c r="D1633" t="s">
        <v>656</v>
      </c>
      <c r="E1633" t="s">
        <v>9</v>
      </c>
      <c r="F1633" t="s">
        <v>136</v>
      </c>
      <c r="G1633">
        <v>41.935723514211801</v>
      </c>
    </row>
    <row r="1634" spans="3:7" hidden="1" x14ac:dyDescent="0.3">
      <c r="C1634" t="s">
        <v>21</v>
      </c>
      <c r="D1634" t="s">
        <v>1249</v>
      </c>
      <c r="E1634" t="s">
        <v>9</v>
      </c>
      <c r="F1634" t="s">
        <v>136</v>
      </c>
      <c r="G1634">
        <v>41.887999999999998</v>
      </c>
    </row>
    <row r="1635" spans="3:7" hidden="1" x14ac:dyDescent="0.3">
      <c r="C1635" t="s">
        <v>21</v>
      </c>
      <c r="D1635" t="s">
        <v>1042</v>
      </c>
      <c r="E1635" t="s">
        <v>13</v>
      </c>
      <c r="F1635" t="s">
        <v>136</v>
      </c>
      <c r="G1635">
        <v>41.632790113994197</v>
      </c>
    </row>
    <row r="1636" spans="3:7" hidden="1" x14ac:dyDescent="0.3">
      <c r="C1636" t="s">
        <v>19</v>
      </c>
      <c r="D1636" t="s">
        <v>1250</v>
      </c>
      <c r="E1636" t="s">
        <v>13</v>
      </c>
      <c r="F1636" t="s">
        <v>136</v>
      </c>
      <c r="G1636">
        <v>41.525035902535102</v>
      </c>
    </row>
    <row r="1637" spans="3:7" hidden="1" x14ac:dyDescent="0.3">
      <c r="C1637" t="s">
        <v>11</v>
      </c>
      <c r="D1637" t="s">
        <v>1251</v>
      </c>
      <c r="E1637" t="s">
        <v>9</v>
      </c>
      <c r="F1637" t="s">
        <v>136</v>
      </c>
      <c r="G1637">
        <v>41.36</v>
      </c>
    </row>
    <row r="1638" spans="3:7" hidden="1" x14ac:dyDescent="0.3">
      <c r="C1638" t="s">
        <v>11</v>
      </c>
      <c r="D1638" t="s">
        <v>406</v>
      </c>
      <c r="E1638" t="s">
        <v>17</v>
      </c>
      <c r="F1638" t="s">
        <v>136</v>
      </c>
      <c r="G1638">
        <v>41.294117647058798</v>
      </c>
    </row>
    <row r="1639" spans="3:7" hidden="1" x14ac:dyDescent="0.3">
      <c r="C1639" t="s">
        <v>11</v>
      </c>
      <c r="D1639" t="s">
        <v>1252</v>
      </c>
      <c r="E1639" t="s">
        <v>9</v>
      </c>
      <c r="F1639" t="s">
        <v>136</v>
      </c>
      <c r="G1639">
        <v>41.294117647058798</v>
      </c>
    </row>
    <row r="1640" spans="3:7" hidden="1" x14ac:dyDescent="0.3">
      <c r="C1640" t="s">
        <v>78</v>
      </c>
      <c r="D1640" t="s">
        <v>239</v>
      </c>
      <c r="E1640" t="s">
        <v>9</v>
      </c>
      <c r="F1640" t="s">
        <v>136</v>
      </c>
      <c r="G1640">
        <v>41.209999999999901</v>
      </c>
    </row>
    <row r="1641" spans="3:7" hidden="1" x14ac:dyDescent="0.3">
      <c r="C1641" t="s">
        <v>126</v>
      </c>
      <c r="D1641" t="s">
        <v>962</v>
      </c>
      <c r="E1641" t="s">
        <v>13</v>
      </c>
      <c r="F1641" t="s">
        <v>136</v>
      </c>
      <c r="G1641">
        <v>41.174999999999997</v>
      </c>
    </row>
    <row r="1642" spans="3:7" hidden="1" x14ac:dyDescent="0.3">
      <c r="C1642" t="s">
        <v>7</v>
      </c>
      <c r="D1642" t="s">
        <v>1253</v>
      </c>
      <c r="E1642" t="s">
        <v>17</v>
      </c>
      <c r="F1642" t="s">
        <v>136</v>
      </c>
      <c r="G1642">
        <v>41.125</v>
      </c>
    </row>
    <row r="1643" spans="3:7" hidden="1" x14ac:dyDescent="0.3">
      <c r="C1643" t="s">
        <v>19</v>
      </c>
      <c r="D1643" t="s">
        <v>1254</v>
      </c>
      <c r="E1643" t="s">
        <v>13</v>
      </c>
      <c r="F1643" t="s">
        <v>136</v>
      </c>
      <c r="G1643">
        <v>40.996600790513803</v>
      </c>
    </row>
    <row r="1644" spans="3:7" hidden="1" x14ac:dyDescent="0.3">
      <c r="C1644" t="s">
        <v>11</v>
      </c>
      <c r="D1644" t="s">
        <v>1255</v>
      </c>
      <c r="E1644" t="s">
        <v>9</v>
      </c>
      <c r="F1644" t="s">
        <v>136</v>
      </c>
      <c r="G1644">
        <v>40.969698810030003</v>
      </c>
    </row>
    <row r="1645" spans="3:7" hidden="1" x14ac:dyDescent="0.3">
      <c r="C1645" t="s">
        <v>855</v>
      </c>
      <c r="D1645" t="s">
        <v>995</v>
      </c>
      <c r="E1645" t="s">
        <v>9</v>
      </c>
      <c r="F1645" t="s">
        <v>136</v>
      </c>
      <c r="G1645">
        <v>40.5</v>
      </c>
    </row>
    <row r="1646" spans="3:7" hidden="1" x14ac:dyDescent="0.3">
      <c r="C1646" t="s">
        <v>11</v>
      </c>
      <c r="D1646" t="s">
        <v>1256</v>
      </c>
      <c r="E1646" t="s">
        <v>13</v>
      </c>
      <c r="F1646" t="s">
        <v>136</v>
      </c>
      <c r="G1646">
        <v>40.418423645320097</v>
      </c>
    </row>
    <row r="1647" spans="3:7" hidden="1" x14ac:dyDescent="0.3">
      <c r="C1647" t="s">
        <v>19</v>
      </c>
      <c r="D1647" t="s">
        <v>1257</v>
      </c>
      <c r="E1647" t="s">
        <v>17</v>
      </c>
      <c r="F1647" t="s">
        <v>136</v>
      </c>
      <c r="G1647">
        <v>40.26</v>
      </c>
    </row>
    <row r="1648" spans="3:7" hidden="1" x14ac:dyDescent="0.3">
      <c r="C1648" t="s">
        <v>78</v>
      </c>
      <c r="D1648" t="s">
        <v>756</v>
      </c>
      <c r="E1648" t="s">
        <v>13</v>
      </c>
      <c r="F1648" t="s">
        <v>136</v>
      </c>
      <c r="G1648">
        <v>40.1</v>
      </c>
    </row>
    <row r="1649" spans="3:7" hidden="1" x14ac:dyDescent="0.3">
      <c r="C1649" t="s">
        <v>19</v>
      </c>
      <c r="D1649" t="s">
        <v>1258</v>
      </c>
      <c r="E1649" t="s">
        <v>17</v>
      </c>
      <c r="F1649" t="s">
        <v>136</v>
      </c>
      <c r="G1649">
        <v>39.86</v>
      </c>
    </row>
    <row r="1650" spans="3:7" hidden="1" x14ac:dyDescent="0.3">
      <c r="C1650" t="s">
        <v>14</v>
      </c>
      <c r="D1650" t="s">
        <v>1259</v>
      </c>
      <c r="E1650" t="s">
        <v>13</v>
      </c>
      <c r="F1650" t="s">
        <v>136</v>
      </c>
      <c r="G1650">
        <v>39.841052911448202</v>
      </c>
    </row>
    <row r="1651" spans="3:7" hidden="1" x14ac:dyDescent="0.3">
      <c r="C1651" t="s">
        <v>21</v>
      </c>
      <c r="D1651" t="s">
        <v>1260</v>
      </c>
      <c r="E1651" t="s">
        <v>13</v>
      </c>
      <c r="F1651" t="s">
        <v>240</v>
      </c>
      <c r="G1651">
        <v>39.820475912361097</v>
      </c>
    </row>
    <row r="1652" spans="3:7" hidden="1" x14ac:dyDescent="0.3">
      <c r="C1652" t="s">
        <v>429</v>
      </c>
      <c r="D1652" t="s">
        <v>320</v>
      </c>
      <c r="E1652" t="s">
        <v>13</v>
      </c>
      <c r="F1652" t="s">
        <v>136</v>
      </c>
      <c r="G1652">
        <v>39.665999999999997</v>
      </c>
    </row>
    <row r="1653" spans="3:7" hidden="1" x14ac:dyDescent="0.3">
      <c r="C1653" t="s">
        <v>269</v>
      </c>
      <c r="D1653" t="s">
        <v>1261</v>
      </c>
      <c r="E1653" t="s">
        <v>9</v>
      </c>
      <c r="F1653" t="s">
        <v>136</v>
      </c>
      <c r="G1653">
        <v>39.474820313076599</v>
      </c>
    </row>
    <row r="1654" spans="3:7" hidden="1" x14ac:dyDescent="0.3">
      <c r="C1654" t="s">
        <v>19</v>
      </c>
      <c r="D1654" t="s">
        <v>1262</v>
      </c>
      <c r="E1654" t="s">
        <v>9</v>
      </c>
      <c r="F1654" t="s">
        <v>136</v>
      </c>
      <c r="G1654">
        <v>39.363636363636303</v>
      </c>
    </row>
    <row r="1655" spans="3:7" hidden="1" x14ac:dyDescent="0.3">
      <c r="C1655" t="s">
        <v>11</v>
      </c>
      <c r="D1655" t="s">
        <v>1217</v>
      </c>
      <c r="E1655" t="s">
        <v>13</v>
      </c>
      <c r="F1655" t="s">
        <v>136</v>
      </c>
      <c r="G1655">
        <v>39.257987693034103</v>
      </c>
    </row>
    <row r="1656" spans="3:7" hidden="1" x14ac:dyDescent="0.3">
      <c r="C1656" t="s">
        <v>21</v>
      </c>
      <c r="D1656" t="s">
        <v>1263</v>
      </c>
      <c r="E1656" t="s">
        <v>9</v>
      </c>
      <c r="F1656" t="s">
        <v>136</v>
      </c>
      <c r="G1656">
        <v>39.037111764555497</v>
      </c>
    </row>
    <row r="1657" spans="3:7" hidden="1" x14ac:dyDescent="0.3">
      <c r="C1657" t="s">
        <v>21</v>
      </c>
      <c r="D1657" t="s">
        <v>1264</v>
      </c>
      <c r="E1657" t="s">
        <v>13</v>
      </c>
      <c r="F1657" t="s">
        <v>136</v>
      </c>
      <c r="G1657">
        <v>38.934834904714101</v>
      </c>
    </row>
    <row r="1658" spans="3:7" hidden="1" x14ac:dyDescent="0.3">
      <c r="C1658" t="s">
        <v>11</v>
      </c>
      <c r="D1658" t="s">
        <v>1265</v>
      </c>
      <c r="E1658" t="s">
        <v>9</v>
      </c>
      <c r="F1658" t="s">
        <v>136</v>
      </c>
      <c r="G1658">
        <v>38.895117987443498</v>
      </c>
    </row>
    <row r="1659" spans="3:7" hidden="1" x14ac:dyDescent="0.3">
      <c r="C1659" t="s">
        <v>19</v>
      </c>
      <c r="D1659" t="s">
        <v>1266</v>
      </c>
      <c r="E1659" t="s">
        <v>17</v>
      </c>
      <c r="F1659" t="s">
        <v>136</v>
      </c>
      <c r="G1659">
        <v>38.849999999999902</v>
      </c>
    </row>
    <row r="1660" spans="3:7" hidden="1" x14ac:dyDescent="0.3">
      <c r="C1660" t="s">
        <v>19</v>
      </c>
      <c r="D1660" t="s">
        <v>1004</v>
      </c>
      <c r="E1660" t="s">
        <v>13</v>
      </c>
      <c r="F1660" t="s">
        <v>136</v>
      </c>
      <c r="G1660">
        <v>38.618961685823699</v>
      </c>
    </row>
    <row r="1661" spans="3:7" hidden="1" x14ac:dyDescent="0.3">
      <c r="C1661" t="s">
        <v>19</v>
      </c>
      <c r="D1661" t="s">
        <v>860</v>
      </c>
      <c r="E1661" t="s">
        <v>9</v>
      </c>
      <c r="F1661" t="s">
        <v>136</v>
      </c>
      <c r="G1661">
        <v>38.3879021879021</v>
      </c>
    </row>
    <row r="1662" spans="3:7" hidden="1" x14ac:dyDescent="0.3">
      <c r="C1662" t="s">
        <v>21</v>
      </c>
      <c r="D1662" t="s">
        <v>1267</v>
      </c>
      <c r="E1662" t="s">
        <v>13</v>
      </c>
      <c r="F1662" t="s">
        <v>136</v>
      </c>
      <c r="G1662">
        <v>38.257257318952199</v>
      </c>
    </row>
    <row r="1663" spans="3:7" hidden="1" x14ac:dyDescent="0.3">
      <c r="C1663" t="s">
        <v>11</v>
      </c>
      <c r="D1663" t="s">
        <v>956</v>
      </c>
      <c r="E1663" t="s">
        <v>13</v>
      </c>
      <c r="F1663" t="s">
        <v>240</v>
      </c>
      <c r="G1663">
        <v>38.121016242465998</v>
      </c>
    </row>
    <row r="1664" spans="3:7" hidden="1" x14ac:dyDescent="0.3">
      <c r="C1664" t="s">
        <v>11</v>
      </c>
      <c r="D1664" t="s">
        <v>1097</v>
      </c>
      <c r="E1664" t="s">
        <v>13</v>
      </c>
      <c r="F1664" t="s">
        <v>136</v>
      </c>
      <c r="G1664">
        <v>38.097510711879202</v>
      </c>
    </row>
    <row r="1665" spans="3:7" hidden="1" x14ac:dyDescent="0.3">
      <c r="C1665" t="s">
        <v>269</v>
      </c>
      <c r="D1665" t="s">
        <v>1268</v>
      </c>
      <c r="E1665" t="s">
        <v>17</v>
      </c>
      <c r="F1665" t="s">
        <v>136</v>
      </c>
      <c r="G1665">
        <v>38.073999999999998</v>
      </c>
    </row>
    <row r="1666" spans="3:7" hidden="1" x14ac:dyDescent="0.3">
      <c r="C1666" t="s">
        <v>126</v>
      </c>
      <c r="D1666" t="s">
        <v>1269</v>
      </c>
      <c r="E1666" t="s">
        <v>17</v>
      </c>
      <c r="F1666" t="s">
        <v>136</v>
      </c>
      <c r="G1666">
        <v>37.934999999999903</v>
      </c>
    </row>
    <row r="1667" spans="3:7" hidden="1" x14ac:dyDescent="0.3">
      <c r="C1667" t="s">
        <v>126</v>
      </c>
      <c r="D1667" t="s">
        <v>1270</v>
      </c>
      <c r="E1667" t="s">
        <v>17</v>
      </c>
      <c r="F1667" t="s">
        <v>136</v>
      </c>
      <c r="G1667">
        <v>37.515000000000001</v>
      </c>
    </row>
    <row r="1668" spans="3:7" hidden="1" x14ac:dyDescent="0.3">
      <c r="C1668" t="s">
        <v>21</v>
      </c>
      <c r="D1668" t="s">
        <v>1271</v>
      </c>
      <c r="E1668" t="s">
        <v>17</v>
      </c>
      <c r="F1668" t="s">
        <v>136</v>
      </c>
      <c r="G1668">
        <v>37.44</v>
      </c>
    </row>
    <row r="1669" spans="3:7" hidden="1" x14ac:dyDescent="0.3">
      <c r="C1669" t="s">
        <v>7</v>
      </c>
      <c r="D1669" t="s">
        <v>1272</v>
      </c>
      <c r="E1669" t="s">
        <v>9</v>
      </c>
      <c r="F1669" t="s">
        <v>136</v>
      </c>
      <c r="G1669">
        <v>37.4386611313194</v>
      </c>
    </row>
    <row r="1670" spans="3:7" hidden="1" x14ac:dyDescent="0.3">
      <c r="C1670" t="s">
        <v>21</v>
      </c>
      <c r="D1670" t="s">
        <v>1273</v>
      </c>
      <c r="E1670" t="s">
        <v>9</v>
      </c>
      <c r="F1670" t="s">
        <v>136</v>
      </c>
      <c r="G1670">
        <v>37.35</v>
      </c>
    </row>
    <row r="1671" spans="3:7" hidden="1" x14ac:dyDescent="0.3">
      <c r="C1671" t="s">
        <v>14</v>
      </c>
      <c r="D1671" t="s">
        <v>1274</v>
      </c>
      <c r="E1671" t="s">
        <v>13</v>
      </c>
      <c r="F1671" t="s">
        <v>136</v>
      </c>
      <c r="G1671">
        <v>37.105263157894697</v>
      </c>
    </row>
    <row r="1672" spans="3:7" hidden="1" x14ac:dyDescent="0.3">
      <c r="C1672" t="s">
        <v>269</v>
      </c>
      <c r="D1672" t="s">
        <v>922</v>
      </c>
      <c r="E1672" t="s">
        <v>13</v>
      </c>
      <c r="F1672" t="s">
        <v>136</v>
      </c>
      <c r="G1672">
        <v>36.986834862385301</v>
      </c>
    </row>
    <row r="1673" spans="3:7" hidden="1" x14ac:dyDescent="0.3">
      <c r="C1673" t="s">
        <v>11</v>
      </c>
      <c r="D1673" t="s">
        <v>1275</v>
      </c>
      <c r="E1673" t="s">
        <v>9</v>
      </c>
      <c r="F1673" t="s">
        <v>136</v>
      </c>
      <c r="G1673">
        <v>36.904200000000003</v>
      </c>
    </row>
    <row r="1674" spans="3:7" hidden="1" x14ac:dyDescent="0.3">
      <c r="C1674" t="s">
        <v>21</v>
      </c>
      <c r="D1674" t="s">
        <v>963</v>
      </c>
      <c r="E1674" t="s">
        <v>13</v>
      </c>
      <c r="F1674" t="s">
        <v>136</v>
      </c>
      <c r="G1674">
        <v>36.299666666666603</v>
      </c>
    </row>
    <row r="1675" spans="3:7" hidden="1" x14ac:dyDescent="0.3">
      <c r="C1675" t="s">
        <v>21</v>
      </c>
      <c r="D1675" t="s">
        <v>1276</v>
      </c>
      <c r="E1675" t="s">
        <v>13</v>
      </c>
      <c r="F1675" t="s">
        <v>136</v>
      </c>
      <c r="G1675">
        <v>36.197718631178702</v>
      </c>
    </row>
    <row r="1676" spans="3:7" hidden="1" x14ac:dyDescent="0.3">
      <c r="C1676" t="s">
        <v>7</v>
      </c>
      <c r="D1676" t="s">
        <v>1277</v>
      </c>
      <c r="E1676" t="s">
        <v>13</v>
      </c>
      <c r="F1676" t="s">
        <v>136</v>
      </c>
      <c r="G1676">
        <v>36.169999999999902</v>
      </c>
    </row>
    <row r="1677" spans="3:7" hidden="1" x14ac:dyDescent="0.3">
      <c r="C1677" t="s">
        <v>7</v>
      </c>
      <c r="D1677" t="s">
        <v>1278</v>
      </c>
      <c r="E1677" t="s">
        <v>17</v>
      </c>
      <c r="F1677" t="s">
        <v>136</v>
      </c>
      <c r="G1677">
        <v>36.074999999999903</v>
      </c>
    </row>
    <row r="1678" spans="3:7" hidden="1" x14ac:dyDescent="0.3">
      <c r="C1678" t="s">
        <v>429</v>
      </c>
      <c r="D1678" t="s">
        <v>1279</v>
      </c>
      <c r="E1678" t="s">
        <v>9</v>
      </c>
      <c r="F1678" t="s">
        <v>136</v>
      </c>
      <c r="G1678">
        <v>36.06</v>
      </c>
    </row>
    <row r="1679" spans="3:7" hidden="1" x14ac:dyDescent="0.3">
      <c r="C1679" t="s">
        <v>933</v>
      </c>
      <c r="D1679" t="s">
        <v>469</v>
      </c>
      <c r="E1679" t="s">
        <v>13</v>
      </c>
      <c r="F1679" t="s">
        <v>10</v>
      </c>
      <c r="G1679">
        <v>36</v>
      </c>
    </row>
    <row r="1680" spans="3:7" hidden="1" x14ac:dyDescent="0.3">
      <c r="C1680" t="s">
        <v>19</v>
      </c>
      <c r="D1680" t="s">
        <v>905</v>
      </c>
      <c r="E1680" t="s">
        <v>13</v>
      </c>
      <c r="F1680" t="s">
        <v>240</v>
      </c>
      <c r="G1680">
        <v>35.980477958041803</v>
      </c>
    </row>
    <row r="1681" spans="3:7" hidden="1" x14ac:dyDescent="0.3">
      <c r="C1681" t="s">
        <v>165</v>
      </c>
      <c r="D1681" t="s">
        <v>1280</v>
      </c>
      <c r="E1681" t="s">
        <v>13</v>
      </c>
      <c r="F1681" t="s">
        <v>136</v>
      </c>
      <c r="G1681">
        <v>35.979999999999997</v>
      </c>
    </row>
    <row r="1682" spans="3:7" hidden="1" x14ac:dyDescent="0.3">
      <c r="C1682" t="s">
        <v>11</v>
      </c>
      <c r="D1682" t="s">
        <v>1281</v>
      </c>
      <c r="E1682" t="s">
        <v>9</v>
      </c>
      <c r="F1682" t="s">
        <v>136</v>
      </c>
      <c r="G1682">
        <v>35.813793103448198</v>
      </c>
    </row>
    <row r="1683" spans="3:7" hidden="1" x14ac:dyDescent="0.3">
      <c r="C1683" t="s">
        <v>21</v>
      </c>
      <c r="D1683" t="s">
        <v>1189</v>
      </c>
      <c r="E1683" t="s">
        <v>13</v>
      </c>
      <c r="F1683" t="s">
        <v>136</v>
      </c>
      <c r="G1683">
        <v>35.023724509058503</v>
      </c>
    </row>
    <row r="1684" spans="3:7" hidden="1" x14ac:dyDescent="0.3">
      <c r="C1684" t="s">
        <v>78</v>
      </c>
      <c r="D1684" t="s">
        <v>647</v>
      </c>
      <c r="E1684" t="s">
        <v>13</v>
      </c>
      <c r="F1684" t="s">
        <v>136</v>
      </c>
      <c r="G1684">
        <v>35.021220054991701</v>
      </c>
    </row>
    <row r="1685" spans="3:7" hidden="1" x14ac:dyDescent="0.3">
      <c r="C1685" t="s">
        <v>14</v>
      </c>
      <c r="D1685" t="s">
        <v>1282</v>
      </c>
      <c r="E1685" t="s">
        <v>17</v>
      </c>
      <c r="F1685" t="s">
        <v>136</v>
      </c>
      <c r="G1685">
        <v>34.960499999999897</v>
      </c>
    </row>
    <row r="1686" spans="3:7" hidden="1" x14ac:dyDescent="0.3">
      <c r="C1686" t="s">
        <v>21</v>
      </c>
      <c r="D1686" t="s">
        <v>759</v>
      </c>
      <c r="E1686" t="s">
        <v>17</v>
      </c>
      <c r="F1686" t="s">
        <v>136</v>
      </c>
      <c r="G1686">
        <v>34.86</v>
      </c>
    </row>
    <row r="1687" spans="3:7" hidden="1" x14ac:dyDescent="0.3">
      <c r="C1687" t="s">
        <v>269</v>
      </c>
      <c r="D1687" t="s">
        <v>1283</v>
      </c>
      <c r="E1687" t="s">
        <v>17</v>
      </c>
      <c r="F1687" t="s">
        <v>136</v>
      </c>
      <c r="G1687">
        <v>34.840000000000003</v>
      </c>
    </row>
    <row r="1688" spans="3:7" hidden="1" x14ac:dyDescent="0.3">
      <c r="C1688" t="s">
        <v>11</v>
      </c>
      <c r="D1688" t="s">
        <v>1284</v>
      </c>
      <c r="E1688" t="s">
        <v>17</v>
      </c>
      <c r="F1688" t="s">
        <v>136</v>
      </c>
      <c r="G1688">
        <v>34.619999999999997</v>
      </c>
    </row>
    <row r="1689" spans="3:7" hidden="1" x14ac:dyDescent="0.3">
      <c r="C1689" t="s">
        <v>11</v>
      </c>
      <c r="D1689" t="s">
        <v>1285</v>
      </c>
      <c r="E1689" t="s">
        <v>9</v>
      </c>
      <c r="F1689" t="s">
        <v>136</v>
      </c>
      <c r="G1689">
        <v>34.605440824435597</v>
      </c>
    </row>
    <row r="1690" spans="3:7" hidden="1" x14ac:dyDescent="0.3">
      <c r="C1690" t="s">
        <v>14</v>
      </c>
      <c r="D1690" t="s">
        <v>1286</v>
      </c>
      <c r="E1690" t="s">
        <v>9</v>
      </c>
      <c r="F1690" t="s">
        <v>136</v>
      </c>
      <c r="G1690">
        <v>34.585535776268102</v>
      </c>
    </row>
    <row r="1691" spans="3:7" hidden="1" x14ac:dyDescent="0.3">
      <c r="C1691" t="s">
        <v>269</v>
      </c>
      <c r="D1691" t="s">
        <v>1287</v>
      </c>
      <c r="E1691" t="s">
        <v>9</v>
      </c>
      <c r="F1691" t="s">
        <v>136</v>
      </c>
      <c r="G1691">
        <v>34.446410714285697</v>
      </c>
    </row>
    <row r="1692" spans="3:7" hidden="1" x14ac:dyDescent="0.3">
      <c r="C1692" t="s">
        <v>21</v>
      </c>
      <c r="D1692" t="s">
        <v>1036</v>
      </c>
      <c r="E1692" t="s">
        <v>13</v>
      </c>
      <c r="F1692" t="s">
        <v>136</v>
      </c>
      <c r="G1692">
        <v>34.119662423976301</v>
      </c>
    </row>
    <row r="1693" spans="3:7" hidden="1" x14ac:dyDescent="0.3">
      <c r="C1693" t="s">
        <v>78</v>
      </c>
      <c r="D1693" t="s">
        <v>1288</v>
      </c>
      <c r="E1693" t="s">
        <v>9</v>
      </c>
      <c r="F1693" t="s">
        <v>136</v>
      </c>
      <c r="G1693">
        <v>34.064556482183399</v>
      </c>
    </row>
    <row r="1694" spans="3:7" hidden="1" x14ac:dyDescent="0.3">
      <c r="C1694" t="s">
        <v>269</v>
      </c>
      <c r="D1694" t="s">
        <v>469</v>
      </c>
      <c r="E1694" t="s">
        <v>13</v>
      </c>
      <c r="F1694" t="s">
        <v>10</v>
      </c>
      <c r="G1694">
        <v>34</v>
      </c>
    </row>
    <row r="1695" spans="3:7" hidden="1" x14ac:dyDescent="0.3">
      <c r="C1695" t="s">
        <v>269</v>
      </c>
      <c r="D1695" t="s">
        <v>1289</v>
      </c>
      <c r="E1695" t="s">
        <v>13</v>
      </c>
      <c r="F1695" t="s">
        <v>10</v>
      </c>
      <c r="G1695">
        <v>34</v>
      </c>
    </row>
    <row r="1696" spans="3:7" hidden="1" x14ac:dyDescent="0.3">
      <c r="C1696" t="s">
        <v>19</v>
      </c>
      <c r="D1696" t="s">
        <v>1290</v>
      </c>
      <c r="E1696" t="s">
        <v>9</v>
      </c>
      <c r="F1696" t="s">
        <v>136</v>
      </c>
      <c r="G1696">
        <v>33.878749999999997</v>
      </c>
    </row>
    <row r="1697" spans="3:7" hidden="1" x14ac:dyDescent="0.3">
      <c r="C1697" t="s">
        <v>19</v>
      </c>
      <c r="D1697" t="s">
        <v>1291</v>
      </c>
      <c r="E1697" t="s">
        <v>13</v>
      </c>
      <c r="F1697" t="s">
        <v>136</v>
      </c>
      <c r="G1697">
        <v>33.826000000000001</v>
      </c>
    </row>
    <row r="1698" spans="3:7" hidden="1" x14ac:dyDescent="0.3">
      <c r="C1698" t="s">
        <v>78</v>
      </c>
      <c r="D1698" t="s">
        <v>1292</v>
      </c>
      <c r="E1698" t="s">
        <v>13</v>
      </c>
      <c r="F1698" t="s">
        <v>240</v>
      </c>
      <c r="G1698">
        <v>33.659999999999997</v>
      </c>
    </row>
    <row r="1699" spans="3:7" hidden="1" x14ac:dyDescent="0.3">
      <c r="C1699" t="s">
        <v>19</v>
      </c>
      <c r="D1699" t="s">
        <v>1293</v>
      </c>
      <c r="E1699" t="s">
        <v>13</v>
      </c>
      <c r="F1699" t="s">
        <v>136</v>
      </c>
      <c r="G1699">
        <v>33.603534916098702</v>
      </c>
    </row>
    <row r="1700" spans="3:7" hidden="1" x14ac:dyDescent="0.3">
      <c r="C1700" t="s">
        <v>11</v>
      </c>
      <c r="D1700" t="s">
        <v>1294</v>
      </c>
      <c r="E1700" t="s">
        <v>13</v>
      </c>
      <c r="F1700" t="s">
        <v>136</v>
      </c>
      <c r="G1700">
        <v>33.075000000000003</v>
      </c>
    </row>
    <row r="1701" spans="3:7" hidden="1" x14ac:dyDescent="0.3">
      <c r="C1701" t="s">
        <v>19</v>
      </c>
      <c r="D1701" t="s">
        <v>1295</v>
      </c>
      <c r="E1701" t="s">
        <v>13</v>
      </c>
      <c r="F1701" t="s">
        <v>136</v>
      </c>
      <c r="G1701">
        <v>32.933333333333302</v>
      </c>
    </row>
    <row r="1702" spans="3:7" hidden="1" x14ac:dyDescent="0.3">
      <c r="C1702" t="s">
        <v>21</v>
      </c>
      <c r="D1702" t="s">
        <v>1296</v>
      </c>
      <c r="E1702" t="s">
        <v>13</v>
      </c>
      <c r="F1702" t="s">
        <v>240</v>
      </c>
      <c r="G1702">
        <v>32.7153846153846</v>
      </c>
    </row>
    <row r="1703" spans="3:7" hidden="1" x14ac:dyDescent="0.3">
      <c r="C1703" t="s">
        <v>455</v>
      </c>
      <c r="D1703" t="s">
        <v>239</v>
      </c>
      <c r="E1703" t="s">
        <v>13</v>
      </c>
      <c r="F1703" t="s">
        <v>240</v>
      </c>
      <c r="G1703">
        <v>32.6892466073935</v>
      </c>
    </row>
    <row r="1704" spans="3:7" hidden="1" x14ac:dyDescent="0.3">
      <c r="C1704" t="s">
        <v>7</v>
      </c>
      <c r="D1704" t="s">
        <v>1254</v>
      </c>
      <c r="E1704" t="s">
        <v>13</v>
      </c>
      <c r="F1704" t="s">
        <v>136</v>
      </c>
      <c r="G1704">
        <v>32.590548927855899</v>
      </c>
    </row>
    <row r="1705" spans="3:7" hidden="1" x14ac:dyDescent="0.3">
      <c r="C1705" t="s">
        <v>7</v>
      </c>
      <c r="D1705" t="s">
        <v>972</v>
      </c>
      <c r="E1705" t="s">
        <v>9</v>
      </c>
      <c r="F1705" t="s">
        <v>136</v>
      </c>
      <c r="G1705">
        <v>32.555250000000001</v>
      </c>
    </row>
    <row r="1706" spans="3:7" hidden="1" x14ac:dyDescent="0.3">
      <c r="C1706" t="s">
        <v>21</v>
      </c>
      <c r="D1706" t="s">
        <v>1297</v>
      </c>
      <c r="E1706" t="s">
        <v>13</v>
      </c>
      <c r="F1706" t="s">
        <v>136</v>
      </c>
      <c r="G1706">
        <v>32.552652519893897</v>
      </c>
    </row>
    <row r="1707" spans="3:7" hidden="1" x14ac:dyDescent="0.3">
      <c r="C1707" t="s">
        <v>21</v>
      </c>
      <c r="D1707" t="s">
        <v>1298</v>
      </c>
      <c r="E1707" t="s">
        <v>9</v>
      </c>
      <c r="F1707" t="s">
        <v>136</v>
      </c>
      <c r="G1707">
        <v>32.478260869565197</v>
      </c>
    </row>
    <row r="1708" spans="3:7" hidden="1" x14ac:dyDescent="0.3">
      <c r="C1708" t="s">
        <v>19</v>
      </c>
      <c r="D1708" t="s">
        <v>1299</v>
      </c>
      <c r="E1708" t="s">
        <v>13</v>
      </c>
      <c r="F1708" t="s">
        <v>136</v>
      </c>
      <c r="G1708">
        <v>32.368764225</v>
      </c>
    </row>
    <row r="1709" spans="3:7" hidden="1" x14ac:dyDescent="0.3">
      <c r="C1709" t="s">
        <v>19</v>
      </c>
      <c r="D1709" t="s">
        <v>1300</v>
      </c>
      <c r="E1709" t="s">
        <v>9</v>
      </c>
      <c r="F1709" t="s">
        <v>136</v>
      </c>
      <c r="G1709">
        <v>32.266532312281598</v>
      </c>
    </row>
    <row r="1710" spans="3:7" hidden="1" x14ac:dyDescent="0.3">
      <c r="C1710" t="s">
        <v>19</v>
      </c>
      <c r="D1710" t="s">
        <v>1272</v>
      </c>
      <c r="E1710" t="s">
        <v>9</v>
      </c>
      <c r="F1710" t="s">
        <v>136</v>
      </c>
      <c r="G1710">
        <v>32.2457144684154</v>
      </c>
    </row>
    <row r="1711" spans="3:7" hidden="1" x14ac:dyDescent="0.3">
      <c r="C1711" t="s">
        <v>269</v>
      </c>
      <c r="D1711" t="s">
        <v>1301</v>
      </c>
      <c r="E1711" t="s">
        <v>9</v>
      </c>
      <c r="F1711" t="s">
        <v>136</v>
      </c>
      <c r="G1711">
        <v>31.855208333333302</v>
      </c>
    </row>
    <row r="1712" spans="3:7" hidden="1" x14ac:dyDescent="0.3">
      <c r="C1712" t="s">
        <v>808</v>
      </c>
      <c r="D1712" t="s">
        <v>745</v>
      </c>
      <c r="E1712" t="s">
        <v>13</v>
      </c>
      <c r="F1712" t="s">
        <v>240</v>
      </c>
      <c r="G1712">
        <v>31.527932432432401</v>
      </c>
    </row>
    <row r="1713" spans="3:7" hidden="1" x14ac:dyDescent="0.3">
      <c r="C1713" t="s">
        <v>188</v>
      </c>
      <c r="D1713" t="s">
        <v>1162</v>
      </c>
      <c r="E1713" t="s">
        <v>13</v>
      </c>
      <c r="F1713" t="s">
        <v>240</v>
      </c>
      <c r="G1713">
        <v>31.5</v>
      </c>
    </row>
    <row r="1714" spans="3:7" hidden="1" x14ac:dyDescent="0.3">
      <c r="C1714" t="s">
        <v>21</v>
      </c>
      <c r="D1714" t="s">
        <v>1045</v>
      </c>
      <c r="E1714" t="s">
        <v>13</v>
      </c>
      <c r="F1714" t="s">
        <v>136</v>
      </c>
      <c r="G1714">
        <v>31.4961745199506</v>
      </c>
    </row>
    <row r="1715" spans="3:7" hidden="1" x14ac:dyDescent="0.3">
      <c r="C1715" t="s">
        <v>21</v>
      </c>
      <c r="D1715" t="s">
        <v>1302</v>
      </c>
      <c r="E1715" t="s">
        <v>13</v>
      </c>
      <c r="F1715" t="s">
        <v>136</v>
      </c>
      <c r="G1715">
        <v>31.455371011974101</v>
      </c>
    </row>
    <row r="1716" spans="3:7" hidden="1" x14ac:dyDescent="0.3">
      <c r="C1716" t="s">
        <v>14</v>
      </c>
      <c r="D1716" t="s">
        <v>351</v>
      </c>
      <c r="E1716" t="s">
        <v>9</v>
      </c>
      <c r="F1716" t="s">
        <v>136</v>
      </c>
      <c r="G1716">
        <v>31.2708280074757</v>
      </c>
    </row>
    <row r="1717" spans="3:7" hidden="1" x14ac:dyDescent="0.3">
      <c r="C1717" t="s">
        <v>21</v>
      </c>
      <c r="D1717" t="s">
        <v>1303</v>
      </c>
      <c r="E1717" t="s">
        <v>9</v>
      </c>
      <c r="F1717" t="s">
        <v>136</v>
      </c>
      <c r="G1717">
        <v>31.12</v>
      </c>
    </row>
    <row r="1718" spans="3:7" hidden="1" x14ac:dyDescent="0.3">
      <c r="C1718" t="s">
        <v>21</v>
      </c>
      <c r="D1718" t="s">
        <v>984</v>
      </c>
      <c r="E1718" t="s">
        <v>9</v>
      </c>
      <c r="F1718" t="s">
        <v>136</v>
      </c>
      <c r="G1718">
        <v>30.95664</v>
      </c>
    </row>
    <row r="1719" spans="3:7" hidden="1" x14ac:dyDescent="0.3">
      <c r="C1719" t="s">
        <v>90</v>
      </c>
      <c r="D1719" t="s">
        <v>287</v>
      </c>
      <c r="E1719" t="s">
        <v>9</v>
      </c>
      <c r="F1719" t="s">
        <v>136</v>
      </c>
      <c r="G1719">
        <v>30.925000000000001</v>
      </c>
    </row>
    <row r="1720" spans="3:7" hidden="1" x14ac:dyDescent="0.3">
      <c r="C1720" t="s">
        <v>19</v>
      </c>
      <c r="D1720" t="s">
        <v>1045</v>
      </c>
      <c r="E1720" t="s">
        <v>13</v>
      </c>
      <c r="F1720" t="s">
        <v>136</v>
      </c>
      <c r="G1720">
        <v>30.875449884249399</v>
      </c>
    </row>
    <row r="1721" spans="3:7" hidden="1" x14ac:dyDescent="0.3">
      <c r="C1721" t="s">
        <v>14</v>
      </c>
      <c r="D1721" t="s">
        <v>1304</v>
      </c>
      <c r="E1721" t="s">
        <v>9</v>
      </c>
      <c r="F1721" t="s">
        <v>136</v>
      </c>
      <c r="G1721">
        <v>30.789255308762499</v>
      </c>
    </row>
    <row r="1722" spans="3:7" hidden="1" x14ac:dyDescent="0.3">
      <c r="C1722" t="s">
        <v>126</v>
      </c>
      <c r="D1722" t="s">
        <v>809</v>
      </c>
      <c r="E1722" t="s">
        <v>17</v>
      </c>
      <c r="F1722" t="s">
        <v>136</v>
      </c>
      <c r="G1722">
        <v>30.749999999999901</v>
      </c>
    </row>
    <row r="1723" spans="3:7" hidden="1" x14ac:dyDescent="0.3">
      <c r="C1723" t="s">
        <v>429</v>
      </c>
      <c r="D1723" t="s">
        <v>453</v>
      </c>
      <c r="E1723" t="s">
        <v>13</v>
      </c>
      <c r="F1723" t="s">
        <v>136</v>
      </c>
      <c r="G1723">
        <v>30.601999999999901</v>
      </c>
    </row>
    <row r="1724" spans="3:7" hidden="1" x14ac:dyDescent="0.3">
      <c r="C1724" t="s">
        <v>188</v>
      </c>
      <c r="D1724" t="s">
        <v>1305</v>
      </c>
      <c r="E1724" t="s">
        <v>13</v>
      </c>
      <c r="F1724" t="s">
        <v>240</v>
      </c>
      <c r="G1724">
        <v>30.509999999999899</v>
      </c>
    </row>
    <row r="1725" spans="3:7" hidden="1" x14ac:dyDescent="0.3">
      <c r="C1725" t="s">
        <v>21</v>
      </c>
      <c r="D1725" t="s">
        <v>1121</v>
      </c>
      <c r="E1725" t="s">
        <v>13</v>
      </c>
      <c r="F1725" t="s">
        <v>240</v>
      </c>
      <c r="G1725">
        <v>30.419113222884398</v>
      </c>
    </row>
    <row r="1726" spans="3:7" hidden="1" x14ac:dyDescent="0.3">
      <c r="C1726" t="s">
        <v>269</v>
      </c>
      <c r="D1726" t="s">
        <v>927</v>
      </c>
      <c r="E1726" t="s">
        <v>13</v>
      </c>
      <c r="F1726" t="s">
        <v>240</v>
      </c>
      <c r="G1726">
        <v>30.388294434674101</v>
      </c>
    </row>
    <row r="1727" spans="3:7" hidden="1" x14ac:dyDescent="0.3">
      <c r="C1727" t="s">
        <v>165</v>
      </c>
      <c r="D1727" t="s">
        <v>620</v>
      </c>
      <c r="E1727" t="s">
        <v>13</v>
      </c>
      <c r="F1727" t="s">
        <v>136</v>
      </c>
      <c r="G1727">
        <v>30.29</v>
      </c>
    </row>
    <row r="1728" spans="3:7" hidden="1" x14ac:dyDescent="0.3">
      <c r="C1728" t="s">
        <v>269</v>
      </c>
      <c r="D1728" t="s">
        <v>720</v>
      </c>
      <c r="E1728" t="s">
        <v>13</v>
      </c>
      <c r="F1728" t="s">
        <v>136</v>
      </c>
      <c r="G1728">
        <v>30.244999999999902</v>
      </c>
    </row>
    <row r="1729" spans="3:7" hidden="1" x14ac:dyDescent="0.3">
      <c r="C1729" t="s">
        <v>21</v>
      </c>
      <c r="D1729" t="s">
        <v>1265</v>
      </c>
      <c r="E1729" t="s">
        <v>9</v>
      </c>
      <c r="F1729" t="s">
        <v>136</v>
      </c>
      <c r="G1729">
        <v>30.143470254253099</v>
      </c>
    </row>
    <row r="1730" spans="3:7" hidden="1" x14ac:dyDescent="0.3">
      <c r="C1730" t="s">
        <v>19</v>
      </c>
      <c r="D1730" t="s">
        <v>1088</v>
      </c>
      <c r="E1730" t="s">
        <v>9</v>
      </c>
      <c r="F1730" t="s">
        <v>136</v>
      </c>
      <c r="G1730">
        <v>30.088588600410599</v>
      </c>
    </row>
    <row r="1731" spans="3:7" hidden="1" x14ac:dyDescent="0.3">
      <c r="C1731" t="s">
        <v>1306</v>
      </c>
      <c r="D1731" t="s">
        <v>1307</v>
      </c>
      <c r="E1731" t="s">
        <v>13</v>
      </c>
      <c r="F1731" t="s">
        <v>10</v>
      </c>
      <c r="G1731">
        <v>30</v>
      </c>
    </row>
    <row r="1732" spans="3:7" hidden="1" x14ac:dyDescent="0.3">
      <c r="C1732" t="s">
        <v>1306</v>
      </c>
      <c r="D1732" t="s">
        <v>1308</v>
      </c>
      <c r="E1732" t="s">
        <v>13</v>
      </c>
      <c r="F1732" t="s">
        <v>10</v>
      </c>
      <c r="G1732">
        <v>30</v>
      </c>
    </row>
    <row r="1733" spans="3:7" hidden="1" x14ac:dyDescent="0.3">
      <c r="C1733" t="s">
        <v>188</v>
      </c>
      <c r="D1733" t="s">
        <v>1309</v>
      </c>
      <c r="E1733" t="s">
        <v>13</v>
      </c>
      <c r="F1733" t="s">
        <v>10</v>
      </c>
      <c r="G1733">
        <v>30</v>
      </c>
    </row>
    <row r="1734" spans="3:7" hidden="1" x14ac:dyDescent="0.3">
      <c r="C1734" t="s">
        <v>78</v>
      </c>
      <c r="D1734" t="s">
        <v>681</v>
      </c>
      <c r="E1734" t="s">
        <v>13</v>
      </c>
      <c r="F1734" t="s">
        <v>10</v>
      </c>
      <c r="G1734">
        <v>30</v>
      </c>
    </row>
    <row r="1735" spans="3:7" hidden="1" x14ac:dyDescent="0.3">
      <c r="C1735" t="s">
        <v>78</v>
      </c>
      <c r="D1735" t="s">
        <v>1129</v>
      </c>
      <c r="E1735" t="s">
        <v>13</v>
      </c>
      <c r="F1735" t="s">
        <v>10</v>
      </c>
      <c r="G1735">
        <v>30</v>
      </c>
    </row>
    <row r="1736" spans="3:7" hidden="1" x14ac:dyDescent="0.3">
      <c r="C1736" t="s">
        <v>418</v>
      </c>
      <c r="D1736" t="s">
        <v>1310</v>
      </c>
      <c r="E1736" t="s">
        <v>13</v>
      </c>
      <c r="F1736" t="s">
        <v>10</v>
      </c>
      <c r="G1736">
        <v>30</v>
      </c>
    </row>
    <row r="1737" spans="3:7" hidden="1" x14ac:dyDescent="0.3">
      <c r="C1737" t="s">
        <v>21</v>
      </c>
      <c r="D1737" t="s">
        <v>1311</v>
      </c>
      <c r="E1737" t="s">
        <v>13</v>
      </c>
      <c r="F1737" t="s">
        <v>10</v>
      </c>
      <c r="G1737">
        <v>30</v>
      </c>
    </row>
    <row r="1738" spans="3:7" hidden="1" x14ac:dyDescent="0.3">
      <c r="C1738" t="s">
        <v>19</v>
      </c>
      <c r="D1738" t="s">
        <v>1151</v>
      </c>
      <c r="E1738" t="s">
        <v>13</v>
      </c>
      <c r="F1738" t="s">
        <v>136</v>
      </c>
      <c r="G1738">
        <v>29.7321739130434</v>
      </c>
    </row>
    <row r="1739" spans="3:7" hidden="1" x14ac:dyDescent="0.3">
      <c r="C1739" t="s">
        <v>19</v>
      </c>
      <c r="D1739" t="s">
        <v>672</v>
      </c>
      <c r="E1739" t="s">
        <v>9</v>
      </c>
      <c r="F1739" t="s">
        <v>136</v>
      </c>
      <c r="G1739">
        <v>29.7</v>
      </c>
    </row>
    <row r="1740" spans="3:7" hidden="1" x14ac:dyDescent="0.3">
      <c r="C1740" t="s">
        <v>14</v>
      </c>
      <c r="D1740" t="s">
        <v>1312</v>
      </c>
      <c r="E1740" t="s">
        <v>17</v>
      </c>
      <c r="F1740" t="s">
        <v>136</v>
      </c>
      <c r="G1740">
        <v>29.684210526315699</v>
      </c>
    </row>
    <row r="1741" spans="3:7" hidden="1" x14ac:dyDescent="0.3">
      <c r="C1741" t="s">
        <v>14</v>
      </c>
      <c r="D1741" t="s">
        <v>722</v>
      </c>
      <c r="E1741" t="s">
        <v>13</v>
      </c>
      <c r="F1741" t="s">
        <v>136</v>
      </c>
      <c r="G1741">
        <v>29.607342715326698</v>
      </c>
    </row>
    <row r="1742" spans="3:7" hidden="1" x14ac:dyDescent="0.3">
      <c r="C1742" t="s">
        <v>1313</v>
      </c>
      <c r="D1742" t="s">
        <v>1314</v>
      </c>
      <c r="E1742" t="s">
        <v>17</v>
      </c>
      <c r="F1742" t="s">
        <v>136</v>
      </c>
      <c r="G1742">
        <v>29.52</v>
      </c>
    </row>
    <row r="1743" spans="3:7" hidden="1" x14ac:dyDescent="0.3">
      <c r="C1743" t="s">
        <v>7</v>
      </c>
      <c r="D1743" t="s">
        <v>943</v>
      </c>
      <c r="E1743" t="s">
        <v>13</v>
      </c>
      <c r="F1743" t="s">
        <v>136</v>
      </c>
      <c r="G1743">
        <v>29.458028561476802</v>
      </c>
    </row>
    <row r="1744" spans="3:7" hidden="1" x14ac:dyDescent="0.3">
      <c r="C1744" t="s">
        <v>21</v>
      </c>
      <c r="D1744" t="s">
        <v>1315</v>
      </c>
      <c r="E1744" t="s">
        <v>13</v>
      </c>
      <c r="F1744" t="s">
        <v>136</v>
      </c>
      <c r="G1744">
        <v>29.215</v>
      </c>
    </row>
    <row r="1745" spans="3:7" hidden="1" x14ac:dyDescent="0.3">
      <c r="C1745" t="s">
        <v>933</v>
      </c>
      <c r="D1745" t="s">
        <v>363</v>
      </c>
      <c r="E1745" t="s">
        <v>13</v>
      </c>
      <c r="F1745" t="s">
        <v>10</v>
      </c>
      <c r="G1745">
        <v>29</v>
      </c>
    </row>
    <row r="1746" spans="3:7" hidden="1" x14ac:dyDescent="0.3">
      <c r="C1746" t="s">
        <v>21</v>
      </c>
      <c r="D1746" t="s">
        <v>653</v>
      </c>
      <c r="E1746" t="s">
        <v>13</v>
      </c>
      <c r="F1746" t="s">
        <v>240</v>
      </c>
      <c r="G1746">
        <v>28.926659106182701</v>
      </c>
    </row>
    <row r="1747" spans="3:7" hidden="1" x14ac:dyDescent="0.3">
      <c r="C1747" t="s">
        <v>78</v>
      </c>
      <c r="D1747" t="s">
        <v>741</v>
      </c>
      <c r="E1747" t="s">
        <v>13</v>
      </c>
      <c r="F1747" t="s">
        <v>136</v>
      </c>
      <c r="G1747">
        <v>28.897738095238001</v>
      </c>
    </row>
    <row r="1748" spans="3:7" hidden="1" x14ac:dyDescent="0.3">
      <c r="C1748" t="s">
        <v>7</v>
      </c>
      <c r="D1748" t="s">
        <v>1316</v>
      </c>
      <c r="E1748" t="s">
        <v>13</v>
      </c>
      <c r="F1748" t="s">
        <v>136</v>
      </c>
      <c r="G1748">
        <v>28.869</v>
      </c>
    </row>
    <row r="1749" spans="3:7" hidden="1" x14ac:dyDescent="0.3">
      <c r="C1749" t="s">
        <v>78</v>
      </c>
      <c r="D1749" t="s">
        <v>1317</v>
      </c>
      <c r="E1749" t="s">
        <v>13</v>
      </c>
      <c r="F1749" t="s">
        <v>136</v>
      </c>
      <c r="G1749">
        <v>28.865753424657498</v>
      </c>
    </row>
    <row r="1750" spans="3:7" hidden="1" x14ac:dyDescent="0.3">
      <c r="C1750" t="s">
        <v>11</v>
      </c>
      <c r="D1750" t="s">
        <v>799</v>
      </c>
      <c r="E1750" t="s">
        <v>13</v>
      </c>
      <c r="F1750" t="s">
        <v>240</v>
      </c>
      <c r="G1750">
        <v>28.8646870424597</v>
      </c>
    </row>
    <row r="1751" spans="3:7" hidden="1" x14ac:dyDescent="0.3">
      <c r="C1751" t="s">
        <v>11</v>
      </c>
      <c r="D1751" t="s">
        <v>1318</v>
      </c>
      <c r="E1751" t="s">
        <v>9</v>
      </c>
      <c r="F1751" t="s">
        <v>136</v>
      </c>
      <c r="G1751">
        <v>28.8220995762711</v>
      </c>
    </row>
    <row r="1752" spans="3:7" hidden="1" x14ac:dyDescent="0.3">
      <c r="C1752" t="s">
        <v>429</v>
      </c>
      <c r="D1752" t="s">
        <v>793</v>
      </c>
      <c r="E1752" t="s">
        <v>13</v>
      </c>
      <c r="F1752" t="s">
        <v>136</v>
      </c>
      <c r="G1752">
        <v>28.369879999999899</v>
      </c>
    </row>
    <row r="1753" spans="3:7" hidden="1" x14ac:dyDescent="0.3">
      <c r="C1753" t="s">
        <v>78</v>
      </c>
      <c r="D1753" t="s">
        <v>807</v>
      </c>
      <c r="E1753" t="s">
        <v>13</v>
      </c>
      <c r="F1753" t="s">
        <v>240</v>
      </c>
      <c r="G1753">
        <v>28.302554245970502</v>
      </c>
    </row>
    <row r="1754" spans="3:7" hidden="1" x14ac:dyDescent="0.3">
      <c r="C1754" t="s">
        <v>21</v>
      </c>
      <c r="D1754" t="s">
        <v>1245</v>
      </c>
      <c r="E1754" t="s">
        <v>13</v>
      </c>
      <c r="F1754" t="s">
        <v>136</v>
      </c>
      <c r="G1754">
        <v>28.260891089108899</v>
      </c>
    </row>
    <row r="1755" spans="3:7" hidden="1" x14ac:dyDescent="0.3">
      <c r="C1755" t="s">
        <v>78</v>
      </c>
      <c r="D1755" t="s">
        <v>1053</v>
      </c>
      <c r="E1755" t="s">
        <v>17</v>
      </c>
      <c r="F1755" t="s">
        <v>136</v>
      </c>
      <c r="G1755">
        <v>28.07</v>
      </c>
    </row>
    <row r="1756" spans="3:7" hidden="1" x14ac:dyDescent="0.3">
      <c r="C1756" t="s">
        <v>19</v>
      </c>
      <c r="D1756" t="s">
        <v>1319</v>
      </c>
      <c r="E1756" t="s">
        <v>17</v>
      </c>
      <c r="F1756" t="s">
        <v>136</v>
      </c>
      <c r="G1756">
        <v>28.064999999999898</v>
      </c>
    </row>
    <row r="1757" spans="3:7" hidden="1" x14ac:dyDescent="0.3">
      <c r="C1757" t="s">
        <v>269</v>
      </c>
      <c r="D1757" t="s">
        <v>1320</v>
      </c>
      <c r="E1757" t="s">
        <v>17</v>
      </c>
      <c r="F1757" t="s">
        <v>136</v>
      </c>
      <c r="G1757">
        <v>27.998999999999999</v>
      </c>
    </row>
    <row r="1758" spans="3:7" hidden="1" x14ac:dyDescent="0.3">
      <c r="C1758" t="s">
        <v>21</v>
      </c>
      <c r="D1758" t="s">
        <v>1259</v>
      </c>
      <c r="E1758" t="s">
        <v>13</v>
      </c>
      <c r="F1758" t="s">
        <v>136</v>
      </c>
      <c r="G1758">
        <v>27.9426643971197</v>
      </c>
    </row>
    <row r="1759" spans="3:7" hidden="1" x14ac:dyDescent="0.3">
      <c r="C1759" t="s">
        <v>269</v>
      </c>
      <c r="D1759" t="s">
        <v>834</v>
      </c>
      <c r="E1759" t="s">
        <v>13</v>
      </c>
      <c r="F1759" t="s">
        <v>136</v>
      </c>
      <c r="G1759">
        <v>27.706407010710802</v>
      </c>
    </row>
    <row r="1760" spans="3:7" hidden="1" x14ac:dyDescent="0.3">
      <c r="C1760" t="s">
        <v>21</v>
      </c>
      <c r="D1760" t="s">
        <v>986</v>
      </c>
      <c r="E1760" t="s">
        <v>13</v>
      </c>
      <c r="F1760" t="s">
        <v>136</v>
      </c>
      <c r="G1760">
        <v>27.685714285714202</v>
      </c>
    </row>
    <row r="1761" spans="3:7" hidden="1" x14ac:dyDescent="0.3">
      <c r="C1761" t="s">
        <v>188</v>
      </c>
      <c r="D1761" t="s">
        <v>1321</v>
      </c>
      <c r="E1761" t="s">
        <v>13</v>
      </c>
      <c r="F1761" t="s">
        <v>136</v>
      </c>
      <c r="G1761">
        <v>27.495000000000001</v>
      </c>
    </row>
    <row r="1762" spans="3:7" hidden="1" x14ac:dyDescent="0.3">
      <c r="C1762" t="s">
        <v>78</v>
      </c>
      <c r="D1762" t="s">
        <v>1136</v>
      </c>
      <c r="E1762" t="s">
        <v>17</v>
      </c>
      <c r="F1762" t="s">
        <v>136</v>
      </c>
      <c r="G1762">
        <v>27.265000000000001</v>
      </c>
    </row>
    <row r="1763" spans="3:7" hidden="1" x14ac:dyDescent="0.3">
      <c r="C1763" t="s">
        <v>19</v>
      </c>
      <c r="D1763" t="s">
        <v>1322</v>
      </c>
      <c r="E1763" t="s">
        <v>9</v>
      </c>
      <c r="F1763" t="s">
        <v>136</v>
      </c>
      <c r="G1763">
        <v>27.161999999999999</v>
      </c>
    </row>
    <row r="1764" spans="3:7" hidden="1" x14ac:dyDescent="0.3">
      <c r="C1764" t="s">
        <v>19</v>
      </c>
      <c r="D1764" t="s">
        <v>999</v>
      </c>
      <c r="E1764" t="s">
        <v>13</v>
      </c>
      <c r="F1764" t="s">
        <v>10</v>
      </c>
      <c r="G1764">
        <v>27.161999999999999</v>
      </c>
    </row>
    <row r="1765" spans="3:7" hidden="1" x14ac:dyDescent="0.3">
      <c r="C1765" t="s">
        <v>19</v>
      </c>
      <c r="D1765" t="s">
        <v>1323</v>
      </c>
      <c r="E1765" t="s">
        <v>17</v>
      </c>
      <c r="F1765" t="s">
        <v>136</v>
      </c>
      <c r="G1765">
        <v>27.1619999999999</v>
      </c>
    </row>
    <row r="1766" spans="3:7" hidden="1" x14ac:dyDescent="0.3">
      <c r="C1766" t="s">
        <v>21</v>
      </c>
      <c r="D1766" t="s">
        <v>1324</v>
      </c>
      <c r="E1766" t="s">
        <v>13</v>
      </c>
      <c r="F1766" t="s">
        <v>136</v>
      </c>
      <c r="G1766">
        <v>27.087281609654202</v>
      </c>
    </row>
    <row r="1767" spans="3:7" hidden="1" x14ac:dyDescent="0.3">
      <c r="C1767" t="s">
        <v>808</v>
      </c>
      <c r="D1767" t="s">
        <v>622</v>
      </c>
      <c r="E1767" t="s">
        <v>13</v>
      </c>
      <c r="F1767" t="s">
        <v>136</v>
      </c>
      <c r="G1767">
        <v>27.076203208556102</v>
      </c>
    </row>
    <row r="1768" spans="3:7" hidden="1" x14ac:dyDescent="0.3">
      <c r="C1768" t="s">
        <v>19</v>
      </c>
      <c r="D1768" t="s">
        <v>1325</v>
      </c>
      <c r="E1768" t="s">
        <v>9</v>
      </c>
      <c r="F1768" t="s">
        <v>136</v>
      </c>
      <c r="G1768">
        <v>26.862044999999998</v>
      </c>
    </row>
    <row r="1769" spans="3:7" hidden="1" x14ac:dyDescent="0.3">
      <c r="C1769" t="s">
        <v>11</v>
      </c>
      <c r="D1769" t="s">
        <v>1326</v>
      </c>
      <c r="E1769" t="s">
        <v>13</v>
      </c>
      <c r="F1769" t="s">
        <v>136</v>
      </c>
      <c r="G1769">
        <v>26.857839734004401</v>
      </c>
    </row>
    <row r="1770" spans="3:7" hidden="1" x14ac:dyDescent="0.3">
      <c r="C1770" t="s">
        <v>19</v>
      </c>
      <c r="D1770" t="s">
        <v>1327</v>
      </c>
      <c r="E1770" t="s">
        <v>9</v>
      </c>
      <c r="F1770" t="s">
        <v>136</v>
      </c>
      <c r="G1770">
        <v>26.773904052936299</v>
      </c>
    </row>
    <row r="1771" spans="3:7" hidden="1" x14ac:dyDescent="0.3">
      <c r="C1771" t="s">
        <v>19</v>
      </c>
      <c r="D1771" t="s">
        <v>1328</v>
      </c>
      <c r="E1771" t="s">
        <v>13</v>
      </c>
      <c r="F1771" t="s">
        <v>136</v>
      </c>
      <c r="G1771">
        <v>26.372613492206899</v>
      </c>
    </row>
    <row r="1772" spans="3:7" hidden="1" x14ac:dyDescent="0.3">
      <c r="C1772" t="s">
        <v>7</v>
      </c>
      <c r="D1772" t="s">
        <v>1329</v>
      </c>
      <c r="E1772" t="s">
        <v>13</v>
      </c>
      <c r="F1772" t="s">
        <v>136</v>
      </c>
      <c r="G1772">
        <v>26.260466082408001</v>
      </c>
    </row>
    <row r="1773" spans="3:7" hidden="1" x14ac:dyDescent="0.3">
      <c r="C1773" t="s">
        <v>269</v>
      </c>
      <c r="D1773" t="s">
        <v>1330</v>
      </c>
      <c r="E1773" t="s">
        <v>9</v>
      </c>
      <c r="F1773" t="s">
        <v>136</v>
      </c>
      <c r="G1773">
        <v>26.191768007483599</v>
      </c>
    </row>
    <row r="1774" spans="3:7" hidden="1" x14ac:dyDescent="0.3">
      <c r="C1774" t="s">
        <v>11</v>
      </c>
      <c r="D1774" t="s">
        <v>1045</v>
      </c>
      <c r="E1774" t="s">
        <v>13</v>
      </c>
      <c r="F1774" t="s">
        <v>136</v>
      </c>
      <c r="G1774">
        <v>26.1417638557235</v>
      </c>
    </row>
    <row r="1775" spans="3:7" hidden="1" x14ac:dyDescent="0.3">
      <c r="C1775" t="s">
        <v>21</v>
      </c>
      <c r="D1775" t="s">
        <v>1184</v>
      </c>
      <c r="E1775" t="s">
        <v>17</v>
      </c>
      <c r="F1775" t="s">
        <v>136</v>
      </c>
      <c r="G1775">
        <v>26.01</v>
      </c>
    </row>
    <row r="1776" spans="3:7" hidden="1" x14ac:dyDescent="0.3">
      <c r="C1776" t="s">
        <v>7</v>
      </c>
      <c r="D1776" t="s">
        <v>535</v>
      </c>
      <c r="E1776" t="s">
        <v>13</v>
      </c>
      <c r="F1776" t="s">
        <v>136</v>
      </c>
      <c r="G1776">
        <v>25.9532374100719</v>
      </c>
    </row>
    <row r="1777" spans="3:7" hidden="1" x14ac:dyDescent="0.3">
      <c r="C1777" t="s">
        <v>90</v>
      </c>
      <c r="D1777" t="s">
        <v>1331</v>
      </c>
      <c r="E1777" t="s">
        <v>9</v>
      </c>
      <c r="F1777" t="s">
        <v>136</v>
      </c>
      <c r="G1777">
        <v>25.784347826086901</v>
      </c>
    </row>
    <row r="1778" spans="3:7" hidden="1" x14ac:dyDescent="0.3">
      <c r="C1778" t="s">
        <v>78</v>
      </c>
      <c r="D1778" t="s">
        <v>320</v>
      </c>
      <c r="E1778" t="s">
        <v>13</v>
      </c>
      <c r="F1778" t="s">
        <v>136</v>
      </c>
      <c r="G1778">
        <v>25.7522935779816</v>
      </c>
    </row>
    <row r="1779" spans="3:7" hidden="1" x14ac:dyDescent="0.3">
      <c r="C1779" t="s">
        <v>21</v>
      </c>
      <c r="D1779" t="s">
        <v>1332</v>
      </c>
      <c r="E1779" t="s">
        <v>9</v>
      </c>
      <c r="F1779" t="s">
        <v>136</v>
      </c>
      <c r="G1779">
        <v>25.75</v>
      </c>
    </row>
    <row r="1780" spans="3:7" hidden="1" x14ac:dyDescent="0.3">
      <c r="C1780" t="s">
        <v>165</v>
      </c>
      <c r="D1780" t="s">
        <v>1333</v>
      </c>
      <c r="E1780" t="s">
        <v>9</v>
      </c>
      <c r="F1780" t="s">
        <v>136</v>
      </c>
      <c r="G1780">
        <v>25.7</v>
      </c>
    </row>
    <row r="1781" spans="3:7" hidden="1" x14ac:dyDescent="0.3">
      <c r="C1781" t="s">
        <v>14</v>
      </c>
      <c r="D1781" t="s">
        <v>1326</v>
      </c>
      <c r="E1781" t="s">
        <v>13</v>
      </c>
      <c r="F1781" t="s">
        <v>136</v>
      </c>
      <c r="G1781">
        <v>25.654173286887399</v>
      </c>
    </row>
    <row r="1782" spans="3:7" hidden="1" x14ac:dyDescent="0.3">
      <c r="C1782" t="s">
        <v>78</v>
      </c>
      <c r="D1782" t="s">
        <v>1334</v>
      </c>
      <c r="E1782" t="s">
        <v>17</v>
      </c>
      <c r="F1782" t="s">
        <v>136</v>
      </c>
      <c r="G1782">
        <v>25.645</v>
      </c>
    </row>
    <row r="1783" spans="3:7" hidden="1" x14ac:dyDescent="0.3">
      <c r="C1783" t="s">
        <v>188</v>
      </c>
      <c r="D1783" t="s">
        <v>1335</v>
      </c>
      <c r="E1783" t="s">
        <v>13</v>
      </c>
      <c r="F1783" t="s">
        <v>10</v>
      </c>
      <c r="G1783">
        <v>25.631999999999898</v>
      </c>
    </row>
    <row r="1784" spans="3:7" hidden="1" x14ac:dyDescent="0.3">
      <c r="C1784" t="s">
        <v>7</v>
      </c>
      <c r="D1784" t="s">
        <v>1336</v>
      </c>
      <c r="E1784" t="s">
        <v>9</v>
      </c>
      <c r="F1784" t="s">
        <v>136</v>
      </c>
      <c r="G1784">
        <v>25.628484848484799</v>
      </c>
    </row>
    <row r="1785" spans="3:7" hidden="1" x14ac:dyDescent="0.3">
      <c r="C1785" t="s">
        <v>126</v>
      </c>
      <c r="D1785" t="s">
        <v>793</v>
      </c>
      <c r="E1785" t="s">
        <v>13</v>
      </c>
      <c r="F1785" t="s">
        <v>136</v>
      </c>
      <c r="G1785">
        <v>25.619999999999902</v>
      </c>
    </row>
    <row r="1786" spans="3:7" hidden="1" x14ac:dyDescent="0.3">
      <c r="C1786" t="s">
        <v>269</v>
      </c>
      <c r="D1786" t="s">
        <v>1337</v>
      </c>
      <c r="E1786" t="s">
        <v>9</v>
      </c>
      <c r="F1786" t="s">
        <v>136</v>
      </c>
      <c r="G1786">
        <v>25.5899999999999</v>
      </c>
    </row>
    <row r="1787" spans="3:7" hidden="1" x14ac:dyDescent="0.3">
      <c r="C1787" t="s">
        <v>19</v>
      </c>
      <c r="D1787" t="s">
        <v>1338</v>
      </c>
      <c r="E1787" t="s">
        <v>17</v>
      </c>
      <c r="F1787" t="s">
        <v>136</v>
      </c>
      <c r="G1787">
        <v>25.54</v>
      </c>
    </row>
    <row r="1788" spans="3:7" hidden="1" x14ac:dyDescent="0.3">
      <c r="C1788" t="s">
        <v>11</v>
      </c>
      <c r="D1788" t="s">
        <v>1210</v>
      </c>
      <c r="E1788" t="s">
        <v>13</v>
      </c>
      <c r="F1788" t="s">
        <v>136</v>
      </c>
      <c r="G1788">
        <v>25.324653407073399</v>
      </c>
    </row>
    <row r="1789" spans="3:7" hidden="1" x14ac:dyDescent="0.3">
      <c r="C1789" t="s">
        <v>21</v>
      </c>
      <c r="D1789" t="s">
        <v>1217</v>
      </c>
      <c r="E1789" t="s">
        <v>13</v>
      </c>
      <c r="F1789" t="s">
        <v>136</v>
      </c>
      <c r="G1789">
        <v>25.310550467687801</v>
      </c>
    </row>
    <row r="1790" spans="3:7" hidden="1" x14ac:dyDescent="0.3">
      <c r="C1790" t="s">
        <v>278</v>
      </c>
      <c r="D1790" t="s">
        <v>722</v>
      </c>
      <c r="E1790" t="s">
        <v>13</v>
      </c>
      <c r="F1790" t="s">
        <v>136</v>
      </c>
      <c r="G1790">
        <v>25.184000000000001</v>
      </c>
    </row>
    <row r="1791" spans="3:7" hidden="1" x14ac:dyDescent="0.3">
      <c r="C1791" t="s">
        <v>429</v>
      </c>
      <c r="D1791" t="s">
        <v>438</v>
      </c>
      <c r="E1791" t="s">
        <v>13</v>
      </c>
      <c r="F1791" t="s">
        <v>136</v>
      </c>
      <c r="G1791">
        <v>25.1733625</v>
      </c>
    </row>
    <row r="1792" spans="3:7" hidden="1" x14ac:dyDescent="0.3">
      <c r="C1792" t="s">
        <v>14</v>
      </c>
      <c r="D1792" t="s">
        <v>1004</v>
      </c>
      <c r="E1792" t="s">
        <v>13</v>
      </c>
      <c r="F1792" t="s">
        <v>136</v>
      </c>
      <c r="G1792">
        <v>25.108947368420999</v>
      </c>
    </row>
    <row r="1793" spans="3:7" hidden="1" x14ac:dyDescent="0.3">
      <c r="C1793" t="s">
        <v>7</v>
      </c>
      <c r="D1793" t="s">
        <v>1339</v>
      </c>
      <c r="E1793" t="s">
        <v>13</v>
      </c>
      <c r="F1793" t="s">
        <v>136</v>
      </c>
      <c r="G1793">
        <v>24.865527</v>
      </c>
    </row>
    <row r="1794" spans="3:7" hidden="1" x14ac:dyDescent="0.3">
      <c r="C1794" t="s">
        <v>78</v>
      </c>
      <c r="D1794" t="s">
        <v>1165</v>
      </c>
      <c r="E1794" t="s">
        <v>9</v>
      </c>
      <c r="F1794" t="s">
        <v>136</v>
      </c>
      <c r="G1794">
        <v>24.8434285714285</v>
      </c>
    </row>
    <row r="1795" spans="3:7" hidden="1" x14ac:dyDescent="0.3">
      <c r="C1795" t="s">
        <v>19</v>
      </c>
      <c r="D1795" t="s">
        <v>1340</v>
      </c>
      <c r="E1795" t="s">
        <v>9</v>
      </c>
      <c r="F1795" t="s">
        <v>136</v>
      </c>
      <c r="G1795">
        <v>24.800135359999999</v>
      </c>
    </row>
    <row r="1796" spans="3:7" hidden="1" x14ac:dyDescent="0.3">
      <c r="C1796" t="s">
        <v>19</v>
      </c>
      <c r="D1796" t="s">
        <v>1341</v>
      </c>
      <c r="E1796" t="s">
        <v>17</v>
      </c>
      <c r="F1796" t="s">
        <v>136</v>
      </c>
      <c r="G1796">
        <v>24.7</v>
      </c>
    </row>
    <row r="1797" spans="3:7" hidden="1" x14ac:dyDescent="0.3">
      <c r="C1797" t="s">
        <v>19</v>
      </c>
      <c r="D1797" t="s">
        <v>1342</v>
      </c>
      <c r="E1797" t="s">
        <v>17</v>
      </c>
      <c r="F1797" t="s">
        <v>136</v>
      </c>
      <c r="G1797">
        <v>24.7</v>
      </c>
    </row>
    <row r="1798" spans="3:7" hidden="1" x14ac:dyDescent="0.3">
      <c r="C1798" t="s">
        <v>21</v>
      </c>
      <c r="D1798" t="s">
        <v>1190</v>
      </c>
      <c r="E1798" t="s">
        <v>13</v>
      </c>
      <c r="F1798" t="s">
        <v>136</v>
      </c>
      <c r="G1798">
        <v>24.6315789473684</v>
      </c>
    </row>
    <row r="1799" spans="3:7" hidden="1" x14ac:dyDescent="0.3">
      <c r="C1799" t="s">
        <v>21</v>
      </c>
      <c r="D1799" t="s">
        <v>1343</v>
      </c>
      <c r="E1799" t="s">
        <v>17</v>
      </c>
      <c r="F1799" t="s">
        <v>136</v>
      </c>
      <c r="G1799">
        <v>24.56</v>
      </c>
    </row>
    <row r="1800" spans="3:7" hidden="1" x14ac:dyDescent="0.3">
      <c r="C1800" t="s">
        <v>78</v>
      </c>
      <c r="D1800" t="s">
        <v>712</v>
      </c>
      <c r="E1800" t="s">
        <v>13</v>
      </c>
      <c r="F1800" t="s">
        <v>136</v>
      </c>
      <c r="G1800">
        <v>24.5466684186135</v>
      </c>
    </row>
    <row r="1801" spans="3:7" hidden="1" x14ac:dyDescent="0.3">
      <c r="C1801" t="s">
        <v>19</v>
      </c>
      <c r="D1801" t="s">
        <v>1302</v>
      </c>
      <c r="E1801" t="s">
        <v>13</v>
      </c>
      <c r="F1801" t="s">
        <v>136</v>
      </c>
      <c r="G1801">
        <v>24.363060803126899</v>
      </c>
    </row>
    <row r="1802" spans="3:7" hidden="1" x14ac:dyDescent="0.3">
      <c r="C1802" t="s">
        <v>11</v>
      </c>
      <c r="D1802" t="s">
        <v>1344</v>
      </c>
      <c r="E1802" t="s">
        <v>9</v>
      </c>
      <c r="F1802" t="s">
        <v>136</v>
      </c>
      <c r="G1802">
        <v>24.29</v>
      </c>
    </row>
    <row r="1803" spans="3:7" hidden="1" x14ac:dyDescent="0.3">
      <c r="C1803" t="s">
        <v>7</v>
      </c>
      <c r="D1803" t="s">
        <v>1210</v>
      </c>
      <c r="E1803" t="s">
        <v>13</v>
      </c>
      <c r="F1803" t="s">
        <v>136</v>
      </c>
      <c r="G1803">
        <v>24.185926386906001</v>
      </c>
    </row>
    <row r="1804" spans="3:7" hidden="1" x14ac:dyDescent="0.3">
      <c r="C1804" t="s">
        <v>21</v>
      </c>
      <c r="D1804" t="s">
        <v>1155</v>
      </c>
      <c r="E1804" t="s">
        <v>13</v>
      </c>
      <c r="F1804" t="s">
        <v>136</v>
      </c>
      <c r="G1804">
        <v>24.100876800000002</v>
      </c>
    </row>
    <row r="1805" spans="3:7" hidden="1" x14ac:dyDescent="0.3">
      <c r="C1805" t="s">
        <v>14</v>
      </c>
      <c r="D1805" t="s">
        <v>1302</v>
      </c>
      <c r="E1805" t="s">
        <v>13</v>
      </c>
      <c r="F1805" t="s">
        <v>136</v>
      </c>
      <c r="G1805">
        <v>24.074812762739999</v>
      </c>
    </row>
    <row r="1806" spans="3:7" hidden="1" x14ac:dyDescent="0.3">
      <c r="C1806" t="s">
        <v>808</v>
      </c>
      <c r="D1806" t="s">
        <v>961</v>
      </c>
      <c r="E1806" t="s">
        <v>9</v>
      </c>
      <c r="F1806" t="s">
        <v>136</v>
      </c>
      <c r="G1806">
        <v>23.827058823529399</v>
      </c>
    </row>
    <row r="1807" spans="3:7" hidden="1" x14ac:dyDescent="0.3">
      <c r="C1807" t="s">
        <v>90</v>
      </c>
      <c r="D1807" t="s">
        <v>1277</v>
      </c>
      <c r="E1807" t="s">
        <v>13</v>
      </c>
      <c r="F1807" t="s">
        <v>136</v>
      </c>
      <c r="G1807">
        <v>23.811</v>
      </c>
    </row>
    <row r="1808" spans="3:7" hidden="1" x14ac:dyDescent="0.3">
      <c r="C1808" t="s">
        <v>269</v>
      </c>
      <c r="D1808" t="s">
        <v>396</v>
      </c>
      <c r="E1808" t="s">
        <v>13</v>
      </c>
      <c r="F1808" t="s">
        <v>240</v>
      </c>
      <c r="G1808">
        <v>23.754999999999999</v>
      </c>
    </row>
    <row r="1809" spans="3:7" hidden="1" x14ac:dyDescent="0.3">
      <c r="C1809" t="s">
        <v>269</v>
      </c>
      <c r="D1809" t="s">
        <v>816</v>
      </c>
      <c r="E1809" t="s">
        <v>13</v>
      </c>
      <c r="F1809" t="s">
        <v>240</v>
      </c>
      <c r="G1809">
        <v>23.754999999999999</v>
      </c>
    </row>
    <row r="1810" spans="3:7" hidden="1" x14ac:dyDescent="0.3">
      <c r="C1810" t="s">
        <v>11</v>
      </c>
      <c r="D1810" t="s">
        <v>841</v>
      </c>
      <c r="E1810" t="s">
        <v>13</v>
      </c>
      <c r="F1810" t="s">
        <v>136</v>
      </c>
      <c r="G1810">
        <v>23.682160885303201</v>
      </c>
    </row>
    <row r="1811" spans="3:7" hidden="1" x14ac:dyDescent="0.3">
      <c r="C1811" t="s">
        <v>21</v>
      </c>
      <c r="D1811" t="s">
        <v>1345</v>
      </c>
      <c r="E1811" t="s">
        <v>9</v>
      </c>
      <c r="F1811" t="s">
        <v>136</v>
      </c>
      <c r="G1811">
        <v>23.605335034823799</v>
      </c>
    </row>
    <row r="1812" spans="3:7" hidden="1" x14ac:dyDescent="0.3">
      <c r="C1812" t="s">
        <v>7</v>
      </c>
      <c r="D1812" t="s">
        <v>1346</v>
      </c>
      <c r="E1812" t="s">
        <v>13</v>
      </c>
      <c r="F1812" t="s">
        <v>136</v>
      </c>
      <c r="G1812">
        <v>23.488537532785699</v>
      </c>
    </row>
    <row r="1813" spans="3:7" hidden="1" x14ac:dyDescent="0.3">
      <c r="C1813" t="s">
        <v>21</v>
      </c>
      <c r="D1813" t="s">
        <v>1347</v>
      </c>
      <c r="E1813" t="s">
        <v>13</v>
      </c>
      <c r="F1813" t="s">
        <v>136</v>
      </c>
      <c r="G1813">
        <v>23.455479962359998</v>
      </c>
    </row>
    <row r="1814" spans="3:7" hidden="1" x14ac:dyDescent="0.3">
      <c r="C1814" t="s">
        <v>21</v>
      </c>
      <c r="D1814" t="s">
        <v>1348</v>
      </c>
      <c r="E1814" t="s">
        <v>17</v>
      </c>
      <c r="F1814" t="s">
        <v>136</v>
      </c>
      <c r="G1814">
        <v>23.452737430167598</v>
      </c>
    </row>
    <row r="1815" spans="3:7" hidden="1" x14ac:dyDescent="0.3">
      <c r="C1815" t="s">
        <v>21</v>
      </c>
      <c r="D1815" t="s">
        <v>1349</v>
      </c>
      <c r="E1815" t="s">
        <v>17</v>
      </c>
      <c r="F1815" t="s">
        <v>136</v>
      </c>
      <c r="G1815">
        <v>23.4</v>
      </c>
    </row>
    <row r="1816" spans="3:7" hidden="1" x14ac:dyDescent="0.3">
      <c r="C1816" t="s">
        <v>11</v>
      </c>
      <c r="D1816" t="s">
        <v>1350</v>
      </c>
      <c r="E1816" t="s">
        <v>9</v>
      </c>
      <c r="F1816" t="s">
        <v>136</v>
      </c>
      <c r="G1816">
        <v>23.3948531315412</v>
      </c>
    </row>
    <row r="1817" spans="3:7" hidden="1" x14ac:dyDescent="0.3">
      <c r="C1817" t="s">
        <v>11</v>
      </c>
      <c r="D1817" t="s">
        <v>1260</v>
      </c>
      <c r="E1817" t="s">
        <v>13</v>
      </c>
      <c r="F1817" t="s">
        <v>240</v>
      </c>
      <c r="G1817">
        <v>23.3789166028659</v>
      </c>
    </row>
    <row r="1818" spans="3:7" hidden="1" x14ac:dyDescent="0.3">
      <c r="C1818" t="s">
        <v>11</v>
      </c>
      <c r="D1818" t="s">
        <v>1267</v>
      </c>
      <c r="E1818" t="s">
        <v>13</v>
      </c>
      <c r="F1818" t="s">
        <v>136</v>
      </c>
      <c r="G1818">
        <v>23.290585516178702</v>
      </c>
    </row>
    <row r="1819" spans="3:7" hidden="1" x14ac:dyDescent="0.3">
      <c r="C1819" t="s">
        <v>19</v>
      </c>
      <c r="D1819" t="s">
        <v>1351</v>
      </c>
      <c r="E1819" t="s">
        <v>13</v>
      </c>
      <c r="F1819" t="s">
        <v>136</v>
      </c>
      <c r="G1819">
        <v>23.218181818181801</v>
      </c>
    </row>
    <row r="1820" spans="3:7" hidden="1" x14ac:dyDescent="0.3">
      <c r="C1820" t="s">
        <v>78</v>
      </c>
      <c r="D1820" t="s">
        <v>1103</v>
      </c>
      <c r="E1820" t="s">
        <v>9</v>
      </c>
      <c r="F1820" t="s">
        <v>136</v>
      </c>
      <c r="G1820">
        <v>23.1770642201834</v>
      </c>
    </row>
    <row r="1821" spans="3:7" hidden="1" x14ac:dyDescent="0.3">
      <c r="C1821" t="s">
        <v>14</v>
      </c>
      <c r="D1821" t="s">
        <v>956</v>
      </c>
      <c r="E1821" t="s">
        <v>13</v>
      </c>
      <c r="F1821" t="s">
        <v>240</v>
      </c>
      <c r="G1821">
        <v>23.091821734985899</v>
      </c>
    </row>
    <row r="1822" spans="3:7" hidden="1" x14ac:dyDescent="0.3">
      <c r="C1822" t="s">
        <v>14</v>
      </c>
      <c r="D1822" t="s">
        <v>1352</v>
      </c>
      <c r="E1822" t="s">
        <v>9</v>
      </c>
      <c r="F1822" t="s">
        <v>136</v>
      </c>
      <c r="G1822">
        <v>22.963999999999999</v>
      </c>
    </row>
    <row r="1823" spans="3:7" hidden="1" x14ac:dyDescent="0.3">
      <c r="C1823" t="s">
        <v>429</v>
      </c>
      <c r="D1823" t="s">
        <v>1353</v>
      </c>
      <c r="E1823" t="s">
        <v>9</v>
      </c>
      <c r="F1823" t="s">
        <v>136</v>
      </c>
      <c r="G1823">
        <v>22.884875000000001</v>
      </c>
    </row>
    <row r="1824" spans="3:7" hidden="1" x14ac:dyDescent="0.3">
      <c r="C1824" t="s">
        <v>21</v>
      </c>
      <c r="D1824" t="s">
        <v>1354</v>
      </c>
      <c r="E1824" t="s">
        <v>9</v>
      </c>
      <c r="F1824" t="s">
        <v>136</v>
      </c>
      <c r="G1824">
        <v>22.88</v>
      </c>
    </row>
    <row r="1825" spans="3:7" hidden="1" x14ac:dyDescent="0.3">
      <c r="C1825" t="s">
        <v>188</v>
      </c>
      <c r="D1825" t="s">
        <v>722</v>
      </c>
      <c r="E1825" t="s">
        <v>13</v>
      </c>
      <c r="F1825" t="s">
        <v>136</v>
      </c>
      <c r="G1825">
        <v>22.83</v>
      </c>
    </row>
    <row r="1826" spans="3:7" hidden="1" x14ac:dyDescent="0.3">
      <c r="C1826" t="s">
        <v>278</v>
      </c>
      <c r="D1826" t="s">
        <v>1280</v>
      </c>
      <c r="E1826" t="s">
        <v>13</v>
      </c>
      <c r="F1826" t="s">
        <v>136</v>
      </c>
      <c r="G1826">
        <v>22.823</v>
      </c>
    </row>
    <row r="1827" spans="3:7" hidden="1" x14ac:dyDescent="0.3">
      <c r="C1827" t="s">
        <v>21</v>
      </c>
      <c r="D1827" t="s">
        <v>764</v>
      </c>
      <c r="E1827" t="s">
        <v>13</v>
      </c>
      <c r="F1827" t="s">
        <v>240</v>
      </c>
      <c r="G1827">
        <v>22.76</v>
      </c>
    </row>
    <row r="1828" spans="3:7" hidden="1" x14ac:dyDescent="0.3">
      <c r="C1828" t="s">
        <v>11</v>
      </c>
      <c r="D1828" t="s">
        <v>774</v>
      </c>
      <c r="E1828" t="s">
        <v>13</v>
      </c>
      <c r="F1828" t="s">
        <v>240</v>
      </c>
      <c r="G1828">
        <v>22.587879805979199</v>
      </c>
    </row>
    <row r="1829" spans="3:7" hidden="1" x14ac:dyDescent="0.3">
      <c r="C1829" t="s">
        <v>78</v>
      </c>
      <c r="D1829" t="s">
        <v>774</v>
      </c>
      <c r="E1829" t="s">
        <v>13</v>
      </c>
      <c r="F1829" t="s">
        <v>240</v>
      </c>
      <c r="G1829">
        <v>22.511264766391399</v>
      </c>
    </row>
    <row r="1830" spans="3:7" hidden="1" x14ac:dyDescent="0.3">
      <c r="C1830" t="s">
        <v>269</v>
      </c>
      <c r="D1830" t="s">
        <v>1355</v>
      </c>
      <c r="E1830" t="s">
        <v>13</v>
      </c>
      <c r="F1830" t="s">
        <v>136</v>
      </c>
      <c r="G1830">
        <v>22.466666666666601</v>
      </c>
    </row>
    <row r="1831" spans="3:7" hidden="1" x14ac:dyDescent="0.3">
      <c r="C1831" t="s">
        <v>455</v>
      </c>
      <c r="D1831" t="s">
        <v>687</v>
      </c>
      <c r="E1831" t="s">
        <v>13</v>
      </c>
      <c r="F1831" t="s">
        <v>240</v>
      </c>
      <c r="G1831">
        <v>22.405240992044899</v>
      </c>
    </row>
    <row r="1832" spans="3:7" hidden="1" x14ac:dyDescent="0.3">
      <c r="C1832" t="s">
        <v>19</v>
      </c>
      <c r="D1832" t="s">
        <v>351</v>
      </c>
      <c r="E1832" t="s">
        <v>9</v>
      </c>
      <c r="F1832" t="s">
        <v>240</v>
      </c>
      <c r="G1832">
        <v>22.121371439271002</v>
      </c>
    </row>
    <row r="1833" spans="3:7" hidden="1" x14ac:dyDescent="0.3">
      <c r="C1833" t="s">
        <v>126</v>
      </c>
      <c r="D1833" t="s">
        <v>617</v>
      </c>
      <c r="E1833" t="s">
        <v>13</v>
      </c>
      <c r="F1833" t="s">
        <v>136</v>
      </c>
      <c r="G1833">
        <v>22.0348223350253</v>
      </c>
    </row>
    <row r="1834" spans="3:7" hidden="1" x14ac:dyDescent="0.3">
      <c r="C1834" t="s">
        <v>455</v>
      </c>
      <c r="D1834" t="s">
        <v>610</v>
      </c>
      <c r="E1834" t="s">
        <v>13</v>
      </c>
      <c r="F1834" t="s">
        <v>240</v>
      </c>
      <c r="G1834">
        <v>21.7928310715956</v>
      </c>
    </row>
    <row r="1835" spans="3:7" hidden="1" x14ac:dyDescent="0.3">
      <c r="C1835" t="s">
        <v>14</v>
      </c>
      <c r="D1835" t="s">
        <v>1356</v>
      </c>
      <c r="E1835" t="s">
        <v>17</v>
      </c>
      <c r="F1835" t="s">
        <v>136</v>
      </c>
      <c r="G1835">
        <v>21.76</v>
      </c>
    </row>
    <row r="1836" spans="3:7" hidden="1" x14ac:dyDescent="0.3">
      <c r="C1836" t="s">
        <v>21</v>
      </c>
      <c r="D1836" t="s">
        <v>1077</v>
      </c>
      <c r="E1836" t="s">
        <v>13</v>
      </c>
      <c r="F1836" t="s">
        <v>136</v>
      </c>
      <c r="G1836">
        <v>21.6235017123287</v>
      </c>
    </row>
    <row r="1837" spans="3:7" hidden="1" x14ac:dyDescent="0.3">
      <c r="C1837" t="s">
        <v>78</v>
      </c>
      <c r="D1837" t="s">
        <v>1079</v>
      </c>
      <c r="E1837" t="s">
        <v>13</v>
      </c>
      <c r="F1837" t="s">
        <v>136</v>
      </c>
      <c r="G1837">
        <v>21.596039603960399</v>
      </c>
    </row>
    <row r="1838" spans="3:7" hidden="1" x14ac:dyDescent="0.3">
      <c r="C1838" t="s">
        <v>21</v>
      </c>
      <c r="D1838" t="s">
        <v>1357</v>
      </c>
      <c r="E1838" t="s">
        <v>9</v>
      </c>
      <c r="F1838" t="s">
        <v>136</v>
      </c>
      <c r="G1838">
        <v>21.543859649122801</v>
      </c>
    </row>
    <row r="1839" spans="3:7" hidden="1" x14ac:dyDescent="0.3">
      <c r="C1839" t="s">
        <v>14</v>
      </c>
      <c r="D1839" t="s">
        <v>1007</v>
      </c>
      <c r="E1839" t="s">
        <v>13</v>
      </c>
      <c r="F1839" t="s">
        <v>136</v>
      </c>
      <c r="G1839">
        <v>21.426655629138999</v>
      </c>
    </row>
    <row r="1840" spans="3:7" hidden="1" x14ac:dyDescent="0.3">
      <c r="C1840" t="s">
        <v>19</v>
      </c>
      <c r="D1840" t="s">
        <v>1358</v>
      </c>
      <c r="E1840" t="s">
        <v>17</v>
      </c>
      <c r="F1840" t="s">
        <v>136</v>
      </c>
      <c r="G1840">
        <v>21.425000000000001</v>
      </c>
    </row>
    <row r="1841" spans="3:7" hidden="1" x14ac:dyDescent="0.3">
      <c r="C1841" t="s">
        <v>14</v>
      </c>
      <c r="D1841" t="s">
        <v>351</v>
      </c>
      <c r="E1841" t="s">
        <v>9</v>
      </c>
      <c r="F1841" t="s">
        <v>240</v>
      </c>
      <c r="G1841">
        <v>21.3029032258064</v>
      </c>
    </row>
    <row r="1842" spans="3:7" hidden="1" x14ac:dyDescent="0.3">
      <c r="C1842" t="s">
        <v>7</v>
      </c>
      <c r="D1842" t="s">
        <v>1359</v>
      </c>
      <c r="E1842" t="s">
        <v>9</v>
      </c>
      <c r="F1842" t="s">
        <v>136</v>
      </c>
      <c r="G1842">
        <v>21.253630074284199</v>
      </c>
    </row>
    <row r="1843" spans="3:7" hidden="1" x14ac:dyDescent="0.3">
      <c r="C1843" t="s">
        <v>1313</v>
      </c>
      <c r="D1843" t="s">
        <v>381</v>
      </c>
      <c r="E1843" t="s">
        <v>13</v>
      </c>
      <c r="F1843" t="s">
        <v>136</v>
      </c>
      <c r="G1843">
        <v>21.025641025641001</v>
      </c>
    </row>
    <row r="1844" spans="3:7" hidden="1" x14ac:dyDescent="0.3">
      <c r="C1844" t="s">
        <v>78</v>
      </c>
      <c r="D1844" t="s">
        <v>257</v>
      </c>
      <c r="E1844" t="s">
        <v>13</v>
      </c>
      <c r="F1844" t="s">
        <v>240</v>
      </c>
      <c r="G1844">
        <v>20.806039650862701</v>
      </c>
    </row>
    <row r="1845" spans="3:7" hidden="1" x14ac:dyDescent="0.3">
      <c r="C1845" t="s">
        <v>19</v>
      </c>
      <c r="D1845" t="s">
        <v>1360</v>
      </c>
      <c r="E1845" t="s">
        <v>17</v>
      </c>
      <c r="F1845" t="s">
        <v>136</v>
      </c>
      <c r="G1845">
        <v>20.79</v>
      </c>
    </row>
    <row r="1846" spans="3:7" hidden="1" x14ac:dyDescent="0.3">
      <c r="C1846" t="s">
        <v>269</v>
      </c>
      <c r="D1846" t="s">
        <v>1088</v>
      </c>
      <c r="E1846" t="s">
        <v>9</v>
      </c>
      <c r="F1846" t="s">
        <v>136</v>
      </c>
      <c r="G1846">
        <v>20.7798052580331</v>
      </c>
    </row>
    <row r="1847" spans="3:7" hidden="1" x14ac:dyDescent="0.3">
      <c r="C1847" t="s">
        <v>126</v>
      </c>
      <c r="D1847" t="s">
        <v>1361</v>
      </c>
      <c r="E1847" t="s">
        <v>13</v>
      </c>
      <c r="F1847" t="s">
        <v>136</v>
      </c>
      <c r="G1847">
        <v>20.742857142857101</v>
      </c>
    </row>
    <row r="1848" spans="3:7" hidden="1" x14ac:dyDescent="0.3">
      <c r="C1848" t="s">
        <v>78</v>
      </c>
      <c r="D1848" t="s">
        <v>1362</v>
      </c>
      <c r="E1848" t="s">
        <v>17</v>
      </c>
      <c r="F1848" t="s">
        <v>136</v>
      </c>
      <c r="G1848">
        <v>20.54</v>
      </c>
    </row>
    <row r="1849" spans="3:7" hidden="1" x14ac:dyDescent="0.3">
      <c r="C1849" t="s">
        <v>126</v>
      </c>
      <c r="D1849" t="s">
        <v>956</v>
      </c>
      <c r="E1849" t="s">
        <v>13</v>
      </c>
      <c r="F1849" t="s">
        <v>240</v>
      </c>
      <c r="G1849">
        <v>20.523957065217299</v>
      </c>
    </row>
    <row r="1850" spans="3:7" hidden="1" x14ac:dyDescent="0.3">
      <c r="C1850" t="s">
        <v>7</v>
      </c>
      <c r="D1850" t="s">
        <v>1141</v>
      </c>
      <c r="E1850" t="s">
        <v>13</v>
      </c>
      <c r="F1850" t="s">
        <v>136</v>
      </c>
      <c r="G1850">
        <v>20.457730263157799</v>
      </c>
    </row>
    <row r="1851" spans="3:7" hidden="1" x14ac:dyDescent="0.3">
      <c r="C1851" t="s">
        <v>7</v>
      </c>
      <c r="D1851" t="s">
        <v>1363</v>
      </c>
      <c r="E1851" t="s">
        <v>13</v>
      </c>
      <c r="F1851" t="s">
        <v>240</v>
      </c>
      <c r="G1851">
        <v>20.447571723822399</v>
      </c>
    </row>
    <row r="1852" spans="3:7" hidden="1" x14ac:dyDescent="0.3">
      <c r="C1852" t="s">
        <v>7</v>
      </c>
      <c r="D1852" t="s">
        <v>1235</v>
      </c>
      <c r="E1852" t="s">
        <v>13</v>
      </c>
      <c r="F1852" t="s">
        <v>136</v>
      </c>
      <c r="G1852">
        <v>20.431752298509601</v>
      </c>
    </row>
    <row r="1853" spans="3:7" hidden="1" x14ac:dyDescent="0.3">
      <c r="C1853" t="s">
        <v>19</v>
      </c>
      <c r="D1853" t="s">
        <v>1364</v>
      </c>
      <c r="E1853" t="s">
        <v>9</v>
      </c>
      <c r="F1853" t="s">
        <v>136</v>
      </c>
      <c r="G1853">
        <v>20.428967999999902</v>
      </c>
    </row>
    <row r="1854" spans="3:7" hidden="1" x14ac:dyDescent="0.3">
      <c r="C1854" t="s">
        <v>269</v>
      </c>
      <c r="D1854" t="s">
        <v>722</v>
      </c>
      <c r="E1854" t="s">
        <v>13</v>
      </c>
      <c r="F1854" t="s">
        <v>136</v>
      </c>
      <c r="G1854">
        <v>20.409981232625899</v>
      </c>
    </row>
    <row r="1855" spans="3:7" hidden="1" x14ac:dyDescent="0.3">
      <c r="C1855" t="s">
        <v>19</v>
      </c>
      <c r="D1855" t="s">
        <v>1365</v>
      </c>
      <c r="E1855" t="s">
        <v>13</v>
      </c>
      <c r="F1855" t="s">
        <v>136</v>
      </c>
      <c r="G1855">
        <v>20.338434914227999</v>
      </c>
    </row>
    <row r="1856" spans="3:7" hidden="1" x14ac:dyDescent="0.3">
      <c r="C1856" t="s">
        <v>21</v>
      </c>
      <c r="D1856" t="s">
        <v>1366</v>
      </c>
      <c r="E1856" t="s">
        <v>9</v>
      </c>
      <c r="F1856" t="s">
        <v>136</v>
      </c>
      <c r="G1856">
        <v>20.290585090585001</v>
      </c>
    </row>
    <row r="1857" spans="3:7" hidden="1" x14ac:dyDescent="0.3">
      <c r="C1857" t="s">
        <v>188</v>
      </c>
      <c r="D1857" t="s">
        <v>1367</v>
      </c>
      <c r="E1857" t="s">
        <v>13</v>
      </c>
      <c r="F1857" t="s">
        <v>136</v>
      </c>
      <c r="G1857">
        <v>20.23</v>
      </c>
    </row>
    <row r="1858" spans="3:7" hidden="1" x14ac:dyDescent="0.3">
      <c r="C1858" t="s">
        <v>19</v>
      </c>
      <c r="D1858" t="s">
        <v>774</v>
      </c>
      <c r="E1858" t="s">
        <v>13</v>
      </c>
      <c r="F1858" t="s">
        <v>240</v>
      </c>
      <c r="G1858">
        <v>20.164877171717102</v>
      </c>
    </row>
    <row r="1859" spans="3:7" hidden="1" x14ac:dyDescent="0.3">
      <c r="C1859" t="s">
        <v>19</v>
      </c>
      <c r="D1859" t="s">
        <v>1368</v>
      </c>
      <c r="E1859" t="s">
        <v>9</v>
      </c>
      <c r="F1859" t="s">
        <v>136</v>
      </c>
      <c r="G1859">
        <v>20.1501666666666</v>
      </c>
    </row>
    <row r="1860" spans="3:7" hidden="1" x14ac:dyDescent="0.3">
      <c r="C1860" t="s">
        <v>21</v>
      </c>
      <c r="D1860" t="s">
        <v>1138</v>
      </c>
      <c r="E1860" t="s">
        <v>9</v>
      </c>
      <c r="F1860" t="s">
        <v>136</v>
      </c>
      <c r="G1860">
        <v>20.057704023429601</v>
      </c>
    </row>
    <row r="1861" spans="3:7" hidden="1" x14ac:dyDescent="0.3">
      <c r="C1861" t="s">
        <v>269</v>
      </c>
      <c r="D1861" t="s">
        <v>799</v>
      </c>
      <c r="E1861" t="s">
        <v>13</v>
      </c>
      <c r="F1861" t="s">
        <v>240</v>
      </c>
      <c r="G1861">
        <v>20.053309523809499</v>
      </c>
    </row>
    <row r="1862" spans="3:7" hidden="1" x14ac:dyDescent="0.3">
      <c r="C1862" t="s">
        <v>19</v>
      </c>
      <c r="D1862" t="s">
        <v>1097</v>
      </c>
      <c r="E1862" t="s">
        <v>13</v>
      </c>
      <c r="F1862" t="s">
        <v>136</v>
      </c>
      <c r="G1862">
        <v>19.959537658024399</v>
      </c>
    </row>
    <row r="1863" spans="3:7" hidden="1" x14ac:dyDescent="0.3">
      <c r="C1863" t="s">
        <v>21</v>
      </c>
      <c r="D1863" t="s">
        <v>1237</v>
      </c>
      <c r="E1863" t="s">
        <v>13</v>
      </c>
      <c r="F1863" t="s">
        <v>136</v>
      </c>
      <c r="G1863">
        <v>19.896830077075901</v>
      </c>
    </row>
    <row r="1864" spans="3:7" hidden="1" x14ac:dyDescent="0.3">
      <c r="C1864" t="s">
        <v>21</v>
      </c>
      <c r="D1864" t="s">
        <v>1139</v>
      </c>
      <c r="E1864" t="s">
        <v>9</v>
      </c>
      <c r="F1864" t="s">
        <v>136</v>
      </c>
      <c r="G1864">
        <v>19.819800000000001</v>
      </c>
    </row>
    <row r="1865" spans="3:7" hidden="1" x14ac:dyDescent="0.3">
      <c r="C1865" t="s">
        <v>7</v>
      </c>
      <c r="D1865" t="s">
        <v>745</v>
      </c>
      <c r="E1865" t="s">
        <v>13</v>
      </c>
      <c r="F1865" t="s">
        <v>240</v>
      </c>
      <c r="G1865">
        <v>19.5314979633612</v>
      </c>
    </row>
    <row r="1866" spans="3:7" hidden="1" x14ac:dyDescent="0.3">
      <c r="C1866" t="s">
        <v>21</v>
      </c>
      <c r="D1866" t="s">
        <v>873</v>
      </c>
      <c r="E1866" t="s">
        <v>9</v>
      </c>
      <c r="F1866" t="s">
        <v>136</v>
      </c>
      <c r="G1866">
        <v>19.502097902097901</v>
      </c>
    </row>
    <row r="1867" spans="3:7" hidden="1" x14ac:dyDescent="0.3">
      <c r="C1867" t="s">
        <v>90</v>
      </c>
      <c r="D1867" t="s">
        <v>1369</v>
      </c>
      <c r="E1867" t="s">
        <v>9</v>
      </c>
      <c r="F1867" t="s">
        <v>136</v>
      </c>
      <c r="G1867">
        <v>19.3382608695652</v>
      </c>
    </row>
    <row r="1868" spans="3:7" hidden="1" x14ac:dyDescent="0.3">
      <c r="C1868" t="s">
        <v>21</v>
      </c>
      <c r="D1868" t="s">
        <v>1141</v>
      </c>
      <c r="E1868" t="s">
        <v>13</v>
      </c>
      <c r="F1868" t="s">
        <v>136</v>
      </c>
      <c r="G1868">
        <v>19.184094928998</v>
      </c>
    </row>
    <row r="1869" spans="3:7" hidden="1" x14ac:dyDescent="0.3">
      <c r="C1869" t="s">
        <v>21</v>
      </c>
      <c r="D1869" t="s">
        <v>650</v>
      </c>
      <c r="E1869" t="s">
        <v>13</v>
      </c>
      <c r="F1869" t="s">
        <v>240</v>
      </c>
      <c r="G1869">
        <v>19.167591547705602</v>
      </c>
    </row>
    <row r="1870" spans="3:7" hidden="1" x14ac:dyDescent="0.3">
      <c r="C1870" t="s">
        <v>269</v>
      </c>
      <c r="D1870" t="s">
        <v>1370</v>
      </c>
      <c r="E1870" t="s">
        <v>13</v>
      </c>
      <c r="F1870" t="s">
        <v>136</v>
      </c>
      <c r="G1870">
        <v>19.14</v>
      </c>
    </row>
    <row r="1871" spans="3:7" hidden="1" x14ac:dyDescent="0.3">
      <c r="C1871" t="s">
        <v>21</v>
      </c>
      <c r="D1871" t="s">
        <v>838</v>
      </c>
      <c r="E1871" t="s">
        <v>13</v>
      </c>
      <c r="F1871" t="s">
        <v>136</v>
      </c>
      <c r="G1871">
        <v>18.731884057971001</v>
      </c>
    </row>
    <row r="1872" spans="3:7" hidden="1" x14ac:dyDescent="0.3">
      <c r="C1872" t="s">
        <v>429</v>
      </c>
      <c r="D1872" t="s">
        <v>1371</v>
      </c>
      <c r="E1872" t="s">
        <v>17</v>
      </c>
      <c r="F1872" t="s">
        <v>136</v>
      </c>
      <c r="G1872">
        <v>18.632999999999999</v>
      </c>
    </row>
    <row r="1873" spans="3:7" hidden="1" x14ac:dyDescent="0.3">
      <c r="C1873" t="s">
        <v>78</v>
      </c>
      <c r="D1873" t="s">
        <v>1372</v>
      </c>
      <c r="E1873" t="s">
        <v>17</v>
      </c>
      <c r="F1873" t="s">
        <v>136</v>
      </c>
      <c r="G1873">
        <v>18.542999999999999</v>
      </c>
    </row>
    <row r="1874" spans="3:7" hidden="1" x14ac:dyDescent="0.3">
      <c r="C1874" t="s">
        <v>14</v>
      </c>
      <c r="D1874" t="s">
        <v>1156</v>
      </c>
      <c r="E1874" t="s">
        <v>13</v>
      </c>
      <c r="F1874" t="s">
        <v>136</v>
      </c>
      <c r="G1874">
        <v>18.519607843137202</v>
      </c>
    </row>
    <row r="1875" spans="3:7" hidden="1" x14ac:dyDescent="0.3">
      <c r="C1875" t="s">
        <v>14</v>
      </c>
      <c r="D1875" t="s">
        <v>1079</v>
      </c>
      <c r="E1875" t="s">
        <v>13</v>
      </c>
      <c r="F1875" t="s">
        <v>136</v>
      </c>
      <c r="G1875">
        <v>18.291427790763102</v>
      </c>
    </row>
    <row r="1876" spans="3:7" hidden="1" x14ac:dyDescent="0.3">
      <c r="C1876" t="s">
        <v>21</v>
      </c>
      <c r="D1876" t="s">
        <v>1373</v>
      </c>
      <c r="E1876" t="s">
        <v>17</v>
      </c>
      <c r="F1876" t="s">
        <v>136</v>
      </c>
      <c r="G1876">
        <v>18.27</v>
      </c>
    </row>
    <row r="1877" spans="3:7" hidden="1" x14ac:dyDescent="0.3">
      <c r="C1877" t="s">
        <v>7</v>
      </c>
      <c r="D1877" t="s">
        <v>1374</v>
      </c>
      <c r="E1877" t="s">
        <v>17</v>
      </c>
      <c r="F1877" t="s">
        <v>136</v>
      </c>
      <c r="G1877">
        <v>18.191814671814601</v>
      </c>
    </row>
    <row r="1878" spans="3:7" hidden="1" x14ac:dyDescent="0.3">
      <c r="C1878" t="s">
        <v>11</v>
      </c>
      <c r="D1878" t="s">
        <v>1375</v>
      </c>
      <c r="E1878" t="s">
        <v>17</v>
      </c>
      <c r="F1878" t="s">
        <v>136</v>
      </c>
      <c r="G1878">
        <v>18.140625</v>
      </c>
    </row>
    <row r="1879" spans="3:7" hidden="1" x14ac:dyDescent="0.3">
      <c r="C1879" t="s">
        <v>11</v>
      </c>
      <c r="D1879" t="s">
        <v>1363</v>
      </c>
      <c r="E1879" t="s">
        <v>13</v>
      </c>
      <c r="F1879" t="s">
        <v>240</v>
      </c>
      <c r="G1879">
        <v>18.136978915662599</v>
      </c>
    </row>
    <row r="1880" spans="3:7" hidden="1" x14ac:dyDescent="0.3">
      <c r="C1880" t="s">
        <v>78</v>
      </c>
      <c r="D1880" t="s">
        <v>1208</v>
      </c>
      <c r="E1880" t="s">
        <v>17</v>
      </c>
      <c r="F1880" t="s">
        <v>136</v>
      </c>
      <c r="G1880">
        <v>18.114999999999998</v>
      </c>
    </row>
    <row r="1881" spans="3:7" hidden="1" x14ac:dyDescent="0.3">
      <c r="C1881" t="s">
        <v>19</v>
      </c>
      <c r="D1881" t="s">
        <v>1376</v>
      </c>
      <c r="E1881" t="s">
        <v>13</v>
      </c>
      <c r="F1881" t="s">
        <v>136</v>
      </c>
      <c r="G1881">
        <v>17.927003992183099</v>
      </c>
    </row>
    <row r="1882" spans="3:7" hidden="1" x14ac:dyDescent="0.3">
      <c r="C1882" t="s">
        <v>14</v>
      </c>
      <c r="D1882" t="s">
        <v>1377</v>
      </c>
      <c r="E1882" t="s">
        <v>17</v>
      </c>
      <c r="F1882" t="s">
        <v>136</v>
      </c>
      <c r="G1882">
        <v>17.810526315789399</v>
      </c>
    </row>
    <row r="1883" spans="3:7" hidden="1" x14ac:dyDescent="0.3">
      <c r="C1883" t="s">
        <v>19</v>
      </c>
      <c r="D1883" t="s">
        <v>509</v>
      </c>
      <c r="E1883" t="s">
        <v>9</v>
      </c>
      <c r="F1883" t="s">
        <v>136</v>
      </c>
      <c r="G1883">
        <v>17.760107142857098</v>
      </c>
    </row>
    <row r="1884" spans="3:7" hidden="1" x14ac:dyDescent="0.3">
      <c r="C1884" t="s">
        <v>90</v>
      </c>
      <c r="D1884" t="s">
        <v>1378</v>
      </c>
      <c r="E1884" t="s">
        <v>13</v>
      </c>
      <c r="F1884" t="s">
        <v>136</v>
      </c>
      <c r="G1884">
        <v>17.6353137485311</v>
      </c>
    </row>
    <row r="1885" spans="3:7" hidden="1" x14ac:dyDescent="0.3">
      <c r="C1885" t="s">
        <v>11</v>
      </c>
      <c r="D1885" t="s">
        <v>1379</v>
      </c>
      <c r="E1885" t="s">
        <v>13</v>
      </c>
      <c r="F1885" t="s">
        <v>136</v>
      </c>
      <c r="G1885">
        <v>17.530809933934599</v>
      </c>
    </row>
    <row r="1886" spans="3:7" hidden="1" x14ac:dyDescent="0.3">
      <c r="C1886" t="s">
        <v>19</v>
      </c>
      <c r="D1886" t="s">
        <v>1380</v>
      </c>
      <c r="E1886" t="s">
        <v>13</v>
      </c>
      <c r="F1886" t="s">
        <v>136</v>
      </c>
      <c r="G1886">
        <v>17.447392343053199</v>
      </c>
    </row>
    <row r="1887" spans="3:7" hidden="1" x14ac:dyDescent="0.3">
      <c r="C1887" t="s">
        <v>126</v>
      </c>
      <c r="D1887" t="s">
        <v>866</v>
      </c>
      <c r="E1887" t="s">
        <v>13</v>
      </c>
      <c r="F1887" t="s">
        <v>240</v>
      </c>
      <c r="G1887">
        <v>17.285714285714199</v>
      </c>
    </row>
    <row r="1888" spans="3:7" hidden="1" x14ac:dyDescent="0.3">
      <c r="C1888" t="s">
        <v>78</v>
      </c>
      <c r="D1888" t="s">
        <v>1381</v>
      </c>
      <c r="E1888" t="s">
        <v>17</v>
      </c>
      <c r="F1888" t="s">
        <v>136</v>
      </c>
      <c r="G1888">
        <v>17.247432188065101</v>
      </c>
    </row>
    <row r="1889" spans="3:7" hidden="1" x14ac:dyDescent="0.3">
      <c r="C1889" t="s">
        <v>126</v>
      </c>
      <c r="D1889" t="s">
        <v>1382</v>
      </c>
      <c r="E1889" t="s">
        <v>17</v>
      </c>
      <c r="F1889" t="s">
        <v>136</v>
      </c>
      <c r="G1889">
        <v>17.09</v>
      </c>
    </row>
    <row r="1890" spans="3:7" hidden="1" x14ac:dyDescent="0.3">
      <c r="C1890" t="s">
        <v>11</v>
      </c>
      <c r="D1890" t="s">
        <v>1383</v>
      </c>
      <c r="E1890" t="s">
        <v>13</v>
      </c>
      <c r="F1890" t="s">
        <v>136</v>
      </c>
      <c r="G1890">
        <v>16.961073825503298</v>
      </c>
    </row>
    <row r="1891" spans="3:7" hidden="1" x14ac:dyDescent="0.3">
      <c r="C1891" t="s">
        <v>11</v>
      </c>
      <c r="D1891" t="s">
        <v>490</v>
      </c>
      <c r="E1891" t="s">
        <v>13</v>
      </c>
      <c r="F1891" t="s">
        <v>136</v>
      </c>
      <c r="G1891">
        <v>16.8057455540355</v>
      </c>
    </row>
    <row r="1892" spans="3:7" hidden="1" x14ac:dyDescent="0.3">
      <c r="C1892" t="s">
        <v>19</v>
      </c>
      <c r="D1892" t="s">
        <v>1384</v>
      </c>
      <c r="E1892" t="s">
        <v>13</v>
      </c>
      <c r="F1892" t="s">
        <v>240</v>
      </c>
      <c r="G1892">
        <v>16.687999999999999</v>
      </c>
    </row>
    <row r="1893" spans="3:7" hidden="1" x14ac:dyDescent="0.3">
      <c r="C1893" t="s">
        <v>19</v>
      </c>
      <c r="D1893" t="s">
        <v>1385</v>
      </c>
      <c r="E1893" t="s">
        <v>9</v>
      </c>
      <c r="F1893" t="s">
        <v>136</v>
      </c>
      <c r="G1893">
        <v>16.6494797341302</v>
      </c>
    </row>
    <row r="1894" spans="3:7" hidden="1" x14ac:dyDescent="0.3">
      <c r="C1894" t="s">
        <v>78</v>
      </c>
      <c r="D1894" t="s">
        <v>1305</v>
      </c>
      <c r="E1894" t="s">
        <v>13</v>
      </c>
      <c r="F1894" t="s">
        <v>240</v>
      </c>
      <c r="G1894">
        <v>16.518000000000001</v>
      </c>
    </row>
    <row r="1895" spans="3:7" hidden="1" x14ac:dyDescent="0.3">
      <c r="C1895" t="s">
        <v>21</v>
      </c>
      <c r="D1895" t="s">
        <v>535</v>
      </c>
      <c r="E1895" t="s">
        <v>13</v>
      </c>
      <c r="F1895" t="s">
        <v>136</v>
      </c>
      <c r="G1895">
        <v>16.316121673003799</v>
      </c>
    </row>
    <row r="1896" spans="3:7" hidden="1" x14ac:dyDescent="0.3">
      <c r="C1896" t="s">
        <v>14</v>
      </c>
      <c r="D1896" t="s">
        <v>1386</v>
      </c>
      <c r="E1896" t="s">
        <v>13</v>
      </c>
      <c r="F1896" t="s">
        <v>136</v>
      </c>
      <c r="G1896">
        <v>16.2287341532639</v>
      </c>
    </row>
    <row r="1897" spans="3:7" hidden="1" x14ac:dyDescent="0.3">
      <c r="C1897" t="s">
        <v>19</v>
      </c>
      <c r="D1897" t="s">
        <v>1142</v>
      </c>
      <c r="E1897" t="s">
        <v>13</v>
      </c>
      <c r="F1897" t="s">
        <v>136</v>
      </c>
      <c r="G1897">
        <v>16.2232906648422</v>
      </c>
    </row>
    <row r="1898" spans="3:7" hidden="1" x14ac:dyDescent="0.3">
      <c r="C1898" t="s">
        <v>19</v>
      </c>
      <c r="D1898" t="s">
        <v>1387</v>
      </c>
      <c r="E1898" t="s">
        <v>17</v>
      </c>
      <c r="F1898" t="s">
        <v>136</v>
      </c>
      <c r="G1898">
        <v>16.22</v>
      </c>
    </row>
    <row r="1899" spans="3:7" hidden="1" x14ac:dyDescent="0.3">
      <c r="C1899" t="s">
        <v>269</v>
      </c>
      <c r="D1899" t="s">
        <v>639</v>
      </c>
      <c r="E1899" t="s">
        <v>13</v>
      </c>
      <c r="F1899" t="s">
        <v>136</v>
      </c>
      <c r="G1899">
        <v>16.160601980197999</v>
      </c>
    </row>
    <row r="1900" spans="3:7" hidden="1" x14ac:dyDescent="0.3">
      <c r="C1900" t="s">
        <v>11</v>
      </c>
      <c r="D1900" t="s">
        <v>257</v>
      </c>
      <c r="E1900" t="s">
        <v>13</v>
      </c>
      <c r="F1900" t="s">
        <v>240</v>
      </c>
      <c r="G1900">
        <v>16.005471956224302</v>
      </c>
    </row>
    <row r="1901" spans="3:7" hidden="1" x14ac:dyDescent="0.3">
      <c r="C1901" t="s">
        <v>429</v>
      </c>
      <c r="D1901" t="s">
        <v>239</v>
      </c>
      <c r="E1901" t="s">
        <v>9</v>
      </c>
      <c r="F1901" t="s">
        <v>136</v>
      </c>
      <c r="G1901">
        <v>15.925000000000001</v>
      </c>
    </row>
    <row r="1902" spans="3:7" hidden="1" x14ac:dyDescent="0.3">
      <c r="C1902" t="s">
        <v>19</v>
      </c>
      <c r="D1902" t="s">
        <v>1388</v>
      </c>
      <c r="E1902" t="s">
        <v>9</v>
      </c>
      <c r="F1902" t="s">
        <v>136</v>
      </c>
      <c r="G1902">
        <v>15.837900874635499</v>
      </c>
    </row>
    <row r="1903" spans="3:7" hidden="1" x14ac:dyDescent="0.3">
      <c r="C1903" t="s">
        <v>11</v>
      </c>
      <c r="D1903" t="s">
        <v>635</v>
      </c>
      <c r="E1903" t="s">
        <v>13</v>
      </c>
      <c r="F1903" t="s">
        <v>136</v>
      </c>
      <c r="G1903">
        <v>15.7794523656218</v>
      </c>
    </row>
    <row r="1904" spans="3:7" hidden="1" x14ac:dyDescent="0.3">
      <c r="C1904" t="s">
        <v>14</v>
      </c>
      <c r="D1904" t="s">
        <v>1237</v>
      </c>
      <c r="E1904" t="s">
        <v>13</v>
      </c>
      <c r="F1904" t="s">
        <v>136</v>
      </c>
      <c r="G1904">
        <v>15.6773521308042</v>
      </c>
    </row>
    <row r="1905" spans="3:7" hidden="1" x14ac:dyDescent="0.3">
      <c r="C1905" t="s">
        <v>11</v>
      </c>
      <c r="D1905" t="s">
        <v>1389</v>
      </c>
      <c r="E1905" t="s">
        <v>13</v>
      </c>
      <c r="F1905" t="s">
        <v>136</v>
      </c>
      <c r="G1905">
        <v>15.6565005940005</v>
      </c>
    </row>
    <row r="1906" spans="3:7" hidden="1" x14ac:dyDescent="0.3">
      <c r="C1906" t="s">
        <v>14</v>
      </c>
      <c r="D1906" t="s">
        <v>1121</v>
      </c>
      <c r="E1906" t="s">
        <v>13</v>
      </c>
      <c r="F1906" t="s">
        <v>240</v>
      </c>
      <c r="G1906">
        <v>15.5849142857142</v>
      </c>
    </row>
    <row r="1907" spans="3:7" hidden="1" x14ac:dyDescent="0.3">
      <c r="C1907" t="s">
        <v>90</v>
      </c>
      <c r="D1907" t="s">
        <v>403</v>
      </c>
      <c r="E1907" t="s">
        <v>13</v>
      </c>
      <c r="F1907" t="s">
        <v>136</v>
      </c>
      <c r="G1907">
        <v>15.5571384661637</v>
      </c>
    </row>
    <row r="1908" spans="3:7" hidden="1" x14ac:dyDescent="0.3">
      <c r="C1908" t="s">
        <v>11</v>
      </c>
      <c r="D1908" t="s">
        <v>1390</v>
      </c>
      <c r="E1908" t="s">
        <v>13</v>
      </c>
      <c r="F1908" t="s">
        <v>136</v>
      </c>
      <c r="G1908">
        <v>15.5425237920937</v>
      </c>
    </row>
    <row r="1909" spans="3:7" hidden="1" x14ac:dyDescent="0.3">
      <c r="C1909" t="s">
        <v>11</v>
      </c>
      <c r="D1909" t="s">
        <v>1276</v>
      </c>
      <c r="E1909" t="s">
        <v>13</v>
      </c>
      <c r="F1909" t="s">
        <v>136</v>
      </c>
      <c r="G1909">
        <v>15.5327267390666</v>
      </c>
    </row>
    <row r="1910" spans="3:7" hidden="1" x14ac:dyDescent="0.3">
      <c r="C1910" t="s">
        <v>11</v>
      </c>
      <c r="D1910" t="s">
        <v>1302</v>
      </c>
      <c r="E1910" t="s">
        <v>13</v>
      </c>
      <c r="F1910" t="s">
        <v>136</v>
      </c>
      <c r="G1910">
        <v>15.4910741284849</v>
      </c>
    </row>
    <row r="1911" spans="3:7" hidden="1" x14ac:dyDescent="0.3">
      <c r="C1911" t="s">
        <v>21</v>
      </c>
      <c r="D1911" t="s">
        <v>1326</v>
      </c>
      <c r="E1911" t="s">
        <v>13</v>
      </c>
      <c r="F1911" t="s">
        <v>136</v>
      </c>
      <c r="G1911">
        <v>15.4553769899314</v>
      </c>
    </row>
    <row r="1912" spans="3:7" hidden="1" x14ac:dyDescent="0.3">
      <c r="C1912" t="s">
        <v>7</v>
      </c>
      <c r="D1912" t="s">
        <v>1121</v>
      </c>
      <c r="E1912" t="s">
        <v>13</v>
      </c>
      <c r="F1912" t="s">
        <v>240</v>
      </c>
      <c r="G1912">
        <v>15.379972225892599</v>
      </c>
    </row>
    <row r="1913" spans="3:7" hidden="1" x14ac:dyDescent="0.3">
      <c r="C1913" t="s">
        <v>19</v>
      </c>
      <c r="D1913" t="s">
        <v>1391</v>
      </c>
      <c r="E1913" t="s">
        <v>17</v>
      </c>
      <c r="F1913" t="s">
        <v>136</v>
      </c>
      <c r="G1913">
        <v>15.315</v>
      </c>
    </row>
    <row r="1914" spans="3:7" hidden="1" x14ac:dyDescent="0.3">
      <c r="C1914" t="s">
        <v>78</v>
      </c>
      <c r="D1914" t="s">
        <v>1392</v>
      </c>
      <c r="E1914" t="s">
        <v>17</v>
      </c>
      <c r="F1914" t="s">
        <v>136</v>
      </c>
      <c r="G1914">
        <v>15.2989999999999</v>
      </c>
    </row>
    <row r="1915" spans="3:7" hidden="1" x14ac:dyDescent="0.3">
      <c r="C1915" t="s">
        <v>21</v>
      </c>
      <c r="D1915" t="s">
        <v>841</v>
      </c>
      <c r="E1915" t="s">
        <v>13</v>
      </c>
      <c r="F1915" t="s">
        <v>136</v>
      </c>
      <c r="G1915">
        <v>15.2813339430685</v>
      </c>
    </row>
    <row r="1916" spans="3:7" hidden="1" x14ac:dyDescent="0.3">
      <c r="C1916" t="s">
        <v>19</v>
      </c>
      <c r="D1916" t="s">
        <v>1317</v>
      </c>
      <c r="E1916" t="s">
        <v>13</v>
      </c>
      <c r="F1916" t="s">
        <v>136</v>
      </c>
      <c r="G1916">
        <v>15.149999999999901</v>
      </c>
    </row>
    <row r="1917" spans="3:7" hidden="1" x14ac:dyDescent="0.3">
      <c r="C1917" t="s">
        <v>78</v>
      </c>
      <c r="D1917" t="s">
        <v>1111</v>
      </c>
      <c r="E1917" t="s">
        <v>13</v>
      </c>
      <c r="F1917" t="s">
        <v>136</v>
      </c>
      <c r="G1917">
        <v>15.0684522244847</v>
      </c>
    </row>
    <row r="1918" spans="3:7" hidden="1" x14ac:dyDescent="0.3">
      <c r="C1918" t="s">
        <v>21</v>
      </c>
      <c r="D1918" t="s">
        <v>1255</v>
      </c>
      <c r="E1918" t="s">
        <v>9</v>
      </c>
      <c r="F1918" t="s">
        <v>136</v>
      </c>
      <c r="G1918">
        <v>14.8442336050467</v>
      </c>
    </row>
    <row r="1919" spans="3:7" hidden="1" x14ac:dyDescent="0.3">
      <c r="C1919" t="s">
        <v>188</v>
      </c>
      <c r="D1919" t="s">
        <v>1393</v>
      </c>
      <c r="E1919" t="s">
        <v>13</v>
      </c>
      <c r="F1919" t="s">
        <v>136</v>
      </c>
      <c r="G1919">
        <v>14.837999999999999</v>
      </c>
    </row>
    <row r="1920" spans="3:7" hidden="1" x14ac:dyDescent="0.3">
      <c r="C1920" t="s">
        <v>165</v>
      </c>
      <c r="D1920" t="s">
        <v>1141</v>
      </c>
      <c r="E1920" t="s">
        <v>13</v>
      </c>
      <c r="F1920" t="s">
        <v>136</v>
      </c>
      <c r="G1920">
        <v>14.6857142857142</v>
      </c>
    </row>
    <row r="1921" spans="3:7" hidden="1" x14ac:dyDescent="0.3">
      <c r="C1921" t="s">
        <v>78</v>
      </c>
      <c r="D1921" t="s">
        <v>1062</v>
      </c>
      <c r="E1921" t="s">
        <v>9</v>
      </c>
      <c r="F1921" t="s">
        <v>136</v>
      </c>
      <c r="G1921">
        <v>14.6643498098859</v>
      </c>
    </row>
    <row r="1922" spans="3:7" hidden="1" x14ac:dyDescent="0.3">
      <c r="C1922" t="s">
        <v>269</v>
      </c>
      <c r="D1922" t="s">
        <v>1394</v>
      </c>
      <c r="E1922" t="s">
        <v>13</v>
      </c>
      <c r="F1922" t="s">
        <v>136</v>
      </c>
      <c r="G1922">
        <v>14.621351766513</v>
      </c>
    </row>
    <row r="1923" spans="3:7" hidden="1" x14ac:dyDescent="0.3">
      <c r="C1923" t="s">
        <v>21</v>
      </c>
      <c r="D1923" t="s">
        <v>1395</v>
      </c>
      <c r="E1923" t="s">
        <v>13</v>
      </c>
      <c r="F1923" t="s">
        <v>240</v>
      </c>
      <c r="G1923">
        <v>14.319539604314899</v>
      </c>
    </row>
    <row r="1924" spans="3:7" hidden="1" x14ac:dyDescent="0.3">
      <c r="C1924" t="s">
        <v>19</v>
      </c>
      <c r="D1924" t="s">
        <v>1396</v>
      </c>
      <c r="E1924" t="s">
        <v>9</v>
      </c>
      <c r="F1924" t="s">
        <v>136</v>
      </c>
      <c r="G1924">
        <v>14.318636363636299</v>
      </c>
    </row>
    <row r="1925" spans="3:7" hidden="1" x14ac:dyDescent="0.3">
      <c r="C1925" t="s">
        <v>429</v>
      </c>
      <c r="D1925" t="s">
        <v>799</v>
      </c>
      <c r="E1925" t="s">
        <v>13</v>
      </c>
      <c r="F1925" t="s">
        <v>240</v>
      </c>
      <c r="G1925">
        <v>14.2482470588235</v>
      </c>
    </row>
    <row r="1926" spans="3:7" hidden="1" x14ac:dyDescent="0.3">
      <c r="C1926" t="s">
        <v>90</v>
      </c>
      <c r="D1926" t="s">
        <v>1383</v>
      </c>
      <c r="E1926" t="s">
        <v>13</v>
      </c>
      <c r="F1926" t="s">
        <v>136</v>
      </c>
      <c r="G1926">
        <v>14.2092719153936</v>
      </c>
    </row>
    <row r="1927" spans="3:7" hidden="1" x14ac:dyDescent="0.3">
      <c r="C1927" t="s">
        <v>429</v>
      </c>
      <c r="D1927" t="s">
        <v>962</v>
      </c>
      <c r="E1927" t="s">
        <v>13</v>
      </c>
      <c r="F1927" t="s">
        <v>136</v>
      </c>
      <c r="G1927">
        <v>14.17</v>
      </c>
    </row>
    <row r="1928" spans="3:7" hidden="1" x14ac:dyDescent="0.3">
      <c r="C1928" t="s">
        <v>14</v>
      </c>
      <c r="D1928" t="s">
        <v>1397</v>
      </c>
      <c r="E1928" t="s">
        <v>13</v>
      </c>
      <c r="F1928" t="s">
        <v>240</v>
      </c>
      <c r="G1928">
        <v>14.108188303996901</v>
      </c>
    </row>
    <row r="1929" spans="3:7" hidden="1" x14ac:dyDescent="0.3">
      <c r="C1929" t="s">
        <v>19</v>
      </c>
      <c r="D1929" t="s">
        <v>1398</v>
      </c>
      <c r="E1929" t="s">
        <v>17</v>
      </c>
      <c r="F1929" t="s">
        <v>136</v>
      </c>
      <c r="G1929">
        <v>14.090999999999999</v>
      </c>
    </row>
    <row r="1930" spans="3:7" hidden="1" x14ac:dyDescent="0.3">
      <c r="C1930" t="s">
        <v>90</v>
      </c>
      <c r="D1930" t="s">
        <v>390</v>
      </c>
      <c r="E1930" t="s">
        <v>13</v>
      </c>
      <c r="F1930" t="s">
        <v>136</v>
      </c>
      <c r="G1930">
        <v>14.0890674664419</v>
      </c>
    </row>
    <row r="1931" spans="3:7" hidden="1" x14ac:dyDescent="0.3">
      <c r="C1931" t="s">
        <v>19</v>
      </c>
      <c r="D1931" t="s">
        <v>1326</v>
      </c>
      <c r="E1931" t="s">
        <v>13</v>
      </c>
      <c r="F1931" t="s">
        <v>136</v>
      </c>
      <c r="G1931">
        <v>14.044735579476701</v>
      </c>
    </row>
    <row r="1932" spans="3:7" hidden="1" x14ac:dyDescent="0.3">
      <c r="C1932" t="s">
        <v>808</v>
      </c>
      <c r="D1932" t="s">
        <v>1347</v>
      </c>
      <c r="E1932" t="s">
        <v>13</v>
      </c>
      <c r="F1932" t="s">
        <v>136</v>
      </c>
      <c r="G1932">
        <v>14.0159169550173</v>
      </c>
    </row>
    <row r="1933" spans="3:7" hidden="1" x14ac:dyDescent="0.3">
      <c r="C1933" t="s">
        <v>78</v>
      </c>
      <c r="D1933" t="s">
        <v>1121</v>
      </c>
      <c r="E1933" t="s">
        <v>13</v>
      </c>
      <c r="F1933" t="s">
        <v>240</v>
      </c>
      <c r="G1933">
        <v>13.898400000000001</v>
      </c>
    </row>
    <row r="1934" spans="3:7" hidden="1" x14ac:dyDescent="0.3">
      <c r="C1934" t="s">
        <v>7</v>
      </c>
      <c r="D1934" t="s">
        <v>1326</v>
      </c>
      <c r="E1934" t="s">
        <v>13</v>
      </c>
      <c r="F1934" t="s">
        <v>136</v>
      </c>
      <c r="G1934">
        <v>13.8703043571255</v>
      </c>
    </row>
    <row r="1935" spans="3:7" hidden="1" x14ac:dyDescent="0.3">
      <c r="C1935" t="s">
        <v>269</v>
      </c>
      <c r="D1935" t="s">
        <v>770</v>
      </c>
      <c r="E1935" t="s">
        <v>13</v>
      </c>
      <c r="F1935" t="s">
        <v>136</v>
      </c>
      <c r="G1935">
        <v>13.7423536476528</v>
      </c>
    </row>
    <row r="1936" spans="3:7" hidden="1" x14ac:dyDescent="0.3">
      <c r="C1936" t="s">
        <v>14</v>
      </c>
      <c r="D1936" t="s">
        <v>1260</v>
      </c>
      <c r="E1936" t="s">
        <v>13</v>
      </c>
      <c r="F1936" t="s">
        <v>240</v>
      </c>
      <c r="G1936">
        <v>13.71814789177</v>
      </c>
    </row>
    <row r="1937" spans="3:7" hidden="1" x14ac:dyDescent="0.3">
      <c r="C1937" t="s">
        <v>19</v>
      </c>
      <c r="D1937" t="s">
        <v>1399</v>
      </c>
      <c r="E1937" t="s">
        <v>9</v>
      </c>
      <c r="F1937" t="s">
        <v>136</v>
      </c>
      <c r="G1937">
        <v>13.713474441269099</v>
      </c>
    </row>
    <row r="1938" spans="3:7" hidden="1" x14ac:dyDescent="0.3">
      <c r="C1938" t="s">
        <v>78</v>
      </c>
      <c r="D1938" t="s">
        <v>653</v>
      </c>
      <c r="E1938" t="s">
        <v>13</v>
      </c>
      <c r="F1938" t="s">
        <v>240</v>
      </c>
      <c r="G1938">
        <v>13.708146361077601</v>
      </c>
    </row>
    <row r="1939" spans="3:7" hidden="1" x14ac:dyDescent="0.3">
      <c r="C1939" t="s">
        <v>11</v>
      </c>
      <c r="D1939" t="s">
        <v>190</v>
      </c>
      <c r="E1939" t="s">
        <v>13</v>
      </c>
      <c r="F1939" t="s">
        <v>136</v>
      </c>
      <c r="G1939">
        <v>13.6687995303786</v>
      </c>
    </row>
    <row r="1940" spans="3:7" hidden="1" x14ac:dyDescent="0.3">
      <c r="C1940" t="s">
        <v>78</v>
      </c>
      <c r="D1940" t="s">
        <v>1400</v>
      </c>
      <c r="E1940" t="s">
        <v>17</v>
      </c>
      <c r="F1940" t="s">
        <v>136</v>
      </c>
      <c r="G1940">
        <v>13.66</v>
      </c>
    </row>
    <row r="1941" spans="3:7" hidden="1" x14ac:dyDescent="0.3">
      <c r="C1941" t="s">
        <v>269</v>
      </c>
      <c r="D1941" t="s">
        <v>905</v>
      </c>
      <c r="E1941" t="s">
        <v>13</v>
      </c>
      <c r="F1941" t="s">
        <v>240</v>
      </c>
      <c r="G1941">
        <v>13.6297537386986</v>
      </c>
    </row>
    <row r="1942" spans="3:7" hidden="1" x14ac:dyDescent="0.3">
      <c r="C1942" t="s">
        <v>429</v>
      </c>
      <c r="D1942" t="s">
        <v>1079</v>
      </c>
      <c r="E1942" t="s">
        <v>13</v>
      </c>
      <c r="F1942" t="s">
        <v>136</v>
      </c>
      <c r="G1942">
        <v>13.603045685279101</v>
      </c>
    </row>
    <row r="1943" spans="3:7" hidden="1" x14ac:dyDescent="0.3">
      <c r="C1943" t="s">
        <v>14</v>
      </c>
      <c r="D1943" t="s">
        <v>1370</v>
      </c>
      <c r="E1943" t="s">
        <v>13</v>
      </c>
      <c r="F1943" t="s">
        <v>136</v>
      </c>
      <c r="G1943">
        <v>13.596210775606799</v>
      </c>
    </row>
    <row r="1944" spans="3:7" hidden="1" x14ac:dyDescent="0.3">
      <c r="C1944" t="s">
        <v>21</v>
      </c>
      <c r="D1944" t="s">
        <v>1401</v>
      </c>
      <c r="E1944" t="s">
        <v>13</v>
      </c>
      <c r="F1944" t="s">
        <v>136</v>
      </c>
      <c r="G1944">
        <v>13.5885764499121</v>
      </c>
    </row>
    <row r="1945" spans="3:7" hidden="1" x14ac:dyDescent="0.3">
      <c r="C1945" t="s">
        <v>19</v>
      </c>
      <c r="D1945" t="s">
        <v>722</v>
      </c>
      <c r="E1945" t="s">
        <v>13</v>
      </c>
      <c r="F1945" t="s">
        <v>136</v>
      </c>
      <c r="G1945">
        <v>13.5374177208367</v>
      </c>
    </row>
    <row r="1946" spans="3:7" hidden="1" x14ac:dyDescent="0.3">
      <c r="C1946" t="s">
        <v>429</v>
      </c>
      <c r="D1946" t="s">
        <v>1402</v>
      </c>
      <c r="E1946" t="s">
        <v>9</v>
      </c>
      <c r="F1946" t="s">
        <v>136</v>
      </c>
      <c r="G1946">
        <v>13.398999999999999</v>
      </c>
    </row>
    <row r="1947" spans="3:7" hidden="1" x14ac:dyDescent="0.3">
      <c r="C1947" t="s">
        <v>78</v>
      </c>
      <c r="D1947" t="s">
        <v>1302</v>
      </c>
      <c r="E1947" t="s">
        <v>13</v>
      </c>
      <c r="F1947" t="s">
        <v>136</v>
      </c>
      <c r="G1947">
        <v>13.1524146890522</v>
      </c>
    </row>
    <row r="1948" spans="3:7" hidden="1" x14ac:dyDescent="0.3">
      <c r="C1948" t="s">
        <v>11</v>
      </c>
      <c r="D1948" t="s">
        <v>1376</v>
      </c>
      <c r="E1948" t="s">
        <v>13</v>
      </c>
      <c r="F1948" t="s">
        <v>136</v>
      </c>
      <c r="G1948">
        <v>13.1112601368964</v>
      </c>
    </row>
    <row r="1949" spans="3:7" hidden="1" x14ac:dyDescent="0.3">
      <c r="C1949" t="s">
        <v>21</v>
      </c>
      <c r="D1949" t="s">
        <v>1318</v>
      </c>
      <c r="E1949" t="s">
        <v>9</v>
      </c>
      <c r="F1949" t="s">
        <v>136</v>
      </c>
      <c r="G1949">
        <v>13.093855932203301</v>
      </c>
    </row>
    <row r="1950" spans="3:7" hidden="1" x14ac:dyDescent="0.3">
      <c r="C1950" t="s">
        <v>78</v>
      </c>
      <c r="D1950" t="s">
        <v>535</v>
      </c>
      <c r="E1950" t="s">
        <v>13</v>
      </c>
      <c r="F1950" t="s">
        <v>136</v>
      </c>
      <c r="G1950">
        <v>12.916587842495501</v>
      </c>
    </row>
    <row r="1951" spans="3:7" hidden="1" x14ac:dyDescent="0.3">
      <c r="C1951" t="s">
        <v>78</v>
      </c>
      <c r="D1951" t="s">
        <v>1403</v>
      </c>
      <c r="E1951" t="s">
        <v>17</v>
      </c>
      <c r="F1951" t="s">
        <v>136</v>
      </c>
      <c r="G1951">
        <v>12.8849999999999</v>
      </c>
    </row>
    <row r="1952" spans="3:7" hidden="1" x14ac:dyDescent="0.3">
      <c r="C1952" t="s">
        <v>14</v>
      </c>
      <c r="D1952" t="s">
        <v>1404</v>
      </c>
      <c r="E1952" t="s">
        <v>9</v>
      </c>
      <c r="F1952" t="s">
        <v>136</v>
      </c>
      <c r="G1952">
        <v>12.8655504587155</v>
      </c>
    </row>
    <row r="1953" spans="3:7" hidden="1" x14ac:dyDescent="0.3">
      <c r="C1953" t="s">
        <v>78</v>
      </c>
      <c r="D1953" t="s">
        <v>1405</v>
      </c>
      <c r="E1953" t="s">
        <v>17</v>
      </c>
      <c r="F1953" t="s">
        <v>136</v>
      </c>
      <c r="G1953">
        <v>12.815</v>
      </c>
    </row>
    <row r="1954" spans="3:7" hidden="1" x14ac:dyDescent="0.3">
      <c r="C1954" t="s">
        <v>78</v>
      </c>
      <c r="D1954" t="s">
        <v>836</v>
      </c>
      <c r="E1954" t="s">
        <v>17</v>
      </c>
      <c r="F1954" t="s">
        <v>136</v>
      </c>
      <c r="G1954">
        <v>12.785</v>
      </c>
    </row>
    <row r="1955" spans="3:7" hidden="1" x14ac:dyDescent="0.3">
      <c r="C1955" t="s">
        <v>11</v>
      </c>
      <c r="D1955" t="s">
        <v>1406</v>
      </c>
      <c r="E1955" t="s">
        <v>13</v>
      </c>
      <c r="F1955" t="s">
        <v>136</v>
      </c>
      <c r="G1955">
        <v>12.7543662146884</v>
      </c>
    </row>
    <row r="1956" spans="3:7" hidden="1" x14ac:dyDescent="0.3">
      <c r="C1956" t="s">
        <v>78</v>
      </c>
      <c r="D1956" t="s">
        <v>1407</v>
      </c>
      <c r="E1956" t="s">
        <v>17</v>
      </c>
      <c r="F1956" t="s">
        <v>136</v>
      </c>
      <c r="G1956">
        <v>12.732999999999899</v>
      </c>
    </row>
    <row r="1957" spans="3:7" hidden="1" x14ac:dyDescent="0.3">
      <c r="C1957" t="s">
        <v>21</v>
      </c>
      <c r="D1957" t="s">
        <v>1380</v>
      </c>
      <c r="E1957" t="s">
        <v>13</v>
      </c>
      <c r="F1957" t="s">
        <v>136</v>
      </c>
      <c r="G1957">
        <v>12.653</v>
      </c>
    </row>
    <row r="1958" spans="3:7" hidden="1" x14ac:dyDescent="0.3">
      <c r="C1958" t="s">
        <v>11</v>
      </c>
      <c r="D1958" t="s">
        <v>1408</v>
      </c>
      <c r="E1958" t="s">
        <v>13</v>
      </c>
      <c r="F1958" t="s">
        <v>136</v>
      </c>
      <c r="G1958">
        <v>12.6361154982822</v>
      </c>
    </row>
    <row r="1959" spans="3:7" hidden="1" x14ac:dyDescent="0.3">
      <c r="C1959" t="s">
        <v>14</v>
      </c>
      <c r="D1959" t="s">
        <v>1409</v>
      </c>
      <c r="E1959" t="s">
        <v>13</v>
      </c>
      <c r="F1959" t="s">
        <v>136</v>
      </c>
      <c r="G1959">
        <v>12.592000000000001</v>
      </c>
    </row>
    <row r="1960" spans="3:7" hidden="1" x14ac:dyDescent="0.3">
      <c r="C1960" t="s">
        <v>278</v>
      </c>
      <c r="D1960" t="s">
        <v>1141</v>
      </c>
      <c r="E1960" t="s">
        <v>13</v>
      </c>
      <c r="F1960" t="s">
        <v>136</v>
      </c>
      <c r="G1960">
        <v>12.592000000000001</v>
      </c>
    </row>
    <row r="1961" spans="3:7" hidden="1" x14ac:dyDescent="0.3">
      <c r="C1961" t="s">
        <v>21</v>
      </c>
      <c r="D1961" t="s">
        <v>1410</v>
      </c>
      <c r="E1961" t="s">
        <v>13</v>
      </c>
      <c r="F1961" t="s">
        <v>240</v>
      </c>
      <c r="G1961">
        <v>12.583308583308501</v>
      </c>
    </row>
    <row r="1962" spans="3:7" hidden="1" x14ac:dyDescent="0.3">
      <c r="C1962" t="s">
        <v>11</v>
      </c>
      <c r="D1962" t="s">
        <v>1411</v>
      </c>
      <c r="E1962" t="s">
        <v>9</v>
      </c>
      <c r="F1962" t="s">
        <v>136</v>
      </c>
      <c r="G1962">
        <v>12.5107289285022</v>
      </c>
    </row>
    <row r="1963" spans="3:7" hidden="1" x14ac:dyDescent="0.3">
      <c r="C1963" t="s">
        <v>14</v>
      </c>
      <c r="D1963" t="s">
        <v>1150</v>
      </c>
      <c r="E1963" t="s">
        <v>13</v>
      </c>
      <c r="F1963" t="s">
        <v>136</v>
      </c>
      <c r="G1963">
        <v>12.424916606236399</v>
      </c>
    </row>
    <row r="1964" spans="3:7" hidden="1" x14ac:dyDescent="0.3">
      <c r="C1964" t="s">
        <v>7</v>
      </c>
      <c r="D1964" t="s">
        <v>493</v>
      </c>
      <c r="E1964" t="s">
        <v>13</v>
      </c>
      <c r="F1964" t="s">
        <v>136</v>
      </c>
      <c r="G1964">
        <v>12.40785</v>
      </c>
    </row>
    <row r="1965" spans="3:7" hidden="1" x14ac:dyDescent="0.3">
      <c r="C1965" t="s">
        <v>78</v>
      </c>
      <c r="D1965" t="s">
        <v>1412</v>
      </c>
      <c r="E1965" t="s">
        <v>9</v>
      </c>
      <c r="F1965" t="s">
        <v>136</v>
      </c>
      <c r="G1965">
        <v>12.362</v>
      </c>
    </row>
    <row r="1966" spans="3:7" hidden="1" x14ac:dyDescent="0.3">
      <c r="C1966" t="s">
        <v>126</v>
      </c>
      <c r="D1966" t="s">
        <v>535</v>
      </c>
      <c r="E1966" t="s">
        <v>13</v>
      </c>
      <c r="F1966" t="s">
        <v>136</v>
      </c>
      <c r="G1966">
        <v>12.246428571428501</v>
      </c>
    </row>
    <row r="1967" spans="3:7" hidden="1" x14ac:dyDescent="0.3">
      <c r="C1967" t="s">
        <v>21</v>
      </c>
      <c r="D1967" t="s">
        <v>1413</v>
      </c>
      <c r="E1967" t="s">
        <v>17</v>
      </c>
      <c r="F1967" t="s">
        <v>136</v>
      </c>
      <c r="G1967">
        <v>12.24</v>
      </c>
    </row>
    <row r="1968" spans="3:7" hidden="1" x14ac:dyDescent="0.3">
      <c r="C1968" t="s">
        <v>269</v>
      </c>
      <c r="D1968" t="s">
        <v>1414</v>
      </c>
      <c r="E1968" t="s">
        <v>9</v>
      </c>
      <c r="F1968" t="s">
        <v>136</v>
      </c>
      <c r="G1968">
        <v>12.194000000000001</v>
      </c>
    </row>
    <row r="1969" spans="3:7" hidden="1" x14ac:dyDescent="0.3">
      <c r="C1969" t="s">
        <v>19</v>
      </c>
      <c r="D1969" t="s">
        <v>490</v>
      </c>
      <c r="E1969" t="s">
        <v>13</v>
      </c>
      <c r="F1969" t="s">
        <v>136</v>
      </c>
      <c r="G1969">
        <v>12.087209302325499</v>
      </c>
    </row>
    <row r="1970" spans="3:7" hidden="1" x14ac:dyDescent="0.3">
      <c r="C1970" t="s">
        <v>269</v>
      </c>
      <c r="D1970" t="s">
        <v>712</v>
      </c>
      <c r="E1970" t="s">
        <v>13</v>
      </c>
      <c r="F1970" t="s">
        <v>136</v>
      </c>
      <c r="G1970">
        <v>12.0834444917468</v>
      </c>
    </row>
    <row r="1971" spans="3:7" hidden="1" x14ac:dyDescent="0.3">
      <c r="C1971" t="s">
        <v>21</v>
      </c>
      <c r="D1971" t="s">
        <v>1159</v>
      </c>
      <c r="E1971" t="s">
        <v>13</v>
      </c>
      <c r="F1971" t="s">
        <v>136</v>
      </c>
      <c r="G1971">
        <v>12.021428571428499</v>
      </c>
    </row>
    <row r="1972" spans="3:7" hidden="1" x14ac:dyDescent="0.3">
      <c r="C1972" t="s">
        <v>14</v>
      </c>
      <c r="D1972" t="s">
        <v>969</v>
      </c>
      <c r="E1972" t="s">
        <v>9</v>
      </c>
      <c r="F1972" t="s">
        <v>136</v>
      </c>
      <c r="G1972">
        <v>11.930446990572801</v>
      </c>
    </row>
    <row r="1973" spans="3:7" hidden="1" x14ac:dyDescent="0.3">
      <c r="C1973" t="s">
        <v>19</v>
      </c>
      <c r="D1973" t="s">
        <v>401</v>
      </c>
      <c r="E1973" t="s">
        <v>9</v>
      </c>
      <c r="F1973" t="s">
        <v>136</v>
      </c>
      <c r="G1973">
        <v>11.641759625709099</v>
      </c>
    </row>
    <row r="1974" spans="3:7" hidden="1" x14ac:dyDescent="0.3">
      <c r="C1974" t="s">
        <v>429</v>
      </c>
      <c r="D1974" t="s">
        <v>1415</v>
      </c>
      <c r="E1974" t="s">
        <v>13</v>
      </c>
      <c r="F1974" t="s">
        <v>136</v>
      </c>
      <c r="G1974">
        <v>11.611958477508599</v>
      </c>
    </row>
    <row r="1975" spans="3:7" hidden="1" x14ac:dyDescent="0.3">
      <c r="C1975" t="s">
        <v>126</v>
      </c>
      <c r="D1975" t="s">
        <v>807</v>
      </c>
      <c r="E1975" t="s">
        <v>13</v>
      </c>
      <c r="F1975" t="s">
        <v>240</v>
      </c>
      <c r="G1975">
        <v>11.6077403894366</v>
      </c>
    </row>
    <row r="1976" spans="3:7" hidden="1" x14ac:dyDescent="0.3">
      <c r="C1976" t="s">
        <v>90</v>
      </c>
      <c r="D1976" t="s">
        <v>885</v>
      </c>
      <c r="E1976" t="s">
        <v>13</v>
      </c>
      <c r="F1976" t="s">
        <v>136</v>
      </c>
      <c r="G1976">
        <v>11.575415994099099</v>
      </c>
    </row>
    <row r="1977" spans="3:7" hidden="1" x14ac:dyDescent="0.3">
      <c r="C1977" t="s">
        <v>429</v>
      </c>
      <c r="D1977" t="s">
        <v>1416</v>
      </c>
      <c r="E1977" t="s">
        <v>9</v>
      </c>
      <c r="F1977" t="s">
        <v>136</v>
      </c>
      <c r="G1977">
        <v>11.552</v>
      </c>
    </row>
    <row r="1978" spans="3:7" hidden="1" x14ac:dyDescent="0.3">
      <c r="C1978" t="s">
        <v>90</v>
      </c>
      <c r="D1978" t="s">
        <v>712</v>
      </c>
      <c r="E1978" t="s">
        <v>13</v>
      </c>
      <c r="F1978" t="s">
        <v>136</v>
      </c>
      <c r="G1978">
        <v>11.4926371615633</v>
      </c>
    </row>
    <row r="1979" spans="3:7" hidden="1" x14ac:dyDescent="0.3">
      <c r="C1979" t="s">
        <v>78</v>
      </c>
      <c r="D1979" t="s">
        <v>1287</v>
      </c>
      <c r="E1979" t="s">
        <v>9</v>
      </c>
      <c r="F1979" t="s">
        <v>136</v>
      </c>
      <c r="G1979">
        <v>11.4836160714285</v>
      </c>
    </row>
    <row r="1980" spans="3:7" hidden="1" x14ac:dyDescent="0.3">
      <c r="C1980" t="s">
        <v>808</v>
      </c>
      <c r="D1980" t="s">
        <v>563</v>
      </c>
      <c r="E1980" t="s">
        <v>13</v>
      </c>
      <c r="F1980" t="s">
        <v>240</v>
      </c>
      <c r="G1980">
        <v>11.463293988815201</v>
      </c>
    </row>
    <row r="1981" spans="3:7" hidden="1" x14ac:dyDescent="0.3">
      <c r="C1981" t="s">
        <v>7</v>
      </c>
      <c r="D1981" t="s">
        <v>1417</v>
      </c>
      <c r="E1981" t="s">
        <v>13</v>
      </c>
      <c r="F1981" t="s">
        <v>10</v>
      </c>
      <c r="G1981">
        <v>11.435326124364799</v>
      </c>
    </row>
    <row r="1982" spans="3:7" hidden="1" x14ac:dyDescent="0.3">
      <c r="C1982" t="s">
        <v>14</v>
      </c>
      <c r="D1982" t="s">
        <v>1418</v>
      </c>
      <c r="E1982" t="s">
        <v>13</v>
      </c>
      <c r="F1982" t="s">
        <v>136</v>
      </c>
      <c r="G1982">
        <v>11.3920555635399</v>
      </c>
    </row>
    <row r="1983" spans="3:7" hidden="1" x14ac:dyDescent="0.3">
      <c r="C1983" t="s">
        <v>21</v>
      </c>
      <c r="D1983" t="s">
        <v>1275</v>
      </c>
      <c r="E1983" t="s">
        <v>9</v>
      </c>
      <c r="F1983" t="s">
        <v>136</v>
      </c>
      <c r="G1983">
        <v>11.3256</v>
      </c>
    </row>
    <row r="1984" spans="3:7" hidden="1" x14ac:dyDescent="0.3">
      <c r="C1984" t="s">
        <v>11</v>
      </c>
      <c r="D1984" t="s">
        <v>1293</v>
      </c>
      <c r="E1984" t="s">
        <v>13</v>
      </c>
      <c r="F1984" t="s">
        <v>136</v>
      </c>
      <c r="G1984">
        <v>11.294408060453399</v>
      </c>
    </row>
    <row r="1985" spans="3:7" hidden="1" x14ac:dyDescent="0.3">
      <c r="C1985" t="s">
        <v>14</v>
      </c>
      <c r="D1985" t="s">
        <v>1419</v>
      </c>
      <c r="E1985" t="s">
        <v>9</v>
      </c>
      <c r="F1985" t="s">
        <v>136</v>
      </c>
      <c r="G1985">
        <v>11.28</v>
      </c>
    </row>
    <row r="1986" spans="3:7" hidden="1" x14ac:dyDescent="0.3">
      <c r="C1986" t="s">
        <v>269</v>
      </c>
      <c r="D1986" t="s">
        <v>1420</v>
      </c>
      <c r="E1986" t="s">
        <v>9</v>
      </c>
      <c r="F1986" t="s">
        <v>136</v>
      </c>
      <c r="G1986">
        <v>11.277010050251199</v>
      </c>
    </row>
    <row r="1987" spans="3:7" hidden="1" x14ac:dyDescent="0.3">
      <c r="C1987" t="s">
        <v>78</v>
      </c>
      <c r="D1987" t="s">
        <v>1421</v>
      </c>
      <c r="E1987" t="s">
        <v>17</v>
      </c>
      <c r="F1987" t="s">
        <v>136</v>
      </c>
      <c r="G1987">
        <v>11.17</v>
      </c>
    </row>
    <row r="1988" spans="3:7" hidden="1" x14ac:dyDescent="0.3">
      <c r="C1988" t="s">
        <v>19</v>
      </c>
      <c r="D1988" t="s">
        <v>493</v>
      </c>
      <c r="E1988" t="s">
        <v>13</v>
      </c>
      <c r="F1988" t="s">
        <v>136</v>
      </c>
      <c r="G1988">
        <v>11.073433323433299</v>
      </c>
    </row>
    <row r="1989" spans="3:7" hidden="1" x14ac:dyDescent="0.3">
      <c r="C1989" t="s">
        <v>126</v>
      </c>
      <c r="D1989" t="s">
        <v>1004</v>
      </c>
      <c r="E1989" t="s">
        <v>13</v>
      </c>
      <c r="F1989" t="s">
        <v>136</v>
      </c>
      <c r="G1989">
        <v>10.9723076923076</v>
      </c>
    </row>
    <row r="1990" spans="3:7" hidden="1" x14ac:dyDescent="0.3">
      <c r="C1990" t="s">
        <v>126</v>
      </c>
      <c r="D1990" t="s">
        <v>1339</v>
      </c>
      <c r="E1990" t="s">
        <v>13</v>
      </c>
      <c r="F1990" t="s">
        <v>136</v>
      </c>
      <c r="G1990">
        <v>10.9723076923076</v>
      </c>
    </row>
    <row r="1991" spans="3:7" hidden="1" x14ac:dyDescent="0.3">
      <c r="C1991" t="s">
        <v>429</v>
      </c>
      <c r="D1991" t="s">
        <v>728</v>
      </c>
      <c r="E1991" t="s">
        <v>13</v>
      </c>
      <c r="F1991" t="s">
        <v>136</v>
      </c>
      <c r="G1991">
        <v>10.96875</v>
      </c>
    </row>
    <row r="1992" spans="3:7" hidden="1" x14ac:dyDescent="0.3">
      <c r="C1992" t="s">
        <v>19</v>
      </c>
      <c r="D1992" t="s">
        <v>1422</v>
      </c>
      <c r="E1992" t="s">
        <v>13</v>
      </c>
      <c r="F1992" t="s">
        <v>136</v>
      </c>
      <c r="G1992">
        <v>10.964949136315701</v>
      </c>
    </row>
    <row r="1993" spans="3:7" hidden="1" x14ac:dyDescent="0.3">
      <c r="C1993" t="s">
        <v>78</v>
      </c>
      <c r="D1993" t="s">
        <v>1423</v>
      </c>
      <c r="E1993" t="s">
        <v>17</v>
      </c>
      <c r="F1993" t="s">
        <v>136</v>
      </c>
      <c r="G1993">
        <v>10.94</v>
      </c>
    </row>
    <row r="1994" spans="3:7" hidden="1" x14ac:dyDescent="0.3">
      <c r="C1994" t="s">
        <v>7</v>
      </c>
      <c r="D1994" t="s">
        <v>1160</v>
      </c>
      <c r="E1994" t="s">
        <v>13</v>
      </c>
      <c r="F1994" t="s">
        <v>136</v>
      </c>
      <c r="G1994">
        <v>10.790571177046401</v>
      </c>
    </row>
    <row r="1995" spans="3:7" hidden="1" x14ac:dyDescent="0.3">
      <c r="C1995" t="s">
        <v>19</v>
      </c>
      <c r="D1995" t="s">
        <v>1217</v>
      </c>
      <c r="E1995" t="s">
        <v>13</v>
      </c>
      <c r="F1995" t="s">
        <v>136</v>
      </c>
      <c r="G1995">
        <v>10.771699321734999</v>
      </c>
    </row>
    <row r="1996" spans="3:7" hidden="1" x14ac:dyDescent="0.3">
      <c r="C1996" t="s">
        <v>21</v>
      </c>
      <c r="D1996" t="s">
        <v>1033</v>
      </c>
      <c r="E1996" t="s">
        <v>13</v>
      </c>
      <c r="F1996" t="s">
        <v>136</v>
      </c>
      <c r="G1996">
        <v>10.7402333333333</v>
      </c>
    </row>
    <row r="1997" spans="3:7" hidden="1" x14ac:dyDescent="0.3">
      <c r="C1997" t="s">
        <v>78</v>
      </c>
      <c r="D1997" t="s">
        <v>922</v>
      </c>
      <c r="E1997" t="s">
        <v>13</v>
      </c>
      <c r="F1997" t="s">
        <v>136</v>
      </c>
      <c r="G1997">
        <v>10.701092947689499</v>
      </c>
    </row>
    <row r="1998" spans="3:7" hidden="1" x14ac:dyDescent="0.3">
      <c r="C1998" t="s">
        <v>78</v>
      </c>
      <c r="D1998" t="s">
        <v>1356</v>
      </c>
      <c r="E1998" t="s">
        <v>17</v>
      </c>
      <c r="F1998" t="s">
        <v>136</v>
      </c>
      <c r="G1998">
        <v>10.58</v>
      </c>
    </row>
    <row r="1999" spans="3:7" hidden="1" x14ac:dyDescent="0.3">
      <c r="C1999" t="s">
        <v>21</v>
      </c>
      <c r="D1999" t="s">
        <v>1220</v>
      </c>
      <c r="E1999" t="s">
        <v>13</v>
      </c>
      <c r="F1999" t="s">
        <v>240</v>
      </c>
      <c r="G1999">
        <v>10.552620545073299</v>
      </c>
    </row>
    <row r="2000" spans="3:7" hidden="1" x14ac:dyDescent="0.3">
      <c r="C2000" t="s">
        <v>19</v>
      </c>
      <c r="D2000" t="s">
        <v>1057</v>
      </c>
      <c r="E2000" t="s">
        <v>13</v>
      </c>
      <c r="F2000" t="s">
        <v>240</v>
      </c>
      <c r="G2000">
        <v>10.4944708757762</v>
      </c>
    </row>
    <row r="2001" spans="3:7" hidden="1" x14ac:dyDescent="0.3">
      <c r="C2001" t="s">
        <v>11</v>
      </c>
      <c r="D2001" t="s">
        <v>1424</v>
      </c>
      <c r="E2001" t="s">
        <v>13</v>
      </c>
      <c r="F2001" t="s">
        <v>136</v>
      </c>
      <c r="G2001">
        <v>10.4401465798045</v>
      </c>
    </row>
    <row r="2002" spans="3:7" hidden="1" x14ac:dyDescent="0.3">
      <c r="C2002" t="s">
        <v>78</v>
      </c>
      <c r="D2002" t="s">
        <v>650</v>
      </c>
      <c r="E2002" t="s">
        <v>13</v>
      </c>
      <c r="F2002" t="s">
        <v>240</v>
      </c>
      <c r="G2002">
        <v>10.435331724969799</v>
      </c>
    </row>
    <row r="2003" spans="3:7" hidden="1" x14ac:dyDescent="0.3">
      <c r="C2003" t="s">
        <v>19</v>
      </c>
      <c r="D2003" t="s">
        <v>1425</v>
      </c>
      <c r="E2003" t="s">
        <v>17</v>
      </c>
      <c r="F2003" t="s">
        <v>136</v>
      </c>
      <c r="G2003">
        <v>10.428000000000001</v>
      </c>
    </row>
    <row r="2004" spans="3:7" hidden="1" x14ac:dyDescent="0.3">
      <c r="C2004" t="s">
        <v>188</v>
      </c>
      <c r="D2004" t="s">
        <v>1426</v>
      </c>
      <c r="E2004" t="s">
        <v>13</v>
      </c>
      <c r="F2004" t="s">
        <v>136</v>
      </c>
      <c r="G2004">
        <v>10.413793103448199</v>
      </c>
    </row>
    <row r="2005" spans="3:7" hidden="1" x14ac:dyDescent="0.3">
      <c r="C2005" t="s">
        <v>188</v>
      </c>
      <c r="D2005" t="s">
        <v>1427</v>
      </c>
      <c r="E2005" t="s">
        <v>13</v>
      </c>
      <c r="F2005" t="s">
        <v>136</v>
      </c>
      <c r="G2005">
        <v>10.413793103448199</v>
      </c>
    </row>
    <row r="2006" spans="3:7" hidden="1" x14ac:dyDescent="0.3">
      <c r="C2006" t="s">
        <v>7</v>
      </c>
      <c r="D2006" t="s">
        <v>1428</v>
      </c>
      <c r="E2006" t="s">
        <v>9</v>
      </c>
      <c r="F2006" t="s">
        <v>136</v>
      </c>
      <c r="G2006">
        <v>10.212736842105199</v>
      </c>
    </row>
    <row r="2007" spans="3:7" hidden="1" x14ac:dyDescent="0.3">
      <c r="C2007" t="s">
        <v>21</v>
      </c>
      <c r="D2007" t="s">
        <v>1429</v>
      </c>
      <c r="E2007" t="s">
        <v>13</v>
      </c>
      <c r="F2007" t="s">
        <v>136</v>
      </c>
      <c r="G2007">
        <v>10.197467863894101</v>
      </c>
    </row>
    <row r="2008" spans="3:7" hidden="1" x14ac:dyDescent="0.3">
      <c r="C2008" t="s">
        <v>11</v>
      </c>
      <c r="D2008" t="s">
        <v>1430</v>
      </c>
      <c r="E2008" t="s">
        <v>9</v>
      </c>
      <c r="F2008" t="s">
        <v>136</v>
      </c>
      <c r="G2008">
        <v>10.164967254407999</v>
      </c>
    </row>
    <row r="2009" spans="3:7" hidden="1" x14ac:dyDescent="0.3">
      <c r="C2009" t="s">
        <v>21</v>
      </c>
      <c r="D2009" t="s">
        <v>1431</v>
      </c>
      <c r="E2009" t="s">
        <v>9</v>
      </c>
      <c r="F2009" t="s">
        <v>136</v>
      </c>
      <c r="G2009">
        <v>10.129655172413701</v>
      </c>
    </row>
    <row r="2010" spans="3:7" hidden="1" x14ac:dyDescent="0.3">
      <c r="C2010" t="s">
        <v>21</v>
      </c>
      <c r="D2010" t="s">
        <v>1390</v>
      </c>
      <c r="E2010" t="s">
        <v>13</v>
      </c>
      <c r="F2010" t="s">
        <v>136</v>
      </c>
      <c r="G2010">
        <v>10.1084919472913</v>
      </c>
    </row>
    <row r="2011" spans="3:7" hidden="1" x14ac:dyDescent="0.3">
      <c r="C2011" t="s">
        <v>21</v>
      </c>
      <c r="D2011" t="s">
        <v>1285</v>
      </c>
      <c r="E2011" t="s">
        <v>9</v>
      </c>
      <c r="F2011" t="s">
        <v>136</v>
      </c>
      <c r="G2011">
        <v>9.9666569573988397</v>
      </c>
    </row>
    <row r="2012" spans="3:7" hidden="1" x14ac:dyDescent="0.3">
      <c r="C2012" t="s">
        <v>14</v>
      </c>
      <c r="D2012" t="s">
        <v>1432</v>
      </c>
      <c r="E2012" t="s">
        <v>13</v>
      </c>
      <c r="F2012" t="s">
        <v>136</v>
      </c>
      <c r="G2012">
        <v>9.9440588235294101</v>
      </c>
    </row>
    <row r="2013" spans="3:7" hidden="1" x14ac:dyDescent="0.3">
      <c r="C2013" t="s">
        <v>14</v>
      </c>
      <c r="D2013" t="s">
        <v>1433</v>
      </c>
      <c r="E2013" t="s">
        <v>13</v>
      </c>
      <c r="F2013" t="s">
        <v>136</v>
      </c>
      <c r="G2013">
        <v>9.9440588235294101</v>
      </c>
    </row>
    <row r="2014" spans="3:7" hidden="1" x14ac:dyDescent="0.3">
      <c r="C2014" t="s">
        <v>126</v>
      </c>
      <c r="D2014" t="s">
        <v>722</v>
      </c>
      <c r="E2014" t="s">
        <v>13</v>
      </c>
      <c r="F2014" t="s">
        <v>136</v>
      </c>
      <c r="G2014">
        <v>9.8708993953456297</v>
      </c>
    </row>
    <row r="2015" spans="3:7" hidden="1" x14ac:dyDescent="0.3">
      <c r="C2015" t="s">
        <v>19</v>
      </c>
      <c r="D2015" t="s">
        <v>1434</v>
      </c>
      <c r="E2015" t="s">
        <v>17</v>
      </c>
      <c r="F2015" t="s">
        <v>136</v>
      </c>
      <c r="G2015">
        <v>9.8089999999999993</v>
      </c>
    </row>
    <row r="2016" spans="3:7" hidden="1" x14ac:dyDescent="0.3">
      <c r="C2016" t="s">
        <v>11</v>
      </c>
      <c r="D2016" t="s">
        <v>1435</v>
      </c>
      <c r="E2016" t="s">
        <v>13</v>
      </c>
      <c r="F2016" t="s">
        <v>136</v>
      </c>
      <c r="G2016">
        <v>9.8009734696693904</v>
      </c>
    </row>
    <row r="2017" spans="3:7" hidden="1" x14ac:dyDescent="0.3">
      <c r="C2017" t="s">
        <v>78</v>
      </c>
      <c r="D2017" t="s">
        <v>764</v>
      </c>
      <c r="E2017" t="s">
        <v>13</v>
      </c>
      <c r="F2017" t="s">
        <v>240</v>
      </c>
      <c r="G2017">
        <v>9.6576774193548296</v>
      </c>
    </row>
    <row r="2018" spans="3:7" hidden="1" x14ac:dyDescent="0.3">
      <c r="C2018" t="s">
        <v>808</v>
      </c>
      <c r="D2018" t="s">
        <v>1436</v>
      </c>
      <c r="E2018" t="s">
        <v>9</v>
      </c>
      <c r="F2018" t="s">
        <v>10</v>
      </c>
      <c r="G2018">
        <v>9.5308235294117605</v>
      </c>
    </row>
    <row r="2019" spans="3:7" hidden="1" x14ac:dyDescent="0.3">
      <c r="C2019" t="s">
        <v>188</v>
      </c>
      <c r="D2019" t="s">
        <v>969</v>
      </c>
      <c r="E2019" t="s">
        <v>9</v>
      </c>
      <c r="F2019" t="s">
        <v>136</v>
      </c>
      <c r="G2019">
        <v>9.5124999999999993</v>
      </c>
    </row>
    <row r="2020" spans="3:7" hidden="1" x14ac:dyDescent="0.3">
      <c r="C2020" t="s">
        <v>14</v>
      </c>
      <c r="D2020" t="s">
        <v>639</v>
      </c>
      <c r="E2020" t="s">
        <v>13</v>
      </c>
      <c r="F2020" t="s">
        <v>136</v>
      </c>
      <c r="G2020">
        <v>9.4896065987101199</v>
      </c>
    </row>
    <row r="2021" spans="3:7" hidden="1" x14ac:dyDescent="0.3">
      <c r="C2021" t="s">
        <v>7</v>
      </c>
      <c r="D2021" t="s">
        <v>1437</v>
      </c>
      <c r="E2021" t="s">
        <v>9</v>
      </c>
      <c r="F2021" t="s">
        <v>136</v>
      </c>
      <c r="G2021">
        <v>9.4186161962600394</v>
      </c>
    </row>
    <row r="2022" spans="3:7" hidden="1" x14ac:dyDescent="0.3">
      <c r="C2022" t="s">
        <v>429</v>
      </c>
      <c r="D2022" t="s">
        <v>922</v>
      </c>
      <c r="E2022" t="s">
        <v>13</v>
      </c>
      <c r="F2022" t="s">
        <v>136</v>
      </c>
      <c r="G2022">
        <v>9.3420000000000005</v>
      </c>
    </row>
    <row r="2023" spans="3:7" hidden="1" x14ac:dyDescent="0.3">
      <c r="C2023" t="s">
        <v>11</v>
      </c>
      <c r="D2023" t="s">
        <v>1432</v>
      </c>
      <c r="E2023" t="s">
        <v>13</v>
      </c>
      <c r="F2023" t="s">
        <v>136</v>
      </c>
      <c r="G2023">
        <v>9.2260500000000008</v>
      </c>
    </row>
    <row r="2024" spans="3:7" hidden="1" x14ac:dyDescent="0.3">
      <c r="C2024" t="s">
        <v>21</v>
      </c>
      <c r="D2024" t="s">
        <v>1438</v>
      </c>
      <c r="E2024" t="s">
        <v>9</v>
      </c>
      <c r="F2024" t="s">
        <v>136</v>
      </c>
      <c r="G2024">
        <v>9.1786389413988605</v>
      </c>
    </row>
    <row r="2025" spans="3:7" hidden="1" x14ac:dyDescent="0.3">
      <c r="C2025" t="s">
        <v>11</v>
      </c>
      <c r="D2025" t="s">
        <v>834</v>
      </c>
      <c r="E2025" t="s">
        <v>13</v>
      </c>
      <c r="F2025" t="s">
        <v>136</v>
      </c>
      <c r="G2025">
        <v>9.1017156556645809</v>
      </c>
    </row>
    <row r="2026" spans="3:7" hidden="1" x14ac:dyDescent="0.3">
      <c r="C2026" t="s">
        <v>19</v>
      </c>
      <c r="D2026" t="s">
        <v>832</v>
      </c>
      <c r="E2026" t="s">
        <v>13</v>
      </c>
      <c r="F2026" t="s">
        <v>240</v>
      </c>
      <c r="G2026">
        <v>9.0816612086371507</v>
      </c>
    </row>
    <row r="2027" spans="3:7" hidden="1" x14ac:dyDescent="0.3">
      <c r="C2027" t="s">
        <v>19</v>
      </c>
      <c r="D2027" t="s">
        <v>1160</v>
      </c>
      <c r="E2027" t="s">
        <v>13</v>
      </c>
      <c r="F2027" t="s">
        <v>136</v>
      </c>
      <c r="G2027">
        <v>9.0577709598884599</v>
      </c>
    </row>
    <row r="2028" spans="3:7" hidden="1" x14ac:dyDescent="0.3">
      <c r="C2028" t="s">
        <v>78</v>
      </c>
      <c r="D2028" t="s">
        <v>1439</v>
      </c>
      <c r="E2028" t="s">
        <v>17</v>
      </c>
      <c r="F2028" t="s">
        <v>136</v>
      </c>
      <c r="G2028">
        <v>9</v>
      </c>
    </row>
    <row r="2029" spans="3:7" hidden="1" x14ac:dyDescent="0.3">
      <c r="C2029" t="s">
        <v>78</v>
      </c>
      <c r="D2029" t="s">
        <v>1440</v>
      </c>
      <c r="E2029" t="s">
        <v>17</v>
      </c>
      <c r="F2029" t="s">
        <v>136</v>
      </c>
      <c r="G2029">
        <v>9</v>
      </c>
    </row>
    <row r="2030" spans="3:7" hidden="1" x14ac:dyDescent="0.3">
      <c r="C2030" t="s">
        <v>78</v>
      </c>
      <c r="D2030" t="s">
        <v>1441</v>
      </c>
      <c r="E2030" t="s">
        <v>17</v>
      </c>
      <c r="F2030" t="s">
        <v>136</v>
      </c>
      <c r="G2030">
        <v>9</v>
      </c>
    </row>
    <row r="2031" spans="3:7" hidden="1" x14ac:dyDescent="0.3">
      <c r="C2031" t="s">
        <v>11</v>
      </c>
      <c r="D2031" t="s">
        <v>1442</v>
      </c>
      <c r="E2031" t="s">
        <v>9</v>
      </c>
      <c r="F2031" t="s">
        <v>136</v>
      </c>
      <c r="G2031">
        <v>8.9639763053971002</v>
      </c>
    </row>
    <row r="2032" spans="3:7" hidden="1" x14ac:dyDescent="0.3">
      <c r="C2032" t="s">
        <v>21</v>
      </c>
      <c r="D2032" t="s">
        <v>1389</v>
      </c>
      <c r="E2032" t="s">
        <v>13</v>
      </c>
      <c r="F2032" t="s">
        <v>136</v>
      </c>
      <c r="G2032">
        <v>8.9367853430353392</v>
      </c>
    </row>
    <row r="2033" spans="3:7" hidden="1" x14ac:dyDescent="0.3">
      <c r="C2033" t="s">
        <v>11</v>
      </c>
      <c r="D2033" t="s">
        <v>1347</v>
      </c>
      <c r="E2033" t="s">
        <v>13</v>
      </c>
      <c r="F2033" t="s">
        <v>136</v>
      </c>
      <c r="G2033">
        <v>8.8524246002632694</v>
      </c>
    </row>
    <row r="2034" spans="3:7" hidden="1" x14ac:dyDescent="0.3">
      <c r="C2034" t="s">
        <v>19</v>
      </c>
      <c r="D2034" t="s">
        <v>1022</v>
      </c>
      <c r="E2034" t="s">
        <v>13</v>
      </c>
      <c r="F2034" t="s">
        <v>136</v>
      </c>
      <c r="G2034">
        <v>8.8019999999999996</v>
      </c>
    </row>
    <row r="2035" spans="3:7" hidden="1" x14ac:dyDescent="0.3">
      <c r="C2035" t="s">
        <v>90</v>
      </c>
      <c r="D2035" t="s">
        <v>508</v>
      </c>
      <c r="E2035" t="s">
        <v>13</v>
      </c>
      <c r="F2035" t="s">
        <v>136</v>
      </c>
      <c r="G2035">
        <v>8.7906830476949303</v>
      </c>
    </row>
    <row r="2036" spans="3:7" hidden="1" x14ac:dyDescent="0.3">
      <c r="C2036" t="s">
        <v>11</v>
      </c>
      <c r="D2036" t="s">
        <v>1263</v>
      </c>
      <c r="E2036" t="s">
        <v>9</v>
      </c>
      <c r="F2036" t="s">
        <v>136</v>
      </c>
      <c r="G2036">
        <v>8.6900620633206191</v>
      </c>
    </row>
    <row r="2037" spans="3:7" hidden="1" x14ac:dyDescent="0.3">
      <c r="C2037" t="s">
        <v>19</v>
      </c>
      <c r="D2037" t="s">
        <v>1443</v>
      </c>
      <c r="E2037" t="s">
        <v>13</v>
      </c>
      <c r="F2037" t="s">
        <v>136</v>
      </c>
      <c r="G2037">
        <v>8.6545000000000005</v>
      </c>
    </row>
    <row r="2038" spans="3:7" hidden="1" x14ac:dyDescent="0.3">
      <c r="C2038" t="s">
        <v>7</v>
      </c>
      <c r="D2038" t="s">
        <v>1150</v>
      </c>
      <c r="E2038" t="s">
        <v>13</v>
      </c>
      <c r="F2038" t="s">
        <v>136</v>
      </c>
      <c r="G2038">
        <v>8.4692931967043297</v>
      </c>
    </row>
    <row r="2039" spans="3:7" hidden="1" x14ac:dyDescent="0.3">
      <c r="C2039" t="s">
        <v>11</v>
      </c>
      <c r="D2039" t="s">
        <v>401</v>
      </c>
      <c r="E2039" t="s">
        <v>9</v>
      </c>
      <c r="F2039" t="s">
        <v>136</v>
      </c>
      <c r="G2039">
        <v>8.4086282034908795</v>
      </c>
    </row>
    <row r="2040" spans="3:7" hidden="1" x14ac:dyDescent="0.3">
      <c r="C2040" t="s">
        <v>90</v>
      </c>
      <c r="D2040" t="s">
        <v>320</v>
      </c>
      <c r="E2040" t="s">
        <v>13</v>
      </c>
      <c r="F2040" t="s">
        <v>136</v>
      </c>
      <c r="G2040">
        <v>8.3685225544458195</v>
      </c>
    </row>
    <row r="2041" spans="3:7" hidden="1" x14ac:dyDescent="0.3">
      <c r="C2041" t="s">
        <v>90</v>
      </c>
      <c r="D2041" t="s">
        <v>171</v>
      </c>
      <c r="E2041" t="s">
        <v>13</v>
      </c>
      <c r="F2041" t="s">
        <v>136</v>
      </c>
      <c r="G2041">
        <v>8.2753511506343305</v>
      </c>
    </row>
    <row r="2042" spans="3:7" hidden="1" x14ac:dyDescent="0.3">
      <c r="C2042" t="s">
        <v>7</v>
      </c>
      <c r="D2042" t="s">
        <v>1444</v>
      </c>
      <c r="E2042" t="s">
        <v>13</v>
      </c>
      <c r="F2042" t="s">
        <v>136</v>
      </c>
      <c r="G2042">
        <v>8.1925172701681195</v>
      </c>
    </row>
    <row r="2043" spans="3:7" hidden="1" x14ac:dyDescent="0.3">
      <c r="C2043" t="s">
        <v>126</v>
      </c>
      <c r="D2043" t="s">
        <v>745</v>
      </c>
      <c r="E2043" t="s">
        <v>13</v>
      </c>
      <c r="F2043" t="s">
        <v>240</v>
      </c>
      <c r="G2043">
        <v>8.1747972972972907</v>
      </c>
    </row>
    <row r="2044" spans="3:7" hidden="1" x14ac:dyDescent="0.3">
      <c r="C2044" t="s">
        <v>126</v>
      </c>
      <c r="D2044" t="s">
        <v>1445</v>
      </c>
      <c r="E2044" t="s">
        <v>13</v>
      </c>
      <c r="F2044" t="s">
        <v>240</v>
      </c>
      <c r="G2044">
        <v>8.1675000000000004</v>
      </c>
    </row>
    <row r="2045" spans="3:7" hidden="1" x14ac:dyDescent="0.3">
      <c r="C2045" t="s">
        <v>14</v>
      </c>
      <c r="D2045" t="s">
        <v>885</v>
      </c>
      <c r="E2045" t="s">
        <v>13</v>
      </c>
      <c r="F2045" t="s">
        <v>136</v>
      </c>
      <c r="G2045">
        <v>8.0927083333333307</v>
      </c>
    </row>
    <row r="2046" spans="3:7" hidden="1" x14ac:dyDescent="0.3">
      <c r="C2046" t="s">
        <v>11</v>
      </c>
      <c r="D2046" t="s">
        <v>690</v>
      </c>
      <c r="E2046" t="s">
        <v>9</v>
      </c>
      <c r="F2046" t="s">
        <v>136</v>
      </c>
      <c r="G2046">
        <v>8.0027359781121703</v>
      </c>
    </row>
    <row r="2047" spans="3:7" hidden="1" x14ac:dyDescent="0.3">
      <c r="C2047" t="s">
        <v>11</v>
      </c>
      <c r="D2047" t="s">
        <v>1446</v>
      </c>
      <c r="E2047" t="s">
        <v>9</v>
      </c>
      <c r="F2047" t="s">
        <v>136</v>
      </c>
      <c r="G2047">
        <v>7.9679789381307504</v>
      </c>
    </row>
    <row r="2048" spans="3:7" hidden="1" x14ac:dyDescent="0.3">
      <c r="C2048" t="s">
        <v>90</v>
      </c>
      <c r="D2048" t="s">
        <v>401</v>
      </c>
      <c r="E2048" t="s">
        <v>9</v>
      </c>
      <c r="F2048" t="s">
        <v>136</v>
      </c>
      <c r="G2048">
        <v>7.8664112011790701</v>
      </c>
    </row>
    <row r="2049" spans="3:7" hidden="1" x14ac:dyDescent="0.3">
      <c r="C2049" t="s">
        <v>14</v>
      </c>
      <c r="D2049" t="s">
        <v>1447</v>
      </c>
      <c r="E2049" t="s">
        <v>9</v>
      </c>
      <c r="F2049" t="s">
        <v>136</v>
      </c>
      <c r="G2049">
        <v>7.8276974619289303</v>
      </c>
    </row>
    <row r="2050" spans="3:7" hidden="1" x14ac:dyDescent="0.3">
      <c r="C2050" t="s">
        <v>90</v>
      </c>
      <c r="D2050" t="s">
        <v>410</v>
      </c>
      <c r="E2050" t="s">
        <v>13</v>
      </c>
      <c r="F2050" t="s">
        <v>136</v>
      </c>
      <c r="G2050">
        <v>7.7676035731617397</v>
      </c>
    </row>
    <row r="2051" spans="3:7" hidden="1" x14ac:dyDescent="0.3">
      <c r="C2051" t="s">
        <v>21</v>
      </c>
      <c r="D2051" t="s">
        <v>1379</v>
      </c>
      <c r="E2051" t="s">
        <v>13</v>
      </c>
      <c r="F2051" t="s">
        <v>136</v>
      </c>
      <c r="G2051">
        <v>7.6705589256505897</v>
      </c>
    </row>
    <row r="2052" spans="3:7" hidden="1" x14ac:dyDescent="0.3">
      <c r="C2052" t="s">
        <v>126</v>
      </c>
      <c r="D2052" t="s">
        <v>1448</v>
      </c>
      <c r="E2052" t="s">
        <v>13</v>
      </c>
      <c r="F2052" t="s">
        <v>136</v>
      </c>
      <c r="G2052">
        <v>7.6599519230769202</v>
      </c>
    </row>
    <row r="2053" spans="3:7" hidden="1" x14ac:dyDescent="0.3">
      <c r="C2053" t="s">
        <v>19</v>
      </c>
      <c r="D2053" t="s">
        <v>1449</v>
      </c>
      <c r="E2053" t="s">
        <v>9</v>
      </c>
      <c r="F2053" t="s">
        <v>136</v>
      </c>
      <c r="G2053">
        <v>7.5236582694414</v>
      </c>
    </row>
    <row r="2054" spans="3:7" hidden="1" x14ac:dyDescent="0.3">
      <c r="C2054" t="s">
        <v>126</v>
      </c>
      <c r="D2054" t="s">
        <v>1450</v>
      </c>
      <c r="E2054" t="s">
        <v>17</v>
      </c>
      <c r="F2054" t="s">
        <v>136</v>
      </c>
      <c r="G2054">
        <v>7.4659999999999904</v>
      </c>
    </row>
    <row r="2055" spans="3:7" hidden="1" x14ac:dyDescent="0.3">
      <c r="C2055" t="s">
        <v>21</v>
      </c>
      <c r="D2055" t="s">
        <v>770</v>
      </c>
      <c r="E2055" t="s">
        <v>13</v>
      </c>
      <c r="F2055" t="s">
        <v>136</v>
      </c>
      <c r="G2055">
        <v>7.4072142857142804</v>
      </c>
    </row>
    <row r="2056" spans="3:7" hidden="1" x14ac:dyDescent="0.3">
      <c r="C2056" t="s">
        <v>21</v>
      </c>
      <c r="D2056" t="s">
        <v>1451</v>
      </c>
      <c r="E2056" t="s">
        <v>9</v>
      </c>
      <c r="F2056" t="s">
        <v>136</v>
      </c>
      <c r="G2056">
        <v>7.3429111531190898</v>
      </c>
    </row>
    <row r="2057" spans="3:7" hidden="1" x14ac:dyDescent="0.3">
      <c r="C2057" t="s">
        <v>21</v>
      </c>
      <c r="D2057" t="s">
        <v>1452</v>
      </c>
      <c r="E2057" t="s">
        <v>9</v>
      </c>
      <c r="F2057" t="s">
        <v>136</v>
      </c>
      <c r="G2057">
        <v>7.3360000000000003</v>
      </c>
    </row>
    <row r="2058" spans="3:7" hidden="1" x14ac:dyDescent="0.3">
      <c r="C2058" t="s">
        <v>188</v>
      </c>
      <c r="D2058" t="s">
        <v>1453</v>
      </c>
      <c r="E2058" t="s">
        <v>13</v>
      </c>
      <c r="F2058" t="s">
        <v>136</v>
      </c>
      <c r="G2058">
        <v>7.2896551724137897</v>
      </c>
    </row>
    <row r="2059" spans="3:7" hidden="1" x14ac:dyDescent="0.3">
      <c r="C2059" t="s">
        <v>11</v>
      </c>
      <c r="D2059" t="s">
        <v>1454</v>
      </c>
      <c r="E2059" t="s">
        <v>9</v>
      </c>
      <c r="F2059" t="s">
        <v>136</v>
      </c>
      <c r="G2059">
        <v>7.2813725245316601</v>
      </c>
    </row>
    <row r="2060" spans="3:7" hidden="1" x14ac:dyDescent="0.3">
      <c r="C2060" t="s">
        <v>7</v>
      </c>
      <c r="D2060" t="s">
        <v>1347</v>
      </c>
      <c r="E2060" t="s">
        <v>13</v>
      </c>
      <c r="F2060" t="s">
        <v>136</v>
      </c>
      <c r="G2060">
        <v>7.2308823529411699</v>
      </c>
    </row>
    <row r="2061" spans="3:7" hidden="1" x14ac:dyDescent="0.3">
      <c r="C2061" t="s">
        <v>90</v>
      </c>
      <c r="D2061" t="s">
        <v>550</v>
      </c>
      <c r="E2061" t="s">
        <v>9</v>
      </c>
      <c r="F2061" t="s">
        <v>136</v>
      </c>
      <c r="G2061">
        <v>7.2083600991098402</v>
      </c>
    </row>
    <row r="2062" spans="3:7" hidden="1" x14ac:dyDescent="0.3">
      <c r="C2062" t="s">
        <v>7</v>
      </c>
      <c r="D2062" t="s">
        <v>1291</v>
      </c>
      <c r="E2062" t="s">
        <v>13</v>
      </c>
      <c r="F2062" t="s">
        <v>136</v>
      </c>
      <c r="G2062">
        <v>7.2047106417841702</v>
      </c>
    </row>
    <row r="2063" spans="3:7" hidden="1" x14ac:dyDescent="0.3">
      <c r="C2063" t="s">
        <v>7</v>
      </c>
      <c r="D2063" t="s">
        <v>1455</v>
      </c>
      <c r="E2063" t="s">
        <v>9</v>
      </c>
      <c r="F2063" t="s">
        <v>136</v>
      </c>
      <c r="G2063">
        <v>7.1602055921052603</v>
      </c>
    </row>
    <row r="2064" spans="3:7" hidden="1" x14ac:dyDescent="0.3">
      <c r="C2064" t="s">
        <v>19</v>
      </c>
      <c r="D2064" t="s">
        <v>1456</v>
      </c>
      <c r="E2064" t="s">
        <v>13</v>
      </c>
      <c r="F2064" t="s">
        <v>240</v>
      </c>
      <c r="G2064">
        <v>7.1430324482758598</v>
      </c>
    </row>
    <row r="2065" spans="3:7" hidden="1" x14ac:dyDescent="0.3">
      <c r="C2065" t="s">
        <v>78</v>
      </c>
      <c r="D2065" t="s">
        <v>728</v>
      </c>
      <c r="E2065" t="s">
        <v>13</v>
      </c>
      <c r="F2065" t="s">
        <v>136</v>
      </c>
      <c r="G2065">
        <v>7.11944444444444</v>
      </c>
    </row>
    <row r="2066" spans="3:7" hidden="1" x14ac:dyDescent="0.3">
      <c r="C2066" t="s">
        <v>21</v>
      </c>
      <c r="D2066" t="s">
        <v>1175</v>
      </c>
      <c r="E2066" t="s">
        <v>13</v>
      </c>
      <c r="F2066" t="s">
        <v>136</v>
      </c>
      <c r="G2066">
        <v>7.0890060992799198</v>
      </c>
    </row>
    <row r="2067" spans="3:7" hidden="1" x14ac:dyDescent="0.3">
      <c r="C2067" t="s">
        <v>11</v>
      </c>
      <c r="D2067" t="s">
        <v>1291</v>
      </c>
      <c r="E2067" t="s">
        <v>13</v>
      </c>
      <c r="F2067" t="s">
        <v>136</v>
      </c>
      <c r="G2067">
        <v>7.0535619436552599</v>
      </c>
    </row>
    <row r="2068" spans="3:7" hidden="1" x14ac:dyDescent="0.3">
      <c r="C2068" t="s">
        <v>429</v>
      </c>
      <c r="D2068" t="s">
        <v>1457</v>
      </c>
      <c r="E2068" t="s">
        <v>9</v>
      </c>
      <c r="F2068" t="s">
        <v>136</v>
      </c>
      <c r="G2068">
        <v>7.02</v>
      </c>
    </row>
    <row r="2069" spans="3:7" hidden="1" x14ac:dyDescent="0.3">
      <c r="C2069" t="s">
        <v>11</v>
      </c>
      <c r="D2069" t="s">
        <v>535</v>
      </c>
      <c r="E2069" t="s">
        <v>13</v>
      </c>
      <c r="F2069" t="s">
        <v>136</v>
      </c>
      <c r="G2069">
        <v>7.0013765776342796</v>
      </c>
    </row>
    <row r="2070" spans="3:7" hidden="1" x14ac:dyDescent="0.3">
      <c r="C2070" t="s">
        <v>78</v>
      </c>
      <c r="D2070" t="s">
        <v>1260</v>
      </c>
      <c r="E2070" t="s">
        <v>13</v>
      </c>
      <c r="F2070" t="s">
        <v>240</v>
      </c>
      <c r="G2070">
        <v>6.9782412626832002</v>
      </c>
    </row>
    <row r="2071" spans="3:7" hidden="1" x14ac:dyDescent="0.3">
      <c r="C2071" t="s">
        <v>21</v>
      </c>
      <c r="D2071" t="s">
        <v>381</v>
      </c>
      <c r="E2071" t="s">
        <v>13</v>
      </c>
      <c r="F2071" t="s">
        <v>136</v>
      </c>
      <c r="G2071">
        <v>6.9650349650349597</v>
      </c>
    </row>
    <row r="2072" spans="3:7" hidden="1" x14ac:dyDescent="0.3">
      <c r="C2072" t="s">
        <v>126</v>
      </c>
      <c r="D2072" t="s">
        <v>940</v>
      </c>
      <c r="E2072" t="s">
        <v>17</v>
      </c>
      <c r="F2072" t="s">
        <v>136</v>
      </c>
      <c r="G2072">
        <v>6.9599999999999902</v>
      </c>
    </row>
    <row r="2073" spans="3:7" hidden="1" x14ac:dyDescent="0.3">
      <c r="C2073" t="s">
        <v>126</v>
      </c>
      <c r="D2073" t="s">
        <v>941</v>
      </c>
      <c r="E2073" t="s">
        <v>9</v>
      </c>
      <c r="F2073" t="s">
        <v>136</v>
      </c>
      <c r="G2073">
        <v>6.8781176470588203</v>
      </c>
    </row>
    <row r="2074" spans="3:7" hidden="1" x14ac:dyDescent="0.3">
      <c r="C2074" t="s">
        <v>269</v>
      </c>
      <c r="D2074" t="s">
        <v>563</v>
      </c>
      <c r="E2074" t="s">
        <v>13</v>
      </c>
      <c r="F2074" t="s">
        <v>240</v>
      </c>
      <c r="G2074">
        <v>6.8656511340941604</v>
      </c>
    </row>
    <row r="2075" spans="3:7" hidden="1" x14ac:dyDescent="0.3">
      <c r="C2075" t="s">
        <v>21</v>
      </c>
      <c r="D2075" t="s">
        <v>1191</v>
      </c>
      <c r="E2075" t="s">
        <v>13</v>
      </c>
      <c r="F2075" t="s">
        <v>136</v>
      </c>
      <c r="G2075">
        <v>6.8491871511052898</v>
      </c>
    </row>
    <row r="2076" spans="3:7" hidden="1" x14ac:dyDescent="0.3">
      <c r="C2076" t="s">
        <v>19</v>
      </c>
      <c r="D2076" t="s">
        <v>1191</v>
      </c>
      <c r="E2076" t="s">
        <v>13</v>
      </c>
      <c r="F2076" t="s">
        <v>136</v>
      </c>
      <c r="G2076">
        <v>6.8090000000000002</v>
      </c>
    </row>
    <row r="2077" spans="3:7" hidden="1" x14ac:dyDescent="0.3">
      <c r="C2077" t="s">
        <v>90</v>
      </c>
      <c r="D2077" t="s">
        <v>564</v>
      </c>
      <c r="E2077" t="s">
        <v>9</v>
      </c>
      <c r="F2077" t="s">
        <v>136</v>
      </c>
      <c r="G2077">
        <v>6.7758584931632502</v>
      </c>
    </row>
    <row r="2078" spans="3:7" hidden="1" x14ac:dyDescent="0.3">
      <c r="C2078" t="s">
        <v>7</v>
      </c>
      <c r="D2078" t="s">
        <v>1189</v>
      </c>
      <c r="E2078" t="s">
        <v>13</v>
      </c>
      <c r="F2078" t="s">
        <v>136</v>
      </c>
      <c r="G2078">
        <v>6.7473381048386996</v>
      </c>
    </row>
    <row r="2079" spans="3:7" hidden="1" x14ac:dyDescent="0.3">
      <c r="C2079" t="s">
        <v>269</v>
      </c>
      <c r="D2079" t="s">
        <v>969</v>
      </c>
      <c r="E2079" t="s">
        <v>9</v>
      </c>
      <c r="F2079" t="s">
        <v>136</v>
      </c>
      <c r="G2079">
        <v>6.6969456978487596</v>
      </c>
    </row>
    <row r="2080" spans="3:7" hidden="1" x14ac:dyDescent="0.3">
      <c r="C2080" t="s">
        <v>78</v>
      </c>
      <c r="D2080" t="s">
        <v>799</v>
      </c>
      <c r="E2080" t="s">
        <v>13</v>
      </c>
      <c r="F2080" t="s">
        <v>240</v>
      </c>
      <c r="G2080">
        <v>6.6852976190476099</v>
      </c>
    </row>
    <row r="2081" spans="3:7" hidden="1" x14ac:dyDescent="0.3">
      <c r="C2081" t="s">
        <v>269</v>
      </c>
      <c r="D2081" t="s">
        <v>956</v>
      </c>
      <c r="E2081" t="s">
        <v>13</v>
      </c>
      <c r="F2081" t="s">
        <v>240</v>
      </c>
      <c r="G2081">
        <v>6.6116728027911602</v>
      </c>
    </row>
    <row r="2082" spans="3:7" hidden="1" x14ac:dyDescent="0.3">
      <c r="C2082" t="s">
        <v>19</v>
      </c>
      <c r="D2082" t="s">
        <v>1117</v>
      </c>
      <c r="E2082" t="s">
        <v>13</v>
      </c>
      <c r="F2082" t="s">
        <v>136</v>
      </c>
      <c r="G2082">
        <v>6.6</v>
      </c>
    </row>
    <row r="2083" spans="3:7" hidden="1" x14ac:dyDescent="0.3">
      <c r="C2083" t="s">
        <v>21</v>
      </c>
      <c r="D2083" t="s">
        <v>1458</v>
      </c>
      <c r="E2083" t="s">
        <v>9</v>
      </c>
      <c r="F2083" t="s">
        <v>136</v>
      </c>
      <c r="G2083">
        <v>6.4956521739130402</v>
      </c>
    </row>
    <row r="2084" spans="3:7" hidden="1" x14ac:dyDescent="0.3">
      <c r="C2084" t="s">
        <v>90</v>
      </c>
      <c r="D2084" t="s">
        <v>622</v>
      </c>
      <c r="E2084" t="s">
        <v>13</v>
      </c>
      <c r="F2084" t="s">
        <v>136</v>
      </c>
      <c r="G2084">
        <v>6.4560192938969596</v>
      </c>
    </row>
    <row r="2085" spans="3:7" hidden="1" x14ac:dyDescent="0.3">
      <c r="C2085" t="s">
        <v>90</v>
      </c>
      <c r="D2085" t="s">
        <v>736</v>
      </c>
      <c r="E2085" t="s">
        <v>9</v>
      </c>
      <c r="F2085" t="s">
        <v>136</v>
      </c>
      <c r="G2085">
        <v>6.4460869565217296</v>
      </c>
    </row>
    <row r="2086" spans="3:7" hidden="1" x14ac:dyDescent="0.3">
      <c r="C2086" t="s">
        <v>429</v>
      </c>
      <c r="D2086" t="s">
        <v>1459</v>
      </c>
      <c r="E2086" t="s">
        <v>17</v>
      </c>
      <c r="F2086" t="s">
        <v>136</v>
      </c>
      <c r="G2086">
        <v>6.4260000000000002</v>
      </c>
    </row>
    <row r="2087" spans="3:7" hidden="1" x14ac:dyDescent="0.3">
      <c r="C2087" t="s">
        <v>126</v>
      </c>
      <c r="D2087" t="s">
        <v>563</v>
      </c>
      <c r="E2087" t="s">
        <v>13</v>
      </c>
      <c r="F2087" t="s">
        <v>240</v>
      </c>
      <c r="G2087">
        <v>6.3873805246683304</v>
      </c>
    </row>
    <row r="2088" spans="3:7" hidden="1" x14ac:dyDescent="0.3">
      <c r="C2088" t="s">
        <v>11</v>
      </c>
      <c r="D2088" t="s">
        <v>630</v>
      </c>
      <c r="E2088" t="s">
        <v>9</v>
      </c>
      <c r="F2088" t="s">
        <v>136</v>
      </c>
      <c r="G2088">
        <v>6.3511978983814101</v>
      </c>
    </row>
    <row r="2089" spans="3:7" hidden="1" x14ac:dyDescent="0.3">
      <c r="C2089" t="s">
        <v>7</v>
      </c>
      <c r="D2089" t="s">
        <v>1045</v>
      </c>
      <c r="E2089" t="s">
        <v>13</v>
      </c>
      <c r="F2089" t="s">
        <v>136</v>
      </c>
      <c r="G2089">
        <v>6.3322082478725701</v>
      </c>
    </row>
    <row r="2090" spans="3:7" hidden="1" x14ac:dyDescent="0.3">
      <c r="C2090" t="s">
        <v>78</v>
      </c>
      <c r="D2090" t="s">
        <v>745</v>
      </c>
      <c r="E2090" t="s">
        <v>13</v>
      </c>
      <c r="F2090" t="s">
        <v>240</v>
      </c>
      <c r="G2090">
        <v>6.3279810451701701</v>
      </c>
    </row>
    <row r="2091" spans="3:7" hidden="1" x14ac:dyDescent="0.3">
      <c r="C2091" t="s">
        <v>14</v>
      </c>
      <c r="D2091" t="s">
        <v>1336</v>
      </c>
      <c r="E2091" t="s">
        <v>9</v>
      </c>
      <c r="F2091" t="s">
        <v>136</v>
      </c>
      <c r="G2091">
        <v>6.2632568807339402</v>
      </c>
    </row>
    <row r="2092" spans="3:7" hidden="1" x14ac:dyDescent="0.3">
      <c r="C2092" t="s">
        <v>7</v>
      </c>
      <c r="D2092" t="s">
        <v>1151</v>
      </c>
      <c r="E2092" t="s">
        <v>13</v>
      </c>
      <c r="F2092" t="s">
        <v>136</v>
      </c>
      <c r="G2092">
        <v>6.2541756465517198</v>
      </c>
    </row>
    <row r="2093" spans="3:7" hidden="1" x14ac:dyDescent="0.3">
      <c r="C2093" t="s">
        <v>808</v>
      </c>
      <c r="D2093" t="s">
        <v>1270</v>
      </c>
      <c r="E2093" t="s">
        <v>17</v>
      </c>
      <c r="F2093" t="s">
        <v>136</v>
      </c>
      <c r="G2093">
        <v>6.24</v>
      </c>
    </row>
    <row r="2094" spans="3:7" hidden="1" x14ac:dyDescent="0.3">
      <c r="C2094" t="s">
        <v>21</v>
      </c>
      <c r="D2094" t="s">
        <v>1022</v>
      </c>
      <c r="E2094" t="s">
        <v>13</v>
      </c>
      <c r="F2094" t="s">
        <v>136</v>
      </c>
      <c r="G2094">
        <v>6.2240173805805696</v>
      </c>
    </row>
    <row r="2095" spans="3:7" hidden="1" x14ac:dyDescent="0.3">
      <c r="C2095" t="s">
        <v>90</v>
      </c>
      <c r="D2095" t="s">
        <v>586</v>
      </c>
      <c r="E2095" t="s">
        <v>9</v>
      </c>
      <c r="F2095" t="s">
        <v>240</v>
      </c>
      <c r="G2095">
        <v>6.1991896852344599</v>
      </c>
    </row>
    <row r="2096" spans="3:7" hidden="1" x14ac:dyDescent="0.3">
      <c r="C2096" t="s">
        <v>19</v>
      </c>
      <c r="D2096" t="s">
        <v>1460</v>
      </c>
      <c r="E2096" t="s">
        <v>17</v>
      </c>
      <c r="F2096" t="s">
        <v>136</v>
      </c>
      <c r="G2096">
        <v>6.11239846491228</v>
      </c>
    </row>
    <row r="2097" spans="3:7" hidden="1" x14ac:dyDescent="0.3">
      <c r="C2097" t="s">
        <v>78</v>
      </c>
      <c r="D2097" t="s">
        <v>1097</v>
      </c>
      <c r="E2097" t="s">
        <v>13</v>
      </c>
      <c r="F2097" t="s">
        <v>136</v>
      </c>
      <c r="G2097">
        <v>6.0917767271618102</v>
      </c>
    </row>
    <row r="2098" spans="3:7" hidden="1" x14ac:dyDescent="0.3">
      <c r="C2098" t="s">
        <v>808</v>
      </c>
      <c r="D2098" t="s">
        <v>722</v>
      </c>
      <c r="E2098" t="s">
        <v>13</v>
      </c>
      <c r="F2098" t="s">
        <v>136</v>
      </c>
      <c r="G2098">
        <v>6.0676754647973103</v>
      </c>
    </row>
    <row r="2099" spans="3:7" hidden="1" x14ac:dyDescent="0.3">
      <c r="C2099" t="s">
        <v>90</v>
      </c>
      <c r="D2099" t="s">
        <v>438</v>
      </c>
      <c r="E2099" t="s">
        <v>13</v>
      </c>
      <c r="F2099" t="s">
        <v>136</v>
      </c>
      <c r="G2099">
        <v>5.9057141149993004</v>
      </c>
    </row>
    <row r="2100" spans="3:7" hidden="1" x14ac:dyDescent="0.3">
      <c r="C2100" t="s">
        <v>21</v>
      </c>
      <c r="D2100" t="s">
        <v>1291</v>
      </c>
      <c r="E2100" t="s">
        <v>13</v>
      </c>
      <c r="F2100" t="s">
        <v>136</v>
      </c>
      <c r="G2100">
        <v>5.8742876741979204</v>
      </c>
    </row>
    <row r="2101" spans="3:7" hidden="1" x14ac:dyDescent="0.3">
      <c r="C2101" t="s">
        <v>429</v>
      </c>
      <c r="D2101" t="s">
        <v>774</v>
      </c>
      <c r="E2101" t="s">
        <v>13</v>
      </c>
      <c r="F2101" t="s">
        <v>240</v>
      </c>
      <c r="G2101">
        <v>5.8394564705882299</v>
      </c>
    </row>
    <row r="2102" spans="3:7" hidden="1" x14ac:dyDescent="0.3">
      <c r="C2102" t="s">
        <v>21</v>
      </c>
      <c r="D2102" t="s">
        <v>1408</v>
      </c>
      <c r="E2102" t="s">
        <v>13</v>
      </c>
      <c r="F2102" t="s">
        <v>136</v>
      </c>
      <c r="G2102">
        <v>5.81995408163265</v>
      </c>
    </row>
    <row r="2103" spans="3:7" hidden="1" x14ac:dyDescent="0.3">
      <c r="C2103" t="s">
        <v>269</v>
      </c>
      <c r="D2103" t="s">
        <v>410</v>
      </c>
      <c r="E2103" t="s">
        <v>13</v>
      </c>
      <c r="F2103" t="s">
        <v>136</v>
      </c>
      <c r="G2103">
        <v>5.8066666666666604</v>
      </c>
    </row>
    <row r="2104" spans="3:7" hidden="1" x14ac:dyDescent="0.3">
      <c r="C2104" t="s">
        <v>21</v>
      </c>
      <c r="D2104" t="s">
        <v>1461</v>
      </c>
      <c r="E2104" t="s">
        <v>9</v>
      </c>
      <c r="F2104" t="s">
        <v>136</v>
      </c>
      <c r="G2104">
        <v>5.7978817299205598</v>
      </c>
    </row>
    <row r="2105" spans="3:7" hidden="1" x14ac:dyDescent="0.3">
      <c r="C2105" t="s">
        <v>7</v>
      </c>
      <c r="D2105" t="s">
        <v>1221</v>
      </c>
      <c r="E2105" t="s">
        <v>13</v>
      </c>
      <c r="F2105" t="s">
        <v>136</v>
      </c>
      <c r="G2105">
        <v>5.7789473684210497</v>
      </c>
    </row>
    <row r="2106" spans="3:7" hidden="1" x14ac:dyDescent="0.3">
      <c r="C2106" t="s">
        <v>19</v>
      </c>
      <c r="D2106" t="s">
        <v>690</v>
      </c>
      <c r="E2106" t="s">
        <v>9</v>
      </c>
      <c r="F2106" t="s">
        <v>136</v>
      </c>
      <c r="G2106">
        <v>5.7558139534883699</v>
      </c>
    </row>
    <row r="2107" spans="3:7" hidden="1" x14ac:dyDescent="0.3">
      <c r="C2107" t="s">
        <v>90</v>
      </c>
      <c r="D2107" t="s">
        <v>961</v>
      </c>
      <c r="E2107" t="s">
        <v>9</v>
      </c>
      <c r="F2107" t="s">
        <v>136</v>
      </c>
      <c r="G2107">
        <v>5.6812969786293301</v>
      </c>
    </row>
    <row r="2108" spans="3:7" hidden="1" x14ac:dyDescent="0.3">
      <c r="C2108" t="s">
        <v>90</v>
      </c>
      <c r="D2108" t="s">
        <v>374</v>
      </c>
      <c r="E2108" t="s">
        <v>9</v>
      </c>
      <c r="F2108" t="s">
        <v>136</v>
      </c>
      <c r="G2108">
        <v>5.63726235741444</v>
      </c>
    </row>
    <row r="2109" spans="3:7" hidden="1" x14ac:dyDescent="0.3">
      <c r="C2109" t="s">
        <v>90</v>
      </c>
      <c r="D2109" t="s">
        <v>1217</v>
      </c>
      <c r="E2109" t="s">
        <v>13</v>
      </c>
      <c r="F2109" t="s">
        <v>136</v>
      </c>
      <c r="G2109">
        <v>5.6119972061497698</v>
      </c>
    </row>
    <row r="2110" spans="3:7" hidden="1" x14ac:dyDescent="0.3">
      <c r="C2110" t="s">
        <v>21</v>
      </c>
      <c r="D2110" t="s">
        <v>1462</v>
      </c>
      <c r="E2110" t="s">
        <v>13</v>
      </c>
      <c r="F2110" t="s">
        <v>136</v>
      </c>
      <c r="G2110">
        <v>5.5450221238937996</v>
      </c>
    </row>
    <row r="2111" spans="3:7" hidden="1" x14ac:dyDescent="0.3">
      <c r="C2111" t="s">
        <v>78</v>
      </c>
      <c r="D2111" t="s">
        <v>1463</v>
      </c>
      <c r="E2111" t="s">
        <v>9</v>
      </c>
      <c r="F2111" t="s">
        <v>136</v>
      </c>
      <c r="G2111">
        <v>5.5384615384615303</v>
      </c>
    </row>
    <row r="2112" spans="3:7" hidden="1" x14ac:dyDescent="0.3">
      <c r="C2112" t="s">
        <v>429</v>
      </c>
      <c r="D2112" t="s">
        <v>1464</v>
      </c>
      <c r="E2112" t="s">
        <v>17</v>
      </c>
      <c r="F2112" t="s">
        <v>136</v>
      </c>
      <c r="G2112">
        <v>5.516</v>
      </c>
    </row>
    <row r="2113" spans="3:7" hidden="1" x14ac:dyDescent="0.3">
      <c r="C2113" t="s">
        <v>11</v>
      </c>
      <c r="D2113" t="s">
        <v>1465</v>
      </c>
      <c r="E2113" t="s">
        <v>9</v>
      </c>
      <c r="F2113" t="s">
        <v>136</v>
      </c>
      <c r="G2113">
        <v>5.5058823529411702</v>
      </c>
    </row>
    <row r="2114" spans="3:7" hidden="1" x14ac:dyDescent="0.3">
      <c r="C2114" t="s">
        <v>126</v>
      </c>
      <c r="D2114" t="s">
        <v>1317</v>
      </c>
      <c r="E2114" t="s">
        <v>13</v>
      </c>
      <c r="F2114" t="s">
        <v>136</v>
      </c>
      <c r="G2114">
        <v>5.4861538461538402</v>
      </c>
    </row>
    <row r="2115" spans="3:7" hidden="1" x14ac:dyDescent="0.3">
      <c r="C2115" t="s">
        <v>7</v>
      </c>
      <c r="D2115" t="s">
        <v>1259</v>
      </c>
      <c r="E2115" t="s">
        <v>13</v>
      </c>
      <c r="F2115" t="s">
        <v>136</v>
      </c>
      <c r="G2115">
        <v>5.4746270500902803</v>
      </c>
    </row>
    <row r="2116" spans="3:7" hidden="1" x14ac:dyDescent="0.3">
      <c r="C2116" t="s">
        <v>78</v>
      </c>
      <c r="D2116" t="s">
        <v>1466</v>
      </c>
      <c r="E2116" t="s">
        <v>13</v>
      </c>
      <c r="F2116" t="s">
        <v>240</v>
      </c>
      <c r="G2116">
        <v>5.4743559160305297</v>
      </c>
    </row>
    <row r="2117" spans="3:7" hidden="1" x14ac:dyDescent="0.3">
      <c r="C2117" t="s">
        <v>90</v>
      </c>
      <c r="D2117" t="s">
        <v>958</v>
      </c>
      <c r="E2117" t="s">
        <v>13</v>
      </c>
      <c r="F2117" t="s">
        <v>240</v>
      </c>
      <c r="G2117">
        <v>5.4651045828437104</v>
      </c>
    </row>
    <row r="2118" spans="3:7" hidden="1" x14ac:dyDescent="0.3">
      <c r="C2118" t="s">
        <v>429</v>
      </c>
      <c r="D2118" t="s">
        <v>1467</v>
      </c>
      <c r="E2118" t="s">
        <v>9</v>
      </c>
      <c r="F2118" t="s">
        <v>29</v>
      </c>
      <c r="G2118">
        <v>5.4066149870800997</v>
      </c>
    </row>
    <row r="2119" spans="3:7" hidden="1" x14ac:dyDescent="0.3">
      <c r="C2119" t="s">
        <v>429</v>
      </c>
      <c r="D2119" t="s">
        <v>1468</v>
      </c>
      <c r="E2119" t="s">
        <v>9</v>
      </c>
      <c r="F2119" t="s">
        <v>10</v>
      </c>
      <c r="G2119">
        <v>5.4066149870800997</v>
      </c>
    </row>
    <row r="2120" spans="3:7" hidden="1" x14ac:dyDescent="0.3">
      <c r="C2120" t="s">
        <v>78</v>
      </c>
      <c r="D2120" t="s">
        <v>1469</v>
      </c>
      <c r="E2120" t="s">
        <v>9</v>
      </c>
      <c r="F2120" t="s">
        <v>136</v>
      </c>
      <c r="G2120">
        <v>5.3999999999999897</v>
      </c>
    </row>
    <row r="2121" spans="3:7" hidden="1" x14ac:dyDescent="0.3">
      <c r="C2121" t="s">
        <v>126</v>
      </c>
      <c r="D2121" t="s">
        <v>712</v>
      </c>
      <c r="E2121" t="s">
        <v>13</v>
      </c>
      <c r="F2121" t="s">
        <v>136</v>
      </c>
      <c r="G2121">
        <v>5.3466448456429703</v>
      </c>
    </row>
    <row r="2122" spans="3:7" hidden="1" x14ac:dyDescent="0.3">
      <c r="C2122" t="s">
        <v>7</v>
      </c>
      <c r="D2122" t="s">
        <v>1447</v>
      </c>
      <c r="E2122" t="s">
        <v>9</v>
      </c>
      <c r="F2122" t="s">
        <v>136</v>
      </c>
      <c r="G2122">
        <v>5.3356547139237298</v>
      </c>
    </row>
    <row r="2123" spans="3:7" hidden="1" x14ac:dyDescent="0.3">
      <c r="C2123" t="s">
        <v>19</v>
      </c>
      <c r="D2123" t="s">
        <v>841</v>
      </c>
      <c r="E2123" t="s">
        <v>13</v>
      </c>
      <c r="F2123" t="s">
        <v>136</v>
      </c>
      <c r="G2123">
        <v>5.1981173963781702</v>
      </c>
    </row>
    <row r="2124" spans="3:7" hidden="1" x14ac:dyDescent="0.3">
      <c r="C2124" t="s">
        <v>78</v>
      </c>
      <c r="D2124" t="s">
        <v>1004</v>
      </c>
      <c r="E2124" t="s">
        <v>13</v>
      </c>
      <c r="F2124" t="s">
        <v>136</v>
      </c>
      <c r="G2124">
        <v>5.187725456621</v>
      </c>
    </row>
    <row r="2125" spans="3:7" hidden="1" x14ac:dyDescent="0.3">
      <c r="C2125" t="s">
        <v>21</v>
      </c>
      <c r="D2125" t="s">
        <v>1470</v>
      </c>
      <c r="E2125" t="s">
        <v>13</v>
      </c>
      <c r="F2125" t="s">
        <v>136</v>
      </c>
      <c r="G2125">
        <v>5.1725898752751203</v>
      </c>
    </row>
    <row r="2126" spans="3:7" hidden="1" x14ac:dyDescent="0.3">
      <c r="C2126" t="s">
        <v>808</v>
      </c>
      <c r="D2126" t="s">
        <v>922</v>
      </c>
      <c r="E2126" t="s">
        <v>13</v>
      </c>
      <c r="F2126" t="s">
        <v>136</v>
      </c>
      <c r="G2126">
        <v>5.1685135135135098</v>
      </c>
    </row>
    <row r="2127" spans="3:7" hidden="1" x14ac:dyDescent="0.3">
      <c r="C2127" t="s">
        <v>1471</v>
      </c>
      <c r="D2127" t="s">
        <v>411</v>
      </c>
      <c r="E2127" t="s">
        <v>13</v>
      </c>
      <c r="F2127" t="s">
        <v>136</v>
      </c>
      <c r="G2127">
        <v>5.1428571428571397</v>
      </c>
    </row>
    <row r="2128" spans="3:7" hidden="1" x14ac:dyDescent="0.3">
      <c r="C2128" t="s">
        <v>165</v>
      </c>
      <c r="D2128" t="s">
        <v>1442</v>
      </c>
      <c r="E2128" t="s">
        <v>9</v>
      </c>
      <c r="F2128" t="s">
        <v>136</v>
      </c>
      <c r="G2128">
        <v>5.14</v>
      </c>
    </row>
    <row r="2129" spans="3:7" hidden="1" x14ac:dyDescent="0.3">
      <c r="C2129" t="s">
        <v>1313</v>
      </c>
      <c r="D2129" t="s">
        <v>320</v>
      </c>
      <c r="E2129" t="s">
        <v>13</v>
      </c>
      <c r="F2129" t="s">
        <v>136</v>
      </c>
      <c r="G2129">
        <v>5.1396011396011403</v>
      </c>
    </row>
    <row r="2130" spans="3:7" hidden="1" x14ac:dyDescent="0.3">
      <c r="C2130" t="s">
        <v>19</v>
      </c>
      <c r="D2130" t="s">
        <v>1260</v>
      </c>
      <c r="E2130" t="s">
        <v>13</v>
      </c>
      <c r="F2130" t="s">
        <v>240</v>
      </c>
      <c r="G2130">
        <v>5.13606690580162</v>
      </c>
    </row>
    <row r="2131" spans="3:7" hidden="1" x14ac:dyDescent="0.3">
      <c r="C2131" t="s">
        <v>21</v>
      </c>
      <c r="D2131" t="s">
        <v>1376</v>
      </c>
      <c r="E2131" t="s">
        <v>13</v>
      </c>
      <c r="F2131" t="s">
        <v>136</v>
      </c>
      <c r="G2131">
        <v>5.1166691674618701</v>
      </c>
    </row>
    <row r="2132" spans="3:7" hidden="1" x14ac:dyDescent="0.3">
      <c r="C2132" t="s">
        <v>19</v>
      </c>
      <c r="D2132" t="s">
        <v>1472</v>
      </c>
      <c r="E2132" t="s">
        <v>17</v>
      </c>
      <c r="F2132" t="s">
        <v>136</v>
      </c>
      <c r="G2132">
        <v>5.1059999999999999</v>
      </c>
    </row>
    <row r="2133" spans="3:7" hidden="1" x14ac:dyDescent="0.3">
      <c r="C2133" t="s">
        <v>126</v>
      </c>
      <c r="D2133" t="s">
        <v>657</v>
      </c>
      <c r="E2133" t="s">
        <v>13</v>
      </c>
      <c r="F2133" t="s">
        <v>136</v>
      </c>
      <c r="G2133">
        <v>5.0849236928874202</v>
      </c>
    </row>
    <row r="2134" spans="3:7" hidden="1" x14ac:dyDescent="0.3">
      <c r="C2134" t="s">
        <v>429</v>
      </c>
      <c r="D2134" t="s">
        <v>1473</v>
      </c>
      <c r="E2134" t="s">
        <v>17</v>
      </c>
      <c r="F2134" t="s">
        <v>136</v>
      </c>
      <c r="G2134">
        <v>4.9610000000000003</v>
      </c>
    </row>
    <row r="2135" spans="3:7" hidden="1" x14ac:dyDescent="0.3">
      <c r="C2135" t="s">
        <v>126</v>
      </c>
      <c r="D2135" t="s">
        <v>927</v>
      </c>
      <c r="E2135" t="s">
        <v>13</v>
      </c>
      <c r="F2135" t="s">
        <v>240</v>
      </c>
      <c r="G2135">
        <v>4.94272287692307</v>
      </c>
    </row>
    <row r="2136" spans="3:7" hidden="1" x14ac:dyDescent="0.3">
      <c r="C2136" t="s">
        <v>7</v>
      </c>
      <c r="D2136" t="s">
        <v>1436</v>
      </c>
      <c r="E2136" t="s">
        <v>9</v>
      </c>
      <c r="F2136" t="s">
        <v>10</v>
      </c>
      <c r="G2136">
        <v>4.9169999999999998</v>
      </c>
    </row>
    <row r="2137" spans="3:7" hidden="1" x14ac:dyDescent="0.3">
      <c r="C2137" t="s">
        <v>78</v>
      </c>
      <c r="D2137" t="s">
        <v>639</v>
      </c>
      <c r="E2137" t="s">
        <v>13</v>
      </c>
      <c r="F2137" t="s">
        <v>136</v>
      </c>
      <c r="G2137">
        <v>4.9023009900990102</v>
      </c>
    </row>
    <row r="2138" spans="3:7" hidden="1" x14ac:dyDescent="0.3">
      <c r="C2138" t="s">
        <v>19</v>
      </c>
      <c r="D2138" t="s">
        <v>1274</v>
      </c>
      <c r="E2138" t="s">
        <v>13</v>
      </c>
      <c r="F2138" t="s">
        <v>136</v>
      </c>
      <c r="G2138">
        <v>4.8691451718001302</v>
      </c>
    </row>
    <row r="2139" spans="3:7" hidden="1" x14ac:dyDescent="0.3">
      <c r="C2139" t="s">
        <v>269</v>
      </c>
      <c r="D2139" t="s">
        <v>1474</v>
      </c>
      <c r="E2139" t="s">
        <v>9</v>
      </c>
      <c r="F2139" t="s">
        <v>136</v>
      </c>
      <c r="G2139">
        <v>4.8533333333333299</v>
      </c>
    </row>
    <row r="2140" spans="3:7" hidden="1" x14ac:dyDescent="0.3">
      <c r="C2140" t="s">
        <v>21</v>
      </c>
      <c r="D2140" t="s">
        <v>1475</v>
      </c>
      <c r="E2140" t="s">
        <v>9</v>
      </c>
      <c r="F2140" t="s">
        <v>136</v>
      </c>
      <c r="G2140">
        <v>4.83</v>
      </c>
    </row>
    <row r="2141" spans="3:7" hidden="1" x14ac:dyDescent="0.3">
      <c r="C2141" t="s">
        <v>7</v>
      </c>
      <c r="D2141" t="s">
        <v>1410</v>
      </c>
      <c r="E2141" t="s">
        <v>13</v>
      </c>
      <c r="F2141" t="s">
        <v>240</v>
      </c>
      <c r="G2141">
        <v>4.7802142726293102</v>
      </c>
    </row>
    <row r="2142" spans="3:7" hidden="1" x14ac:dyDescent="0.3">
      <c r="C2142" t="s">
        <v>11</v>
      </c>
      <c r="D2142" t="s">
        <v>1476</v>
      </c>
      <c r="E2142" t="s">
        <v>13</v>
      </c>
      <c r="F2142" t="s">
        <v>136</v>
      </c>
      <c r="G2142">
        <v>4.7783035651004804</v>
      </c>
    </row>
    <row r="2143" spans="3:7" hidden="1" x14ac:dyDescent="0.3">
      <c r="C2143" t="s">
        <v>90</v>
      </c>
      <c r="D2143" t="s">
        <v>1261</v>
      </c>
      <c r="E2143" t="s">
        <v>9</v>
      </c>
      <c r="F2143" t="s">
        <v>136</v>
      </c>
      <c r="G2143">
        <v>4.7364239717978798</v>
      </c>
    </row>
    <row r="2144" spans="3:7" hidden="1" x14ac:dyDescent="0.3">
      <c r="C2144" t="s">
        <v>90</v>
      </c>
      <c r="D2144" t="s">
        <v>645</v>
      </c>
      <c r="E2144" t="s">
        <v>13</v>
      </c>
      <c r="F2144" t="s">
        <v>136</v>
      </c>
      <c r="G2144">
        <v>4.7298950781560603</v>
      </c>
    </row>
    <row r="2145" spans="3:7" hidden="1" x14ac:dyDescent="0.3">
      <c r="C2145" t="s">
        <v>1313</v>
      </c>
      <c r="D2145" t="s">
        <v>1103</v>
      </c>
      <c r="E2145" t="s">
        <v>9</v>
      </c>
      <c r="F2145" t="s">
        <v>136</v>
      </c>
      <c r="G2145">
        <v>4.6256410256410199</v>
      </c>
    </row>
    <row r="2146" spans="3:7" hidden="1" x14ac:dyDescent="0.3">
      <c r="C2146" t="s">
        <v>11</v>
      </c>
      <c r="D2146" t="s">
        <v>1261</v>
      </c>
      <c r="E2146" t="s">
        <v>9</v>
      </c>
      <c r="F2146" t="s">
        <v>136</v>
      </c>
      <c r="G2146">
        <v>4.6236559139784896</v>
      </c>
    </row>
    <row r="2147" spans="3:7" hidden="1" x14ac:dyDescent="0.3">
      <c r="C2147" t="s">
        <v>11</v>
      </c>
      <c r="D2147" t="s">
        <v>1477</v>
      </c>
      <c r="E2147" t="s">
        <v>9</v>
      </c>
      <c r="F2147" t="s">
        <v>136</v>
      </c>
      <c r="G2147">
        <v>4.6236559139784896</v>
      </c>
    </row>
    <row r="2148" spans="3:7" hidden="1" x14ac:dyDescent="0.3">
      <c r="C2148" t="s">
        <v>19</v>
      </c>
      <c r="D2148" t="s">
        <v>1478</v>
      </c>
      <c r="E2148" t="s">
        <v>17</v>
      </c>
      <c r="F2148" t="s">
        <v>136</v>
      </c>
      <c r="G2148">
        <v>4.6199999999999903</v>
      </c>
    </row>
    <row r="2149" spans="3:7" hidden="1" x14ac:dyDescent="0.3">
      <c r="C2149" t="s">
        <v>7</v>
      </c>
      <c r="D2149" t="s">
        <v>1479</v>
      </c>
      <c r="E2149" t="s">
        <v>13</v>
      </c>
      <c r="F2149" t="s">
        <v>136</v>
      </c>
      <c r="G2149">
        <v>4.6149180396435696</v>
      </c>
    </row>
    <row r="2150" spans="3:7" hidden="1" x14ac:dyDescent="0.3">
      <c r="C2150" t="s">
        <v>19</v>
      </c>
      <c r="D2150" t="s">
        <v>1480</v>
      </c>
      <c r="E2150" t="s">
        <v>13</v>
      </c>
      <c r="F2150" t="s">
        <v>240</v>
      </c>
      <c r="G2150">
        <v>4.6075438357938303</v>
      </c>
    </row>
    <row r="2151" spans="3:7" hidden="1" x14ac:dyDescent="0.3">
      <c r="C2151" t="s">
        <v>21</v>
      </c>
      <c r="D2151" t="s">
        <v>1481</v>
      </c>
      <c r="E2151" t="s">
        <v>13</v>
      </c>
      <c r="F2151" t="s">
        <v>136</v>
      </c>
      <c r="G2151">
        <v>4.6049999999999898</v>
      </c>
    </row>
    <row r="2152" spans="3:7" hidden="1" x14ac:dyDescent="0.3">
      <c r="C2152" t="s">
        <v>21</v>
      </c>
      <c r="D2152" t="s">
        <v>1052</v>
      </c>
      <c r="E2152" t="s">
        <v>13</v>
      </c>
      <c r="F2152" t="s">
        <v>136</v>
      </c>
      <c r="G2152">
        <v>4.5851662404092002</v>
      </c>
    </row>
    <row r="2153" spans="3:7" hidden="1" x14ac:dyDescent="0.3">
      <c r="C2153" t="s">
        <v>19</v>
      </c>
      <c r="D2153" t="s">
        <v>1482</v>
      </c>
      <c r="E2153" t="s">
        <v>13</v>
      </c>
      <c r="F2153" t="s">
        <v>136</v>
      </c>
      <c r="G2153">
        <v>4.5715322394318001</v>
      </c>
    </row>
    <row r="2154" spans="3:7" hidden="1" x14ac:dyDescent="0.3">
      <c r="C2154" t="s">
        <v>19</v>
      </c>
      <c r="D2154" t="s">
        <v>630</v>
      </c>
      <c r="E2154" t="s">
        <v>9</v>
      </c>
      <c r="F2154" t="s">
        <v>136</v>
      </c>
      <c r="G2154">
        <v>4.5679769499897098</v>
      </c>
    </row>
    <row r="2155" spans="3:7" hidden="1" x14ac:dyDescent="0.3">
      <c r="C2155" t="s">
        <v>429</v>
      </c>
      <c r="D2155" t="s">
        <v>956</v>
      </c>
      <c r="E2155" t="s">
        <v>13</v>
      </c>
      <c r="F2155" t="s">
        <v>240</v>
      </c>
      <c r="G2155">
        <v>4.5516918992248003</v>
      </c>
    </row>
    <row r="2156" spans="3:7" hidden="1" x14ac:dyDescent="0.3">
      <c r="C2156" t="s">
        <v>19</v>
      </c>
      <c r="D2156" t="s">
        <v>1483</v>
      </c>
      <c r="E2156" t="s">
        <v>17</v>
      </c>
      <c r="F2156" t="s">
        <v>136</v>
      </c>
      <c r="G2156">
        <v>4.5419999999999998</v>
      </c>
    </row>
    <row r="2157" spans="3:7" hidden="1" x14ac:dyDescent="0.3">
      <c r="C2157" t="s">
        <v>19</v>
      </c>
      <c r="D2157" t="s">
        <v>390</v>
      </c>
      <c r="E2157" t="s">
        <v>13</v>
      </c>
      <c r="F2157" t="s">
        <v>136</v>
      </c>
      <c r="G2157">
        <v>4.4534004964264602</v>
      </c>
    </row>
    <row r="2158" spans="3:7" hidden="1" x14ac:dyDescent="0.3">
      <c r="C2158" t="s">
        <v>19</v>
      </c>
      <c r="D2158" t="s">
        <v>1484</v>
      </c>
      <c r="E2158" t="s">
        <v>9</v>
      </c>
      <c r="F2158" t="s">
        <v>136</v>
      </c>
      <c r="G2158">
        <v>4.3822306546201197</v>
      </c>
    </row>
    <row r="2159" spans="3:7" hidden="1" x14ac:dyDescent="0.3">
      <c r="C2159" t="s">
        <v>90</v>
      </c>
      <c r="D2159" t="s">
        <v>503</v>
      </c>
      <c r="E2159" t="s">
        <v>9</v>
      </c>
      <c r="F2159" t="s">
        <v>136</v>
      </c>
      <c r="G2159">
        <v>4.3702284450994799</v>
      </c>
    </row>
    <row r="2160" spans="3:7" hidden="1" x14ac:dyDescent="0.3">
      <c r="C2160" t="s">
        <v>11</v>
      </c>
      <c r="D2160" t="s">
        <v>1485</v>
      </c>
      <c r="E2160" t="s">
        <v>9</v>
      </c>
      <c r="F2160" t="s">
        <v>136</v>
      </c>
      <c r="G2160">
        <v>4.3515607595789199</v>
      </c>
    </row>
    <row r="2161" spans="3:7" hidden="1" x14ac:dyDescent="0.3">
      <c r="C2161" t="s">
        <v>21</v>
      </c>
      <c r="D2161" t="s">
        <v>1486</v>
      </c>
      <c r="E2161" t="s">
        <v>13</v>
      </c>
      <c r="F2161" t="s">
        <v>136</v>
      </c>
      <c r="G2161">
        <v>4.3437262357414399</v>
      </c>
    </row>
    <row r="2162" spans="3:7" hidden="1" x14ac:dyDescent="0.3">
      <c r="C2162" t="s">
        <v>269</v>
      </c>
      <c r="D2162" t="s">
        <v>657</v>
      </c>
      <c r="E2162" t="s">
        <v>13</v>
      </c>
      <c r="F2162" t="s">
        <v>136</v>
      </c>
      <c r="G2162">
        <v>4.3164424983621998</v>
      </c>
    </row>
    <row r="2163" spans="3:7" hidden="1" x14ac:dyDescent="0.3">
      <c r="C2163" t="s">
        <v>78</v>
      </c>
      <c r="D2163" t="s">
        <v>1276</v>
      </c>
      <c r="E2163" t="s">
        <v>13</v>
      </c>
      <c r="F2163" t="s">
        <v>136</v>
      </c>
      <c r="G2163">
        <v>4.3041825095056998</v>
      </c>
    </row>
    <row r="2164" spans="3:7" hidden="1" x14ac:dyDescent="0.3">
      <c r="C2164" t="s">
        <v>126</v>
      </c>
      <c r="D2164" t="s">
        <v>1487</v>
      </c>
      <c r="E2164" t="s">
        <v>13</v>
      </c>
      <c r="F2164" t="s">
        <v>240</v>
      </c>
      <c r="G2164">
        <v>4.2995619538547398</v>
      </c>
    </row>
    <row r="2165" spans="3:7" hidden="1" x14ac:dyDescent="0.3">
      <c r="C2165" t="s">
        <v>19</v>
      </c>
      <c r="D2165" t="s">
        <v>1276</v>
      </c>
      <c r="E2165" t="s">
        <v>13</v>
      </c>
      <c r="F2165" t="s">
        <v>136</v>
      </c>
      <c r="G2165">
        <v>4.274</v>
      </c>
    </row>
    <row r="2166" spans="3:7" hidden="1" x14ac:dyDescent="0.3">
      <c r="C2166" t="s">
        <v>126</v>
      </c>
      <c r="D2166" t="s">
        <v>1488</v>
      </c>
      <c r="E2166" t="s">
        <v>13</v>
      </c>
      <c r="F2166" t="s">
        <v>240</v>
      </c>
      <c r="G2166">
        <v>4.2674107142857096</v>
      </c>
    </row>
    <row r="2167" spans="3:7" hidden="1" x14ac:dyDescent="0.3">
      <c r="C2167" t="s">
        <v>78</v>
      </c>
      <c r="D2167" t="s">
        <v>1045</v>
      </c>
      <c r="E2167" t="s">
        <v>13</v>
      </c>
      <c r="F2167" t="s">
        <v>136</v>
      </c>
      <c r="G2167">
        <v>4.2654933320977797</v>
      </c>
    </row>
    <row r="2168" spans="3:7" hidden="1" x14ac:dyDescent="0.3">
      <c r="C2168" t="s">
        <v>126</v>
      </c>
      <c r="D2168" t="s">
        <v>1489</v>
      </c>
      <c r="E2168" t="s">
        <v>9</v>
      </c>
      <c r="F2168" t="s">
        <v>240</v>
      </c>
      <c r="G2168">
        <v>4.22488262910798</v>
      </c>
    </row>
    <row r="2169" spans="3:7" hidden="1" x14ac:dyDescent="0.3">
      <c r="C2169" t="s">
        <v>126</v>
      </c>
      <c r="D2169" t="s">
        <v>395</v>
      </c>
      <c r="E2169" t="s">
        <v>13</v>
      </c>
      <c r="F2169" t="s">
        <v>136</v>
      </c>
      <c r="G2169">
        <v>4.22488262910798</v>
      </c>
    </row>
    <row r="2170" spans="3:7" hidden="1" x14ac:dyDescent="0.3">
      <c r="C2170" t="s">
        <v>19</v>
      </c>
      <c r="D2170" t="s">
        <v>969</v>
      </c>
      <c r="E2170" t="s">
        <v>9</v>
      </c>
      <c r="F2170" t="s">
        <v>136</v>
      </c>
      <c r="G2170">
        <v>4.21227719026031</v>
      </c>
    </row>
    <row r="2171" spans="3:7" hidden="1" x14ac:dyDescent="0.3">
      <c r="C2171" t="s">
        <v>21</v>
      </c>
      <c r="D2171" t="s">
        <v>1479</v>
      </c>
      <c r="E2171" t="s">
        <v>13</v>
      </c>
      <c r="F2171" t="s">
        <v>136</v>
      </c>
      <c r="G2171">
        <v>4.1913996595679501</v>
      </c>
    </row>
    <row r="2172" spans="3:7" hidden="1" x14ac:dyDescent="0.3">
      <c r="C2172" t="s">
        <v>429</v>
      </c>
      <c r="D2172" t="s">
        <v>1490</v>
      </c>
      <c r="E2172" t="s">
        <v>13</v>
      </c>
      <c r="F2172" t="s">
        <v>136</v>
      </c>
      <c r="G2172">
        <v>4.18</v>
      </c>
    </row>
    <row r="2173" spans="3:7" hidden="1" x14ac:dyDescent="0.3">
      <c r="C2173" t="s">
        <v>78</v>
      </c>
      <c r="D2173" t="s">
        <v>1008</v>
      </c>
      <c r="E2173" t="s">
        <v>13</v>
      </c>
      <c r="F2173" t="s">
        <v>240</v>
      </c>
      <c r="G2173">
        <v>4.1695200000000003</v>
      </c>
    </row>
    <row r="2174" spans="3:7" hidden="1" x14ac:dyDescent="0.3">
      <c r="C2174" t="s">
        <v>21</v>
      </c>
      <c r="D2174" t="s">
        <v>834</v>
      </c>
      <c r="E2174" t="s">
        <v>13</v>
      </c>
      <c r="F2174" t="s">
        <v>136</v>
      </c>
      <c r="G2174">
        <v>4.1349018733273804</v>
      </c>
    </row>
    <row r="2175" spans="3:7" hidden="1" x14ac:dyDescent="0.3">
      <c r="C2175" t="s">
        <v>90</v>
      </c>
      <c r="D2175" t="s">
        <v>1207</v>
      </c>
      <c r="E2175" t="s">
        <v>13</v>
      </c>
      <c r="F2175" t="s">
        <v>136</v>
      </c>
      <c r="G2175">
        <v>4.1131561836230404</v>
      </c>
    </row>
    <row r="2176" spans="3:7" hidden="1" x14ac:dyDescent="0.3">
      <c r="C2176" t="s">
        <v>126</v>
      </c>
      <c r="D2176" t="s">
        <v>969</v>
      </c>
      <c r="E2176" t="s">
        <v>9</v>
      </c>
      <c r="F2176" t="s">
        <v>136</v>
      </c>
      <c r="G2176">
        <v>4.1128747480606798</v>
      </c>
    </row>
    <row r="2177" spans="3:7" hidden="1" x14ac:dyDescent="0.3">
      <c r="C2177" t="s">
        <v>14</v>
      </c>
      <c r="D2177" t="s">
        <v>1491</v>
      </c>
      <c r="E2177" t="s">
        <v>9</v>
      </c>
      <c r="F2177" t="s">
        <v>136</v>
      </c>
      <c r="G2177">
        <v>4.0788632326820604</v>
      </c>
    </row>
    <row r="2178" spans="3:7" hidden="1" x14ac:dyDescent="0.3">
      <c r="C2178" t="s">
        <v>90</v>
      </c>
      <c r="D2178" t="s">
        <v>667</v>
      </c>
      <c r="E2178" t="s">
        <v>17</v>
      </c>
      <c r="F2178" t="s">
        <v>136</v>
      </c>
      <c r="G2178">
        <v>3.9731118656510902</v>
      </c>
    </row>
    <row r="2179" spans="3:7" hidden="1" x14ac:dyDescent="0.3">
      <c r="C2179" t="s">
        <v>126</v>
      </c>
      <c r="D2179" t="s">
        <v>1237</v>
      </c>
      <c r="E2179" t="s">
        <v>13</v>
      </c>
      <c r="F2179" t="s">
        <v>136</v>
      </c>
      <c r="G2179">
        <v>3.9596421994884898</v>
      </c>
    </row>
    <row r="2180" spans="3:7" hidden="1" x14ac:dyDescent="0.3">
      <c r="C2180" t="s">
        <v>429</v>
      </c>
      <c r="D2180" t="s">
        <v>1492</v>
      </c>
      <c r="E2180" t="s">
        <v>9</v>
      </c>
      <c r="F2180" t="s">
        <v>136</v>
      </c>
      <c r="G2180">
        <v>3.8949999999999898</v>
      </c>
    </row>
    <row r="2181" spans="3:7" hidden="1" x14ac:dyDescent="0.3">
      <c r="C2181" t="s">
        <v>78</v>
      </c>
      <c r="D2181" t="s">
        <v>403</v>
      </c>
      <c r="E2181" t="s">
        <v>13</v>
      </c>
      <c r="F2181" t="s">
        <v>136</v>
      </c>
      <c r="G2181">
        <v>3.8748859483664502</v>
      </c>
    </row>
    <row r="2182" spans="3:7" hidden="1" x14ac:dyDescent="0.3">
      <c r="C2182" t="s">
        <v>7</v>
      </c>
      <c r="D2182" t="s">
        <v>1237</v>
      </c>
      <c r="E2182" t="s">
        <v>13</v>
      </c>
      <c r="F2182" t="s">
        <v>136</v>
      </c>
      <c r="G2182">
        <v>3.8692422695860502</v>
      </c>
    </row>
    <row r="2183" spans="3:7" hidden="1" x14ac:dyDescent="0.3">
      <c r="C2183" t="s">
        <v>78</v>
      </c>
      <c r="D2183" t="s">
        <v>1493</v>
      </c>
      <c r="E2183" t="s">
        <v>13</v>
      </c>
      <c r="F2183" t="s">
        <v>136</v>
      </c>
      <c r="G2183">
        <v>3.8215384615384602</v>
      </c>
    </row>
    <row r="2184" spans="3:7" hidden="1" x14ac:dyDescent="0.3">
      <c r="C2184" t="s">
        <v>21</v>
      </c>
      <c r="D2184" t="s">
        <v>922</v>
      </c>
      <c r="E2184" t="s">
        <v>13</v>
      </c>
      <c r="F2184" t="s">
        <v>136</v>
      </c>
      <c r="G2184">
        <v>3.8209718670076702</v>
      </c>
    </row>
    <row r="2185" spans="3:7" hidden="1" x14ac:dyDescent="0.3">
      <c r="C2185" t="s">
        <v>188</v>
      </c>
      <c r="D2185" t="s">
        <v>1494</v>
      </c>
      <c r="E2185" t="s">
        <v>13</v>
      </c>
      <c r="F2185" t="s">
        <v>136</v>
      </c>
      <c r="G2185">
        <v>3.78</v>
      </c>
    </row>
    <row r="2186" spans="3:7" hidden="1" x14ac:dyDescent="0.3">
      <c r="C2186" t="s">
        <v>19</v>
      </c>
      <c r="D2186" t="s">
        <v>800</v>
      </c>
      <c r="E2186" t="s">
        <v>9</v>
      </c>
      <c r="F2186" t="s">
        <v>136</v>
      </c>
      <c r="G2186">
        <v>3.7709137709137699</v>
      </c>
    </row>
    <row r="2187" spans="3:7" hidden="1" x14ac:dyDescent="0.3">
      <c r="C2187" t="s">
        <v>269</v>
      </c>
      <c r="D2187" t="s">
        <v>1415</v>
      </c>
      <c r="E2187" t="s">
        <v>13</v>
      </c>
      <c r="F2187" t="s">
        <v>136</v>
      </c>
      <c r="G2187">
        <v>3.75958171098008</v>
      </c>
    </row>
    <row r="2188" spans="3:7" hidden="1" x14ac:dyDescent="0.3">
      <c r="C2188" t="s">
        <v>90</v>
      </c>
      <c r="D2188" t="s">
        <v>680</v>
      </c>
      <c r="E2188" t="s">
        <v>13</v>
      </c>
      <c r="F2188" t="s">
        <v>240</v>
      </c>
      <c r="G2188">
        <v>3.7483472515371199</v>
      </c>
    </row>
    <row r="2189" spans="3:7" hidden="1" x14ac:dyDescent="0.3">
      <c r="C2189" t="s">
        <v>11</v>
      </c>
      <c r="D2189" t="s">
        <v>1444</v>
      </c>
      <c r="E2189" t="s">
        <v>13</v>
      </c>
      <c r="F2189" t="s">
        <v>136</v>
      </c>
      <c r="G2189">
        <v>3.7359601374616598</v>
      </c>
    </row>
    <row r="2190" spans="3:7" hidden="1" x14ac:dyDescent="0.3">
      <c r="C2190" t="s">
        <v>11</v>
      </c>
      <c r="D2190" t="s">
        <v>1495</v>
      </c>
      <c r="E2190" t="s">
        <v>9</v>
      </c>
      <c r="F2190" t="s">
        <v>136</v>
      </c>
      <c r="G2190">
        <v>3.6988266456420802</v>
      </c>
    </row>
    <row r="2191" spans="3:7" hidden="1" x14ac:dyDescent="0.3">
      <c r="C2191" t="s">
        <v>19</v>
      </c>
      <c r="D2191" t="s">
        <v>584</v>
      </c>
      <c r="E2191" t="s">
        <v>13</v>
      </c>
      <c r="F2191" t="s">
        <v>240</v>
      </c>
      <c r="G2191">
        <v>3.6911444411444401</v>
      </c>
    </row>
    <row r="2192" spans="3:7" hidden="1" x14ac:dyDescent="0.3">
      <c r="C2192" t="s">
        <v>19</v>
      </c>
      <c r="D2192" t="s">
        <v>1496</v>
      </c>
      <c r="E2192" t="s">
        <v>13</v>
      </c>
      <c r="F2192" t="s">
        <v>240</v>
      </c>
      <c r="G2192">
        <v>3.6746561249999901</v>
      </c>
    </row>
    <row r="2193" spans="3:7" hidden="1" x14ac:dyDescent="0.3">
      <c r="C2193" t="s">
        <v>90</v>
      </c>
      <c r="D2193" t="s">
        <v>1013</v>
      </c>
      <c r="E2193" t="s">
        <v>9</v>
      </c>
      <c r="F2193" t="s">
        <v>136</v>
      </c>
      <c r="G2193">
        <v>3.6434030552291401</v>
      </c>
    </row>
    <row r="2194" spans="3:7" hidden="1" x14ac:dyDescent="0.3">
      <c r="C2194" t="s">
        <v>1471</v>
      </c>
      <c r="D2194" t="s">
        <v>479</v>
      </c>
      <c r="E2194" t="s">
        <v>17</v>
      </c>
      <c r="F2194" t="s">
        <v>136</v>
      </c>
      <c r="G2194">
        <v>3.6</v>
      </c>
    </row>
    <row r="2195" spans="3:7" hidden="1" x14ac:dyDescent="0.3">
      <c r="C2195" t="s">
        <v>78</v>
      </c>
      <c r="D2195" t="s">
        <v>1497</v>
      </c>
      <c r="E2195" t="s">
        <v>13</v>
      </c>
      <c r="F2195" t="s">
        <v>136</v>
      </c>
      <c r="G2195">
        <v>3.6</v>
      </c>
    </row>
    <row r="2196" spans="3:7" hidden="1" x14ac:dyDescent="0.3">
      <c r="C2196" t="s">
        <v>14</v>
      </c>
      <c r="D2196" t="s">
        <v>533</v>
      </c>
      <c r="E2196" t="s">
        <v>13</v>
      </c>
      <c r="F2196" t="s">
        <v>136</v>
      </c>
      <c r="G2196">
        <v>3.5866513761467802</v>
      </c>
    </row>
    <row r="2197" spans="3:7" hidden="1" x14ac:dyDescent="0.3">
      <c r="C2197" t="s">
        <v>7</v>
      </c>
      <c r="D2197" t="s">
        <v>1097</v>
      </c>
      <c r="E2197" t="s">
        <v>13</v>
      </c>
      <c r="F2197" t="s">
        <v>136</v>
      </c>
      <c r="G2197">
        <v>3.5422716790473698</v>
      </c>
    </row>
    <row r="2198" spans="3:7" hidden="1" x14ac:dyDescent="0.3">
      <c r="C2198" t="s">
        <v>78</v>
      </c>
      <c r="D2198" t="s">
        <v>1259</v>
      </c>
      <c r="E2198" t="s">
        <v>13</v>
      </c>
      <c r="F2198" t="s">
        <v>136</v>
      </c>
      <c r="G2198">
        <v>3.5283158756259301</v>
      </c>
    </row>
    <row r="2199" spans="3:7" hidden="1" x14ac:dyDescent="0.3">
      <c r="C2199" t="s">
        <v>78</v>
      </c>
      <c r="D2199" t="s">
        <v>1498</v>
      </c>
      <c r="E2199" t="s">
        <v>9</v>
      </c>
      <c r="F2199" t="s">
        <v>136</v>
      </c>
      <c r="G2199">
        <v>3.51</v>
      </c>
    </row>
    <row r="2200" spans="3:7" hidden="1" x14ac:dyDescent="0.3">
      <c r="C2200" t="s">
        <v>90</v>
      </c>
      <c r="D2200" t="s">
        <v>1238</v>
      </c>
      <c r="E2200" t="s">
        <v>9</v>
      </c>
      <c r="F2200" t="s">
        <v>136</v>
      </c>
      <c r="G2200">
        <v>3.49618275607958</v>
      </c>
    </row>
    <row r="2201" spans="3:7" hidden="1" x14ac:dyDescent="0.3">
      <c r="C2201" t="s">
        <v>126</v>
      </c>
      <c r="D2201" t="s">
        <v>1293</v>
      </c>
      <c r="E2201" t="s">
        <v>13</v>
      </c>
      <c r="F2201" t="s">
        <v>136</v>
      </c>
      <c r="G2201">
        <v>3.4932467532467499</v>
      </c>
    </row>
    <row r="2202" spans="3:7" hidden="1" x14ac:dyDescent="0.3">
      <c r="C2202" t="s">
        <v>269</v>
      </c>
      <c r="D2202" t="s">
        <v>1272</v>
      </c>
      <c r="E2202" t="s">
        <v>9</v>
      </c>
      <c r="F2202" t="s">
        <v>136</v>
      </c>
      <c r="G2202">
        <v>3.484</v>
      </c>
    </row>
    <row r="2203" spans="3:7" hidden="1" x14ac:dyDescent="0.3">
      <c r="C2203" t="s">
        <v>19</v>
      </c>
      <c r="D2203" t="s">
        <v>1479</v>
      </c>
      <c r="E2203" t="s">
        <v>13</v>
      </c>
      <c r="F2203" t="s">
        <v>136</v>
      </c>
      <c r="G2203">
        <v>3.4738581145526499</v>
      </c>
    </row>
    <row r="2204" spans="3:7" hidden="1" x14ac:dyDescent="0.3">
      <c r="C2204" t="s">
        <v>78</v>
      </c>
      <c r="D2204" t="s">
        <v>1499</v>
      </c>
      <c r="E2204" t="s">
        <v>13</v>
      </c>
      <c r="F2204" t="s">
        <v>136</v>
      </c>
      <c r="G2204">
        <v>3.4615384615384599</v>
      </c>
    </row>
    <row r="2205" spans="3:7" hidden="1" x14ac:dyDescent="0.3">
      <c r="C2205" t="s">
        <v>11</v>
      </c>
      <c r="D2205" t="s">
        <v>1500</v>
      </c>
      <c r="E2205" t="s">
        <v>13</v>
      </c>
      <c r="F2205" t="s">
        <v>136</v>
      </c>
      <c r="G2205">
        <v>3.3464117647058802</v>
      </c>
    </row>
    <row r="2206" spans="3:7" hidden="1" x14ac:dyDescent="0.3">
      <c r="C2206" t="s">
        <v>269</v>
      </c>
      <c r="D2206" t="s">
        <v>1501</v>
      </c>
      <c r="E2206" t="s">
        <v>9</v>
      </c>
      <c r="F2206" t="s">
        <v>136</v>
      </c>
      <c r="G2206">
        <v>3.3460277227722699</v>
      </c>
    </row>
    <row r="2207" spans="3:7" hidden="1" x14ac:dyDescent="0.3">
      <c r="C2207" t="s">
        <v>21</v>
      </c>
      <c r="D2207" t="s">
        <v>1454</v>
      </c>
      <c r="E2207" t="s">
        <v>9</v>
      </c>
      <c r="F2207" t="s">
        <v>136</v>
      </c>
      <c r="G2207">
        <v>3.3079214986619001</v>
      </c>
    </row>
    <row r="2208" spans="3:7" hidden="1" x14ac:dyDescent="0.3">
      <c r="C2208" t="s">
        <v>11</v>
      </c>
      <c r="D2208" t="s">
        <v>1502</v>
      </c>
      <c r="E2208" t="s">
        <v>13</v>
      </c>
      <c r="F2208" t="s">
        <v>136</v>
      </c>
      <c r="G2208">
        <v>3.2984174582814401</v>
      </c>
    </row>
    <row r="2209" spans="3:7" hidden="1" x14ac:dyDescent="0.3">
      <c r="C2209" t="s">
        <v>126</v>
      </c>
      <c r="D2209" t="s">
        <v>1503</v>
      </c>
      <c r="E2209" t="s">
        <v>13</v>
      </c>
      <c r="F2209" t="s">
        <v>136</v>
      </c>
      <c r="G2209">
        <v>3.2916923076922999</v>
      </c>
    </row>
    <row r="2210" spans="3:7" hidden="1" x14ac:dyDescent="0.3">
      <c r="C2210" t="s">
        <v>19</v>
      </c>
      <c r="D2210" t="s">
        <v>1504</v>
      </c>
      <c r="E2210" t="s">
        <v>13</v>
      </c>
      <c r="F2210" t="s">
        <v>240</v>
      </c>
      <c r="G2210">
        <v>3.2866729909650898</v>
      </c>
    </row>
    <row r="2211" spans="3:7" hidden="1" x14ac:dyDescent="0.3">
      <c r="C2211" t="s">
        <v>11</v>
      </c>
      <c r="D2211" t="s">
        <v>1505</v>
      </c>
      <c r="E2211" t="s">
        <v>9</v>
      </c>
      <c r="F2211" t="s">
        <v>136</v>
      </c>
      <c r="G2211">
        <v>3.2291175000000001</v>
      </c>
    </row>
    <row r="2212" spans="3:7" hidden="1" x14ac:dyDescent="0.3">
      <c r="C2212" t="s">
        <v>19</v>
      </c>
      <c r="D2212" t="s">
        <v>1210</v>
      </c>
      <c r="E2212" t="s">
        <v>13</v>
      </c>
      <c r="F2212" t="s">
        <v>136</v>
      </c>
      <c r="G2212">
        <v>3.1816969042133998</v>
      </c>
    </row>
    <row r="2213" spans="3:7" hidden="1" x14ac:dyDescent="0.3">
      <c r="C2213" t="s">
        <v>90</v>
      </c>
      <c r="D2213" t="s">
        <v>731</v>
      </c>
      <c r="E2213" t="s">
        <v>13</v>
      </c>
      <c r="F2213" t="s">
        <v>240</v>
      </c>
      <c r="G2213">
        <v>3.1716784436083301</v>
      </c>
    </row>
    <row r="2214" spans="3:7" hidden="1" x14ac:dyDescent="0.3">
      <c r="C2214" t="s">
        <v>188</v>
      </c>
      <c r="D2214" t="s">
        <v>1499</v>
      </c>
      <c r="E2214" t="s">
        <v>13</v>
      </c>
      <c r="F2214" t="s">
        <v>136</v>
      </c>
      <c r="G2214">
        <v>3.15</v>
      </c>
    </row>
    <row r="2215" spans="3:7" hidden="1" x14ac:dyDescent="0.3">
      <c r="C2215" t="s">
        <v>78</v>
      </c>
      <c r="D2215" t="s">
        <v>718</v>
      </c>
      <c r="E2215" t="s">
        <v>13</v>
      </c>
      <c r="F2215" t="s">
        <v>136</v>
      </c>
      <c r="G2215">
        <v>3.14646570027482</v>
      </c>
    </row>
    <row r="2216" spans="3:7" hidden="1" x14ac:dyDescent="0.3">
      <c r="C2216" t="s">
        <v>21</v>
      </c>
      <c r="D2216" t="s">
        <v>1432</v>
      </c>
      <c r="E2216" t="s">
        <v>13</v>
      </c>
      <c r="F2216" t="s">
        <v>136</v>
      </c>
      <c r="G2216">
        <v>3.1394376344085999</v>
      </c>
    </row>
    <row r="2217" spans="3:7" hidden="1" x14ac:dyDescent="0.3">
      <c r="C2217" t="s">
        <v>14</v>
      </c>
      <c r="D2217" t="s">
        <v>1506</v>
      </c>
      <c r="E2217" t="s">
        <v>13</v>
      </c>
      <c r="F2217" t="s">
        <v>136</v>
      </c>
      <c r="G2217">
        <v>3.0604436229205101</v>
      </c>
    </row>
    <row r="2218" spans="3:7" hidden="1" x14ac:dyDescent="0.3">
      <c r="C2218" t="s">
        <v>269</v>
      </c>
      <c r="D2218" t="s">
        <v>1150</v>
      </c>
      <c r="E2218" t="s">
        <v>13</v>
      </c>
      <c r="F2218" t="s">
        <v>136</v>
      </c>
      <c r="G2218">
        <v>3.05843494997925</v>
      </c>
    </row>
    <row r="2219" spans="3:7" hidden="1" x14ac:dyDescent="0.3">
      <c r="C2219" t="s">
        <v>11</v>
      </c>
      <c r="D2219" t="s">
        <v>1507</v>
      </c>
      <c r="E2219" t="s">
        <v>13</v>
      </c>
      <c r="F2219" t="s">
        <v>136</v>
      </c>
      <c r="G2219">
        <v>3.0354704503862502</v>
      </c>
    </row>
    <row r="2220" spans="3:7" hidden="1" x14ac:dyDescent="0.3">
      <c r="C2220" t="s">
        <v>11</v>
      </c>
      <c r="D2220" t="s">
        <v>1324</v>
      </c>
      <c r="E2220" t="s">
        <v>13</v>
      </c>
      <c r="F2220" t="s">
        <v>136</v>
      </c>
      <c r="G2220">
        <v>3.03138823804656</v>
      </c>
    </row>
    <row r="2221" spans="3:7" hidden="1" x14ac:dyDescent="0.3">
      <c r="C2221" t="s">
        <v>188</v>
      </c>
      <c r="D2221" t="s">
        <v>1361</v>
      </c>
      <c r="E2221" t="s">
        <v>13</v>
      </c>
      <c r="F2221" t="s">
        <v>136</v>
      </c>
      <c r="G2221">
        <v>3</v>
      </c>
    </row>
    <row r="2222" spans="3:7" hidden="1" x14ac:dyDescent="0.3">
      <c r="C2222" t="s">
        <v>19</v>
      </c>
      <c r="D2222" t="s">
        <v>1508</v>
      </c>
      <c r="E2222" t="s">
        <v>17</v>
      </c>
      <c r="F2222" t="s">
        <v>136</v>
      </c>
      <c r="G2222">
        <v>3</v>
      </c>
    </row>
    <row r="2223" spans="3:7" hidden="1" x14ac:dyDescent="0.3">
      <c r="C2223" t="s">
        <v>11</v>
      </c>
      <c r="D2223" t="s">
        <v>1488</v>
      </c>
      <c r="E2223" t="s">
        <v>13</v>
      </c>
      <c r="F2223" t="s">
        <v>240</v>
      </c>
      <c r="G2223">
        <v>2.9767499999999898</v>
      </c>
    </row>
    <row r="2224" spans="3:7" hidden="1" x14ac:dyDescent="0.3">
      <c r="C2224" t="s">
        <v>19</v>
      </c>
      <c r="D2224" t="s">
        <v>1200</v>
      </c>
      <c r="E2224" t="s">
        <v>13</v>
      </c>
      <c r="F2224" t="s">
        <v>136</v>
      </c>
      <c r="G2224">
        <v>2.9585732181754301</v>
      </c>
    </row>
    <row r="2225" spans="3:7" hidden="1" x14ac:dyDescent="0.3">
      <c r="C2225" t="s">
        <v>78</v>
      </c>
      <c r="D2225" t="s">
        <v>1326</v>
      </c>
      <c r="E2225" t="s">
        <v>13</v>
      </c>
      <c r="F2225" t="s">
        <v>136</v>
      </c>
      <c r="G2225">
        <v>2.8720658479273502</v>
      </c>
    </row>
    <row r="2226" spans="3:7" hidden="1" x14ac:dyDescent="0.3">
      <c r="C2226" t="s">
        <v>78</v>
      </c>
      <c r="D2226" t="s">
        <v>1261</v>
      </c>
      <c r="E2226" t="s">
        <v>9</v>
      </c>
      <c r="F2226" t="s">
        <v>136</v>
      </c>
      <c r="G2226">
        <v>2.8674156017911701</v>
      </c>
    </row>
    <row r="2227" spans="3:7" hidden="1" x14ac:dyDescent="0.3">
      <c r="C2227" t="s">
        <v>269</v>
      </c>
      <c r="D2227" t="s">
        <v>774</v>
      </c>
      <c r="E2227" t="s">
        <v>13</v>
      </c>
      <c r="F2227" t="s">
        <v>240</v>
      </c>
      <c r="G2227">
        <v>2.8507343412527</v>
      </c>
    </row>
    <row r="2228" spans="3:7" hidden="1" x14ac:dyDescent="0.3">
      <c r="C2228" t="s">
        <v>429</v>
      </c>
      <c r="D2228" t="s">
        <v>1509</v>
      </c>
      <c r="E2228" t="s">
        <v>17</v>
      </c>
      <c r="F2228" t="s">
        <v>136</v>
      </c>
      <c r="G2228">
        <v>2.76</v>
      </c>
    </row>
    <row r="2229" spans="3:7" hidden="1" x14ac:dyDescent="0.3">
      <c r="C2229" t="s">
        <v>126</v>
      </c>
      <c r="D2229" t="s">
        <v>1191</v>
      </c>
      <c r="E2229" t="s">
        <v>13</v>
      </c>
      <c r="F2229" t="s">
        <v>136</v>
      </c>
      <c r="G2229">
        <v>2.7430769230769201</v>
      </c>
    </row>
    <row r="2230" spans="3:7" hidden="1" x14ac:dyDescent="0.3">
      <c r="C2230" t="s">
        <v>11</v>
      </c>
      <c r="D2230" t="s">
        <v>1345</v>
      </c>
      <c r="E2230" t="s">
        <v>9</v>
      </c>
      <c r="F2230" t="s">
        <v>136</v>
      </c>
      <c r="G2230">
        <v>2.7285222664685498</v>
      </c>
    </row>
    <row r="2231" spans="3:7" hidden="1" x14ac:dyDescent="0.3">
      <c r="C2231" t="s">
        <v>21</v>
      </c>
      <c r="D2231" t="s">
        <v>1386</v>
      </c>
      <c r="E2231" t="s">
        <v>13</v>
      </c>
      <c r="F2231" t="s">
        <v>136</v>
      </c>
      <c r="G2231">
        <v>2.71771528998242</v>
      </c>
    </row>
    <row r="2232" spans="3:7" hidden="1" x14ac:dyDescent="0.3">
      <c r="C2232" t="s">
        <v>7</v>
      </c>
      <c r="D2232" t="s">
        <v>1376</v>
      </c>
      <c r="E2232" t="s">
        <v>13</v>
      </c>
      <c r="F2232" t="s">
        <v>136</v>
      </c>
      <c r="G2232">
        <v>2.70347584789093</v>
      </c>
    </row>
    <row r="2233" spans="3:7" hidden="1" x14ac:dyDescent="0.3">
      <c r="C2233" t="s">
        <v>21</v>
      </c>
      <c r="D2233" t="s">
        <v>991</v>
      </c>
      <c r="E2233" t="s">
        <v>13</v>
      </c>
      <c r="F2233" t="s">
        <v>136</v>
      </c>
      <c r="G2233">
        <v>2.70124137931034</v>
      </c>
    </row>
    <row r="2234" spans="3:7" hidden="1" x14ac:dyDescent="0.3">
      <c r="C2234" t="s">
        <v>14</v>
      </c>
      <c r="D2234" t="s">
        <v>1444</v>
      </c>
      <c r="E2234" t="s">
        <v>13</v>
      </c>
      <c r="F2234" t="s">
        <v>136</v>
      </c>
      <c r="G2234">
        <v>2.6589336582593899</v>
      </c>
    </row>
    <row r="2235" spans="3:7" hidden="1" x14ac:dyDescent="0.3">
      <c r="C2235" t="s">
        <v>429</v>
      </c>
      <c r="D2235" t="s">
        <v>1510</v>
      </c>
      <c r="E2235" t="s">
        <v>17</v>
      </c>
      <c r="F2235" t="s">
        <v>136</v>
      </c>
      <c r="G2235">
        <v>2.65</v>
      </c>
    </row>
    <row r="2236" spans="3:7" hidden="1" x14ac:dyDescent="0.3">
      <c r="C2236" t="s">
        <v>11</v>
      </c>
      <c r="D2236" t="s">
        <v>1511</v>
      </c>
      <c r="E2236" t="s">
        <v>9</v>
      </c>
      <c r="F2236" t="s">
        <v>136</v>
      </c>
      <c r="G2236">
        <v>2.6459999999999999</v>
      </c>
    </row>
    <row r="2237" spans="3:7" hidden="1" x14ac:dyDescent="0.3">
      <c r="C2237" t="s">
        <v>7</v>
      </c>
      <c r="D2237" t="s">
        <v>1512</v>
      </c>
      <c r="E2237" t="s">
        <v>13</v>
      </c>
      <c r="F2237" t="s">
        <v>136</v>
      </c>
      <c r="G2237">
        <v>2.5953237410071899</v>
      </c>
    </row>
    <row r="2238" spans="3:7" hidden="1" x14ac:dyDescent="0.3">
      <c r="C2238" t="s">
        <v>78</v>
      </c>
      <c r="D2238" t="s">
        <v>1513</v>
      </c>
      <c r="E2238" t="s">
        <v>13</v>
      </c>
      <c r="F2238" t="s">
        <v>136</v>
      </c>
      <c r="G2238">
        <v>2.5938627283105</v>
      </c>
    </row>
    <row r="2239" spans="3:7" hidden="1" x14ac:dyDescent="0.3">
      <c r="C2239" t="s">
        <v>808</v>
      </c>
      <c r="D2239" t="s">
        <v>1479</v>
      </c>
      <c r="E2239" t="s">
        <v>13</v>
      </c>
      <c r="F2239" t="s">
        <v>136</v>
      </c>
      <c r="G2239">
        <v>2.58425675675675</v>
      </c>
    </row>
    <row r="2240" spans="3:7" hidden="1" x14ac:dyDescent="0.3">
      <c r="C2240" t="s">
        <v>808</v>
      </c>
      <c r="D2240" t="s">
        <v>969</v>
      </c>
      <c r="E2240" t="s">
        <v>9</v>
      </c>
      <c r="F2240" t="s">
        <v>136</v>
      </c>
      <c r="G2240">
        <v>2.5281981103322102</v>
      </c>
    </row>
    <row r="2241" spans="3:7" hidden="1" x14ac:dyDescent="0.3">
      <c r="C2241" t="s">
        <v>14</v>
      </c>
      <c r="D2241" t="s">
        <v>1321</v>
      </c>
      <c r="E2241" t="s">
        <v>13</v>
      </c>
      <c r="F2241" t="s">
        <v>136</v>
      </c>
      <c r="G2241">
        <v>2.52</v>
      </c>
    </row>
    <row r="2242" spans="3:7" hidden="1" x14ac:dyDescent="0.3">
      <c r="C2242" t="s">
        <v>90</v>
      </c>
      <c r="D2242" t="s">
        <v>602</v>
      </c>
      <c r="E2242" t="s">
        <v>17</v>
      </c>
      <c r="F2242" t="s">
        <v>136</v>
      </c>
      <c r="G2242">
        <v>2.468</v>
      </c>
    </row>
    <row r="2243" spans="3:7" hidden="1" x14ac:dyDescent="0.3">
      <c r="C2243" t="s">
        <v>14</v>
      </c>
      <c r="D2243" t="s">
        <v>1350</v>
      </c>
      <c r="E2243" t="s">
        <v>9</v>
      </c>
      <c r="F2243" t="s">
        <v>136</v>
      </c>
      <c r="G2243">
        <v>2.4473179396092299</v>
      </c>
    </row>
    <row r="2244" spans="3:7" hidden="1" x14ac:dyDescent="0.3">
      <c r="C2244" t="s">
        <v>126</v>
      </c>
      <c r="D2244" t="s">
        <v>1399</v>
      </c>
      <c r="E2244" t="s">
        <v>9</v>
      </c>
      <c r="F2244" t="s">
        <v>136</v>
      </c>
      <c r="G2244">
        <v>2.4452727272727199</v>
      </c>
    </row>
    <row r="2245" spans="3:7" hidden="1" x14ac:dyDescent="0.3">
      <c r="C2245" t="s">
        <v>126</v>
      </c>
      <c r="D2245" t="s">
        <v>1035</v>
      </c>
      <c r="E2245" t="s">
        <v>13</v>
      </c>
      <c r="F2245" t="s">
        <v>136</v>
      </c>
      <c r="G2245">
        <v>2.42972797927461</v>
      </c>
    </row>
    <row r="2246" spans="3:7" hidden="1" x14ac:dyDescent="0.3">
      <c r="C2246" t="s">
        <v>7</v>
      </c>
      <c r="D2246" t="s">
        <v>1302</v>
      </c>
      <c r="E2246" t="s">
        <v>13</v>
      </c>
      <c r="F2246" t="s">
        <v>136</v>
      </c>
      <c r="G2246">
        <v>2.4087447417522099</v>
      </c>
    </row>
    <row r="2247" spans="3:7" hidden="1" x14ac:dyDescent="0.3">
      <c r="C2247" t="s">
        <v>21</v>
      </c>
      <c r="D2247" t="s">
        <v>1514</v>
      </c>
      <c r="E2247" t="s">
        <v>13</v>
      </c>
      <c r="F2247" t="s">
        <v>136</v>
      </c>
      <c r="G2247">
        <v>2.38</v>
      </c>
    </row>
    <row r="2248" spans="3:7" hidden="1" x14ac:dyDescent="0.3">
      <c r="C2248" t="s">
        <v>78</v>
      </c>
      <c r="D2248" t="s">
        <v>956</v>
      </c>
      <c r="E2248" t="s">
        <v>13</v>
      </c>
      <c r="F2248" t="s">
        <v>240</v>
      </c>
      <c r="G2248">
        <v>2.3746623616645901</v>
      </c>
    </row>
    <row r="2249" spans="3:7" hidden="1" x14ac:dyDescent="0.3">
      <c r="C2249" t="s">
        <v>7</v>
      </c>
      <c r="D2249" t="s">
        <v>1175</v>
      </c>
      <c r="E2249" t="s">
        <v>13</v>
      </c>
      <c r="F2249" t="s">
        <v>136</v>
      </c>
      <c r="G2249">
        <v>2.3540879914505801</v>
      </c>
    </row>
    <row r="2250" spans="3:7" hidden="1" x14ac:dyDescent="0.3">
      <c r="C2250" t="s">
        <v>21</v>
      </c>
      <c r="D2250" t="s">
        <v>1485</v>
      </c>
      <c r="E2250" t="s">
        <v>9</v>
      </c>
      <c r="F2250" t="s">
        <v>136</v>
      </c>
      <c r="G2250">
        <v>2.30979512808086</v>
      </c>
    </row>
    <row r="2251" spans="3:7" hidden="1" x14ac:dyDescent="0.3">
      <c r="C2251" t="s">
        <v>14</v>
      </c>
      <c r="D2251" t="s">
        <v>563</v>
      </c>
      <c r="E2251" t="s">
        <v>13</v>
      </c>
      <c r="F2251" t="s">
        <v>240</v>
      </c>
      <c r="G2251">
        <v>2.2870068469387999</v>
      </c>
    </row>
    <row r="2252" spans="3:7" hidden="1" x14ac:dyDescent="0.3">
      <c r="C2252" t="s">
        <v>126</v>
      </c>
      <c r="D2252" t="s">
        <v>1160</v>
      </c>
      <c r="E2252" t="s">
        <v>13</v>
      </c>
      <c r="F2252" t="s">
        <v>136</v>
      </c>
      <c r="G2252">
        <v>2.2438774936061301</v>
      </c>
    </row>
    <row r="2253" spans="3:7" hidden="1" x14ac:dyDescent="0.3">
      <c r="C2253" t="s">
        <v>19</v>
      </c>
      <c r="D2253" t="s">
        <v>1237</v>
      </c>
      <c r="E2253" t="s">
        <v>13</v>
      </c>
      <c r="F2253" t="s">
        <v>136</v>
      </c>
      <c r="G2253">
        <v>2.2337235049745399</v>
      </c>
    </row>
    <row r="2254" spans="3:7" hidden="1" x14ac:dyDescent="0.3">
      <c r="C2254" t="s">
        <v>78</v>
      </c>
      <c r="D2254" t="s">
        <v>841</v>
      </c>
      <c r="E2254" t="s">
        <v>13</v>
      </c>
      <c r="F2254" t="s">
        <v>136</v>
      </c>
      <c r="G2254">
        <v>2.20334276943903</v>
      </c>
    </row>
    <row r="2255" spans="3:7" hidden="1" x14ac:dyDescent="0.3">
      <c r="C2255" t="s">
        <v>78</v>
      </c>
      <c r="D2255" t="s">
        <v>1200</v>
      </c>
      <c r="E2255" t="s">
        <v>13</v>
      </c>
      <c r="F2255" t="s">
        <v>136</v>
      </c>
      <c r="G2255">
        <v>2.1912442417323899</v>
      </c>
    </row>
    <row r="2256" spans="3:7" hidden="1" x14ac:dyDescent="0.3">
      <c r="C2256" t="s">
        <v>7</v>
      </c>
      <c r="D2256" t="s">
        <v>807</v>
      </c>
      <c r="E2256" t="s">
        <v>13</v>
      </c>
      <c r="F2256" t="s">
        <v>240</v>
      </c>
      <c r="G2256">
        <v>2.1873001333333302</v>
      </c>
    </row>
    <row r="2257" spans="3:7" hidden="1" x14ac:dyDescent="0.3">
      <c r="C2257" t="s">
        <v>11</v>
      </c>
      <c r="D2257" t="s">
        <v>1515</v>
      </c>
      <c r="E2257" t="s">
        <v>13</v>
      </c>
      <c r="F2257" t="s">
        <v>136</v>
      </c>
      <c r="G2257">
        <v>2.1668993288590599</v>
      </c>
    </row>
    <row r="2258" spans="3:7" hidden="1" x14ac:dyDescent="0.3">
      <c r="C2258" t="s">
        <v>21</v>
      </c>
      <c r="D2258" t="s">
        <v>503</v>
      </c>
      <c r="E2258" t="s">
        <v>9</v>
      </c>
      <c r="F2258" t="s">
        <v>136</v>
      </c>
      <c r="G2258">
        <v>2.1543859649122798</v>
      </c>
    </row>
    <row r="2259" spans="3:7" hidden="1" x14ac:dyDescent="0.3">
      <c r="C2259" t="s">
        <v>126</v>
      </c>
      <c r="D2259" t="s">
        <v>1097</v>
      </c>
      <c r="E2259" t="s">
        <v>13</v>
      </c>
      <c r="F2259" t="s">
        <v>136</v>
      </c>
      <c r="G2259">
        <v>2.1006942830991502</v>
      </c>
    </row>
    <row r="2260" spans="3:7" hidden="1" x14ac:dyDescent="0.3">
      <c r="C2260" t="s">
        <v>78</v>
      </c>
      <c r="D2260" t="s">
        <v>1516</v>
      </c>
      <c r="E2260" t="s">
        <v>13</v>
      </c>
      <c r="F2260" t="s">
        <v>240</v>
      </c>
      <c r="G2260">
        <v>2.0750901826483998</v>
      </c>
    </row>
    <row r="2261" spans="3:7" hidden="1" x14ac:dyDescent="0.3">
      <c r="C2261" t="s">
        <v>429</v>
      </c>
      <c r="D2261" t="s">
        <v>1045</v>
      </c>
      <c r="E2261" t="s">
        <v>13</v>
      </c>
      <c r="F2261" t="s">
        <v>136</v>
      </c>
      <c r="G2261">
        <v>2.0460536353795602</v>
      </c>
    </row>
    <row r="2262" spans="3:7" hidden="1" x14ac:dyDescent="0.3">
      <c r="C2262" t="s">
        <v>19</v>
      </c>
      <c r="D2262" t="s">
        <v>1389</v>
      </c>
      <c r="E2262" t="s">
        <v>13</v>
      </c>
      <c r="F2262" t="s">
        <v>136</v>
      </c>
      <c r="G2262">
        <v>2.0301294426294398</v>
      </c>
    </row>
    <row r="2263" spans="3:7" hidden="1" x14ac:dyDescent="0.3">
      <c r="C2263" t="s">
        <v>21</v>
      </c>
      <c r="D2263" t="s">
        <v>1444</v>
      </c>
      <c r="E2263" t="s">
        <v>13</v>
      </c>
      <c r="F2263" t="s">
        <v>136</v>
      </c>
      <c r="G2263">
        <v>2.0092967460328399</v>
      </c>
    </row>
    <row r="2264" spans="3:7" hidden="1" x14ac:dyDescent="0.3">
      <c r="C2264" t="s">
        <v>269</v>
      </c>
      <c r="D2264" t="s">
        <v>1045</v>
      </c>
      <c r="E2264" t="s">
        <v>13</v>
      </c>
      <c r="F2264" t="s">
        <v>136</v>
      </c>
      <c r="G2264">
        <v>2.00308082504319</v>
      </c>
    </row>
    <row r="2265" spans="3:7" hidden="1" x14ac:dyDescent="0.3">
      <c r="C2265" t="s">
        <v>21</v>
      </c>
      <c r="D2265" t="s">
        <v>1495</v>
      </c>
      <c r="E2265" t="s">
        <v>9</v>
      </c>
      <c r="F2265" t="s">
        <v>136</v>
      </c>
      <c r="G2265">
        <v>1.9633258588687299</v>
      </c>
    </row>
    <row r="2266" spans="3:7" hidden="1" x14ac:dyDescent="0.3">
      <c r="C2266" t="s">
        <v>14</v>
      </c>
      <c r="D2266" t="s">
        <v>1217</v>
      </c>
      <c r="E2266" t="s">
        <v>13</v>
      </c>
      <c r="F2266" t="s">
        <v>136</v>
      </c>
      <c r="G2266">
        <v>1.9431307189542399</v>
      </c>
    </row>
    <row r="2267" spans="3:7" hidden="1" x14ac:dyDescent="0.3">
      <c r="C2267" t="s">
        <v>90</v>
      </c>
      <c r="D2267" t="s">
        <v>788</v>
      </c>
      <c r="E2267" t="s">
        <v>13</v>
      </c>
      <c r="F2267" t="s">
        <v>136</v>
      </c>
      <c r="G2267">
        <v>1.9423237533775399</v>
      </c>
    </row>
    <row r="2268" spans="3:7" hidden="1" x14ac:dyDescent="0.3">
      <c r="C2268" t="s">
        <v>11</v>
      </c>
      <c r="D2268" t="s">
        <v>969</v>
      </c>
      <c r="E2268" t="s">
        <v>9</v>
      </c>
      <c r="F2268" t="s">
        <v>136</v>
      </c>
      <c r="G2268">
        <v>1.9297264410405699</v>
      </c>
    </row>
    <row r="2269" spans="3:7" hidden="1" x14ac:dyDescent="0.3">
      <c r="C2269" t="s">
        <v>7</v>
      </c>
      <c r="D2269" t="s">
        <v>1250</v>
      </c>
      <c r="E2269" t="s">
        <v>13</v>
      </c>
      <c r="F2269" t="s">
        <v>136</v>
      </c>
      <c r="G2269">
        <v>1.89670810388466</v>
      </c>
    </row>
    <row r="2270" spans="3:7" hidden="1" x14ac:dyDescent="0.3">
      <c r="C2270" t="s">
        <v>78</v>
      </c>
      <c r="D2270" t="s">
        <v>1160</v>
      </c>
      <c r="E2270" t="s">
        <v>13</v>
      </c>
      <c r="F2270" t="s">
        <v>136</v>
      </c>
      <c r="G2270">
        <v>1.8924176328167699</v>
      </c>
    </row>
    <row r="2271" spans="3:7" hidden="1" x14ac:dyDescent="0.3">
      <c r="C2271" t="s">
        <v>11</v>
      </c>
      <c r="D2271" t="s">
        <v>1486</v>
      </c>
      <c r="E2271" t="s">
        <v>13</v>
      </c>
      <c r="F2271" t="s">
        <v>136</v>
      </c>
      <c r="G2271">
        <v>1.8639272086879899</v>
      </c>
    </row>
    <row r="2272" spans="3:7" hidden="1" x14ac:dyDescent="0.3">
      <c r="C2272" t="s">
        <v>90</v>
      </c>
      <c r="D2272" t="s">
        <v>509</v>
      </c>
      <c r="E2272" t="s">
        <v>9</v>
      </c>
      <c r="F2272" t="s">
        <v>136</v>
      </c>
      <c r="G2272">
        <v>1.8522433460076</v>
      </c>
    </row>
    <row r="2273" spans="3:7" hidden="1" x14ac:dyDescent="0.3">
      <c r="C2273" t="s">
        <v>429</v>
      </c>
      <c r="D2273" t="s">
        <v>617</v>
      </c>
      <c r="E2273" t="s">
        <v>13</v>
      </c>
      <c r="F2273" t="s">
        <v>136</v>
      </c>
      <c r="G2273">
        <v>1.83739376770538</v>
      </c>
    </row>
    <row r="2274" spans="3:7" hidden="1" x14ac:dyDescent="0.3">
      <c r="C2274" t="s">
        <v>126</v>
      </c>
      <c r="D2274" t="s">
        <v>1517</v>
      </c>
      <c r="E2274" t="s">
        <v>9</v>
      </c>
      <c r="F2274" t="s">
        <v>136</v>
      </c>
      <c r="G2274">
        <v>1.8237980769230699</v>
      </c>
    </row>
    <row r="2275" spans="3:7" hidden="1" x14ac:dyDescent="0.3">
      <c r="C2275" t="s">
        <v>429</v>
      </c>
      <c r="D2275" t="s">
        <v>535</v>
      </c>
      <c r="E2275" t="s">
        <v>13</v>
      </c>
      <c r="F2275" t="s">
        <v>136</v>
      </c>
      <c r="G2275">
        <v>1.75048648648648</v>
      </c>
    </row>
    <row r="2276" spans="3:7" hidden="1" x14ac:dyDescent="0.3">
      <c r="C2276" t="s">
        <v>90</v>
      </c>
      <c r="D2276" t="s">
        <v>1246</v>
      </c>
      <c r="E2276" t="s">
        <v>9</v>
      </c>
      <c r="F2276" t="s">
        <v>136</v>
      </c>
      <c r="G2276">
        <v>1.74809137803979</v>
      </c>
    </row>
    <row r="2277" spans="3:7" hidden="1" x14ac:dyDescent="0.3">
      <c r="C2277" t="s">
        <v>269</v>
      </c>
      <c r="D2277" t="s">
        <v>943</v>
      </c>
      <c r="E2277" t="s">
        <v>13</v>
      </c>
      <c r="F2277" t="s">
        <v>136</v>
      </c>
      <c r="G2277">
        <v>1.74732211275314</v>
      </c>
    </row>
    <row r="2278" spans="3:7" hidden="1" x14ac:dyDescent="0.3">
      <c r="C2278" t="s">
        <v>19</v>
      </c>
      <c r="D2278" t="s">
        <v>1518</v>
      </c>
      <c r="E2278" t="s">
        <v>13</v>
      </c>
      <c r="F2278" t="s">
        <v>136</v>
      </c>
      <c r="G2278">
        <v>1.7082763313462801</v>
      </c>
    </row>
    <row r="2279" spans="3:7" hidden="1" x14ac:dyDescent="0.3">
      <c r="C2279" t="s">
        <v>11</v>
      </c>
      <c r="D2279" t="s">
        <v>1519</v>
      </c>
      <c r="E2279" t="s">
        <v>13</v>
      </c>
      <c r="F2279" t="s">
        <v>136</v>
      </c>
      <c r="G2279">
        <v>1.6931955243527801</v>
      </c>
    </row>
    <row r="2280" spans="3:7" hidden="1" x14ac:dyDescent="0.3">
      <c r="C2280" t="s">
        <v>269</v>
      </c>
      <c r="D2280" t="s">
        <v>1520</v>
      </c>
      <c r="E2280" t="s">
        <v>9</v>
      </c>
      <c r="F2280" t="s">
        <v>136</v>
      </c>
      <c r="G2280">
        <v>1.6915515075376799</v>
      </c>
    </row>
    <row r="2281" spans="3:7" hidden="1" x14ac:dyDescent="0.3">
      <c r="C2281" t="s">
        <v>78</v>
      </c>
      <c r="D2281" t="s">
        <v>1521</v>
      </c>
      <c r="E2281" t="s">
        <v>9</v>
      </c>
      <c r="F2281" t="s">
        <v>136</v>
      </c>
      <c r="G2281">
        <v>1.68</v>
      </c>
    </row>
    <row r="2282" spans="3:7" hidden="1" x14ac:dyDescent="0.3">
      <c r="C2282" t="s">
        <v>78</v>
      </c>
      <c r="D2282" t="s">
        <v>1522</v>
      </c>
      <c r="E2282" t="s">
        <v>17</v>
      </c>
      <c r="F2282" t="s">
        <v>136</v>
      </c>
      <c r="G2282">
        <v>1.68</v>
      </c>
    </row>
    <row r="2283" spans="3:7" hidden="1" x14ac:dyDescent="0.3">
      <c r="C2283" t="s">
        <v>19</v>
      </c>
      <c r="D2283" t="s">
        <v>1150</v>
      </c>
      <c r="E2283" t="s">
        <v>13</v>
      </c>
      <c r="F2283" t="s">
        <v>136</v>
      </c>
      <c r="G2283">
        <v>1.6546546546546499</v>
      </c>
    </row>
    <row r="2284" spans="3:7" hidden="1" x14ac:dyDescent="0.3">
      <c r="C2284" t="s">
        <v>11</v>
      </c>
      <c r="D2284" t="s">
        <v>395</v>
      </c>
      <c r="E2284" t="s">
        <v>13</v>
      </c>
      <c r="F2284" t="s">
        <v>136</v>
      </c>
      <c r="G2284">
        <v>1.6487052528358499</v>
      </c>
    </row>
    <row r="2285" spans="3:7" hidden="1" x14ac:dyDescent="0.3">
      <c r="C2285" t="s">
        <v>126</v>
      </c>
      <c r="D2285" t="s">
        <v>1523</v>
      </c>
      <c r="E2285" t="s">
        <v>13</v>
      </c>
      <c r="F2285" t="s">
        <v>136</v>
      </c>
      <c r="G2285">
        <v>1.64584615384615</v>
      </c>
    </row>
    <row r="2286" spans="3:7" hidden="1" x14ac:dyDescent="0.3">
      <c r="C2286" t="s">
        <v>455</v>
      </c>
      <c r="D2286" t="s">
        <v>657</v>
      </c>
      <c r="E2286" t="s">
        <v>13</v>
      </c>
      <c r="F2286" t="s">
        <v>136</v>
      </c>
      <c r="G2286">
        <v>1.6430510060832899</v>
      </c>
    </row>
    <row r="2287" spans="3:7" hidden="1" x14ac:dyDescent="0.3">
      <c r="C2287" t="s">
        <v>21</v>
      </c>
      <c r="D2287" t="s">
        <v>1334</v>
      </c>
      <c r="E2287" t="s">
        <v>17</v>
      </c>
      <c r="F2287" t="s">
        <v>136</v>
      </c>
      <c r="G2287">
        <v>1.6199999999999899</v>
      </c>
    </row>
    <row r="2288" spans="3:7" hidden="1" x14ac:dyDescent="0.3">
      <c r="C2288" t="s">
        <v>90</v>
      </c>
      <c r="D2288" t="s">
        <v>396</v>
      </c>
      <c r="E2288" t="s">
        <v>13</v>
      </c>
      <c r="F2288" t="s">
        <v>240</v>
      </c>
      <c r="G2288">
        <v>1.6106463878327</v>
      </c>
    </row>
    <row r="2289" spans="3:7" hidden="1" x14ac:dyDescent="0.3">
      <c r="C2289" t="s">
        <v>429</v>
      </c>
      <c r="D2289" t="s">
        <v>1524</v>
      </c>
      <c r="E2289" t="s">
        <v>9</v>
      </c>
      <c r="F2289" t="s">
        <v>29</v>
      </c>
      <c r="G2289">
        <v>1.59135135135135</v>
      </c>
    </row>
    <row r="2290" spans="3:7" hidden="1" x14ac:dyDescent="0.3">
      <c r="C2290" t="s">
        <v>78</v>
      </c>
      <c r="D2290" t="s">
        <v>1175</v>
      </c>
      <c r="E2290" t="s">
        <v>13</v>
      </c>
      <c r="F2290" t="s">
        <v>136</v>
      </c>
      <c r="G2290">
        <v>1.5894459556720599</v>
      </c>
    </row>
    <row r="2291" spans="3:7" hidden="1" x14ac:dyDescent="0.3">
      <c r="C2291" t="s">
        <v>90</v>
      </c>
      <c r="D2291" t="s">
        <v>351</v>
      </c>
      <c r="E2291" t="s">
        <v>9</v>
      </c>
      <c r="F2291" t="s">
        <v>240</v>
      </c>
      <c r="G2291">
        <v>1.57880799059929</v>
      </c>
    </row>
    <row r="2292" spans="3:7" hidden="1" x14ac:dyDescent="0.3">
      <c r="C2292" t="s">
        <v>19</v>
      </c>
      <c r="D2292" t="s">
        <v>1525</v>
      </c>
      <c r="E2292" t="s">
        <v>13</v>
      </c>
      <c r="F2292" t="s">
        <v>136</v>
      </c>
      <c r="G2292">
        <v>1.57076923076923</v>
      </c>
    </row>
    <row r="2293" spans="3:7" hidden="1" x14ac:dyDescent="0.3">
      <c r="C2293" t="s">
        <v>11</v>
      </c>
      <c r="D2293" t="s">
        <v>1254</v>
      </c>
      <c r="E2293" t="s">
        <v>13</v>
      </c>
      <c r="F2293" t="s">
        <v>136</v>
      </c>
      <c r="G2293">
        <v>1.5638411160627701</v>
      </c>
    </row>
    <row r="2294" spans="3:7" hidden="1" x14ac:dyDescent="0.3">
      <c r="C2294" t="s">
        <v>78</v>
      </c>
      <c r="D2294" t="s">
        <v>1210</v>
      </c>
      <c r="E2294" t="s">
        <v>13</v>
      </c>
      <c r="F2294" t="s">
        <v>136</v>
      </c>
      <c r="G2294">
        <v>1.5542603678528</v>
      </c>
    </row>
    <row r="2295" spans="3:7" hidden="1" x14ac:dyDescent="0.3">
      <c r="C2295" t="s">
        <v>78</v>
      </c>
      <c r="D2295" t="s">
        <v>1228</v>
      </c>
      <c r="E2295" t="s">
        <v>13</v>
      </c>
      <c r="F2295" t="s">
        <v>136</v>
      </c>
      <c r="G2295">
        <v>1.55058174904942</v>
      </c>
    </row>
    <row r="2296" spans="3:7" hidden="1" x14ac:dyDescent="0.3">
      <c r="C2296" t="s">
        <v>78</v>
      </c>
      <c r="D2296" t="s">
        <v>722</v>
      </c>
      <c r="E2296" t="s">
        <v>13</v>
      </c>
      <c r="F2296" t="s">
        <v>136</v>
      </c>
      <c r="G2296">
        <v>1.54513761467889</v>
      </c>
    </row>
    <row r="2297" spans="3:7" hidden="1" x14ac:dyDescent="0.3">
      <c r="C2297" t="s">
        <v>21</v>
      </c>
      <c r="D2297" t="s">
        <v>1526</v>
      </c>
      <c r="E2297" t="s">
        <v>9</v>
      </c>
      <c r="F2297" t="s">
        <v>136</v>
      </c>
      <c r="G2297">
        <v>1.5349999999999999</v>
      </c>
    </row>
    <row r="2298" spans="3:7" hidden="1" x14ac:dyDescent="0.3">
      <c r="C2298" t="s">
        <v>21</v>
      </c>
      <c r="D2298" t="s">
        <v>1527</v>
      </c>
      <c r="E2298" t="s">
        <v>13</v>
      </c>
      <c r="F2298" t="s">
        <v>240</v>
      </c>
      <c r="G2298">
        <v>1.5283887468030599</v>
      </c>
    </row>
    <row r="2299" spans="3:7" hidden="1" x14ac:dyDescent="0.3">
      <c r="C2299" t="s">
        <v>269</v>
      </c>
      <c r="D2299" t="s">
        <v>1336</v>
      </c>
      <c r="E2299" t="s">
        <v>9</v>
      </c>
      <c r="F2299" t="s">
        <v>136</v>
      </c>
      <c r="G2299">
        <v>1.52017023809523</v>
      </c>
    </row>
    <row r="2300" spans="3:7" hidden="1" x14ac:dyDescent="0.3">
      <c r="C2300" t="s">
        <v>90</v>
      </c>
      <c r="D2300" t="s">
        <v>657</v>
      </c>
      <c r="E2300" t="s">
        <v>13</v>
      </c>
      <c r="F2300" t="s">
        <v>136</v>
      </c>
      <c r="G2300">
        <v>1.50678887419408</v>
      </c>
    </row>
    <row r="2301" spans="3:7" hidden="1" x14ac:dyDescent="0.3">
      <c r="C2301" t="s">
        <v>21</v>
      </c>
      <c r="D2301" t="s">
        <v>1150</v>
      </c>
      <c r="E2301" t="s">
        <v>13</v>
      </c>
      <c r="F2301" t="s">
        <v>136</v>
      </c>
      <c r="G2301">
        <v>1.5061268414059601</v>
      </c>
    </row>
    <row r="2302" spans="3:7" hidden="1" x14ac:dyDescent="0.3">
      <c r="C2302" t="s">
        <v>1528</v>
      </c>
      <c r="D2302" t="s">
        <v>635</v>
      </c>
      <c r="E2302" t="s">
        <v>13</v>
      </c>
      <c r="F2302" t="s">
        <v>136</v>
      </c>
      <c r="G2302">
        <v>1.5</v>
      </c>
    </row>
    <row r="2303" spans="3:7" hidden="1" x14ac:dyDescent="0.3">
      <c r="C2303" t="s">
        <v>21</v>
      </c>
      <c r="D2303" t="s">
        <v>851</v>
      </c>
      <c r="E2303" t="s">
        <v>17</v>
      </c>
      <c r="F2303" t="s">
        <v>136</v>
      </c>
      <c r="G2303">
        <v>1.5</v>
      </c>
    </row>
    <row r="2304" spans="3:7" hidden="1" x14ac:dyDescent="0.3">
      <c r="C2304" t="s">
        <v>429</v>
      </c>
      <c r="D2304" t="s">
        <v>1097</v>
      </c>
      <c r="E2304" t="s">
        <v>13</v>
      </c>
      <c r="F2304" t="s">
        <v>136</v>
      </c>
      <c r="G2304">
        <v>1.4849530330330301</v>
      </c>
    </row>
    <row r="2305" spans="3:7" hidden="1" x14ac:dyDescent="0.3">
      <c r="C2305" t="s">
        <v>429</v>
      </c>
      <c r="D2305" t="s">
        <v>1529</v>
      </c>
      <c r="E2305" t="s">
        <v>17</v>
      </c>
      <c r="F2305" t="s">
        <v>136</v>
      </c>
      <c r="G2305">
        <v>1.472</v>
      </c>
    </row>
    <row r="2306" spans="3:7" hidden="1" x14ac:dyDescent="0.3">
      <c r="C2306" t="s">
        <v>21</v>
      </c>
      <c r="D2306" t="s">
        <v>1350</v>
      </c>
      <c r="E2306" t="s">
        <v>9</v>
      </c>
      <c r="F2306" t="s">
        <v>136</v>
      </c>
      <c r="G2306">
        <v>1.44307694432169</v>
      </c>
    </row>
    <row r="2307" spans="3:7" hidden="1" x14ac:dyDescent="0.3">
      <c r="C2307" t="s">
        <v>78</v>
      </c>
      <c r="D2307" t="s">
        <v>1304</v>
      </c>
      <c r="E2307" t="s">
        <v>9</v>
      </c>
      <c r="F2307" t="s">
        <v>136</v>
      </c>
      <c r="G2307">
        <v>1.44213011262596</v>
      </c>
    </row>
    <row r="2308" spans="3:7" hidden="1" x14ac:dyDescent="0.3">
      <c r="C2308" t="s">
        <v>19</v>
      </c>
      <c r="D2308" t="s">
        <v>958</v>
      </c>
      <c r="E2308" t="s">
        <v>13</v>
      </c>
      <c r="F2308" t="s">
        <v>240</v>
      </c>
      <c r="G2308">
        <v>1.38417916542916</v>
      </c>
    </row>
    <row r="2309" spans="3:7" hidden="1" x14ac:dyDescent="0.3">
      <c r="C2309" t="s">
        <v>126</v>
      </c>
      <c r="D2309" t="s">
        <v>1302</v>
      </c>
      <c r="E2309" t="s">
        <v>13</v>
      </c>
      <c r="F2309" t="s">
        <v>136</v>
      </c>
      <c r="G2309">
        <v>1.3608885877635799</v>
      </c>
    </row>
    <row r="2310" spans="3:7" hidden="1" x14ac:dyDescent="0.3">
      <c r="C2310" t="s">
        <v>7</v>
      </c>
      <c r="D2310" t="s">
        <v>1530</v>
      </c>
      <c r="E2310" t="s">
        <v>9</v>
      </c>
      <c r="F2310" t="s">
        <v>136</v>
      </c>
      <c r="G2310">
        <v>1.3528125</v>
      </c>
    </row>
    <row r="2311" spans="3:7" hidden="1" x14ac:dyDescent="0.3">
      <c r="C2311" t="s">
        <v>1528</v>
      </c>
      <c r="D2311" t="s">
        <v>1142</v>
      </c>
      <c r="E2311" t="s">
        <v>13</v>
      </c>
      <c r="F2311" t="s">
        <v>136</v>
      </c>
      <c r="G2311">
        <v>1.3499999999999901</v>
      </c>
    </row>
    <row r="2312" spans="3:7" hidden="1" x14ac:dyDescent="0.3">
      <c r="C2312" t="s">
        <v>429</v>
      </c>
      <c r="D2312" t="s">
        <v>1302</v>
      </c>
      <c r="E2312" t="s">
        <v>13</v>
      </c>
      <c r="F2312" t="s">
        <v>136</v>
      </c>
      <c r="G2312">
        <v>1.3324252922690101</v>
      </c>
    </row>
    <row r="2313" spans="3:7" hidden="1" x14ac:dyDescent="0.3">
      <c r="C2313" t="s">
        <v>11</v>
      </c>
      <c r="D2313" t="s">
        <v>1531</v>
      </c>
      <c r="E2313" t="s">
        <v>13</v>
      </c>
      <c r="F2313" t="s">
        <v>136</v>
      </c>
      <c r="G2313">
        <v>1.323</v>
      </c>
    </row>
    <row r="2314" spans="3:7" hidden="1" x14ac:dyDescent="0.3">
      <c r="C2314" t="s">
        <v>7</v>
      </c>
      <c r="D2314" t="s">
        <v>1462</v>
      </c>
      <c r="E2314" t="s">
        <v>13</v>
      </c>
      <c r="F2314" t="s">
        <v>136</v>
      </c>
      <c r="G2314">
        <v>1.31063848920863</v>
      </c>
    </row>
    <row r="2315" spans="3:7" hidden="1" x14ac:dyDescent="0.3">
      <c r="C2315" t="s">
        <v>21</v>
      </c>
      <c r="D2315" t="s">
        <v>1142</v>
      </c>
      <c r="E2315" t="s">
        <v>13</v>
      </c>
      <c r="F2315" t="s">
        <v>136</v>
      </c>
      <c r="G2315">
        <v>1.29375806451612</v>
      </c>
    </row>
    <row r="2316" spans="3:7" hidden="1" x14ac:dyDescent="0.3">
      <c r="C2316" t="s">
        <v>78</v>
      </c>
      <c r="D2316" t="s">
        <v>1532</v>
      </c>
      <c r="E2316" t="s">
        <v>17</v>
      </c>
      <c r="F2316" t="s">
        <v>136</v>
      </c>
      <c r="G2316">
        <v>1.288</v>
      </c>
    </row>
    <row r="2317" spans="3:7" hidden="1" x14ac:dyDescent="0.3">
      <c r="C2317" t="s">
        <v>19</v>
      </c>
      <c r="D2317" t="s">
        <v>1346</v>
      </c>
      <c r="E2317" t="s">
        <v>13</v>
      </c>
      <c r="F2317" t="s">
        <v>136</v>
      </c>
      <c r="G2317">
        <v>1.28728025479466</v>
      </c>
    </row>
    <row r="2318" spans="3:7" hidden="1" x14ac:dyDescent="0.3">
      <c r="C2318" t="s">
        <v>7</v>
      </c>
      <c r="D2318" t="s">
        <v>1533</v>
      </c>
      <c r="E2318" t="s">
        <v>13</v>
      </c>
      <c r="F2318" t="s">
        <v>136</v>
      </c>
      <c r="G2318">
        <v>1.2717086330935199</v>
      </c>
    </row>
    <row r="2319" spans="3:7" hidden="1" x14ac:dyDescent="0.3">
      <c r="C2319" t="s">
        <v>126</v>
      </c>
      <c r="D2319" t="s">
        <v>1534</v>
      </c>
      <c r="E2319" t="s">
        <v>13</v>
      </c>
      <c r="F2319" t="s">
        <v>136</v>
      </c>
      <c r="G2319">
        <v>1.26746478873239</v>
      </c>
    </row>
    <row r="2320" spans="3:7" hidden="1" x14ac:dyDescent="0.3">
      <c r="C2320" t="s">
        <v>1313</v>
      </c>
      <c r="D2320" t="s">
        <v>922</v>
      </c>
      <c r="E2320" t="s">
        <v>13</v>
      </c>
      <c r="F2320" t="s">
        <v>136</v>
      </c>
      <c r="G2320">
        <v>1.2615384615384599</v>
      </c>
    </row>
    <row r="2321" spans="3:7" hidden="1" x14ac:dyDescent="0.3">
      <c r="C2321" t="s">
        <v>90</v>
      </c>
      <c r="D2321" t="s">
        <v>1141</v>
      </c>
      <c r="E2321" t="s">
        <v>13</v>
      </c>
      <c r="F2321" t="s">
        <v>136</v>
      </c>
      <c r="G2321">
        <v>1.24863669859985</v>
      </c>
    </row>
    <row r="2322" spans="3:7" hidden="1" x14ac:dyDescent="0.3">
      <c r="C2322" t="s">
        <v>78</v>
      </c>
      <c r="D2322" t="s">
        <v>1535</v>
      </c>
      <c r="E2322" t="s">
        <v>17</v>
      </c>
      <c r="F2322" t="s">
        <v>136</v>
      </c>
      <c r="G2322">
        <v>1.248</v>
      </c>
    </row>
    <row r="2323" spans="3:7" hidden="1" x14ac:dyDescent="0.3">
      <c r="C2323" t="s">
        <v>19</v>
      </c>
      <c r="D2323" t="s">
        <v>1235</v>
      </c>
      <c r="E2323" t="s">
        <v>13</v>
      </c>
      <c r="F2323" t="s">
        <v>136</v>
      </c>
      <c r="G2323">
        <v>1.24691358024691</v>
      </c>
    </row>
    <row r="2324" spans="3:7" hidden="1" x14ac:dyDescent="0.3">
      <c r="C2324" t="s">
        <v>808</v>
      </c>
      <c r="D2324" t="s">
        <v>1097</v>
      </c>
      <c r="E2324" t="s">
        <v>13</v>
      </c>
      <c r="F2324" t="s">
        <v>136</v>
      </c>
      <c r="G2324">
        <v>1.24044324324324</v>
      </c>
    </row>
    <row r="2325" spans="3:7" hidden="1" x14ac:dyDescent="0.3">
      <c r="C2325" t="s">
        <v>14</v>
      </c>
      <c r="D2325" t="s">
        <v>1254</v>
      </c>
      <c r="E2325" t="s">
        <v>13</v>
      </c>
      <c r="F2325" t="s">
        <v>136</v>
      </c>
      <c r="G2325">
        <v>1.2236589698046101</v>
      </c>
    </row>
    <row r="2326" spans="3:7" hidden="1" x14ac:dyDescent="0.3">
      <c r="C2326" t="s">
        <v>808</v>
      </c>
      <c r="D2326" t="s">
        <v>1160</v>
      </c>
      <c r="E2326" t="s">
        <v>13</v>
      </c>
      <c r="F2326" t="s">
        <v>136</v>
      </c>
      <c r="G2326">
        <v>1.1913529411764701</v>
      </c>
    </row>
    <row r="2327" spans="3:7" hidden="1" x14ac:dyDescent="0.3">
      <c r="C2327" t="s">
        <v>19</v>
      </c>
      <c r="D2327" t="s">
        <v>1418</v>
      </c>
      <c r="E2327" t="s">
        <v>13</v>
      </c>
      <c r="F2327" t="s">
        <v>136</v>
      </c>
      <c r="G2327">
        <v>1.16142424242424</v>
      </c>
    </row>
    <row r="2328" spans="3:7" hidden="1" x14ac:dyDescent="0.3">
      <c r="C2328" t="s">
        <v>429</v>
      </c>
      <c r="D2328" t="s">
        <v>712</v>
      </c>
      <c r="E2328" t="s">
        <v>13</v>
      </c>
      <c r="F2328" t="s">
        <v>136</v>
      </c>
      <c r="G2328">
        <v>1.1572909995632701</v>
      </c>
    </row>
    <row r="2329" spans="3:7" hidden="1" x14ac:dyDescent="0.3">
      <c r="C2329" t="s">
        <v>1313</v>
      </c>
      <c r="D2329" t="s">
        <v>834</v>
      </c>
      <c r="E2329" t="s">
        <v>13</v>
      </c>
      <c r="F2329" t="s">
        <v>136</v>
      </c>
      <c r="G2329">
        <v>1.14379487179487</v>
      </c>
    </row>
    <row r="2330" spans="3:7" hidden="1" x14ac:dyDescent="0.3">
      <c r="C2330" t="s">
        <v>78</v>
      </c>
      <c r="D2330" t="s">
        <v>1415</v>
      </c>
      <c r="E2330" t="s">
        <v>13</v>
      </c>
      <c r="F2330" t="s">
        <v>136</v>
      </c>
      <c r="G2330">
        <v>1.1404650127934099</v>
      </c>
    </row>
    <row r="2331" spans="3:7" hidden="1" x14ac:dyDescent="0.3">
      <c r="C2331" t="s">
        <v>126</v>
      </c>
      <c r="D2331" t="s">
        <v>1347</v>
      </c>
      <c r="E2331" t="s">
        <v>13</v>
      </c>
      <c r="F2331" t="s">
        <v>136</v>
      </c>
      <c r="G2331">
        <v>1.13788212727546</v>
      </c>
    </row>
    <row r="2332" spans="3:7" hidden="1" x14ac:dyDescent="0.3">
      <c r="C2332" t="s">
        <v>7</v>
      </c>
      <c r="D2332" t="s">
        <v>1300</v>
      </c>
      <c r="E2332" t="s">
        <v>9</v>
      </c>
      <c r="F2332" t="s">
        <v>136</v>
      </c>
      <c r="G2332">
        <v>1.10743862161701</v>
      </c>
    </row>
    <row r="2333" spans="3:7" hidden="1" x14ac:dyDescent="0.3">
      <c r="C2333" t="s">
        <v>7</v>
      </c>
      <c r="D2333" t="s">
        <v>1536</v>
      </c>
      <c r="E2333" t="s">
        <v>13</v>
      </c>
      <c r="F2333" t="s">
        <v>136</v>
      </c>
      <c r="G2333">
        <v>1.09473289156514</v>
      </c>
    </row>
    <row r="2334" spans="3:7" hidden="1" x14ac:dyDescent="0.3">
      <c r="C2334" t="s">
        <v>21</v>
      </c>
      <c r="D2334" t="s">
        <v>1200</v>
      </c>
      <c r="E2334" t="s">
        <v>13</v>
      </c>
      <c r="F2334" t="s">
        <v>136</v>
      </c>
      <c r="G2334">
        <v>1.0906596375102999</v>
      </c>
    </row>
    <row r="2335" spans="3:7" hidden="1" x14ac:dyDescent="0.3">
      <c r="C2335" t="s">
        <v>11</v>
      </c>
      <c r="D2335" t="s">
        <v>1537</v>
      </c>
      <c r="E2335" t="s">
        <v>9</v>
      </c>
      <c r="F2335" t="s">
        <v>136</v>
      </c>
      <c r="G2335">
        <v>1.08789018989473</v>
      </c>
    </row>
    <row r="2336" spans="3:7" hidden="1" x14ac:dyDescent="0.3">
      <c r="C2336" t="s">
        <v>21</v>
      </c>
      <c r="D2336" t="s">
        <v>1538</v>
      </c>
      <c r="E2336" t="s">
        <v>13</v>
      </c>
      <c r="F2336" t="s">
        <v>240</v>
      </c>
      <c r="G2336">
        <v>1.08593155893536</v>
      </c>
    </row>
    <row r="2337" spans="3:7" hidden="1" x14ac:dyDescent="0.3">
      <c r="C2337" t="s">
        <v>429</v>
      </c>
      <c r="D2337" t="s">
        <v>653</v>
      </c>
      <c r="E2337" t="s">
        <v>13</v>
      </c>
      <c r="F2337" t="s">
        <v>240</v>
      </c>
      <c r="G2337">
        <v>1.0813229974160199</v>
      </c>
    </row>
    <row r="2338" spans="3:7" hidden="1" x14ac:dyDescent="0.3">
      <c r="C2338" t="s">
        <v>1313</v>
      </c>
      <c r="D2338" t="s">
        <v>722</v>
      </c>
      <c r="E2338" t="s">
        <v>13</v>
      </c>
      <c r="F2338" t="s">
        <v>136</v>
      </c>
      <c r="G2338">
        <v>1.07823800131492</v>
      </c>
    </row>
    <row r="2339" spans="3:7" hidden="1" x14ac:dyDescent="0.3">
      <c r="C2339" t="s">
        <v>19</v>
      </c>
      <c r="D2339" t="s">
        <v>1447</v>
      </c>
      <c r="E2339" t="s">
        <v>9</v>
      </c>
      <c r="F2339" t="s">
        <v>136</v>
      </c>
      <c r="G2339">
        <v>1.0424324324324299</v>
      </c>
    </row>
    <row r="2340" spans="3:7" hidden="1" x14ac:dyDescent="0.3">
      <c r="C2340" t="s">
        <v>269</v>
      </c>
      <c r="D2340" t="s">
        <v>535</v>
      </c>
      <c r="E2340" t="s">
        <v>13</v>
      </c>
      <c r="F2340" t="s">
        <v>136</v>
      </c>
      <c r="G2340">
        <v>1.04102564102564</v>
      </c>
    </row>
    <row r="2341" spans="3:7" hidden="1" x14ac:dyDescent="0.3">
      <c r="C2341" t="s">
        <v>269</v>
      </c>
      <c r="D2341" t="s">
        <v>1235</v>
      </c>
      <c r="E2341" t="s">
        <v>13</v>
      </c>
      <c r="F2341" t="s">
        <v>136</v>
      </c>
      <c r="G2341">
        <v>1.0387011219350899</v>
      </c>
    </row>
    <row r="2342" spans="3:7" hidden="1" x14ac:dyDescent="0.3">
      <c r="C2342" t="s">
        <v>455</v>
      </c>
      <c r="D2342" t="s">
        <v>1324</v>
      </c>
      <c r="E2342" t="s">
        <v>13</v>
      </c>
      <c r="F2342" t="s">
        <v>136</v>
      </c>
      <c r="G2342">
        <v>1.0371759475900699</v>
      </c>
    </row>
    <row r="2343" spans="3:7" hidden="1" x14ac:dyDescent="0.3">
      <c r="C2343" t="s">
        <v>1313</v>
      </c>
      <c r="D2343" t="s">
        <v>403</v>
      </c>
      <c r="E2343" t="s">
        <v>13</v>
      </c>
      <c r="F2343" t="s">
        <v>136</v>
      </c>
      <c r="G2343">
        <v>1.03707553707553</v>
      </c>
    </row>
    <row r="2344" spans="3:7" hidden="1" x14ac:dyDescent="0.3">
      <c r="C2344" t="s">
        <v>78</v>
      </c>
      <c r="D2344" t="s">
        <v>1501</v>
      </c>
      <c r="E2344" t="s">
        <v>9</v>
      </c>
      <c r="F2344" t="s">
        <v>136</v>
      </c>
      <c r="G2344">
        <v>1.0150138613861299</v>
      </c>
    </row>
    <row r="2345" spans="3:7" hidden="1" x14ac:dyDescent="0.3">
      <c r="C2345" t="s">
        <v>11</v>
      </c>
      <c r="D2345" t="s">
        <v>1536</v>
      </c>
      <c r="E2345" t="s">
        <v>13</v>
      </c>
      <c r="F2345" t="s">
        <v>136</v>
      </c>
      <c r="G2345">
        <v>1.0123104503862499</v>
      </c>
    </row>
    <row r="2346" spans="3:7" hidden="1" x14ac:dyDescent="0.3">
      <c r="C2346" t="s">
        <v>21</v>
      </c>
      <c r="D2346" t="s">
        <v>1539</v>
      </c>
      <c r="E2346" t="s">
        <v>13</v>
      </c>
      <c r="F2346" t="s">
        <v>136</v>
      </c>
      <c r="G2346">
        <v>1.00818584070796</v>
      </c>
    </row>
    <row r="2347" spans="3:7" hidden="1" x14ac:dyDescent="0.3">
      <c r="C2347" t="s">
        <v>21</v>
      </c>
      <c r="D2347" t="s">
        <v>1512</v>
      </c>
      <c r="E2347" t="s">
        <v>13</v>
      </c>
      <c r="F2347" t="s">
        <v>136</v>
      </c>
      <c r="G2347">
        <v>1.00818584070796</v>
      </c>
    </row>
    <row r="2348" spans="3:7" hidden="1" x14ac:dyDescent="0.3">
      <c r="C2348" t="s">
        <v>78</v>
      </c>
      <c r="D2348" t="s">
        <v>657</v>
      </c>
      <c r="E2348" t="s">
        <v>13</v>
      </c>
      <c r="F2348" t="s">
        <v>136</v>
      </c>
      <c r="G2348">
        <v>1.0038767160663999</v>
      </c>
    </row>
    <row r="2349" spans="3:7" hidden="1" x14ac:dyDescent="0.3">
      <c r="C2349" t="s">
        <v>19</v>
      </c>
      <c r="D2349" t="s">
        <v>1444</v>
      </c>
      <c r="E2349" t="s">
        <v>13</v>
      </c>
      <c r="F2349" t="s">
        <v>136</v>
      </c>
      <c r="G2349">
        <v>1.00141681625763</v>
      </c>
    </row>
    <row r="2350" spans="3:7" hidden="1" x14ac:dyDescent="0.3">
      <c r="C2350" t="s">
        <v>21</v>
      </c>
      <c r="D2350" t="s">
        <v>1505</v>
      </c>
      <c r="E2350" t="s">
        <v>9</v>
      </c>
      <c r="F2350" t="s">
        <v>136</v>
      </c>
      <c r="G2350">
        <v>0.99099000000000004</v>
      </c>
    </row>
    <row r="2351" spans="3:7" hidden="1" x14ac:dyDescent="0.3">
      <c r="C2351" t="s">
        <v>90</v>
      </c>
      <c r="D2351" t="s">
        <v>635</v>
      </c>
      <c r="E2351" t="s">
        <v>13</v>
      </c>
      <c r="F2351" t="s">
        <v>136</v>
      </c>
      <c r="G2351">
        <v>0.97157414806110398</v>
      </c>
    </row>
    <row r="2352" spans="3:7" hidden="1" x14ac:dyDescent="0.3">
      <c r="C2352" t="s">
        <v>21</v>
      </c>
      <c r="D2352" t="s">
        <v>1536</v>
      </c>
      <c r="E2352" t="s">
        <v>13</v>
      </c>
      <c r="F2352" t="s">
        <v>136</v>
      </c>
      <c r="G2352">
        <v>0.97093128769038906</v>
      </c>
    </row>
    <row r="2353" spans="3:7" hidden="1" x14ac:dyDescent="0.3">
      <c r="C2353" t="s">
        <v>14</v>
      </c>
      <c r="D2353" t="s">
        <v>1540</v>
      </c>
      <c r="E2353" t="s">
        <v>13</v>
      </c>
      <c r="F2353" t="s">
        <v>136</v>
      </c>
      <c r="G2353">
        <v>0.95864267352185095</v>
      </c>
    </row>
    <row r="2354" spans="3:7" hidden="1" x14ac:dyDescent="0.3">
      <c r="C2354" t="s">
        <v>808</v>
      </c>
      <c r="D2354" t="s">
        <v>712</v>
      </c>
      <c r="E2354" t="s">
        <v>13</v>
      </c>
      <c r="F2354" t="s">
        <v>136</v>
      </c>
      <c r="G2354">
        <v>0.95308235294117605</v>
      </c>
    </row>
    <row r="2355" spans="3:7" hidden="1" x14ac:dyDescent="0.3">
      <c r="C2355" t="s">
        <v>188</v>
      </c>
      <c r="D2355" t="s">
        <v>1217</v>
      </c>
      <c r="E2355" t="s">
        <v>13</v>
      </c>
      <c r="F2355" t="s">
        <v>136</v>
      </c>
      <c r="G2355">
        <v>0.95125000000000004</v>
      </c>
    </row>
    <row r="2356" spans="3:7" hidden="1" x14ac:dyDescent="0.3">
      <c r="C2356" t="s">
        <v>78</v>
      </c>
      <c r="D2356" t="s">
        <v>905</v>
      </c>
      <c r="E2356" t="s">
        <v>13</v>
      </c>
      <c r="F2356" t="s">
        <v>240</v>
      </c>
      <c r="G2356">
        <v>0.94384311926605502</v>
      </c>
    </row>
    <row r="2357" spans="3:7" hidden="1" x14ac:dyDescent="0.3">
      <c r="C2357" t="s">
        <v>455</v>
      </c>
      <c r="D2357" t="s">
        <v>1347</v>
      </c>
      <c r="E2357" t="s">
        <v>13</v>
      </c>
      <c r="F2357" t="s">
        <v>136</v>
      </c>
      <c r="G2357">
        <v>0.93355170800187104</v>
      </c>
    </row>
    <row r="2358" spans="3:7" hidden="1" x14ac:dyDescent="0.3">
      <c r="C2358" t="s">
        <v>455</v>
      </c>
      <c r="D2358" t="s">
        <v>1345</v>
      </c>
      <c r="E2358" t="s">
        <v>9</v>
      </c>
      <c r="F2358" t="s">
        <v>136</v>
      </c>
      <c r="G2358">
        <v>0.93355170800187104</v>
      </c>
    </row>
    <row r="2359" spans="3:7" hidden="1" x14ac:dyDescent="0.3">
      <c r="C2359" t="s">
        <v>19</v>
      </c>
      <c r="D2359" t="s">
        <v>1075</v>
      </c>
      <c r="E2359" t="s">
        <v>9</v>
      </c>
      <c r="F2359" t="s">
        <v>136</v>
      </c>
      <c r="G2359">
        <v>0.93233591578947295</v>
      </c>
    </row>
    <row r="2360" spans="3:7" hidden="1" x14ac:dyDescent="0.3">
      <c r="C2360" t="s">
        <v>126</v>
      </c>
      <c r="D2360" t="s">
        <v>622</v>
      </c>
      <c r="E2360" t="s">
        <v>13</v>
      </c>
      <c r="F2360" t="s">
        <v>136</v>
      </c>
      <c r="G2360">
        <v>0.93048128342245995</v>
      </c>
    </row>
    <row r="2361" spans="3:7" hidden="1" x14ac:dyDescent="0.3">
      <c r="C2361" t="s">
        <v>78</v>
      </c>
      <c r="D2361" t="s">
        <v>1479</v>
      </c>
      <c r="E2361" t="s">
        <v>13</v>
      </c>
      <c r="F2361" t="s">
        <v>136</v>
      </c>
      <c r="G2361">
        <v>0.92898132855990301</v>
      </c>
    </row>
    <row r="2362" spans="3:7" hidden="1" x14ac:dyDescent="0.3">
      <c r="C2362" t="s">
        <v>19</v>
      </c>
      <c r="D2362" t="s">
        <v>820</v>
      </c>
      <c r="E2362" t="s">
        <v>9</v>
      </c>
      <c r="F2362" t="s">
        <v>136</v>
      </c>
      <c r="G2362">
        <v>0.92278611028611002</v>
      </c>
    </row>
    <row r="2363" spans="3:7" hidden="1" x14ac:dyDescent="0.3">
      <c r="C2363" t="s">
        <v>19</v>
      </c>
      <c r="D2363" t="s">
        <v>1138</v>
      </c>
      <c r="E2363" t="s">
        <v>9</v>
      </c>
      <c r="F2363" t="s">
        <v>136</v>
      </c>
      <c r="G2363">
        <v>0.92278611028611002</v>
      </c>
    </row>
    <row r="2364" spans="3:7" hidden="1" x14ac:dyDescent="0.3">
      <c r="C2364" t="s">
        <v>19</v>
      </c>
      <c r="D2364" t="s">
        <v>972</v>
      </c>
      <c r="E2364" t="s">
        <v>9</v>
      </c>
      <c r="F2364" t="s">
        <v>136</v>
      </c>
      <c r="G2364">
        <v>0.92278611028611002</v>
      </c>
    </row>
    <row r="2365" spans="3:7" hidden="1" x14ac:dyDescent="0.3">
      <c r="C2365" t="s">
        <v>19</v>
      </c>
      <c r="D2365" t="s">
        <v>1259</v>
      </c>
      <c r="E2365" t="s">
        <v>13</v>
      </c>
      <c r="F2365" t="s">
        <v>136</v>
      </c>
      <c r="G2365">
        <v>0.91715918142735098</v>
      </c>
    </row>
    <row r="2366" spans="3:7" hidden="1" x14ac:dyDescent="0.3">
      <c r="C2366" t="s">
        <v>1528</v>
      </c>
      <c r="D2366" t="s">
        <v>1175</v>
      </c>
      <c r="E2366" t="s">
        <v>13</v>
      </c>
      <c r="F2366" t="s">
        <v>136</v>
      </c>
      <c r="G2366">
        <v>0.89999999999999902</v>
      </c>
    </row>
    <row r="2367" spans="3:7" hidden="1" x14ac:dyDescent="0.3">
      <c r="C2367" t="s">
        <v>21</v>
      </c>
      <c r="D2367" t="s">
        <v>1541</v>
      </c>
      <c r="E2367" t="s">
        <v>17</v>
      </c>
      <c r="F2367" t="s">
        <v>136</v>
      </c>
      <c r="G2367">
        <v>0.89999999999999902</v>
      </c>
    </row>
    <row r="2368" spans="3:7" hidden="1" x14ac:dyDescent="0.3">
      <c r="C2368" t="s">
        <v>78</v>
      </c>
      <c r="D2368" t="s">
        <v>351</v>
      </c>
      <c r="E2368" t="s">
        <v>9</v>
      </c>
      <c r="F2368" t="s">
        <v>136</v>
      </c>
      <c r="G2368">
        <v>0.89361390045718403</v>
      </c>
    </row>
    <row r="2369" spans="3:7" hidden="1" x14ac:dyDescent="0.3">
      <c r="C2369" t="s">
        <v>90</v>
      </c>
      <c r="D2369" t="s">
        <v>1428</v>
      </c>
      <c r="E2369" t="s">
        <v>9</v>
      </c>
      <c r="F2369" t="s">
        <v>136</v>
      </c>
      <c r="G2369">
        <v>0.87404568901989599</v>
      </c>
    </row>
    <row r="2370" spans="3:7" hidden="1" x14ac:dyDescent="0.3">
      <c r="C2370" t="s">
        <v>1313</v>
      </c>
      <c r="D2370" t="s">
        <v>1088</v>
      </c>
      <c r="E2370" t="s">
        <v>9</v>
      </c>
      <c r="F2370" t="s">
        <v>136</v>
      </c>
      <c r="G2370">
        <v>0.85784615384615304</v>
      </c>
    </row>
    <row r="2371" spans="3:7" hidden="1" x14ac:dyDescent="0.3">
      <c r="C2371" t="s">
        <v>7</v>
      </c>
      <c r="D2371" t="s">
        <v>1519</v>
      </c>
      <c r="E2371" t="s">
        <v>13</v>
      </c>
      <c r="F2371" t="s">
        <v>136</v>
      </c>
      <c r="G2371">
        <v>0.83520051746442403</v>
      </c>
    </row>
    <row r="2372" spans="3:7" hidden="1" x14ac:dyDescent="0.3">
      <c r="C2372" t="s">
        <v>126</v>
      </c>
      <c r="D2372" t="s">
        <v>961</v>
      </c>
      <c r="E2372" t="s">
        <v>9</v>
      </c>
      <c r="F2372" t="s">
        <v>136</v>
      </c>
      <c r="G2372">
        <v>0.81882352941176395</v>
      </c>
    </row>
    <row r="2373" spans="3:7" hidden="1" x14ac:dyDescent="0.3">
      <c r="C2373" t="s">
        <v>90</v>
      </c>
      <c r="D2373" t="s">
        <v>1012</v>
      </c>
      <c r="E2373" t="s">
        <v>9</v>
      </c>
      <c r="F2373" t="s">
        <v>136</v>
      </c>
      <c r="G2373">
        <v>0.80882459910728999</v>
      </c>
    </row>
    <row r="2374" spans="3:7" hidden="1" x14ac:dyDescent="0.3">
      <c r="C2374" t="s">
        <v>11</v>
      </c>
      <c r="D2374" t="s">
        <v>1538</v>
      </c>
      <c r="E2374" t="s">
        <v>13</v>
      </c>
      <c r="F2374" t="s">
        <v>240</v>
      </c>
      <c r="G2374">
        <v>0.79673180217199802</v>
      </c>
    </row>
    <row r="2375" spans="3:7" hidden="1" x14ac:dyDescent="0.3">
      <c r="C2375" t="s">
        <v>19</v>
      </c>
      <c r="D2375" t="s">
        <v>1119</v>
      </c>
      <c r="E2375" t="s">
        <v>13</v>
      </c>
      <c r="F2375" t="s">
        <v>136</v>
      </c>
      <c r="G2375">
        <v>0.78316216926315796</v>
      </c>
    </row>
    <row r="2376" spans="3:7" hidden="1" x14ac:dyDescent="0.3">
      <c r="C2376" t="s">
        <v>126</v>
      </c>
      <c r="D2376" t="s">
        <v>1436</v>
      </c>
      <c r="E2376" t="s">
        <v>9</v>
      </c>
      <c r="F2376" t="s">
        <v>10</v>
      </c>
      <c r="G2376">
        <v>0.773759846547314</v>
      </c>
    </row>
    <row r="2377" spans="3:7" hidden="1" x14ac:dyDescent="0.3">
      <c r="C2377" t="s">
        <v>1313</v>
      </c>
      <c r="D2377" t="s">
        <v>1261</v>
      </c>
      <c r="E2377" t="s">
        <v>9</v>
      </c>
      <c r="F2377" t="s">
        <v>136</v>
      </c>
      <c r="G2377">
        <v>0.76743589743589702</v>
      </c>
    </row>
    <row r="2378" spans="3:7" hidden="1" x14ac:dyDescent="0.3">
      <c r="C2378" t="s">
        <v>1313</v>
      </c>
      <c r="D2378" t="s">
        <v>956</v>
      </c>
      <c r="E2378" t="s">
        <v>13</v>
      </c>
      <c r="F2378" t="s">
        <v>240</v>
      </c>
      <c r="G2378">
        <v>0.76743589743589702</v>
      </c>
    </row>
    <row r="2379" spans="3:7" hidden="1" x14ac:dyDescent="0.3">
      <c r="C2379" t="s">
        <v>429</v>
      </c>
      <c r="D2379" t="s">
        <v>807</v>
      </c>
      <c r="E2379" t="s">
        <v>13</v>
      </c>
      <c r="F2379" t="s">
        <v>240</v>
      </c>
      <c r="G2379">
        <v>0.76633210896258697</v>
      </c>
    </row>
    <row r="2380" spans="3:7" hidden="1" x14ac:dyDescent="0.3">
      <c r="C2380" t="s">
        <v>78</v>
      </c>
      <c r="D2380" t="s">
        <v>410</v>
      </c>
      <c r="E2380" t="s">
        <v>13</v>
      </c>
      <c r="F2380" t="s">
        <v>136</v>
      </c>
      <c r="G2380">
        <v>0.76251829513470004</v>
      </c>
    </row>
    <row r="2381" spans="3:7" hidden="1" x14ac:dyDescent="0.3">
      <c r="C2381" t="s">
        <v>78</v>
      </c>
      <c r="D2381" t="s">
        <v>1142</v>
      </c>
      <c r="E2381" t="s">
        <v>13</v>
      </c>
      <c r="F2381" t="s">
        <v>136</v>
      </c>
      <c r="G2381">
        <v>0.76102117061021102</v>
      </c>
    </row>
    <row r="2382" spans="3:7" hidden="1" x14ac:dyDescent="0.3">
      <c r="C2382" t="s">
        <v>7</v>
      </c>
      <c r="D2382" t="s">
        <v>1385</v>
      </c>
      <c r="E2382" t="s">
        <v>9</v>
      </c>
      <c r="F2382" t="s">
        <v>136</v>
      </c>
      <c r="G2382">
        <v>0.75408734602463601</v>
      </c>
    </row>
    <row r="2383" spans="3:7" hidden="1" x14ac:dyDescent="0.3">
      <c r="C2383" t="s">
        <v>126</v>
      </c>
      <c r="D2383" t="s">
        <v>410</v>
      </c>
      <c r="E2383" t="s">
        <v>13</v>
      </c>
      <c r="F2383" t="s">
        <v>136</v>
      </c>
      <c r="G2383">
        <v>0.743717391304347</v>
      </c>
    </row>
    <row r="2384" spans="3:7" hidden="1" x14ac:dyDescent="0.3">
      <c r="C2384" t="s">
        <v>19</v>
      </c>
      <c r="D2384" t="s">
        <v>1538</v>
      </c>
      <c r="E2384" t="s">
        <v>13</v>
      </c>
      <c r="F2384" t="s">
        <v>240</v>
      </c>
      <c r="G2384">
        <v>0.74330434782608701</v>
      </c>
    </row>
    <row r="2385" spans="3:7" hidden="1" x14ac:dyDescent="0.3">
      <c r="C2385" t="s">
        <v>7</v>
      </c>
      <c r="D2385" t="s">
        <v>1433</v>
      </c>
      <c r="E2385" t="s">
        <v>13</v>
      </c>
      <c r="F2385" t="s">
        <v>136</v>
      </c>
      <c r="G2385">
        <v>0.74036618705035895</v>
      </c>
    </row>
    <row r="2386" spans="3:7" hidden="1" x14ac:dyDescent="0.3">
      <c r="C2386" t="s">
        <v>7</v>
      </c>
      <c r="D2386" t="s">
        <v>1435</v>
      </c>
      <c r="E2386" t="s">
        <v>13</v>
      </c>
      <c r="F2386" t="s">
        <v>136</v>
      </c>
      <c r="G2386">
        <v>0.73930508670033601</v>
      </c>
    </row>
    <row r="2387" spans="3:7" hidden="1" x14ac:dyDescent="0.3">
      <c r="C2387" t="s">
        <v>19</v>
      </c>
      <c r="D2387" t="s">
        <v>1542</v>
      </c>
      <c r="E2387" t="s">
        <v>13</v>
      </c>
      <c r="F2387" t="s">
        <v>240</v>
      </c>
      <c r="G2387">
        <v>0.73146769861956296</v>
      </c>
    </row>
    <row r="2388" spans="3:7" hidden="1" x14ac:dyDescent="0.3">
      <c r="C2388" t="s">
        <v>429</v>
      </c>
      <c r="D2388" t="s">
        <v>657</v>
      </c>
      <c r="E2388" t="s">
        <v>13</v>
      </c>
      <c r="F2388" t="s">
        <v>136</v>
      </c>
      <c r="G2388">
        <v>0.726830985915493</v>
      </c>
    </row>
    <row r="2389" spans="3:7" hidden="1" x14ac:dyDescent="0.3">
      <c r="C2389" t="s">
        <v>808</v>
      </c>
      <c r="D2389" t="s">
        <v>1543</v>
      </c>
      <c r="E2389" t="s">
        <v>13</v>
      </c>
      <c r="F2389" t="s">
        <v>240</v>
      </c>
      <c r="G2389">
        <v>0.72359189189189099</v>
      </c>
    </row>
    <row r="2390" spans="3:7" hidden="1" x14ac:dyDescent="0.3">
      <c r="C2390" t="s">
        <v>808</v>
      </c>
      <c r="D2390" t="s">
        <v>1302</v>
      </c>
      <c r="E2390" t="s">
        <v>13</v>
      </c>
      <c r="F2390" t="s">
        <v>136</v>
      </c>
      <c r="G2390">
        <v>0.72359189189189099</v>
      </c>
    </row>
    <row r="2391" spans="3:7" hidden="1" x14ac:dyDescent="0.3">
      <c r="C2391" t="s">
        <v>19</v>
      </c>
      <c r="D2391" t="s">
        <v>1544</v>
      </c>
      <c r="E2391" t="s">
        <v>13</v>
      </c>
      <c r="F2391" t="s">
        <v>136</v>
      </c>
      <c r="G2391">
        <v>0.71000999999999903</v>
      </c>
    </row>
    <row r="2392" spans="3:7" hidden="1" x14ac:dyDescent="0.3">
      <c r="C2392" t="s">
        <v>7</v>
      </c>
      <c r="D2392" t="s">
        <v>1545</v>
      </c>
      <c r="E2392" t="s">
        <v>13</v>
      </c>
      <c r="F2392" t="s">
        <v>136</v>
      </c>
      <c r="G2392">
        <v>0.70845433580947403</v>
      </c>
    </row>
    <row r="2393" spans="3:7" hidden="1" x14ac:dyDescent="0.3">
      <c r="C2393" t="s">
        <v>78</v>
      </c>
      <c r="D2393" t="s">
        <v>1546</v>
      </c>
      <c r="E2393" t="s">
        <v>9</v>
      </c>
      <c r="F2393" t="s">
        <v>136</v>
      </c>
      <c r="G2393">
        <v>0.69828055667607902</v>
      </c>
    </row>
    <row r="2394" spans="3:7" hidden="1" x14ac:dyDescent="0.3">
      <c r="C2394" t="s">
        <v>11</v>
      </c>
      <c r="D2394" t="s">
        <v>1447</v>
      </c>
      <c r="E2394" t="s">
        <v>9</v>
      </c>
      <c r="F2394" t="s">
        <v>136</v>
      </c>
      <c r="G2394">
        <v>0.69354838709677402</v>
      </c>
    </row>
    <row r="2395" spans="3:7" hidden="1" x14ac:dyDescent="0.3">
      <c r="C2395" t="s">
        <v>21</v>
      </c>
      <c r="D2395" t="s">
        <v>1433</v>
      </c>
      <c r="E2395" t="s">
        <v>13</v>
      </c>
      <c r="F2395" t="s">
        <v>136</v>
      </c>
      <c r="G2395">
        <v>0.688915500999143</v>
      </c>
    </row>
    <row r="2396" spans="3:7" hidden="1" x14ac:dyDescent="0.3">
      <c r="C2396" t="s">
        <v>429</v>
      </c>
      <c r="D2396" t="s">
        <v>1008</v>
      </c>
      <c r="E2396" t="s">
        <v>13</v>
      </c>
      <c r="F2396" t="s">
        <v>240</v>
      </c>
      <c r="G2396">
        <v>0.67649999999999999</v>
      </c>
    </row>
    <row r="2397" spans="3:7" hidden="1" x14ac:dyDescent="0.3">
      <c r="C2397" t="s">
        <v>126</v>
      </c>
      <c r="D2397" t="s">
        <v>1210</v>
      </c>
      <c r="E2397" t="s">
        <v>13</v>
      </c>
      <c r="F2397" t="s">
        <v>136</v>
      </c>
      <c r="G2397">
        <v>0.65455263405714004</v>
      </c>
    </row>
    <row r="2398" spans="3:7" hidden="1" x14ac:dyDescent="0.3">
      <c r="C2398" t="s">
        <v>78</v>
      </c>
      <c r="D2398" t="s">
        <v>969</v>
      </c>
      <c r="E2398" t="s">
        <v>9</v>
      </c>
      <c r="F2398" t="s">
        <v>136</v>
      </c>
      <c r="G2398">
        <v>0.64380733944954105</v>
      </c>
    </row>
    <row r="2399" spans="3:7" hidden="1" x14ac:dyDescent="0.3">
      <c r="C2399" t="s">
        <v>269</v>
      </c>
      <c r="D2399" t="s">
        <v>1547</v>
      </c>
      <c r="E2399" t="s">
        <v>13</v>
      </c>
      <c r="F2399" t="s">
        <v>136</v>
      </c>
      <c r="G2399">
        <v>0.63801152622868196</v>
      </c>
    </row>
    <row r="2400" spans="3:7" hidden="1" x14ac:dyDescent="0.3">
      <c r="C2400" t="s">
        <v>126</v>
      </c>
      <c r="D2400" t="s">
        <v>1376</v>
      </c>
      <c r="E2400" t="s">
        <v>13</v>
      </c>
      <c r="F2400" t="s">
        <v>136</v>
      </c>
      <c r="G2400">
        <v>0.59728000000000003</v>
      </c>
    </row>
    <row r="2401" spans="3:7" hidden="1" x14ac:dyDescent="0.3">
      <c r="C2401" t="s">
        <v>78</v>
      </c>
      <c r="D2401" t="s">
        <v>943</v>
      </c>
      <c r="E2401" t="s">
        <v>13</v>
      </c>
      <c r="F2401" t="s">
        <v>136</v>
      </c>
      <c r="G2401">
        <v>0.58251573617952901</v>
      </c>
    </row>
    <row r="2402" spans="3:7" hidden="1" x14ac:dyDescent="0.3">
      <c r="C2402" t="s">
        <v>429</v>
      </c>
      <c r="D2402" t="s">
        <v>1496</v>
      </c>
      <c r="E2402" t="s">
        <v>13</v>
      </c>
      <c r="F2402" t="s">
        <v>240</v>
      </c>
      <c r="G2402">
        <v>0.58146478873239404</v>
      </c>
    </row>
    <row r="2403" spans="3:7" hidden="1" x14ac:dyDescent="0.3">
      <c r="C2403" t="s">
        <v>21</v>
      </c>
      <c r="D2403" t="s">
        <v>1537</v>
      </c>
      <c r="E2403" t="s">
        <v>9</v>
      </c>
      <c r="F2403" t="s">
        <v>136</v>
      </c>
      <c r="G2403">
        <v>0.57744878202021499</v>
      </c>
    </row>
    <row r="2404" spans="3:7" hidden="1" x14ac:dyDescent="0.3">
      <c r="C2404" t="s">
        <v>90</v>
      </c>
      <c r="D2404" t="s">
        <v>239</v>
      </c>
      <c r="E2404" t="s">
        <v>13</v>
      </c>
      <c r="F2404" t="s">
        <v>240</v>
      </c>
      <c r="G2404">
        <v>0.57149343739740399</v>
      </c>
    </row>
    <row r="2405" spans="3:7" hidden="1" x14ac:dyDescent="0.3">
      <c r="C2405" t="s">
        <v>21</v>
      </c>
      <c r="D2405" t="s">
        <v>1435</v>
      </c>
      <c r="E2405" t="s">
        <v>13</v>
      </c>
      <c r="F2405" t="s">
        <v>136</v>
      </c>
      <c r="G2405">
        <v>0.56154037607696605</v>
      </c>
    </row>
    <row r="2406" spans="3:7" hidden="1" x14ac:dyDescent="0.3">
      <c r="C2406" t="s">
        <v>78</v>
      </c>
      <c r="D2406" t="s">
        <v>1191</v>
      </c>
      <c r="E2406" t="s">
        <v>13</v>
      </c>
      <c r="F2406" t="s">
        <v>136</v>
      </c>
      <c r="G2406">
        <v>0.55104166666666599</v>
      </c>
    </row>
    <row r="2407" spans="3:7" hidden="1" x14ac:dyDescent="0.3">
      <c r="C2407" t="s">
        <v>19</v>
      </c>
      <c r="D2407" t="s">
        <v>1548</v>
      </c>
      <c r="E2407" t="s">
        <v>9</v>
      </c>
      <c r="F2407" t="s">
        <v>136</v>
      </c>
      <c r="G2407">
        <v>0.54777883182751497</v>
      </c>
    </row>
    <row r="2408" spans="3:7" hidden="1" x14ac:dyDescent="0.3">
      <c r="C2408" t="s">
        <v>21</v>
      </c>
      <c r="D2408" t="s">
        <v>1476</v>
      </c>
      <c r="E2408" t="s">
        <v>13</v>
      </c>
      <c r="F2408" t="s">
        <v>136</v>
      </c>
      <c r="G2408">
        <v>0.53733128769038896</v>
      </c>
    </row>
    <row r="2409" spans="3:7" hidden="1" x14ac:dyDescent="0.3">
      <c r="C2409" t="s">
        <v>21</v>
      </c>
      <c r="D2409" t="s">
        <v>1507</v>
      </c>
      <c r="E2409" t="s">
        <v>13</v>
      </c>
      <c r="F2409" t="s">
        <v>136</v>
      </c>
      <c r="G2409">
        <v>0.53733128769038896</v>
      </c>
    </row>
    <row r="2410" spans="3:7" hidden="1" x14ac:dyDescent="0.3">
      <c r="C2410" t="s">
        <v>78</v>
      </c>
      <c r="D2410" t="s">
        <v>1435</v>
      </c>
      <c r="E2410" t="s">
        <v>13</v>
      </c>
      <c r="F2410" t="s">
        <v>136</v>
      </c>
      <c r="G2410">
        <v>0.52187389703479303</v>
      </c>
    </row>
    <row r="2411" spans="3:7" hidden="1" x14ac:dyDescent="0.3">
      <c r="C2411" t="s">
        <v>7</v>
      </c>
      <c r="D2411" t="s">
        <v>1549</v>
      </c>
      <c r="E2411" t="s">
        <v>13</v>
      </c>
      <c r="F2411" t="s">
        <v>136</v>
      </c>
      <c r="G2411">
        <v>0.519064748201438</v>
      </c>
    </row>
    <row r="2412" spans="3:7" hidden="1" x14ac:dyDescent="0.3">
      <c r="C2412" t="s">
        <v>7</v>
      </c>
      <c r="D2412" t="s">
        <v>1539</v>
      </c>
      <c r="E2412" t="s">
        <v>13</v>
      </c>
      <c r="F2412" t="s">
        <v>136</v>
      </c>
      <c r="G2412">
        <v>0.519064748201438</v>
      </c>
    </row>
    <row r="2413" spans="3:7" hidden="1" x14ac:dyDescent="0.3">
      <c r="C2413" t="s">
        <v>78</v>
      </c>
      <c r="D2413" t="s">
        <v>1486</v>
      </c>
      <c r="E2413" t="s">
        <v>13</v>
      </c>
      <c r="F2413" t="s">
        <v>136</v>
      </c>
      <c r="G2413">
        <v>0.51650190114068395</v>
      </c>
    </row>
    <row r="2414" spans="3:7" hidden="1" x14ac:dyDescent="0.3">
      <c r="C2414" t="s">
        <v>78</v>
      </c>
      <c r="D2414" t="s">
        <v>1336</v>
      </c>
      <c r="E2414" t="s">
        <v>9</v>
      </c>
      <c r="F2414" t="s">
        <v>136</v>
      </c>
      <c r="G2414">
        <v>0.50678869047619002</v>
      </c>
    </row>
    <row r="2415" spans="3:7" hidden="1" x14ac:dyDescent="0.3">
      <c r="C2415" t="s">
        <v>21</v>
      </c>
      <c r="D2415" t="s">
        <v>1550</v>
      </c>
      <c r="E2415" t="s">
        <v>13</v>
      </c>
      <c r="F2415" t="s">
        <v>136</v>
      </c>
      <c r="G2415">
        <v>0.50409292035398201</v>
      </c>
    </row>
    <row r="2416" spans="3:7" hidden="1" x14ac:dyDescent="0.3">
      <c r="C2416" t="s">
        <v>269</v>
      </c>
      <c r="D2416" t="s">
        <v>1210</v>
      </c>
      <c r="E2416" t="s">
        <v>13</v>
      </c>
      <c r="F2416" t="s">
        <v>136</v>
      </c>
      <c r="G2416">
        <v>0.50279818685274402</v>
      </c>
    </row>
    <row r="2417" spans="3:7" hidden="1" x14ac:dyDescent="0.3">
      <c r="C2417" t="s">
        <v>78</v>
      </c>
      <c r="D2417" t="s">
        <v>1551</v>
      </c>
      <c r="E2417" t="s">
        <v>9</v>
      </c>
      <c r="F2417" t="s">
        <v>136</v>
      </c>
      <c r="G2417">
        <v>0.49593749999999998</v>
      </c>
    </row>
    <row r="2418" spans="3:7" hidden="1" x14ac:dyDescent="0.3">
      <c r="C2418" t="s">
        <v>126</v>
      </c>
      <c r="D2418" t="s">
        <v>774</v>
      </c>
      <c r="E2418" t="s">
        <v>13</v>
      </c>
      <c r="F2418" t="s">
        <v>240</v>
      </c>
      <c r="G2418">
        <v>0.48594559585492197</v>
      </c>
    </row>
    <row r="2419" spans="3:7" hidden="1" x14ac:dyDescent="0.3">
      <c r="C2419" t="s">
        <v>126</v>
      </c>
      <c r="D2419" t="s">
        <v>890</v>
      </c>
      <c r="E2419" t="s">
        <v>13</v>
      </c>
      <c r="F2419" t="s">
        <v>240</v>
      </c>
      <c r="G2419">
        <v>0.48594559585492197</v>
      </c>
    </row>
    <row r="2420" spans="3:7" hidden="1" x14ac:dyDescent="0.3">
      <c r="C2420" t="s">
        <v>90</v>
      </c>
      <c r="D2420" t="s">
        <v>1097</v>
      </c>
      <c r="E2420" t="s">
        <v>13</v>
      </c>
      <c r="F2420" t="s">
        <v>136</v>
      </c>
      <c r="G2420">
        <v>0.48578707403055199</v>
      </c>
    </row>
    <row r="2421" spans="3:7" hidden="1" x14ac:dyDescent="0.3">
      <c r="C2421" t="s">
        <v>19</v>
      </c>
      <c r="D2421" t="s">
        <v>1552</v>
      </c>
      <c r="E2421" t="s">
        <v>9</v>
      </c>
      <c r="F2421" t="s">
        <v>136</v>
      </c>
      <c r="G2421">
        <v>0.46717171717171702</v>
      </c>
    </row>
    <row r="2422" spans="3:7" hidden="1" x14ac:dyDescent="0.3">
      <c r="C2422" t="s">
        <v>78</v>
      </c>
      <c r="D2422" t="s">
        <v>1496</v>
      </c>
      <c r="E2422" t="s">
        <v>13</v>
      </c>
      <c r="F2422" t="s">
        <v>240</v>
      </c>
      <c r="G2422">
        <v>0.463308270676691</v>
      </c>
    </row>
    <row r="2423" spans="3:7" hidden="1" x14ac:dyDescent="0.3">
      <c r="C2423" t="s">
        <v>7</v>
      </c>
      <c r="D2423" t="s">
        <v>1553</v>
      </c>
      <c r="E2423" t="s">
        <v>9</v>
      </c>
      <c r="F2423" t="s">
        <v>136</v>
      </c>
      <c r="G2423">
        <v>0.45093749999999999</v>
      </c>
    </row>
    <row r="2424" spans="3:7" hidden="1" x14ac:dyDescent="0.3">
      <c r="C2424" t="s">
        <v>126</v>
      </c>
      <c r="D2424" t="s">
        <v>1554</v>
      </c>
      <c r="E2424" t="s">
        <v>9</v>
      </c>
      <c r="F2424" t="s">
        <v>136</v>
      </c>
      <c r="G2424">
        <v>0.44814130434782601</v>
      </c>
    </row>
    <row r="2425" spans="3:7" hidden="1" x14ac:dyDescent="0.3">
      <c r="C2425" t="s">
        <v>19</v>
      </c>
      <c r="D2425" t="s">
        <v>1175</v>
      </c>
      <c r="E2425" t="s">
        <v>13</v>
      </c>
      <c r="F2425" t="s">
        <v>136</v>
      </c>
      <c r="G2425">
        <v>0.44661847423533502</v>
      </c>
    </row>
    <row r="2426" spans="3:7" hidden="1" x14ac:dyDescent="0.3">
      <c r="C2426" t="s">
        <v>126</v>
      </c>
      <c r="D2426" t="s">
        <v>1272</v>
      </c>
      <c r="E2426" t="s">
        <v>9</v>
      </c>
      <c r="F2426" t="s">
        <v>136</v>
      </c>
      <c r="G2426">
        <v>0.44623043478260799</v>
      </c>
    </row>
    <row r="2427" spans="3:7" hidden="1" x14ac:dyDescent="0.3">
      <c r="C2427" t="s">
        <v>78</v>
      </c>
      <c r="D2427" t="s">
        <v>1237</v>
      </c>
      <c r="E2427" t="s">
        <v>13</v>
      </c>
      <c r="F2427" t="s">
        <v>136</v>
      </c>
      <c r="G2427">
        <v>0.44282237512129702</v>
      </c>
    </row>
    <row r="2428" spans="3:7" hidden="1" x14ac:dyDescent="0.3">
      <c r="C2428" t="s">
        <v>78</v>
      </c>
      <c r="D2428" t="s">
        <v>1250</v>
      </c>
      <c r="E2428" t="s">
        <v>13</v>
      </c>
      <c r="F2428" t="s">
        <v>136</v>
      </c>
      <c r="G2428">
        <v>0.43790108564535501</v>
      </c>
    </row>
    <row r="2429" spans="3:7" hidden="1" x14ac:dyDescent="0.3">
      <c r="C2429" t="s">
        <v>90</v>
      </c>
      <c r="D2429" t="s">
        <v>1455</v>
      </c>
      <c r="E2429" t="s">
        <v>9</v>
      </c>
      <c r="F2429" t="s">
        <v>136</v>
      </c>
      <c r="G2429">
        <v>0.43702284450994799</v>
      </c>
    </row>
    <row r="2430" spans="3:7" hidden="1" x14ac:dyDescent="0.3">
      <c r="C2430" t="s">
        <v>126</v>
      </c>
      <c r="D2430" t="s">
        <v>1462</v>
      </c>
      <c r="E2430" t="s">
        <v>13</v>
      </c>
      <c r="F2430" t="s">
        <v>136</v>
      </c>
      <c r="G2430">
        <v>0.43012499999999998</v>
      </c>
    </row>
    <row r="2431" spans="3:7" hidden="1" x14ac:dyDescent="0.3">
      <c r="C2431" t="s">
        <v>78</v>
      </c>
      <c r="D2431" t="s">
        <v>1150</v>
      </c>
      <c r="E2431" t="s">
        <v>13</v>
      </c>
      <c r="F2431" t="s">
        <v>136</v>
      </c>
      <c r="G2431">
        <v>0.42920489296636</v>
      </c>
    </row>
    <row r="2432" spans="3:7" hidden="1" x14ac:dyDescent="0.3">
      <c r="C2432" t="s">
        <v>14</v>
      </c>
      <c r="D2432" t="s">
        <v>1437</v>
      </c>
      <c r="E2432" t="s">
        <v>9</v>
      </c>
      <c r="F2432" t="s">
        <v>136</v>
      </c>
      <c r="G2432">
        <v>0.42867877269881</v>
      </c>
    </row>
    <row r="2433" spans="3:7" hidden="1" x14ac:dyDescent="0.3">
      <c r="C2433" t="s">
        <v>126</v>
      </c>
      <c r="D2433" t="s">
        <v>1515</v>
      </c>
      <c r="E2433" t="s">
        <v>13</v>
      </c>
      <c r="F2433" t="s">
        <v>136</v>
      </c>
      <c r="G2433">
        <v>0.422488262910798</v>
      </c>
    </row>
    <row r="2434" spans="3:7" hidden="1" x14ac:dyDescent="0.3">
      <c r="C2434" t="s">
        <v>1313</v>
      </c>
      <c r="D2434" t="s">
        <v>1520</v>
      </c>
      <c r="E2434" t="s">
        <v>9</v>
      </c>
      <c r="F2434" t="s">
        <v>136</v>
      </c>
      <c r="G2434">
        <v>0.42051282051282002</v>
      </c>
    </row>
    <row r="2435" spans="3:7" hidden="1" x14ac:dyDescent="0.3">
      <c r="C2435" t="s">
        <v>1313</v>
      </c>
      <c r="D2435" t="s">
        <v>1150</v>
      </c>
      <c r="E2435" t="s">
        <v>13</v>
      </c>
      <c r="F2435" t="s">
        <v>136</v>
      </c>
      <c r="G2435">
        <v>0.42051282051282002</v>
      </c>
    </row>
    <row r="2436" spans="3:7" hidden="1" x14ac:dyDescent="0.3">
      <c r="C2436" t="s">
        <v>78</v>
      </c>
      <c r="D2436" t="s">
        <v>1555</v>
      </c>
      <c r="E2436" t="s">
        <v>13</v>
      </c>
      <c r="F2436" t="s">
        <v>136</v>
      </c>
      <c r="G2436">
        <v>0.41695199999999999</v>
      </c>
    </row>
    <row r="2437" spans="3:7" hidden="1" x14ac:dyDescent="0.3">
      <c r="C2437" t="s">
        <v>126</v>
      </c>
      <c r="D2437" t="s">
        <v>922</v>
      </c>
      <c r="E2437" t="s">
        <v>13</v>
      </c>
      <c r="F2437" t="s">
        <v>136</v>
      </c>
      <c r="G2437">
        <v>0.41554054054054002</v>
      </c>
    </row>
    <row r="2438" spans="3:7" hidden="1" x14ac:dyDescent="0.3">
      <c r="C2438" t="s">
        <v>11</v>
      </c>
      <c r="D2438" t="s">
        <v>1244</v>
      </c>
      <c r="E2438" t="s">
        <v>13</v>
      </c>
      <c r="F2438" t="s">
        <v>240</v>
      </c>
      <c r="G2438">
        <v>0.41075989976150901</v>
      </c>
    </row>
    <row r="2439" spans="3:7" hidden="1" x14ac:dyDescent="0.3">
      <c r="C2439" t="s">
        <v>126</v>
      </c>
      <c r="D2439" t="s">
        <v>1435</v>
      </c>
      <c r="E2439" t="s">
        <v>13</v>
      </c>
      <c r="F2439" t="s">
        <v>136</v>
      </c>
      <c r="G2439">
        <v>0.40709778502747201</v>
      </c>
    </row>
    <row r="2440" spans="3:7" hidden="1" x14ac:dyDescent="0.3">
      <c r="C2440" t="s">
        <v>808</v>
      </c>
      <c r="D2440" t="s">
        <v>1035</v>
      </c>
      <c r="E2440" t="s">
        <v>13</v>
      </c>
      <c r="F2440" t="s">
        <v>136</v>
      </c>
      <c r="G2440">
        <v>0.40414507772020702</v>
      </c>
    </row>
    <row r="2441" spans="3:7" hidden="1" x14ac:dyDescent="0.3">
      <c r="C2441" t="s">
        <v>78</v>
      </c>
      <c r="D2441" t="s">
        <v>1217</v>
      </c>
      <c r="E2441" t="s">
        <v>13</v>
      </c>
      <c r="F2441" t="s">
        <v>136</v>
      </c>
      <c r="G2441">
        <v>0.398746394986561</v>
      </c>
    </row>
    <row r="2442" spans="3:7" hidden="1" x14ac:dyDescent="0.3">
      <c r="C2442" t="s">
        <v>78</v>
      </c>
      <c r="D2442" t="s">
        <v>1300</v>
      </c>
      <c r="E2442" t="s">
        <v>9</v>
      </c>
      <c r="F2442" t="s">
        <v>136</v>
      </c>
      <c r="G2442">
        <v>0.39411097708081999</v>
      </c>
    </row>
    <row r="2443" spans="3:7" hidden="1" x14ac:dyDescent="0.3">
      <c r="C2443" t="s">
        <v>429</v>
      </c>
      <c r="D2443" t="s">
        <v>849</v>
      </c>
      <c r="E2443" t="s">
        <v>13</v>
      </c>
      <c r="F2443" t="s">
        <v>136</v>
      </c>
      <c r="G2443">
        <v>0.38311614730878102</v>
      </c>
    </row>
    <row r="2444" spans="3:7" hidden="1" x14ac:dyDescent="0.3">
      <c r="C2444" t="s">
        <v>429</v>
      </c>
      <c r="D2444" t="s">
        <v>943</v>
      </c>
      <c r="E2444" t="s">
        <v>13</v>
      </c>
      <c r="F2444" t="s">
        <v>136</v>
      </c>
      <c r="G2444">
        <v>0.37529745042492901</v>
      </c>
    </row>
    <row r="2445" spans="3:7" hidden="1" x14ac:dyDescent="0.3">
      <c r="C2445" t="s">
        <v>19</v>
      </c>
      <c r="D2445" t="s">
        <v>1432</v>
      </c>
      <c r="E2445" t="s">
        <v>13</v>
      </c>
      <c r="F2445" t="s">
        <v>136</v>
      </c>
      <c r="G2445">
        <v>0.35955285087719202</v>
      </c>
    </row>
    <row r="2446" spans="3:7" hidden="1" x14ac:dyDescent="0.3">
      <c r="C2446" t="s">
        <v>126</v>
      </c>
      <c r="D2446" t="s">
        <v>1250</v>
      </c>
      <c r="E2446" t="s">
        <v>13</v>
      </c>
      <c r="F2446" t="s">
        <v>136</v>
      </c>
      <c r="G2446">
        <v>0.35802717391304301</v>
      </c>
    </row>
    <row r="2447" spans="3:7" hidden="1" x14ac:dyDescent="0.3">
      <c r="C2447" t="s">
        <v>19</v>
      </c>
      <c r="D2447" t="s">
        <v>1506</v>
      </c>
      <c r="E2447" t="s">
        <v>13</v>
      </c>
      <c r="F2447" t="s">
        <v>136</v>
      </c>
      <c r="G2447">
        <v>0.35500499999999902</v>
      </c>
    </row>
    <row r="2448" spans="3:7" hidden="1" x14ac:dyDescent="0.3">
      <c r="C2448" t="s">
        <v>21</v>
      </c>
      <c r="D2448" t="s">
        <v>1219</v>
      </c>
      <c r="E2448" t="s">
        <v>9</v>
      </c>
      <c r="F2448" t="s">
        <v>136</v>
      </c>
      <c r="G2448">
        <v>0.347027452830029</v>
      </c>
    </row>
    <row r="2449" spans="3:7" hidden="1" x14ac:dyDescent="0.3">
      <c r="C2449" t="s">
        <v>7</v>
      </c>
      <c r="D2449" t="s">
        <v>1476</v>
      </c>
      <c r="E2449" t="s">
        <v>13</v>
      </c>
      <c r="F2449" t="s">
        <v>136</v>
      </c>
      <c r="G2449">
        <v>0.34184347826086903</v>
      </c>
    </row>
    <row r="2450" spans="3:7" hidden="1" x14ac:dyDescent="0.3">
      <c r="C2450" t="s">
        <v>11</v>
      </c>
      <c r="D2450" t="s">
        <v>919</v>
      </c>
      <c r="E2450" t="s">
        <v>13</v>
      </c>
      <c r="F2450" t="s">
        <v>240</v>
      </c>
      <c r="G2450">
        <v>0.341464213709677</v>
      </c>
    </row>
    <row r="2451" spans="3:7" hidden="1" x14ac:dyDescent="0.3">
      <c r="C2451" t="s">
        <v>21</v>
      </c>
      <c r="D2451" t="s">
        <v>1447</v>
      </c>
      <c r="E2451" t="s">
        <v>9</v>
      </c>
      <c r="F2451" t="s">
        <v>136</v>
      </c>
      <c r="G2451">
        <v>0.32478260869565201</v>
      </c>
    </row>
    <row r="2452" spans="3:7" hidden="1" x14ac:dyDescent="0.3">
      <c r="C2452" t="s">
        <v>126</v>
      </c>
      <c r="D2452" t="s">
        <v>1300</v>
      </c>
      <c r="E2452" t="s">
        <v>9</v>
      </c>
      <c r="F2452" t="s">
        <v>136</v>
      </c>
      <c r="G2452">
        <v>0.32222445652173898</v>
      </c>
    </row>
    <row r="2453" spans="3:7" hidden="1" x14ac:dyDescent="0.3">
      <c r="C2453" t="s">
        <v>78</v>
      </c>
      <c r="D2453" t="s">
        <v>1428</v>
      </c>
      <c r="E2453" t="s">
        <v>9</v>
      </c>
      <c r="F2453" t="s">
        <v>136</v>
      </c>
      <c r="G2453">
        <v>0.317</v>
      </c>
    </row>
    <row r="2454" spans="3:7" hidden="1" x14ac:dyDescent="0.3">
      <c r="C2454" t="s">
        <v>90</v>
      </c>
      <c r="D2454" t="s">
        <v>647</v>
      </c>
      <c r="E2454" t="s">
        <v>13</v>
      </c>
      <c r="F2454" t="s">
        <v>136</v>
      </c>
      <c r="G2454">
        <v>0.31345656624744</v>
      </c>
    </row>
    <row r="2455" spans="3:7" hidden="1" x14ac:dyDescent="0.3">
      <c r="C2455" t="s">
        <v>14</v>
      </c>
      <c r="D2455" t="s">
        <v>1376</v>
      </c>
      <c r="E2455" t="s">
        <v>13</v>
      </c>
      <c r="F2455" t="s">
        <v>136</v>
      </c>
      <c r="G2455">
        <v>0.30604436229205101</v>
      </c>
    </row>
    <row r="2456" spans="3:7" hidden="1" x14ac:dyDescent="0.3">
      <c r="C2456" t="s">
        <v>1528</v>
      </c>
      <c r="D2456" t="s">
        <v>1259</v>
      </c>
      <c r="E2456" t="s">
        <v>13</v>
      </c>
      <c r="F2456" t="s">
        <v>136</v>
      </c>
      <c r="G2456">
        <v>0.3</v>
      </c>
    </row>
    <row r="2457" spans="3:7" hidden="1" x14ac:dyDescent="0.3">
      <c r="C2457" t="s">
        <v>19</v>
      </c>
      <c r="D2457" t="s">
        <v>1244</v>
      </c>
      <c r="E2457" t="s">
        <v>13</v>
      </c>
      <c r="F2457" t="s">
        <v>240</v>
      </c>
      <c r="G2457">
        <v>0.29543115867462399</v>
      </c>
    </row>
    <row r="2458" spans="3:7" hidden="1" x14ac:dyDescent="0.3">
      <c r="C2458" t="s">
        <v>429</v>
      </c>
      <c r="D2458" t="s">
        <v>722</v>
      </c>
      <c r="E2458" t="s">
        <v>13</v>
      </c>
      <c r="F2458" t="s">
        <v>136</v>
      </c>
      <c r="G2458">
        <v>0.29202352941176402</v>
      </c>
    </row>
    <row r="2459" spans="3:7" hidden="1" x14ac:dyDescent="0.3">
      <c r="C2459" t="s">
        <v>78</v>
      </c>
      <c r="D2459" t="s">
        <v>1286</v>
      </c>
      <c r="E2459" t="s">
        <v>9</v>
      </c>
      <c r="F2459" t="s">
        <v>136</v>
      </c>
      <c r="G2459">
        <v>0.29095161290322502</v>
      </c>
    </row>
    <row r="2460" spans="3:7" hidden="1" x14ac:dyDescent="0.3">
      <c r="C2460" t="s">
        <v>90</v>
      </c>
      <c r="D2460" t="s">
        <v>919</v>
      </c>
      <c r="E2460" t="s">
        <v>13</v>
      </c>
      <c r="F2460" t="s">
        <v>240</v>
      </c>
      <c r="G2460">
        <v>0.28833440396439303</v>
      </c>
    </row>
    <row r="2461" spans="3:7" hidden="1" x14ac:dyDescent="0.3">
      <c r="C2461" t="s">
        <v>126</v>
      </c>
      <c r="D2461" t="s">
        <v>1539</v>
      </c>
      <c r="E2461" t="s">
        <v>13</v>
      </c>
      <c r="F2461" t="s">
        <v>136</v>
      </c>
      <c r="G2461">
        <v>0.28675</v>
      </c>
    </row>
    <row r="2462" spans="3:7" hidden="1" x14ac:dyDescent="0.3">
      <c r="C2462" t="s">
        <v>78</v>
      </c>
      <c r="D2462" t="s">
        <v>1514</v>
      </c>
      <c r="E2462" t="s">
        <v>13</v>
      </c>
      <c r="F2462" t="s">
        <v>136</v>
      </c>
      <c r="G2462">
        <v>0.28299999999999997</v>
      </c>
    </row>
    <row r="2463" spans="3:7" hidden="1" x14ac:dyDescent="0.3">
      <c r="C2463" t="s">
        <v>1313</v>
      </c>
      <c r="D2463" t="s">
        <v>712</v>
      </c>
      <c r="E2463" t="s">
        <v>13</v>
      </c>
      <c r="F2463" t="s">
        <v>136</v>
      </c>
      <c r="G2463">
        <v>0.27753846153846101</v>
      </c>
    </row>
    <row r="2464" spans="3:7" hidden="1" x14ac:dyDescent="0.3">
      <c r="C2464" t="s">
        <v>90</v>
      </c>
      <c r="D2464" t="s">
        <v>1417</v>
      </c>
      <c r="E2464" t="s">
        <v>13</v>
      </c>
      <c r="F2464" t="s">
        <v>10</v>
      </c>
      <c r="G2464">
        <v>0.26024307537350999</v>
      </c>
    </row>
    <row r="2465" spans="3:7" hidden="1" x14ac:dyDescent="0.3">
      <c r="C2465" t="s">
        <v>7</v>
      </c>
      <c r="D2465" t="s">
        <v>1418</v>
      </c>
      <c r="E2465" t="s">
        <v>13</v>
      </c>
      <c r="F2465" t="s">
        <v>136</v>
      </c>
      <c r="G2465">
        <v>0.259532374100719</v>
      </c>
    </row>
    <row r="2466" spans="3:7" hidden="1" x14ac:dyDescent="0.3">
      <c r="C2466" t="s">
        <v>7</v>
      </c>
      <c r="D2466" t="s">
        <v>1550</v>
      </c>
      <c r="E2466" t="s">
        <v>13</v>
      </c>
      <c r="F2466" t="s">
        <v>136</v>
      </c>
      <c r="G2466">
        <v>0.259532374100719</v>
      </c>
    </row>
    <row r="2467" spans="3:7" hidden="1" x14ac:dyDescent="0.3">
      <c r="C2467" t="s">
        <v>269</v>
      </c>
      <c r="D2467" t="s">
        <v>1556</v>
      </c>
      <c r="E2467" t="s">
        <v>13</v>
      </c>
      <c r="F2467" t="s">
        <v>136</v>
      </c>
      <c r="G2467">
        <v>0.25875238095238001</v>
      </c>
    </row>
    <row r="2468" spans="3:7" hidden="1" x14ac:dyDescent="0.3">
      <c r="C2468" t="s">
        <v>90</v>
      </c>
      <c r="D2468" t="s">
        <v>841</v>
      </c>
      <c r="E2468" t="s">
        <v>13</v>
      </c>
      <c r="F2468" t="s">
        <v>136</v>
      </c>
      <c r="G2468">
        <v>0.25180904347826</v>
      </c>
    </row>
    <row r="2469" spans="3:7" hidden="1" x14ac:dyDescent="0.3">
      <c r="C2469" t="s">
        <v>269</v>
      </c>
      <c r="D2469" t="s">
        <v>1444</v>
      </c>
      <c r="E2469" t="s">
        <v>13</v>
      </c>
      <c r="F2469" t="s">
        <v>136</v>
      </c>
      <c r="G2469">
        <v>0.25133196833062799</v>
      </c>
    </row>
    <row r="2470" spans="3:7" hidden="1" x14ac:dyDescent="0.3">
      <c r="C2470" t="s">
        <v>21</v>
      </c>
      <c r="D2470" t="s">
        <v>1557</v>
      </c>
      <c r="E2470" t="s">
        <v>13</v>
      </c>
      <c r="F2470" t="s">
        <v>136</v>
      </c>
      <c r="G2470">
        <v>0.24643010752688099</v>
      </c>
    </row>
    <row r="2471" spans="3:7" hidden="1" x14ac:dyDescent="0.3">
      <c r="C2471" t="s">
        <v>78</v>
      </c>
      <c r="D2471" t="s">
        <v>1538</v>
      </c>
      <c r="E2471" t="s">
        <v>13</v>
      </c>
      <c r="F2471" t="s">
        <v>240</v>
      </c>
      <c r="G2471">
        <v>0.238697626056603</v>
      </c>
    </row>
    <row r="2472" spans="3:7" hidden="1" x14ac:dyDescent="0.3">
      <c r="C2472" t="s">
        <v>429</v>
      </c>
      <c r="D2472" t="s">
        <v>1558</v>
      </c>
      <c r="E2472" t="s">
        <v>9</v>
      </c>
      <c r="F2472" t="s">
        <v>136</v>
      </c>
      <c r="G2472">
        <v>0.23456090651558001</v>
      </c>
    </row>
    <row r="2473" spans="3:7" hidden="1" x14ac:dyDescent="0.3">
      <c r="C2473" t="s">
        <v>7</v>
      </c>
      <c r="D2473" t="s">
        <v>841</v>
      </c>
      <c r="E2473" t="s">
        <v>13</v>
      </c>
      <c r="F2473" t="s">
        <v>136</v>
      </c>
      <c r="G2473">
        <v>0.224297336256323</v>
      </c>
    </row>
    <row r="2474" spans="3:7" hidden="1" x14ac:dyDescent="0.3">
      <c r="C2474" t="s">
        <v>126</v>
      </c>
      <c r="D2474" t="s">
        <v>1045</v>
      </c>
      <c r="E2474" t="s">
        <v>13</v>
      </c>
      <c r="F2474" t="s">
        <v>136</v>
      </c>
      <c r="G2474">
        <v>0.22311521739130399</v>
      </c>
    </row>
    <row r="2475" spans="3:7" hidden="1" x14ac:dyDescent="0.3">
      <c r="C2475" t="s">
        <v>126</v>
      </c>
      <c r="D2475" t="s">
        <v>1217</v>
      </c>
      <c r="E2475" t="s">
        <v>13</v>
      </c>
      <c r="F2475" t="s">
        <v>136</v>
      </c>
      <c r="G2475">
        <v>0.22311521739130399</v>
      </c>
    </row>
    <row r="2476" spans="3:7" hidden="1" x14ac:dyDescent="0.3">
      <c r="C2476" t="s">
        <v>19</v>
      </c>
      <c r="D2476" t="s">
        <v>1435</v>
      </c>
      <c r="E2476" t="s">
        <v>13</v>
      </c>
      <c r="F2476" t="s">
        <v>136</v>
      </c>
      <c r="G2476">
        <v>0.222300696578866</v>
      </c>
    </row>
    <row r="2477" spans="3:7" hidden="1" x14ac:dyDescent="0.3">
      <c r="C2477" t="s">
        <v>21</v>
      </c>
      <c r="D2477" t="s">
        <v>1272</v>
      </c>
      <c r="E2477" t="s">
        <v>9</v>
      </c>
      <c r="F2477" t="s">
        <v>136</v>
      </c>
      <c r="G2477">
        <v>0.21543859649122801</v>
      </c>
    </row>
    <row r="2478" spans="3:7" hidden="1" x14ac:dyDescent="0.3">
      <c r="C2478" t="s">
        <v>1528</v>
      </c>
      <c r="D2478" t="s">
        <v>1160</v>
      </c>
      <c r="E2478" t="s">
        <v>13</v>
      </c>
      <c r="F2478" t="s">
        <v>136</v>
      </c>
      <c r="G2478">
        <v>0.21</v>
      </c>
    </row>
    <row r="2479" spans="3:7" hidden="1" x14ac:dyDescent="0.3">
      <c r="C2479" t="s">
        <v>188</v>
      </c>
      <c r="D2479" t="s">
        <v>1538</v>
      </c>
      <c r="E2479" t="s">
        <v>13</v>
      </c>
      <c r="F2479" t="s">
        <v>240</v>
      </c>
      <c r="G2479">
        <v>0.20827586206896501</v>
      </c>
    </row>
    <row r="2480" spans="3:7" hidden="1" x14ac:dyDescent="0.3">
      <c r="C2480" t="s">
        <v>126</v>
      </c>
      <c r="D2480" t="s">
        <v>1479</v>
      </c>
      <c r="E2480" t="s">
        <v>13</v>
      </c>
      <c r="F2480" t="s">
        <v>136</v>
      </c>
      <c r="G2480">
        <v>0.20777027027027001</v>
      </c>
    </row>
    <row r="2481" spans="3:7" hidden="1" x14ac:dyDescent="0.3">
      <c r="C2481" t="s">
        <v>21</v>
      </c>
      <c r="D2481" t="s">
        <v>1293</v>
      </c>
      <c r="E2481" t="s">
        <v>13</v>
      </c>
      <c r="F2481" t="s">
        <v>136</v>
      </c>
      <c r="G2481">
        <v>0.20164256549362899</v>
      </c>
    </row>
    <row r="2482" spans="3:7" hidden="1" x14ac:dyDescent="0.3">
      <c r="C2482" t="s">
        <v>90</v>
      </c>
      <c r="D2482" t="s">
        <v>653</v>
      </c>
      <c r="E2482" t="s">
        <v>13</v>
      </c>
      <c r="F2482" t="s">
        <v>240</v>
      </c>
      <c r="G2482">
        <v>0.19370096040085699</v>
      </c>
    </row>
    <row r="2483" spans="3:7" hidden="1" x14ac:dyDescent="0.3">
      <c r="C2483" t="s">
        <v>19</v>
      </c>
      <c r="D2483" t="s">
        <v>1189</v>
      </c>
      <c r="E2483" t="s">
        <v>13</v>
      </c>
      <c r="F2483" t="s">
        <v>136</v>
      </c>
      <c r="G2483">
        <v>0.19125486318026599</v>
      </c>
    </row>
    <row r="2484" spans="3:7" hidden="1" x14ac:dyDescent="0.3">
      <c r="C2484" t="s">
        <v>21</v>
      </c>
      <c r="D2484" t="s">
        <v>1430</v>
      </c>
      <c r="E2484" t="s">
        <v>9</v>
      </c>
      <c r="F2484" t="s">
        <v>136</v>
      </c>
      <c r="G2484">
        <v>0.181478308944266</v>
      </c>
    </row>
    <row r="2485" spans="3:7" hidden="1" x14ac:dyDescent="0.3">
      <c r="C2485" t="s">
        <v>1528</v>
      </c>
      <c r="D2485" t="s">
        <v>1237</v>
      </c>
      <c r="E2485" t="s">
        <v>13</v>
      </c>
      <c r="F2485" t="s">
        <v>136</v>
      </c>
      <c r="G2485">
        <v>0.18</v>
      </c>
    </row>
    <row r="2486" spans="3:7" hidden="1" x14ac:dyDescent="0.3">
      <c r="C2486" t="s">
        <v>126</v>
      </c>
      <c r="D2486" t="s">
        <v>1444</v>
      </c>
      <c r="E2486" t="s">
        <v>13</v>
      </c>
      <c r="F2486" t="s">
        <v>136</v>
      </c>
      <c r="G2486">
        <v>0.16283911401098899</v>
      </c>
    </row>
    <row r="2487" spans="3:7" hidden="1" x14ac:dyDescent="0.3">
      <c r="C2487" t="s">
        <v>7</v>
      </c>
      <c r="D2487" t="s">
        <v>1559</v>
      </c>
      <c r="E2487" t="s">
        <v>13</v>
      </c>
      <c r="F2487" t="s">
        <v>136</v>
      </c>
      <c r="G2487">
        <v>0.15587241273129299</v>
      </c>
    </row>
    <row r="2488" spans="3:7" hidden="1" x14ac:dyDescent="0.3">
      <c r="C2488" t="s">
        <v>90</v>
      </c>
      <c r="D2488" t="s">
        <v>1329</v>
      </c>
      <c r="E2488" t="s">
        <v>13</v>
      </c>
      <c r="F2488" t="s">
        <v>136</v>
      </c>
      <c r="G2488">
        <v>0.15137556208130601</v>
      </c>
    </row>
    <row r="2489" spans="3:7" hidden="1" x14ac:dyDescent="0.3">
      <c r="C2489" t="s">
        <v>1528</v>
      </c>
      <c r="D2489" t="s">
        <v>1045</v>
      </c>
      <c r="E2489" t="s">
        <v>13</v>
      </c>
      <c r="F2489" t="s">
        <v>136</v>
      </c>
      <c r="G2489">
        <v>0.15</v>
      </c>
    </row>
    <row r="2490" spans="3:7" hidden="1" x14ac:dyDescent="0.3">
      <c r="C2490" t="s">
        <v>19</v>
      </c>
      <c r="D2490" t="s">
        <v>1560</v>
      </c>
      <c r="E2490" t="s">
        <v>13</v>
      </c>
      <c r="F2490" t="s">
        <v>136</v>
      </c>
      <c r="G2490">
        <v>0.14806297490648099</v>
      </c>
    </row>
    <row r="2491" spans="3:7" hidden="1" x14ac:dyDescent="0.3">
      <c r="C2491" t="s">
        <v>126</v>
      </c>
      <c r="D2491" t="s">
        <v>1512</v>
      </c>
      <c r="E2491" t="s">
        <v>13</v>
      </c>
      <c r="F2491" t="s">
        <v>136</v>
      </c>
      <c r="G2491">
        <v>0.143375</v>
      </c>
    </row>
    <row r="2492" spans="3:7" hidden="1" x14ac:dyDescent="0.3">
      <c r="C2492" t="s">
        <v>11</v>
      </c>
      <c r="D2492" t="s">
        <v>1518</v>
      </c>
      <c r="E2492" t="s">
        <v>13</v>
      </c>
      <c r="F2492" t="s">
        <v>136</v>
      </c>
      <c r="G2492">
        <v>0.13764705882352901</v>
      </c>
    </row>
    <row r="2493" spans="3:7" hidden="1" x14ac:dyDescent="0.3">
      <c r="C2493" t="s">
        <v>269</v>
      </c>
      <c r="D2493" t="s">
        <v>1433</v>
      </c>
      <c r="E2493" t="s">
        <v>13</v>
      </c>
      <c r="F2493" t="s">
        <v>136</v>
      </c>
      <c r="G2493">
        <v>0.12937619047619001</v>
      </c>
    </row>
    <row r="2494" spans="3:7" hidden="1" x14ac:dyDescent="0.3">
      <c r="C2494" t="s">
        <v>429</v>
      </c>
      <c r="D2494" t="s">
        <v>1487</v>
      </c>
      <c r="E2494" t="s">
        <v>13</v>
      </c>
      <c r="F2494" t="s">
        <v>240</v>
      </c>
      <c r="G2494">
        <v>0.127942312644862</v>
      </c>
    </row>
    <row r="2495" spans="3:7" hidden="1" x14ac:dyDescent="0.3">
      <c r="C2495" t="s">
        <v>188</v>
      </c>
      <c r="D2495" t="s">
        <v>1561</v>
      </c>
      <c r="E2495" t="s">
        <v>13</v>
      </c>
      <c r="F2495" t="s">
        <v>136</v>
      </c>
      <c r="G2495">
        <v>0.126</v>
      </c>
    </row>
    <row r="2496" spans="3:7" hidden="1" x14ac:dyDescent="0.3">
      <c r="C2496" t="s">
        <v>269</v>
      </c>
      <c r="D2496" t="s">
        <v>1097</v>
      </c>
      <c r="E2496" t="s">
        <v>13</v>
      </c>
      <c r="F2496" t="s">
        <v>136</v>
      </c>
      <c r="G2496">
        <v>0.12536461538461499</v>
      </c>
    </row>
    <row r="2497" spans="3:7" hidden="1" x14ac:dyDescent="0.3">
      <c r="C2497" t="s">
        <v>90</v>
      </c>
      <c r="D2497" t="s">
        <v>1435</v>
      </c>
      <c r="E2497" t="s">
        <v>13</v>
      </c>
      <c r="F2497" t="s">
        <v>136</v>
      </c>
      <c r="G2497">
        <v>0.121446768507638</v>
      </c>
    </row>
    <row r="2498" spans="3:7" hidden="1" x14ac:dyDescent="0.3">
      <c r="C2498" t="s">
        <v>90</v>
      </c>
      <c r="D2498" t="s">
        <v>1444</v>
      </c>
      <c r="E2498" t="s">
        <v>13</v>
      </c>
      <c r="F2498" t="s">
        <v>136</v>
      </c>
      <c r="G2498">
        <v>0.121446768507638</v>
      </c>
    </row>
    <row r="2499" spans="3:7" hidden="1" x14ac:dyDescent="0.3">
      <c r="C2499" t="s">
        <v>19</v>
      </c>
      <c r="D2499" t="s">
        <v>1562</v>
      </c>
      <c r="E2499" t="s">
        <v>13</v>
      </c>
      <c r="F2499" t="s">
        <v>136</v>
      </c>
      <c r="G2499">
        <v>0.12</v>
      </c>
    </row>
    <row r="2500" spans="3:7" hidden="1" x14ac:dyDescent="0.3">
      <c r="C2500" t="s">
        <v>11</v>
      </c>
      <c r="D2500" t="s">
        <v>1072</v>
      </c>
      <c r="E2500" t="s">
        <v>13</v>
      </c>
      <c r="F2500" t="s">
        <v>136</v>
      </c>
      <c r="G2500">
        <v>9.3196360434399703E-2</v>
      </c>
    </row>
    <row r="2501" spans="3:7" hidden="1" x14ac:dyDescent="0.3">
      <c r="C2501" t="s">
        <v>78</v>
      </c>
      <c r="D2501" t="s">
        <v>1556</v>
      </c>
      <c r="E2501" t="s">
        <v>13</v>
      </c>
      <c r="F2501" t="s">
        <v>136</v>
      </c>
      <c r="G2501">
        <v>8.6261904761904706E-2</v>
      </c>
    </row>
    <row r="2502" spans="3:7" hidden="1" x14ac:dyDescent="0.3">
      <c r="C2502" t="s">
        <v>78</v>
      </c>
      <c r="D2502" t="s">
        <v>890</v>
      </c>
      <c r="E2502" t="s">
        <v>13</v>
      </c>
      <c r="F2502" t="s">
        <v>240</v>
      </c>
      <c r="G2502">
        <v>8.3129032258064506E-2</v>
      </c>
    </row>
    <row r="2503" spans="3:7" hidden="1" x14ac:dyDescent="0.3">
      <c r="C2503" t="s">
        <v>90</v>
      </c>
      <c r="D2503" t="s">
        <v>832</v>
      </c>
      <c r="E2503" t="s">
        <v>13</v>
      </c>
      <c r="F2503" t="s">
        <v>240</v>
      </c>
      <c r="G2503">
        <v>8.1471863117870705E-2</v>
      </c>
    </row>
    <row r="2504" spans="3:7" hidden="1" x14ac:dyDescent="0.3">
      <c r="C2504" t="s">
        <v>808</v>
      </c>
      <c r="D2504" t="s">
        <v>890</v>
      </c>
      <c r="E2504" t="s">
        <v>13</v>
      </c>
      <c r="F2504" t="s">
        <v>240</v>
      </c>
      <c r="G2504">
        <v>8.0829015544041399E-2</v>
      </c>
    </row>
    <row r="2505" spans="3:7" hidden="1" x14ac:dyDescent="0.3">
      <c r="C2505" t="s">
        <v>808</v>
      </c>
      <c r="D2505" t="s">
        <v>774</v>
      </c>
      <c r="E2505" t="s">
        <v>13</v>
      </c>
      <c r="F2505" t="s">
        <v>240</v>
      </c>
      <c r="G2505">
        <v>8.0829015544041399E-2</v>
      </c>
    </row>
    <row r="2506" spans="3:7" hidden="1" x14ac:dyDescent="0.3">
      <c r="C2506" t="s">
        <v>78</v>
      </c>
      <c r="D2506" t="s">
        <v>1272</v>
      </c>
      <c r="E2506" t="s">
        <v>9</v>
      </c>
      <c r="F2506" t="s">
        <v>136</v>
      </c>
      <c r="G2506">
        <v>7.7110977080820195E-2</v>
      </c>
    </row>
    <row r="2507" spans="3:7" hidden="1" x14ac:dyDescent="0.3">
      <c r="C2507" t="s">
        <v>455</v>
      </c>
      <c r="D2507" t="s">
        <v>712</v>
      </c>
      <c r="E2507" t="s">
        <v>13</v>
      </c>
      <c r="F2507" t="s">
        <v>136</v>
      </c>
      <c r="G2507">
        <v>7.4684136640149695E-2</v>
      </c>
    </row>
    <row r="2508" spans="3:7" hidden="1" x14ac:dyDescent="0.3">
      <c r="C2508" t="s">
        <v>126</v>
      </c>
      <c r="D2508" t="s">
        <v>1433</v>
      </c>
      <c r="E2508" t="s">
        <v>13</v>
      </c>
      <c r="F2508" t="s">
        <v>136</v>
      </c>
      <c r="G2508">
        <v>7.1687500000000001E-2</v>
      </c>
    </row>
    <row r="2509" spans="3:7" hidden="1" x14ac:dyDescent="0.3">
      <c r="C2509" t="s">
        <v>78</v>
      </c>
      <c r="D2509" t="s">
        <v>1563</v>
      </c>
      <c r="E2509" t="s">
        <v>9</v>
      </c>
      <c r="F2509" t="s">
        <v>136</v>
      </c>
      <c r="G2509">
        <v>6.7733213997579603E-2</v>
      </c>
    </row>
    <row r="2510" spans="3:7" hidden="1" x14ac:dyDescent="0.3">
      <c r="C2510" t="s">
        <v>90</v>
      </c>
      <c r="D2510" t="s">
        <v>1326</v>
      </c>
      <c r="E2510" t="s">
        <v>13</v>
      </c>
      <c r="F2510" t="s">
        <v>136</v>
      </c>
      <c r="G2510">
        <v>6.4875240891988595E-2</v>
      </c>
    </row>
    <row r="2511" spans="3:7" hidden="1" x14ac:dyDescent="0.3">
      <c r="C2511" t="s">
        <v>1313</v>
      </c>
      <c r="D2511" t="s">
        <v>1444</v>
      </c>
      <c r="E2511" t="s">
        <v>13</v>
      </c>
      <c r="F2511" t="s">
        <v>136</v>
      </c>
      <c r="G2511">
        <v>6.3076923076923003E-2</v>
      </c>
    </row>
    <row r="2512" spans="3:7" hidden="1" x14ac:dyDescent="0.3">
      <c r="C2512" t="s">
        <v>19</v>
      </c>
      <c r="D2512" t="s">
        <v>1559</v>
      </c>
      <c r="E2512" t="s">
        <v>13</v>
      </c>
      <c r="F2512" t="s">
        <v>136</v>
      </c>
      <c r="G2512">
        <v>6.1686686341740203E-2</v>
      </c>
    </row>
    <row r="2513" spans="3:7" hidden="1" x14ac:dyDescent="0.3">
      <c r="C2513" t="s">
        <v>21</v>
      </c>
      <c r="D2513" t="s">
        <v>1411</v>
      </c>
      <c r="E2513" t="s">
        <v>9</v>
      </c>
      <c r="F2513" t="s">
        <v>136</v>
      </c>
      <c r="G2513">
        <v>6.0453400503778301E-2</v>
      </c>
    </row>
    <row r="2514" spans="3:7" hidden="1" x14ac:dyDescent="0.3">
      <c r="C2514" t="s">
        <v>126</v>
      </c>
      <c r="D2514" t="s">
        <v>1543</v>
      </c>
      <c r="E2514" t="s">
        <v>13</v>
      </c>
      <c r="F2514" t="s">
        <v>240</v>
      </c>
      <c r="G2514">
        <v>5.8175675675675602E-2</v>
      </c>
    </row>
    <row r="2515" spans="3:7" hidden="1" x14ac:dyDescent="0.3">
      <c r="C2515" t="s">
        <v>90</v>
      </c>
      <c r="D2515" t="s">
        <v>722</v>
      </c>
      <c r="E2515" t="s">
        <v>13</v>
      </c>
      <c r="F2515" t="s">
        <v>136</v>
      </c>
      <c r="G2515">
        <v>5.7666880792878697E-2</v>
      </c>
    </row>
    <row r="2516" spans="3:7" hidden="1" x14ac:dyDescent="0.3">
      <c r="C2516" t="s">
        <v>429</v>
      </c>
      <c r="D2516" t="s">
        <v>1564</v>
      </c>
      <c r="E2516" t="s">
        <v>13</v>
      </c>
      <c r="F2516" t="s">
        <v>240</v>
      </c>
      <c r="G2516">
        <v>5.11769250579448E-2</v>
      </c>
    </row>
    <row r="2517" spans="3:7" hidden="1" x14ac:dyDescent="0.3">
      <c r="C2517" t="s">
        <v>269</v>
      </c>
      <c r="D2517" t="s">
        <v>1254</v>
      </c>
      <c r="E2517" t="s">
        <v>13</v>
      </c>
      <c r="F2517" t="s">
        <v>136</v>
      </c>
      <c r="G2517">
        <v>4.5281666666666602E-2</v>
      </c>
    </row>
    <row r="2518" spans="3:7" hidden="1" x14ac:dyDescent="0.3">
      <c r="C2518" t="s">
        <v>7</v>
      </c>
      <c r="D2518" t="s">
        <v>1518</v>
      </c>
      <c r="E2518" t="s">
        <v>13</v>
      </c>
      <c r="F2518" t="s">
        <v>136</v>
      </c>
      <c r="G2518">
        <v>4.5093749999999898E-2</v>
      </c>
    </row>
    <row r="2519" spans="3:7" hidden="1" x14ac:dyDescent="0.3">
      <c r="C2519" t="s">
        <v>21</v>
      </c>
      <c r="D2519" t="s">
        <v>1546</v>
      </c>
      <c r="E2519" t="s">
        <v>9</v>
      </c>
      <c r="F2519" t="s">
        <v>136</v>
      </c>
      <c r="G2519">
        <v>4.4110528438886597E-2</v>
      </c>
    </row>
    <row r="2520" spans="3:7" hidden="1" x14ac:dyDescent="0.3">
      <c r="C2520" t="s">
        <v>78</v>
      </c>
      <c r="D2520" t="s">
        <v>1433</v>
      </c>
      <c r="E2520" t="s">
        <v>13</v>
      </c>
      <c r="F2520" t="s">
        <v>136</v>
      </c>
      <c r="G2520">
        <v>4.3130952380952298E-2</v>
      </c>
    </row>
    <row r="2521" spans="3:7" hidden="1" x14ac:dyDescent="0.3">
      <c r="C2521" t="s">
        <v>429</v>
      </c>
      <c r="D2521" t="s">
        <v>1220</v>
      </c>
      <c r="E2521" t="s">
        <v>13</v>
      </c>
      <c r="F2521" t="s">
        <v>240</v>
      </c>
      <c r="G2521">
        <v>4.2647437548287398E-2</v>
      </c>
    </row>
    <row r="2522" spans="3:7" hidden="1" x14ac:dyDescent="0.3">
      <c r="C2522" t="s">
        <v>21</v>
      </c>
      <c r="D2522" t="s">
        <v>1565</v>
      </c>
      <c r="E2522" t="s">
        <v>13</v>
      </c>
      <c r="F2522" t="s">
        <v>136</v>
      </c>
      <c r="G2522">
        <v>3.9822291403184398E-2</v>
      </c>
    </row>
    <row r="2523" spans="3:7" hidden="1" x14ac:dyDescent="0.3">
      <c r="C2523" t="s">
        <v>21</v>
      </c>
      <c r="D2523" t="s">
        <v>807</v>
      </c>
      <c r="E2523" t="s">
        <v>13</v>
      </c>
      <c r="F2523" t="s">
        <v>240</v>
      </c>
      <c r="G2523">
        <v>3.7575635336829297E-2</v>
      </c>
    </row>
    <row r="2524" spans="3:7" hidden="1" x14ac:dyDescent="0.3">
      <c r="C2524" t="s">
        <v>808</v>
      </c>
      <c r="D2524" t="s">
        <v>657</v>
      </c>
      <c r="E2524" t="s">
        <v>13</v>
      </c>
      <c r="F2524" t="s">
        <v>136</v>
      </c>
      <c r="G2524">
        <v>3.23316062176165E-2</v>
      </c>
    </row>
    <row r="2525" spans="3:7" hidden="1" x14ac:dyDescent="0.3">
      <c r="C2525" t="s">
        <v>808</v>
      </c>
      <c r="D2525" t="s">
        <v>1210</v>
      </c>
      <c r="E2525" t="s">
        <v>13</v>
      </c>
      <c r="F2525" t="s">
        <v>136</v>
      </c>
      <c r="G2525">
        <v>3.23316062176165E-2</v>
      </c>
    </row>
    <row r="2526" spans="3:7" hidden="1" x14ac:dyDescent="0.3">
      <c r="C2526" t="s">
        <v>1528</v>
      </c>
      <c r="D2526" t="s">
        <v>1217</v>
      </c>
      <c r="E2526" t="s">
        <v>13</v>
      </c>
      <c r="F2526" t="s">
        <v>136</v>
      </c>
      <c r="G2526">
        <v>0.03</v>
      </c>
    </row>
    <row r="2527" spans="3:7" hidden="1" x14ac:dyDescent="0.3">
      <c r="C2527" t="s">
        <v>78</v>
      </c>
      <c r="D2527" t="s">
        <v>1072</v>
      </c>
      <c r="E2527" t="s">
        <v>13</v>
      </c>
      <c r="F2527" t="s">
        <v>136</v>
      </c>
      <c r="G2527">
        <v>2.58250950570342E-2</v>
      </c>
    </row>
    <row r="2528" spans="3:7" hidden="1" x14ac:dyDescent="0.3">
      <c r="C2528" t="s">
        <v>429</v>
      </c>
      <c r="D2528" t="s">
        <v>635</v>
      </c>
      <c r="E2528" t="s">
        <v>13</v>
      </c>
      <c r="F2528" t="s">
        <v>136</v>
      </c>
      <c r="G2528">
        <v>2.55884625289724E-2</v>
      </c>
    </row>
    <row r="2529" spans="3:7" hidden="1" x14ac:dyDescent="0.3">
      <c r="C2529" t="s">
        <v>19</v>
      </c>
      <c r="D2529" t="s">
        <v>1566</v>
      </c>
      <c r="E2529" t="s">
        <v>13</v>
      </c>
      <c r="F2529" t="s">
        <v>136</v>
      </c>
      <c r="G2529">
        <v>2.52525252525252E-2</v>
      </c>
    </row>
    <row r="2530" spans="3:7" hidden="1" x14ac:dyDescent="0.3">
      <c r="C2530" t="s">
        <v>78</v>
      </c>
      <c r="D2530" t="s">
        <v>1444</v>
      </c>
      <c r="E2530" t="s">
        <v>13</v>
      </c>
      <c r="F2530" t="s">
        <v>136</v>
      </c>
      <c r="G2530">
        <v>2.2871629433208501E-2</v>
      </c>
    </row>
    <row r="2531" spans="3:7" hidden="1" x14ac:dyDescent="0.3">
      <c r="C2531" t="s">
        <v>19</v>
      </c>
      <c r="D2531" t="s">
        <v>1567</v>
      </c>
      <c r="E2531" t="s">
        <v>9</v>
      </c>
      <c r="F2531" t="s">
        <v>136</v>
      </c>
      <c r="G2531">
        <v>2.0817843866170999E-2</v>
      </c>
    </row>
    <row r="2532" spans="3:7" hidden="1" x14ac:dyDescent="0.3">
      <c r="C2532" t="s">
        <v>19</v>
      </c>
      <c r="D2532" t="s">
        <v>1568</v>
      </c>
      <c r="E2532" t="s">
        <v>13</v>
      </c>
      <c r="F2532" t="s">
        <v>136</v>
      </c>
      <c r="G2532">
        <v>1.76767676767676E-2</v>
      </c>
    </row>
    <row r="2533" spans="3:7" hidden="1" x14ac:dyDescent="0.3">
      <c r="C2533" t="s">
        <v>269</v>
      </c>
      <c r="D2533" t="s">
        <v>1479</v>
      </c>
      <c r="E2533" t="s">
        <v>13</v>
      </c>
      <c r="F2533" t="s">
        <v>136</v>
      </c>
      <c r="G2533">
        <v>1.7545622119815599E-2</v>
      </c>
    </row>
    <row r="2534" spans="3:7" hidden="1" x14ac:dyDescent="0.3">
      <c r="C2534" t="s">
        <v>429</v>
      </c>
      <c r="D2534" t="s">
        <v>1160</v>
      </c>
      <c r="E2534" t="s">
        <v>13</v>
      </c>
      <c r="F2534" t="s">
        <v>136</v>
      </c>
      <c r="G2534">
        <v>1.7178635379565599E-2</v>
      </c>
    </row>
    <row r="2535" spans="3:7" hidden="1" x14ac:dyDescent="0.3">
      <c r="C2535" t="s">
        <v>90</v>
      </c>
      <c r="D2535" t="s">
        <v>1071</v>
      </c>
      <c r="E2535" t="s">
        <v>13</v>
      </c>
      <c r="F2535" t="s">
        <v>136</v>
      </c>
      <c r="G2535">
        <v>1.5189194349432601E-2</v>
      </c>
    </row>
    <row r="2536" spans="3:7" hidden="1" x14ac:dyDescent="0.3">
      <c r="C2536" t="s">
        <v>78</v>
      </c>
      <c r="D2536" t="s">
        <v>1254</v>
      </c>
      <c r="E2536" t="s">
        <v>13</v>
      </c>
      <c r="F2536" t="s">
        <v>136</v>
      </c>
      <c r="G2536">
        <v>1.50958333333333E-2</v>
      </c>
    </row>
    <row r="2537" spans="3:7" hidden="1" x14ac:dyDescent="0.3">
      <c r="C2537" t="s">
        <v>21</v>
      </c>
      <c r="D2537" t="s">
        <v>1540</v>
      </c>
      <c r="E2537" t="s">
        <v>13</v>
      </c>
      <c r="F2537" t="s">
        <v>136</v>
      </c>
      <c r="G2537">
        <v>1.2321505376343999E-2</v>
      </c>
    </row>
    <row r="2538" spans="3:7" hidden="1" x14ac:dyDescent="0.3">
      <c r="C2538" t="s">
        <v>429</v>
      </c>
      <c r="D2538" t="s">
        <v>1237</v>
      </c>
      <c r="E2538" t="s">
        <v>13</v>
      </c>
      <c r="F2538" t="s">
        <v>136</v>
      </c>
      <c r="G2538">
        <v>1.0813229974160199E-2</v>
      </c>
    </row>
    <row r="2539" spans="3:7" hidden="1" x14ac:dyDescent="0.3">
      <c r="C2539" t="s">
        <v>21</v>
      </c>
      <c r="D2539" t="s">
        <v>1254</v>
      </c>
      <c r="E2539" t="s">
        <v>13</v>
      </c>
      <c r="F2539" t="s">
        <v>136</v>
      </c>
      <c r="G2539">
        <v>7.5566750629722903E-3</v>
      </c>
    </row>
    <row r="2540" spans="3:7" hidden="1" x14ac:dyDescent="0.3">
      <c r="C2540" t="s">
        <v>90</v>
      </c>
      <c r="D2540" t="s">
        <v>1150</v>
      </c>
      <c r="E2540" t="s">
        <v>13</v>
      </c>
      <c r="F2540" t="s">
        <v>136</v>
      </c>
      <c r="G2540">
        <v>6.0274580751716999E-3</v>
      </c>
    </row>
    <row r="2541" spans="3:7" hidden="1" x14ac:dyDescent="0.3">
      <c r="C2541" t="s">
        <v>21</v>
      </c>
      <c r="D2541" t="s">
        <v>1563</v>
      </c>
      <c r="E2541" t="s">
        <v>9</v>
      </c>
      <c r="F2541" t="s">
        <v>136</v>
      </c>
      <c r="G2541">
        <v>4.2787212585719998E-3</v>
      </c>
    </row>
    <row r="2542" spans="3:7" hidden="1" x14ac:dyDescent="0.3">
      <c r="C2542" t="s">
        <v>90</v>
      </c>
      <c r="D2542" t="s">
        <v>1250</v>
      </c>
      <c r="E2542" t="s">
        <v>13</v>
      </c>
      <c r="F2542" t="s">
        <v>136</v>
      </c>
      <c r="G2542">
        <v>3.7972985873581701E-3</v>
      </c>
    </row>
    <row r="2543" spans="3:7" hidden="1" x14ac:dyDescent="0.3">
      <c r="C2543" t="s">
        <v>90</v>
      </c>
      <c r="D2543" t="s">
        <v>1447</v>
      </c>
      <c r="E2543" t="s">
        <v>9</v>
      </c>
      <c r="F2543" t="s">
        <v>136</v>
      </c>
      <c r="G2543">
        <v>3.7972985873581701E-3</v>
      </c>
    </row>
    <row r="2544" spans="3:7" hidden="1" x14ac:dyDescent="0.3">
      <c r="C2544" t="s">
        <v>19</v>
      </c>
      <c r="D2544" t="s">
        <v>1433</v>
      </c>
      <c r="E2544" t="s">
        <v>13</v>
      </c>
      <c r="F2544" t="s">
        <v>136</v>
      </c>
      <c r="G2544">
        <v>3.28667299096509E-3</v>
      </c>
    </row>
    <row r="2545" spans="3:7" hidden="1" x14ac:dyDescent="0.3">
      <c r="C2545" t="s">
        <v>14</v>
      </c>
      <c r="D2545" t="s">
        <v>1569</v>
      </c>
      <c r="E2545" t="s">
        <v>13</v>
      </c>
      <c r="F2545" t="s">
        <v>240</v>
      </c>
      <c r="G2545">
        <v>-0.89999999999999902</v>
      </c>
    </row>
    <row r="2546" spans="3:7" hidden="1" x14ac:dyDescent="0.3">
      <c r="C2546" t="s">
        <v>21</v>
      </c>
      <c r="D2546" t="s">
        <v>1570</v>
      </c>
      <c r="E2546" t="s">
        <v>13</v>
      </c>
      <c r="F2546" t="s">
        <v>136</v>
      </c>
      <c r="G2546">
        <v>-2.0749441157133401</v>
      </c>
    </row>
    <row r="2547" spans="3:7" hidden="1" x14ac:dyDescent="0.3">
      <c r="C2547" t="s">
        <v>14</v>
      </c>
      <c r="D2547" t="s">
        <v>1571</v>
      </c>
      <c r="E2547" t="s">
        <v>17</v>
      </c>
      <c r="F2547" t="s">
        <v>136</v>
      </c>
      <c r="G2547">
        <v>-13.667999999999999</v>
      </c>
    </row>
  </sheetData>
  <autoFilter ref="A1:G2547" xr:uid="{A12FCC67-5CC9-450A-B540-BF2EF6D0157B}">
    <filterColumn colId="3">
      <filters>
        <filter val="Chicken Breast Uncalibrated Free Siz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662A-6E68-4A65-A551-64F85955BF74}">
  <sheetPr filterMode="1"/>
  <dimension ref="A1:AT2247"/>
  <sheetViews>
    <sheetView tabSelected="1" workbookViewId="0">
      <pane ySplit="1" topLeftCell="A3" activePane="bottomLeft" state="frozen"/>
      <selection activeCell="V1" sqref="V1"/>
      <selection pane="bottomLeft" activeCell="B7" sqref="B7"/>
    </sheetView>
  </sheetViews>
  <sheetFormatPr defaultRowHeight="14.4" x14ac:dyDescent="0.3"/>
  <cols>
    <col min="1" max="1" width="10" bestFit="1" customWidth="1"/>
    <col min="2" max="2" width="51" bestFit="1" customWidth="1"/>
    <col min="3" max="3" width="9.44140625" bestFit="1" customWidth="1"/>
    <col min="5" max="5" width="14.33203125" customWidth="1"/>
    <col min="6" max="6" width="8.88671875" customWidth="1"/>
    <col min="7" max="8" width="8.88671875" hidden="1" customWidth="1"/>
    <col min="9" max="9" width="14.33203125" hidden="1" customWidth="1"/>
    <col min="10" max="12" width="8.88671875" hidden="1" customWidth="1"/>
    <col min="13" max="13" width="8.88671875" style="1" customWidth="1"/>
    <col min="14" max="16" width="8.88671875" customWidth="1"/>
    <col min="17" max="17" width="8.88671875" style="1"/>
    <col min="19" max="20" width="10.33203125" style="2" hidden="1" customWidth="1"/>
    <col min="26" max="26" width="8.88671875" style="8"/>
    <col min="30" max="30" width="8.88671875" style="1"/>
    <col min="31" max="33" width="10.33203125" style="2" hidden="1" customWidth="1"/>
    <col min="34" max="34" width="0" hidden="1" customWidth="1"/>
    <col min="35" max="35" width="8.88671875" style="3"/>
    <col min="36" max="36" width="8.88671875" style="1"/>
    <col min="37" max="37" width="10.33203125" style="2" bestFit="1" customWidth="1"/>
    <col min="38" max="38" width="11" style="4" bestFit="1" customWidth="1"/>
    <col min="39" max="39" width="8.88671875" style="5"/>
    <col min="40" max="40" width="8.88671875" style="4"/>
    <col min="42" max="42" width="8.88671875" style="4"/>
    <col min="44" max="44" width="23" customWidth="1"/>
    <col min="46" max="46" width="8.88671875" style="16"/>
  </cols>
  <sheetData>
    <row r="1" spans="1:46" s="9" customFormat="1" ht="43.2" x14ac:dyDescent="0.3">
      <c r="A1" s="9" t="s">
        <v>1572</v>
      </c>
      <c r="B1" s="9" t="s">
        <v>1573</v>
      </c>
      <c r="C1" s="9" t="s">
        <v>1574</v>
      </c>
      <c r="D1" s="9" t="s">
        <v>1575</v>
      </c>
      <c r="E1" s="9" t="s">
        <v>1576</v>
      </c>
      <c r="F1" s="9" t="s">
        <v>1577</v>
      </c>
      <c r="G1" t="s">
        <v>1578</v>
      </c>
      <c r="H1" t="s">
        <v>1579</v>
      </c>
      <c r="I1" t="s">
        <v>1580</v>
      </c>
      <c r="J1" t="s">
        <v>1581</v>
      </c>
      <c r="K1" t="s">
        <v>1582</v>
      </c>
      <c r="L1" t="s">
        <v>1583</v>
      </c>
      <c r="M1" s="10" t="s">
        <v>1584</v>
      </c>
      <c r="N1" s="9" t="s">
        <v>1585</v>
      </c>
      <c r="O1" s="9" t="s">
        <v>1586</v>
      </c>
      <c r="P1" s="9" t="s">
        <v>1587</v>
      </c>
      <c r="Q1" s="10" t="s">
        <v>1588</v>
      </c>
      <c r="R1" s="9" t="s">
        <v>1589</v>
      </c>
      <c r="S1" s="2" t="s">
        <v>1590</v>
      </c>
      <c r="T1" s="2" t="s">
        <v>1591</v>
      </c>
      <c r="U1" s="11">
        <v>46113</v>
      </c>
      <c r="V1" s="11">
        <v>46143</v>
      </c>
      <c r="W1" s="11">
        <v>46174</v>
      </c>
      <c r="X1" s="11">
        <v>46204</v>
      </c>
      <c r="Y1" s="9" t="s">
        <v>1592</v>
      </c>
      <c r="Z1" s="12" t="s">
        <v>1593</v>
      </c>
      <c r="AA1" s="9" t="s">
        <v>1594</v>
      </c>
      <c r="AB1" s="9" t="s">
        <v>1595</v>
      </c>
      <c r="AC1" s="9" t="s">
        <v>1596</v>
      </c>
      <c r="AD1" s="10" t="s">
        <v>1597</v>
      </c>
      <c r="AE1" s="2" t="s">
        <v>1598</v>
      </c>
      <c r="AF1" s="2" t="s">
        <v>1599</v>
      </c>
      <c r="AG1" s="2" t="s">
        <v>1600</v>
      </c>
      <c r="AH1" t="s">
        <v>1601</v>
      </c>
      <c r="AI1" s="13" t="s">
        <v>1602</v>
      </c>
      <c r="AJ1" s="10" t="s">
        <v>1603</v>
      </c>
      <c r="AK1" s="14" t="s">
        <v>1604</v>
      </c>
      <c r="AL1" s="9" t="s">
        <v>1605</v>
      </c>
      <c r="AM1" s="10" t="s">
        <v>1606</v>
      </c>
      <c r="AN1" s="9" t="s">
        <v>1607</v>
      </c>
      <c r="AO1" s="9" t="s">
        <v>1608</v>
      </c>
      <c r="AP1" s="9" t="s">
        <v>1609</v>
      </c>
      <c r="AQ1" s="9" t="s">
        <v>1610</v>
      </c>
      <c r="AR1" s="9" t="s">
        <v>1611</v>
      </c>
      <c r="AS1" s="9" t="s">
        <v>1612</v>
      </c>
      <c r="AT1" s="15" t="s">
        <v>4131</v>
      </c>
    </row>
    <row r="2" spans="1:46" hidden="1" x14ac:dyDescent="0.3">
      <c r="A2">
        <v>103700129</v>
      </c>
      <c r="B2" t="s">
        <v>1544</v>
      </c>
      <c r="C2" t="s">
        <v>136</v>
      </c>
      <c r="D2" t="s">
        <v>1613</v>
      </c>
      <c r="E2" t="s">
        <v>1614</v>
      </c>
      <c r="F2" t="s">
        <v>1615</v>
      </c>
      <c r="G2" t="s">
        <v>1616</v>
      </c>
      <c r="H2" t="s">
        <v>1617</v>
      </c>
      <c r="I2" t="s">
        <v>1618</v>
      </c>
      <c r="J2" t="s">
        <v>136</v>
      </c>
      <c r="K2">
        <v>1.35</v>
      </c>
      <c r="L2">
        <v>-2.7</v>
      </c>
      <c r="M2" s="1">
        <v>3</v>
      </c>
      <c r="N2">
        <v>0</v>
      </c>
      <c r="O2">
        <v>0</v>
      </c>
      <c r="P2">
        <v>-2</v>
      </c>
      <c r="Q2" s="1">
        <v>-2</v>
      </c>
      <c r="R2">
        <v>1.35</v>
      </c>
      <c r="S2" s="2">
        <v>46251</v>
      </c>
      <c r="T2" s="2">
        <v>46263</v>
      </c>
      <c r="U2">
        <v>7</v>
      </c>
      <c r="V2">
        <v>10</v>
      </c>
      <c r="W2">
        <v>2</v>
      </c>
      <c r="X2">
        <v>6</v>
      </c>
      <c r="Y2">
        <v>2</v>
      </c>
      <c r="Z2" s="8">
        <v>10</v>
      </c>
      <c r="AA2">
        <v>6.25</v>
      </c>
      <c r="AB2">
        <v>0.32</v>
      </c>
      <c r="AC2">
        <v>1.6</v>
      </c>
      <c r="AD2" s="1">
        <v>-6</v>
      </c>
      <c r="AE2" s="2">
        <v>46242</v>
      </c>
      <c r="AF2" s="2">
        <v>46250</v>
      </c>
      <c r="AG2" s="2">
        <v>46257</v>
      </c>
      <c r="AH2">
        <v>15</v>
      </c>
      <c r="AI2" s="3">
        <v>1.5517241379310345</v>
      </c>
      <c r="AJ2" s="1">
        <v>-3</v>
      </c>
      <c r="AK2" s="2">
        <v>46260</v>
      </c>
      <c r="AL2" s="4">
        <v>30</v>
      </c>
      <c r="AM2" s="5">
        <v>15</v>
      </c>
      <c r="AN2" s="4">
        <v>-6</v>
      </c>
      <c r="AO2">
        <v>15.517241379310345</v>
      </c>
      <c r="AP2" s="4">
        <v>1</v>
      </c>
      <c r="AQ2" t="s">
        <v>1619</v>
      </c>
      <c r="AR2" t="s">
        <v>1620</v>
      </c>
      <c r="AT2" s="16">
        <f>_xlfn.XLOOKUP(B2,'SWiSH Demand Forecast Sep-26'!D:D,'SWiSH Demand Forecast Sep-26'!G:G,"Not Exist")</f>
        <v>0.71000999999999903</v>
      </c>
    </row>
    <row r="3" spans="1:46" x14ac:dyDescent="0.3">
      <c r="A3">
        <v>101200063</v>
      </c>
      <c r="B3" t="s">
        <v>1621</v>
      </c>
      <c r="C3" t="s">
        <v>136</v>
      </c>
      <c r="D3" t="s">
        <v>1613</v>
      </c>
      <c r="E3" t="s">
        <v>1622</v>
      </c>
      <c r="F3" t="s">
        <v>1623</v>
      </c>
      <c r="G3" t="s">
        <v>1624</v>
      </c>
      <c r="H3" t="s">
        <v>1625</v>
      </c>
      <c r="I3" t="s">
        <v>1626</v>
      </c>
      <c r="J3" t="s">
        <v>136</v>
      </c>
      <c r="K3">
        <v>5.5128968299999999</v>
      </c>
      <c r="L3">
        <v>2.7564484149999999</v>
      </c>
      <c r="M3" s="1">
        <v>3</v>
      </c>
      <c r="N3">
        <v>0</v>
      </c>
      <c r="O3">
        <v>0</v>
      </c>
      <c r="P3">
        <v>0.5</v>
      </c>
      <c r="Q3" s="1">
        <v>0.5</v>
      </c>
      <c r="R3">
        <v>0.95</v>
      </c>
      <c r="S3" s="2">
        <v>46261</v>
      </c>
      <c r="T3" s="2">
        <v>46261</v>
      </c>
      <c r="U3">
        <v>0</v>
      </c>
      <c r="V3">
        <v>193.32499999999999</v>
      </c>
      <c r="W3">
        <v>69.739999999999995</v>
      </c>
      <c r="X3">
        <v>83.48</v>
      </c>
      <c r="Y3">
        <v>0</v>
      </c>
      <c r="Z3" s="8">
        <v>193.32499999999999</v>
      </c>
      <c r="AA3">
        <v>86.636250000000004</v>
      </c>
      <c r="AB3">
        <v>0</v>
      </c>
      <c r="AC3">
        <v>2.2314562322353515</v>
      </c>
      <c r="AD3" s="1">
        <v>0</v>
      </c>
      <c r="AE3" s="2">
        <v>46248</v>
      </c>
      <c r="AF3" s="2">
        <v>46256</v>
      </c>
      <c r="AG3" s="2">
        <v>46263</v>
      </c>
      <c r="AH3">
        <v>163.57999999999998</v>
      </c>
      <c r="AI3" s="3">
        <v>0.87531715843875557</v>
      </c>
      <c r="AJ3" s="1">
        <v>0</v>
      </c>
      <c r="AK3" s="2">
        <v>46263</v>
      </c>
      <c r="AL3" s="4">
        <v>30</v>
      </c>
      <c r="AM3" s="5">
        <v>15</v>
      </c>
      <c r="AN3" s="4">
        <v>0</v>
      </c>
      <c r="AO3">
        <v>169.22068965517241</v>
      </c>
      <c r="AP3" s="4">
        <v>1</v>
      </c>
      <c r="AQ3">
        <v>500</v>
      </c>
      <c r="AR3" t="s">
        <v>1627</v>
      </c>
      <c r="AT3" s="16" t="str">
        <f>_xlfn.XLOOKUP(B3,'SWiSH Demand Forecast Sep-26'!D:D,'SWiSH Demand Forecast Sep-26'!G:G,"Not Exist")</f>
        <v>Not Exist</v>
      </c>
    </row>
    <row r="4" spans="1:46" x14ac:dyDescent="0.3">
      <c r="A4">
        <v>104200028</v>
      </c>
      <c r="B4" t="s">
        <v>1628</v>
      </c>
      <c r="C4" t="s">
        <v>136</v>
      </c>
      <c r="D4" t="s">
        <v>1629</v>
      </c>
      <c r="E4" t="s">
        <v>1630</v>
      </c>
      <c r="F4" t="s">
        <v>1631</v>
      </c>
      <c r="G4" t="s">
        <v>1632</v>
      </c>
      <c r="H4" t="s">
        <v>1633</v>
      </c>
      <c r="I4" t="s">
        <v>1634</v>
      </c>
      <c r="J4" t="e">
        <v>#N/A</v>
      </c>
      <c r="K4">
        <v>0.7</v>
      </c>
      <c r="L4">
        <v>0</v>
      </c>
      <c r="M4" s="1">
        <v>3</v>
      </c>
      <c r="N4">
        <v>0</v>
      </c>
      <c r="O4">
        <v>0</v>
      </c>
      <c r="P4">
        <v>0</v>
      </c>
      <c r="Q4" s="1">
        <v>0</v>
      </c>
      <c r="R4">
        <v>0</v>
      </c>
      <c r="S4" s="2">
        <v>43647</v>
      </c>
      <c r="T4" s="2">
        <v>46231</v>
      </c>
      <c r="U4">
        <v>20</v>
      </c>
      <c r="V4">
        <v>0</v>
      </c>
      <c r="W4">
        <v>0</v>
      </c>
      <c r="X4">
        <v>0</v>
      </c>
      <c r="Y4">
        <v>0</v>
      </c>
      <c r="Z4" s="8">
        <v>20</v>
      </c>
      <c r="AA4">
        <v>5</v>
      </c>
      <c r="AB4">
        <v>0</v>
      </c>
      <c r="AC4">
        <v>4</v>
      </c>
      <c r="AD4" s="1">
        <v>0</v>
      </c>
      <c r="AE4" s="2">
        <v>46248</v>
      </c>
      <c r="AF4" s="2">
        <v>46256</v>
      </c>
      <c r="AG4" s="2">
        <v>46263</v>
      </c>
      <c r="AH4">
        <v>0</v>
      </c>
      <c r="AI4" s="3">
        <v>0</v>
      </c>
      <c r="AJ4" s="1" t="s">
        <v>1635</v>
      </c>
      <c r="AK4" s="2" t="s">
        <v>1635</v>
      </c>
      <c r="AL4" s="4" t="s">
        <v>1636</v>
      </c>
      <c r="AM4" s="5" t="s">
        <v>1636</v>
      </c>
      <c r="AN4" s="4">
        <v>0</v>
      </c>
      <c r="AO4" t="s">
        <v>1635</v>
      </c>
      <c r="AP4" s="4" t="s">
        <v>1636</v>
      </c>
      <c r="AQ4" t="s">
        <v>1619</v>
      </c>
      <c r="AR4" t="s">
        <v>1620</v>
      </c>
      <c r="AT4" s="16" t="str">
        <f>_xlfn.XLOOKUP(B4,'SWiSH Demand Forecast Sep-26'!D:D,'SWiSH Demand Forecast Sep-26'!G:G,"Not Exist")</f>
        <v>Not Exist</v>
      </c>
    </row>
    <row r="5" spans="1:46" x14ac:dyDescent="0.3">
      <c r="A5">
        <v>100900064</v>
      </c>
      <c r="B5" t="s">
        <v>1637</v>
      </c>
      <c r="C5" t="s">
        <v>10</v>
      </c>
      <c r="D5" t="s">
        <v>1629</v>
      </c>
      <c r="E5" t="s">
        <v>1638</v>
      </c>
      <c r="F5" t="s">
        <v>1639</v>
      </c>
      <c r="G5" t="s">
        <v>1616</v>
      </c>
      <c r="H5" t="s">
        <v>1640</v>
      </c>
      <c r="I5" t="s">
        <v>1618</v>
      </c>
      <c r="J5" t="s">
        <v>1641</v>
      </c>
      <c r="K5">
        <v>6.6060670000000002E-2</v>
      </c>
      <c r="L5">
        <v>0</v>
      </c>
      <c r="M5" s="1">
        <v>3</v>
      </c>
      <c r="N5">
        <v>0</v>
      </c>
      <c r="O5">
        <v>0</v>
      </c>
      <c r="P5">
        <v>0</v>
      </c>
      <c r="Q5" s="1">
        <v>0</v>
      </c>
      <c r="R5">
        <v>1.9818199999999999</v>
      </c>
      <c r="S5" s="2">
        <v>46207</v>
      </c>
      <c r="T5" s="2">
        <v>46251</v>
      </c>
      <c r="U5">
        <v>300</v>
      </c>
      <c r="V5">
        <v>420</v>
      </c>
      <c r="W5">
        <v>540</v>
      </c>
      <c r="X5">
        <v>660</v>
      </c>
      <c r="Y5">
        <v>300</v>
      </c>
      <c r="Z5" s="8">
        <v>660</v>
      </c>
      <c r="AA5">
        <v>480</v>
      </c>
      <c r="AB5">
        <v>0.625</v>
      </c>
      <c r="AC5">
        <v>1.375</v>
      </c>
      <c r="AD5" s="1">
        <v>0</v>
      </c>
      <c r="AE5" s="2">
        <v>46248</v>
      </c>
      <c r="AF5" s="2">
        <v>46256</v>
      </c>
      <c r="AG5" s="2">
        <v>46263</v>
      </c>
      <c r="AH5">
        <v>240</v>
      </c>
      <c r="AI5" s="3">
        <v>0.37617554858934171</v>
      </c>
      <c r="AJ5" s="1">
        <v>0</v>
      </c>
      <c r="AK5" s="2">
        <v>46263</v>
      </c>
      <c r="AL5" s="4" t="s">
        <v>1636</v>
      </c>
      <c r="AM5" s="5" t="s">
        <v>1636</v>
      </c>
      <c r="AN5" s="4">
        <v>0</v>
      </c>
      <c r="AO5" t="s">
        <v>1635</v>
      </c>
      <c r="AP5" s="4" t="s">
        <v>1636</v>
      </c>
      <c r="AQ5" t="s">
        <v>1619</v>
      </c>
      <c r="AR5" t="s">
        <v>1620</v>
      </c>
      <c r="AT5" s="16" t="str">
        <f>_xlfn.XLOOKUP(B5,'SWiSH Demand Forecast Sep-26'!D:D,'SWiSH Demand Forecast Sep-26'!G:G,"Not Exist")</f>
        <v>Not Exist</v>
      </c>
    </row>
    <row r="6" spans="1:46" x14ac:dyDescent="0.3">
      <c r="A6">
        <v>104200075</v>
      </c>
      <c r="B6" t="s">
        <v>1642</v>
      </c>
      <c r="C6" t="s">
        <v>10</v>
      </c>
      <c r="D6" t="s">
        <v>1629</v>
      </c>
      <c r="E6" t="s">
        <v>1643</v>
      </c>
      <c r="F6" t="s">
        <v>1644</v>
      </c>
      <c r="G6" t="s">
        <v>1632</v>
      </c>
      <c r="H6" t="s">
        <v>1633</v>
      </c>
      <c r="I6" t="s">
        <v>1634</v>
      </c>
      <c r="J6" t="e">
        <v>#N/A</v>
      </c>
      <c r="K6">
        <v>0.41666667000000002</v>
      </c>
      <c r="L6">
        <v>0</v>
      </c>
      <c r="M6" s="1">
        <v>3</v>
      </c>
      <c r="N6">
        <v>0</v>
      </c>
      <c r="O6">
        <v>0</v>
      </c>
      <c r="P6">
        <v>0</v>
      </c>
      <c r="Q6" s="1">
        <v>0</v>
      </c>
      <c r="R6">
        <v>0</v>
      </c>
      <c r="S6" s="2">
        <v>43647</v>
      </c>
      <c r="T6" s="2">
        <v>46238</v>
      </c>
      <c r="U6">
        <v>48</v>
      </c>
      <c r="V6">
        <v>0</v>
      </c>
      <c r="W6">
        <v>48</v>
      </c>
      <c r="X6">
        <v>0</v>
      </c>
      <c r="Y6">
        <v>0</v>
      </c>
      <c r="Z6" s="8">
        <v>48</v>
      </c>
      <c r="AA6">
        <v>24</v>
      </c>
      <c r="AB6">
        <v>0</v>
      </c>
      <c r="AC6">
        <v>2</v>
      </c>
      <c r="AD6" s="1">
        <v>0</v>
      </c>
      <c r="AE6" s="2">
        <v>46248</v>
      </c>
      <c r="AF6" s="2">
        <v>46256</v>
      </c>
      <c r="AG6" s="2">
        <v>46263</v>
      </c>
      <c r="AH6">
        <v>48</v>
      </c>
      <c r="AI6" s="3">
        <v>1.0344827586206897</v>
      </c>
      <c r="AJ6" s="1">
        <v>0</v>
      </c>
      <c r="AK6" s="2">
        <v>46263</v>
      </c>
      <c r="AL6" s="4" t="s">
        <v>1636</v>
      </c>
      <c r="AM6" s="5" t="s">
        <v>1636</v>
      </c>
      <c r="AN6" s="4">
        <v>0</v>
      </c>
      <c r="AO6" t="s">
        <v>1635</v>
      </c>
      <c r="AP6" s="4" t="s">
        <v>1636</v>
      </c>
      <c r="AQ6" t="s">
        <v>1619</v>
      </c>
      <c r="AR6" t="s">
        <v>1620</v>
      </c>
      <c r="AT6" s="16" t="str">
        <f>_xlfn.XLOOKUP(B6,'SWiSH Demand Forecast Sep-26'!D:D,'SWiSH Demand Forecast Sep-26'!G:G,"Not Exist")</f>
        <v>Not Exist</v>
      </c>
    </row>
    <row r="7" spans="1:46" x14ac:dyDescent="0.3">
      <c r="A7">
        <v>101500008</v>
      </c>
      <c r="B7" t="s">
        <v>1645</v>
      </c>
      <c r="C7" t="s">
        <v>10</v>
      </c>
      <c r="D7" t="s">
        <v>1629</v>
      </c>
      <c r="E7" t="s">
        <v>1646</v>
      </c>
      <c r="F7" t="s">
        <v>1631</v>
      </c>
      <c r="G7" t="s">
        <v>1632</v>
      </c>
      <c r="H7" t="s">
        <v>1647</v>
      </c>
      <c r="I7" t="s">
        <v>1634</v>
      </c>
      <c r="J7" t="s">
        <v>10</v>
      </c>
      <c r="K7">
        <v>0.45</v>
      </c>
      <c r="L7">
        <v>0</v>
      </c>
      <c r="M7" s="1">
        <v>3</v>
      </c>
      <c r="N7">
        <v>0</v>
      </c>
      <c r="O7">
        <v>0</v>
      </c>
      <c r="P7">
        <v>0</v>
      </c>
      <c r="Q7" s="1">
        <v>0</v>
      </c>
      <c r="R7">
        <v>0.45</v>
      </c>
      <c r="S7" s="2">
        <v>45941</v>
      </c>
      <c r="T7" s="2">
        <v>46201</v>
      </c>
      <c r="U7">
        <v>0</v>
      </c>
      <c r="V7">
        <v>0</v>
      </c>
      <c r="W7">
        <v>1</v>
      </c>
      <c r="X7">
        <v>0</v>
      </c>
      <c r="Y7">
        <v>0</v>
      </c>
      <c r="Z7" s="8">
        <v>1</v>
      </c>
      <c r="AA7">
        <v>0.25</v>
      </c>
      <c r="AB7">
        <v>0</v>
      </c>
      <c r="AC7">
        <v>4</v>
      </c>
      <c r="AD7" s="1">
        <v>0</v>
      </c>
      <c r="AE7" s="2">
        <v>46248</v>
      </c>
      <c r="AF7" s="2">
        <v>46256</v>
      </c>
      <c r="AG7" s="2">
        <v>46263</v>
      </c>
      <c r="AH7">
        <v>0</v>
      </c>
      <c r="AI7" s="3">
        <v>0</v>
      </c>
      <c r="AJ7" s="1" t="s">
        <v>1635</v>
      </c>
      <c r="AK7" s="2" t="s">
        <v>1635</v>
      </c>
      <c r="AL7" s="4" t="s">
        <v>1636</v>
      </c>
      <c r="AM7" s="5" t="s">
        <v>1636</v>
      </c>
      <c r="AN7" s="4">
        <v>0</v>
      </c>
      <c r="AO7" t="s">
        <v>1635</v>
      </c>
      <c r="AP7" s="4" t="s">
        <v>1636</v>
      </c>
      <c r="AQ7" t="s">
        <v>1619</v>
      </c>
      <c r="AR7" t="s">
        <v>1620</v>
      </c>
      <c r="AT7" s="16" t="str">
        <f>_xlfn.XLOOKUP(B7,'SWiSH Demand Forecast Sep-26'!D:D,'SWiSH Demand Forecast Sep-26'!G:G,"Not Exist")</f>
        <v>Not Exist</v>
      </c>
    </row>
    <row r="8" spans="1:46" x14ac:dyDescent="0.3">
      <c r="A8">
        <v>106700059</v>
      </c>
      <c r="B8" t="s">
        <v>1648</v>
      </c>
      <c r="C8" t="s">
        <v>10</v>
      </c>
      <c r="D8" t="s">
        <v>1629</v>
      </c>
      <c r="E8" t="s">
        <v>1649</v>
      </c>
      <c r="F8" t="s">
        <v>1650</v>
      </c>
      <c r="G8" t="s">
        <v>1624</v>
      </c>
      <c r="H8" t="s">
        <v>1651</v>
      </c>
      <c r="I8" t="s">
        <v>1634</v>
      </c>
      <c r="J8" t="s">
        <v>10</v>
      </c>
      <c r="K8">
        <v>0.17733586000000001</v>
      </c>
      <c r="L8">
        <v>0</v>
      </c>
      <c r="M8" s="1">
        <v>3</v>
      </c>
      <c r="N8">
        <v>0</v>
      </c>
      <c r="O8">
        <v>0</v>
      </c>
      <c r="P8">
        <v>0</v>
      </c>
      <c r="Q8" s="1">
        <v>0</v>
      </c>
      <c r="R8">
        <v>1.875</v>
      </c>
      <c r="S8" s="2">
        <v>46085</v>
      </c>
      <c r="T8" s="2">
        <v>46130</v>
      </c>
      <c r="U8">
        <v>29</v>
      </c>
      <c r="V8">
        <v>0</v>
      </c>
      <c r="W8">
        <v>0</v>
      </c>
      <c r="X8">
        <v>0</v>
      </c>
      <c r="Y8">
        <v>0</v>
      </c>
      <c r="Z8" s="8">
        <v>29</v>
      </c>
      <c r="AA8">
        <v>7.25</v>
      </c>
      <c r="AB8">
        <v>0</v>
      </c>
      <c r="AC8">
        <v>4</v>
      </c>
      <c r="AD8" s="1">
        <v>0</v>
      </c>
      <c r="AE8" s="2">
        <v>46248</v>
      </c>
      <c r="AF8" s="2">
        <v>46256</v>
      </c>
      <c r="AG8" s="2">
        <v>46263</v>
      </c>
      <c r="AH8">
        <v>0</v>
      </c>
      <c r="AI8" s="3">
        <v>0</v>
      </c>
      <c r="AJ8" s="1" t="s">
        <v>1635</v>
      </c>
      <c r="AK8" s="2" t="s">
        <v>1635</v>
      </c>
      <c r="AL8" s="4" t="s">
        <v>1636</v>
      </c>
      <c r="AM8" s="5" t="s">
        <v>1636</v>
      </c>
      <c r="AN8" s="4">
        <v>0</v>
      </c>
      <c r="AO8" t="s">
        <v>1635</v>
      </c>
      <c r="AP8" s="4" t="s">
        <v>1636</v>
      </c>
      <c r="AQ8" t="s">
        <v>1619</v>
      </c>
      <c r="AR8" t="s">
        <v>1620</v>
      </c>
      <c r="AT8" s="16" t="str">
        <f>_xlfn.XLOOKUP(B8,'SWiSH Demand Forecast Sep-26'!D:D,'SWiSH Demand Forecast Sep-26'!G:G,"Not Exist")</f>
        <v>Not Exist</v>
      </c>
    </row>
    <row r="9" spans="1:46" x14ac:dyDescent="0.3">
      <c r="A9">
        <v>104200005</v>
      </c>
      <c r="B9" t="s">
        <v>1652</v>
      </c>
      <c r="C9" t="s">
        <v>10</v>
      </c>
      <c r="D9" t="s">
        <v>1629</v>
      </c>
      <c r="E9" t="s">
        <v>1653</v>
      </c>
      <c r="F9" t="s">
        <v>1631</v>
      </c>
      <c r="G9" t="s">
        <v>1616</v>
      </c>
      <c r="H9" t="s">
        <v>1633</v>
      </c>
      <c r="I9" t="s">
        <v>1634</v>
      </c>
      <c r="J9" t="s">
        <v>10</v>
      </c>
      <c r="K9">
        <v>1.06667</v>
      </c>
      <c r="L9">
        <v>0</v>
      </c>
      <c r="M9" s="1">
        <v>3</v>
      </c>
      <c r="N9">
        <v>0</v>
      </c>
      <c r="O9">
        <v>0</v>
      </c>
      <c r="P9">
        <v>0</v>
      </c>
      <c r="Q9" s="1">
        <v>0</v>
      </c>
      <c r="R9">
        <v>1.06667</v>
      </c>
      <c r="S9" s="2">
        <v>46212</v>
      </c>
      <c r="T9" s="2">
        <v>46213</v>
      </c>
      <c r="U9">
        <v>3</v>
      </c>
      <c r="V9">
        <v>45</v>
      </c>
      <c r="W9">
        <v>7</v>
      </c>
      <c r="X9">
        <v>46</v>
      </c>
      <c r="Y9">
        <v>3</v>
      </c>
      <c r="Z9" s="8">
        <v>46</v>
      </c>
      <c r="AA9">
        <v>25.25</v>
      </c>
      <c r="AB9">
        <v>0.11881188118811881</v>
      </c>
      <c r="AC9">
        <v>1.8217821782178218</v>
      </c>
      <c r="AD9" s="1">
        <v>0</v>
      </c>
      <c r="AE9" s="2">
        <v>46248</v>
      </c>
      <c r="AF9" s="2">
        <v>46256</v>
      </c>
      <c r="AG9" s="2">
        <v>46263</v>
      </c>
      <c r="AH9">
        <v>0</v>
      </c>
      <c r="AI9" s="3">
        <v>0</v>
      </c>
      <c r="AJ9" s="1" t="s">
        <v>1635</v>
      </c>
      <c r="AK9" s="2" t="s">
        <v>1635</v>
      </c>
      <c r="AL9" s="4" t="s">
        <v>1636</v>
      </c>
      <c r="AM9" s="5" t="s">
        <v>1636</v>
      </c>
      <c r="AN9" s="4">
        <v>0</v>
      </c>
      <c r="AO9" t="s">
        <v>1635</v>
      </c>
      <c r="AP9" s="4" t="s">
        <v>1636</v>
      </c>
      <c r="AQ9" t="s">
        <v>1619</v>
      </c>
      <c r="AR9" t="s">
        <v>1620</v>
      </c>
      <c r="AT9" s="16" t="str">
        <f>_xlfn.XLOOKUP(B9,'SWiSH Demand Forecast Sep-26'!D:D,'SWiSH Demand Forecast Sep-26'!G:G,"Not Exist")</f>
        <v>Not Exist</v>
      </c>
    </row>
    <row r="10" spans="1:46" x14ac:dyDescent="0.3">
      <c r="A10">
        <v>107200129</v>
      </c>
      <c r="B10" t="s">
        <v>1654</v>
      </c>
      <c r="C10" t="s">
        <v>10</v>
      </c>
      <c r="D10" t="s">
        <v>1613</v>
      </c>
      <c r="E10" t="s">
        <v>1655</v>
      </c>
      <c r="F10" t="s">
        <v>1656</v>
      </c>
      <c r="G10" t="s">
        <v>1624</v>
      </c>
      <c r="H10" t="s">
        <v>1657</v>
      </c>
      <c r="I10" t="s">
        <v>1634</v>
      </c>
      <c r="J10" t="s">
        <v>10</v>
      </c>
      <c r="K10">
        <v>2.75</v>
      </c>
      <c r="L10">
        <v>0</v>
      </c>
      <c r="M10" s="1">
        <v>7</v>
      </c>
      <c r="N10">
        <v>0</v>
      </c>
      <c r="O10">
        <v>0</v>
      </c>
      <c r="P10">
        <v>0</v>
      </c>
      <c r="Q10" s="1">
        <v>0</v>
      </c>
      <c r="R10">
        <v>2.75</v>
      </c>
      <c r="S10" s="2">
        <v>46145</v>
      </c>
      <c r="T10" s="2">
        <v>46184</v>
      </c>
      <c r="U10">
        <v>0</v>
      </c>
      <c r="V10">
        <v>49</v>
      </c>
      <c r="W10">
        <v>0</v>
      </c>
      <c r="X10">
        <v>0</v>
      </c>
      <c r="Y10">
        <v>0</v>
      </c>
      <c r="Z10" s="8">
        <v>49</v>
      </c>
      <c r="AA10">
        <v>12.25</v>
      </c>
      <c r="AB10">
        <v>0</v>
      </c>
      <c r="AC10">
        <v>4</v>
      </c>
      <c r="AD10" s="1">
        <v>0</v>
      </c>
      <c r="AE10" s="2">
        <v>46248</v>
      </c>
      <c r="AF10" s="2">
        <v>46256</v>
      </c>
      <c r="AG10" s="2">
        <v>46263</v>
      </c>
      <c r="AH10">
        <v>0</v>
      </c>
      <c r="AI10" s="3">
        <v>0</v>
      </c>
      <c r="AJ10" s="1" t="s">
        <v>1635</v>
      </c>
      <c r="AK10" s="2" t="s">
        <v>1635</v>
      </c>
      <c r="AL10" s="4" t="s">
        <v>1658</v>
      </c>
      <c r="AM10" s="5" t="s">
        <v>1658</v>
      </c>
      <c r="AN10" s="4">
        <v>0</v>
      </c>
      <c r="AO10" t="s">
        <v>1635</v>
      </c>
      <c r="AP10" s="4" t="s">
        <v>1658</v>
      </c>
      <c r="AQ10" t="s">
        <v>1619</v>
      </c>
      <c r="AR10" t="s">
        <v>1620</v>
      </c>
      <c r="AT10" s="16" t="str">
        <f>_xlfn.XLOOKUP(B10,'SWiSH Demand Forecast Sep-26'!D:D,'SWiSH Demand Forecast Sep-26'!G:G,"Not Exist")</f>
        <v>Not Exist</v>
      </c>
    </row>
    <row r="11" spans="1:46" hidden="1" x14ac:dyDescent="0.3">
      <c r="A11">
        <v>100900059</v>
      </c>
      <c r="B11" t="s">
        <v>1127</v>
      </c>
      <c r="C11" t="s">
        <v>10</v>
      </c>
      <c r="D11" t="s">
        <v>1629</v>
      </c>
      <c r="E11" t="s">
        <v>1659</v>
      </c>
      <c r="F11" t="s">
        <v>1639</v>
      </c>
      <c r="G11" t="s">
        <v>1616</v>
      </c>
      <c r="H11" t="s">
        <v>1640</v>
      </c>
      <c r="I11" t="s">
        <v>1618</v>
      </c>
      <c r="J11" t="s">
        <v>10</v>
      </c>
      <c r="K11">
        <v>0.11844441</v>
      </c>
      <c r="L11">
        <v>0</v>
      </c>
      <c r="M11" s="1">
        <v>3</v>
      </c>
      <c r="N11">
        <v>0</v>
      </c>
      <c r="O11">
        <v>0</v>
      </c>
      <c r="P11">
        <v>0</v>
      </c>
      <c r="Q11" s="1">
        <v>0</v>
      </c>
      <c r="R11">
        <v>2.73333</v>
      </c>
      <c r="S11" s="2">
        <v>46214</v>
      </c>
      <c r="T11" s="2">
        <v>46258</v>
      </c>
      <c r="U11">
        <v>198</v>
      </c>
      <c r="V11">
        <v>72</v>
      </c>
      <c r="W11">
        <v>96</v>
      </c>
      <c r="X11">
        <v>936</v>
      </c>
      <c r="Y11">
        <v>72</v>
      </c>
      <c r="Z11" s="8">
        <v>936</v>
      </c>
      <c r="AA11">
        <v>325.5</v>
      </c>
      <c r="AB11">
        <v>0.22119815668202766</v>
      </c>
      <c r="AC11">
        <v>2.8755760368663594</v>
      </c>
      <c r="AD11" s="1">
        <v>0</v>
      </c>
      <c r="AE11" s="2">
        <v>46248</v>
      </c>
      <c r="AF11" s="2">
        <v>46256</v>
      </c>
      <c r="AG11" s="2">
        <v>46263</v>
      </c>
      <c r="AH11">
        <v>0</v>
      </c>
      <c r="AI11" s="3">
        <v>0</v>
      </c>
      <c r="AJ11" s="1" t="s">
        <v>1635</v>
      </c>
      <c r="AK11" s="2" t="s">
        <v>1635</v>
      </c>
      <c r="AL11" s="4" t="s">
        <v>1636</v>
      </c>
      <c r="AM11" s="5" t="s">
        <v>1636</v>
      </c>
      <c r="AN11" s="4">
        <v>0</v>
      </c>
      <c r="AO11" t="s">
        <v>1635</v>
      </c>
      <c r="AP11" s="4" t="s">
        <v>1636</v>
      </c>
      <c r="AQ11" t="s">
        <v>1619</v>
      </c>
      <c r="AR11" t="s">
        <v>1620</v>
      </c>
      <c r="AT11" s="16">
        <f>_xlfn.XLOOKUP(B11,'SWiSH Demand Forecast Sep-26'!D:D,'SWiSH Demand Forecast Sep-26'!G:G,"Not Exist")</f>
        <v>94</v>
      </c>
    </row>
    <row r="12" spans="1:46" x14ac:dyDescent="0.3">
      <c r="A12">
        <v>107200159</v>
      </c>
      <c r="B12" t="s">
        <v>1660</v>
      </c>
      <c r="C12" t="s">
        <v>10</v>
      </c>
      <c r="D12" t="s">
        <v>1613</v>
      </c>
      <c r="E12" t="s">
        <v>1661</v>
      </c>
      <c r="F12" t="s">
        <v>1656</v>
      </c>
      <c r="G12" t="s">
        <v>1624</v>
      </c>
      <c r="H12" t="s">
        <v>1657</v>
      </c>
      <c r="I12" t="s">
        <v>1634</v>
      </c>
      <c r="J12" t="s">
        <v>10</v>
      </c>
      <c r="K12">
        <v>1.75</v>
      </c>
      <c r="L12">
        <v>0</v>
      </c>
      <c r="M12" s="1">
        <v>15</v>
      </c>
      <c r="N12">
        <v>0</v>
      </c>
      <c r="O12">
        <v>0</v>
      </c>
      <c r="P12">
        <v>0</v>
      </c>
      <c r="Q12" s="1">
        <v>0</v>
      </c>
      <c r="R12">
        <v>1.75</v>
      </c>
      <c r="S12" s="2">
        <v>46127</v>
      </c>
      <c r="T12" s="2">
        <v>46145</v>
      </c>
      <c r="U12">
        <v>8</v>
      </c>
      <c r="V12">
        <v>10</v>
      </c>
      <c r="W12">
        <v>0</v>
      </c>
      <c r="X12">
        <v>0</v>
      </c>
      <c r="Y12">
        <v>0</v>
      </c>
      <c r="Z12" s="8">
        <v>10</v>
      </c>
      <c r="AA12">
        <v>4.5</v>
      </c>
      <c r="AB12">
        <v>0</v>
      </c>
      <c r="AC12">
        <v>2.2222222222222223</v>
      </c>
      <c r="AD12" s="1">
        <v>0</v>
      </c>
      <c r="AE12" s="2">
        <v>46248</v>
      </c>
      <c r="AF12" s="2">
        <v>46256</v>
      </c>
      <c r="AG12" s="2">
        <v>46263</v>
      </c>
      <c r="AH12">
        <v>0</v>
      </c>
      <c r="AI12" s="3">
        <v>0</v>
      </c>
      <c r="AJ12" s="1" t="s">
        <v>1635</v>
      </c>
      <c r="AK12" s="2" t="s">
        <v>1635</v>
      </c>
      <c r="AL12" s="4" t="s">
        <v>1658</v>
      </c>
      <c r="AM12" s="5" t="s">
        <v>1658</v>
      </c>
      <c r="AN12" s="4">
        <v>0</v>
      </c>
      <c r="AO12" t="s">
        <v>1635</v>
      </c>
      <c r="AP12" s="4" t="s">
        <v>1658</v>
      </c>
      <c r="AQ12" t="s">
        <v>1619</v>
      </c>
      <c r="AR12" t="s">
        <v>1620</v>
      </c>
      <c r="AT12" s="16" t="str">
        <f>_xlfn.XLOOKUP(B12,'SWiSH Demand Forecast Sep-26'!D:D,'SWiSH Demand Forecast Sep-26'!G:G,"Not Exist")</f>
        <v>Not Exist</v>
      </c>
    </row>
    <row r="13" spans="1:46" x14ac:dyDescent="0.3">
      <c r="A13">
        <v>106800335</v>
      </c>
      <c r="B13" t="s">
        <v>1662</v>
      </c>
      <c r="C13" t="s">
        <v>10</v>
      </c>
      <c r="D13" t="s">
        <v>1629</v>
      </c>
      <c r="E13" t="s">
        <v>1663</v>
      </c>
      <c r="F13" t="s">
        <v>1664</v>
      </c>
      <c r="G13" t="s">
        <v>1624</v>
      </c>
      <c r="H13" t="s">
        <v>1665</v>
      </c>
      <c r="I13" t="s">
        <v>1634</v>
      </c>
      <c r="J13" t="s">
        <v>10</v>
      </c>
      <c r="K13">
        <v>4.4400000000000004E-3</v>
      </c>
      <c r="L13">
        <v>0</v>
      </c>
      <c r="M13" s="1">
        <v>7</v>
      </c>
      <c r="N13">
        <v>0</v>
      </c>
      <c r="O13">
        <v>0</v>
      </c>
      <c r="P13">
        <v>0</v>
      </c>
      <c r="Q13" s="1">
        <v>0</v>
      </c>
      <c r="R13">
        <v>4.4400000000000004E-3</v>
      </c>
      <c r="S13" s="2">
        <v>46149</v>
      </c>
      <c r="T13" s="2">
        <v>46203</v>
      </c>
      <c r="U13">
        <v>30500</v>
      </c>
      <c r="V13">
        <v>10000</v>
      </c>
      <c r="W13">
        <v>0</v>
      </c>
      <c r="X13">
        <v>0</v>
      </c>
      <c r="Y13">
        <v>0</v>
      </c>
      <c r="Z13" s="8">
        <v>30500</v>
      </c>
      <c r="AA13">
        <v>10125</v>
      </c>
      <c r="AB13">
        <v>0</v>
      </c>
      <c r="AC13">
        <v>3.0123456790123457</v>
      </c>
      <c r="AD13" s="1">
        <v>0</v>
      </c>
      <c r="AE13" s="2">
        <v>46248</v>
      </c>
      <c r="AF13" s="2">
        <v>46256</v>
      </c>
      <c r="AG13" s="2">
        <v>46263</v>
      </c>
      <c r="AH13">
        <v>0</v>
      </c>
      <c r="AI13" s="3">
        <v>0</v>
      </c>
      <c r="AJ13" s="1" t="s">
        <v>1635</v>
      </c>
      <c r="AK13" s="2" t="s">
        <v>1635</v>
      </c>
      <c r="AL13" s="4" t="s">
        <v>1658</v>
      </c>
      <c r="AM13" s="5" t="s">
        <v>1658</v>
      </c>
      <c r="AN13" s="4">
        <v>0</v>
      </c>
      <c r="AO13" t="s">
        <v>1635</v>
      </c>
      <c r="AP13" s="4" t="s">
        <v>1658</v>
      </c>
      <c r="AQ13" t="s">
        <v>1619</v>
      </c>
      <c r="AR13" t="s">
        <v>1620</v>
      </c>
      <c r="AS13" t="s">
        <v>1666</v>
      </c>
      <c r="AT13" s="16" t="str">
        <f>_xlfn.XLOOKUP(B13,'SWiSH Demand Forecast Sep-26'!D:D,'SWiSH Demand Forecast Sep-26'!G:G,"Not Exist")</f>
        <v>Not Exist</v>
      </c>
    </row>
    <row r="14" spans="1:46" x14ac:dyDescent="0.3">
      <c r="A14">
        <v>107200148</v>
      </c>
      <c r="B14" t="s">
        <v>1667</v>
      </c>
      <c r="C14" t="s">
        <v>10</v>
      </c>
      <c r="D14" t="s">
        <v>1613</v>
      </c>
      <c r="E14" t="s">
        <v>1663</v>
      </c>
      <c r="F14" t="s">
        <v>1656</v>
      </c>
      <c r="G14" t="s">
        <v>1624</v>
      </c>
      <c r="H14" t="s">
        <v>1657</v>
      </c>
      <c r="I14" t="s">
        <v>1634</v>
      </c>
      <c r="J14" t="s">
        <v>10</v>
      </c>
      <c r="K14">
        <v>2.5</v>
      </c>
      <c r="L14">
        <v>0</v>
      </c>
      <c r="M14" s="1">
        <v>7</v>
      </c>
      <c r="N14">
        <v>0</v>
      </c>
      <c r="O14">
        <v>0</v>
      </c>
      <c r="P14">
        <v>0</v>
      </c>
      <c r="Q14" s="1">
        <v>0</v>
      </c>
      <c r="R14">
        <v>2.5</v>
      </c>
      <c r="S14" s="2">
        <v>46151</v>
      </c>
      <c r="T14" s="2">
        <v>46219</v>
      </c>
      <c r="U14">
        <v>8</v>
      </c>
      <c r="V14">
        <v>140</v>
      </c>
      <c r="W14">
        <v>0</v>
      </c>
      <c r="X14">
        <v>0</v>
      </c>
      <c r="Y14">
        <v>0</v>
      </c>
      <c r="Z14" s="8">
        <v>140</v>
      </c>
      <c r="AA14">
        <v>37</v>
      </c>
      <c r="AC14">
        <v>3.7837837837837838</v>
      </c>
      <c r="AD14" s="1">
        <v>0</v>
      </c>
      <c r="AE14" s="2">
        <v>46248</v>
      </c>
      <c r="AF14" s="2">
        <v>46256</v>
      </c>
      <c r="AG14" s="2">
        <v>46263</v>
      </c>
      <c r="AH14">
        <v>0</v>
      </c>
      <c r="AI14" s="3">
        <v>0</v>
      </c>
      <c r="AJ14" s="1" t="s">
        <v>1635</v>
      </c>
      <c r="AK14" s="2" t="s">
        <v>1635</v>
      </c>
      <c r="AL14" s="4" t="s">
        <v>1658</v>
      </c>
      <c r="AM14" s="5" t="s">
        <v>1658</v>
      </c>
      <c r="AN14" s="4">
        <v>0</v>
      </c>
      <c r="AO14" t="s">
        <v>1635</v>
      </c>
      <c r="AP14" s="4" t="s">
        <v>1658</v>
      </c>
      <c r="AQ14" t="s">
        <v>1619</v>
      </c>
      <c r="AR14" t="s">
        <v>1620</v>
      </c>
      <c r="AS14" t="s">
        <v>1666</v>
      </c>
      <c r="AT14" s="16" t="str">
        <f>_xlfn.XLOOKUP(B14,'SWiSH Demand Forecast Sep-26'!D:D,'SWiSH Demand Forecast Sep-26'!G:G,"Not Exist")</f>
        <v>Not Exist</v>
      </c>
    </row>
    <row r="15" spans="1:46" x14ac:dyDescent="0.3">
      <c r="A15">
        <v>107200102</v>
      </c>
      <c r="B15" t="s">
        <v>1668</v>
      </c>
      <c r="C15" t="s">
        <v>10</v>
      </c>
      <c r="D15" t="s">
        <v>1613</v>
      </c>
      <c r="E15" t="s">
        <v>1663</v>
      </c>
      <c r="F15" t="s">
        <v>1656</v>
      </c>
      <c r="G15" t="s">
        <v>1624</v>
      </c>
      <c r="H15" t="s">
        <v>1657</v>
      </c>
      <c r="I15" t="s">
        <v>1634</v>
      </c>
      <c r="J15" t="s">
        <v>10</v>
      </c>
      <c r="K15">
        <v>4.5</v>
      </c>
      <c r="L15">
        <v>0</v>
      </c>
      <c r="M15" s="1">
        <v>7</v>
      </c>
      <c r="N15">
        <v>0</v>
      </c>
      <c r="O15">
        <v>0</v>
      </c>
      <c r="P15">
        <v>0</v>
      </c>
      <c r="Q15" s="1">
        <v>0</v>
      </c>
      <c r="R15">
        <v>4.5</v>
      </c>
      <c r="S15" s="2">
        <v>46151</v>
      </c>
      <c r="T15" s="2">
        <v>46207</v>
      </c>
      <c r="U15">
        <v>0</v>
      </c>
      <c r="V15">
        <v>82</v>
      </c>
      <c r="W15">
        <v>0</v>
      </c>
      <c r="X15">
        <v>0</v>
      </c>
      <c r="Y15">
        <v>0</v>
      </c>
      <c r="Z15" s="8">
        <v>82</v>
      </c>
      <c r="AA15">
        <v>20.5</v>
      </c>
      <c r="AB15">
        <v>0</v>
      </c>
      <c r="AC15">
        <v>4</v>
      </c>
      <c r="AD15" s="1">
        <v>0</v>
      </c>
      <c r="AE15" s="2">
        <v>46248</v>
      </c>
      <c r="AF15" s="2">
        <v>46256</v>
      </c>
      <c r="AG15" s="2">
        <v>46263</v>
      </c>
      <c r="AH15">
        <v>0</v>
      </c>
      <c r="AI15" s="3">
        <v>0</v>
      </c>
      <c r="AJ15" s="1" t="s">
        <v>1635</v>
      </c>
      <c r="AK15" s="2" t="s">
        <v>1635</v>
      </c>
      <c r="AL15" s="4" t="s">
        <v>1658</v>
      </c>
      <c r="AM15" s="5" t="s">
        <v>1658</v>
      </c>
      <c r="AN15" s="4">
        <v>0</v>
      </c>
      <c r="AO15" t="s">
        <v>1635</v>
      </c>
      <c r="AP15" s="4" t="s">
        <v>1658</v>
      </c>
      <c r="AQ15" t="s">
        <v>1619</v>
      </c>
      <c r="AR15" t="s">
        <v>1620</v>
      </c>
      <c r="AS15" t="s">
        <v>1666</v>
      </c>
      <c r="AT15" s="16" t="str">
        <f>_xlfn.XLOOKUP(B15,'SWiSH Demand Forecast Sep-26'!D:D,'SWiSH Demand Forecast Sep-26'!G:G,"Not Exist")</f>
        <v>Not Exist</v>
      </c>
    </row>
    <row r="16" spans="1:46" x14ac:dyDescent="0.3">
      <c r="A16">
        <v>106200080</v>
      </c>
      <c r="B16" t="s">
        <v>1669</v>
      </c>
      <c r="C16" t="s">
        <v>240</v>
      </c>
      <c r="D16" t="s">
        <v>1613</v>
      </c>
      <c r="E16" t="s">
        <v>1670</v>
      </c>
      <c r="F16" t="s">
        <v>1671</v>
      </c>
      <c r="G16" t="s">
        <v>1616</v>
      </c>
      <c r="H16" t="s">
        <v>1672</v>
      </c>
      <c r="I16" t="s">
        <v>1618</v>
      </c>
      <c r="J16" t="s">
        <v>1673</v>
      </c>
      <c r="K16">
        <v>0.89137369</v>
      </c>
      <c r="L16">
        <v>0</v>
      </c>
      <c r="M16" s="1">
        <v>3</v>
      </c>
      <c r="N16">
        <v>0</v>
      </c>
      <c r="O16">
        <v>0</v>
      </c>
      <c r="P16">
        <v>0</v>
      </c>
      <c r="Q16" s="1">
        <v>0</v>
      </c>
      <c r="R16">
        <v>13.5</v>
      </c>
      <c r="S16" s="2">
        <v>46124</v>
      </c>
      <c r="T16" s="2">
        <v>46203</v>
      </c>
      <c r="U16">
        <v>16794.539999999997</v>
      </c>
      <c r="V16">
        <v>0</v>
      </c>
      <c r="W16">
        <v>0</v>
      </c>
      <c r="X16">
        <v>0</v>
      </c>
      <c r="Y16">
        <v>0</v>
      </c>
      <c r="Z16" s="8">
        <v>16794.539999999997</v>
      </c>
      <c r="AA16">
        <v>4198.6349999999993</v>
      </c>
      <c r="AB16">
        <v>0</v>
      </c>
      <c r="AC16">
        <v>4</v>
      </c>
      <c r="AD16" s="1">
        <v>0</v>
      </c>
      <c r="AE16" s="2">
        <v>46248</v>
      </c>
      <c r="AF16" s="2">
        <v>46256</v>
      </c>
      <c r="AG16" s="2">
        <v>46263</v>
      </c>
      <c r="AH16">
        <v>0</v>
      </c>
      <c r="AI16" s="3">
        <v>0</v>
      </c>
      <c r="AJ16" s="1" t="s">
        <v>1635</v>
      </c>
      <c r="AK16" s="2" t="s">
        <v>1635</v>
      </c>
      <c r="AL16" s="4">
        <v>5</v>
      </c>
      <c r="AM16" s="5">
        <v>3</v>
      </c>
      <c r="AN16" s="4">
        <v>0</v>
      </c>
      <c r="AO16">
        <v>0</v>
      </c>
      <c r="AP16" s="4">
        <v>8</v>
      </c>
      <c r="AQ16" t="s">
        <v>1619</v>
      </c>
      <c r="AR16" t="s">
        <v>1620</v>
      </c>
      <c r="AT16" s="16" t="str">
        <f>_xlfn.XLOOKUP(B16,'SWiSH Demand Forecast Sep-26'!D:D,'SWiSH Demand Forecast Sep-26'!G:G,"Not Exist")</f>
        <v>Not Exist</v>
      </c>
    </row>
    <row r="17" spans="1:46" x14ac:dyDescent="0.3">
      <c r="A17">
        <v>107200110</v>
      </c>
      <c r="B17" t="s">
        <v>1674</v>
      </c>
      <c r="C17" t="s">
        <v>10</v>
      </c>
      <c r="D17" t="s">
        <v>1675</v>
      </c>
      <c r="E17" t="s">
        <v>1663</v>
      </c>
      <c r="F17" t="s">
        <v>1656</v>
      </c>
      <c r="G17" t="s">
        <v>1624</v>
      </c>
      <c r="H17" t="s">
        <v>1657</v>
      </c>
      <c r="I17" t="s">
        <v>1634</v>
      </c>
      <c r="J17" t="s">
        <v>10</v>
      </c>
      <c r="K17">
        <v>4</v>
      </c>
      <c r="L17">
        <v>0</v>
      </c>
      <c r="M17" s="1">
        <v>15</v>
      </c>
      <c r="N17">
        <v>0</v>
      </c>
      <c r="O17">
        <v>0</v>
      </c>
      <c r="P17">
        <v>0</v>
      </c>
      <c r="Q17" s="1">
        <v>0</v>
      </c>
      <c r="R17">
        <v>4</v>
      </c>
      <c r="S17" s="2">
        <v>45915</v>
      </c>
      <c r="T17" s="2">
        <v>46127</v>
      </c>
      <c r="U17">
        <v>16</v>
      </c>
      <c r="V17">
        <v>0</v>
      </c>
      <c r="W17">
        <v>0</v>
      </c>
      <c r="X17">
        <v>0</v>
      </c>
      <c r="Y17">
        <v>0</v>
      </c>
      <c r="Z17" s="8">
        <v>16</v>
      </c>
      <c r="AA17">
        <v>4</v>
      </c>
      <c r="AB17">
        <v>0</v>
      </c>
      <c r="AC17">
        <v>4</v>
      </c>
      <c r="AD17" s="1">
        <v>0</v>
      </c>
      <c r="AE17" s="2">
        <v>46248</v>
      </c>
      <c r="AF17" s="2">
        <v>46256</v>
      </c>
      <c r="AG17" s="2">
        <v>46263</v>
      </c>
      <c r="AH17">
        <v>0</v>
      </c>
      <c r="AI17" s="3">
        <v>0</v>
      </c>
      <c r="AJ17" s="1" t="s">
        <v>1635</v>
      </c>
      <c r="AK17" s="2" t="s">
        <v>1635</v>
      </c>
      <c r="AL17" s="4" t="s">
        <v>1658</v>
      </c>
      <c r="AM17" s="5" t="s">
        <v>1658</v>
      </c>
      <c r="AN17" s="4">
        <v>0</v>
      </c>
      <c r="AO17" t="s">
        <v>1635</v>
      </c>
      <c r="AP17" s="4" t="s">
        <v>1658</v>
      </c>
      <c r="AQ17" t="s">
        <v>1619</v>
      </c>
      <c r="AR17" t="s">
        <v>1620</v>
      </c>
      <c r="AT17" s="16" t="str">
        <f>_xlfn.XLOOKUP(B17,'SWiSH Demand Forecast Sep-26'!D:D,'SWiSH Demand Forecast Sep-26'!G:G,"Not Exist")</f>
        <v>Not Exist</v>
      </c>
    </row>
    <row r="18" spans="1:46" x14ac:dyDescent="0.3">
      <c r="A18">
        <v>105600033</v>
      </c>
      <c r="B18" t="s">
        <v>1676</v>
      </c>
      <c r="C18" t="s">
        <v>136</v>
      </c>
      <c r="D18" t="s">
        <v>1675</v>
      </c>
      <c r="E18" t="s">
        <v>1677</v>
      </c>
      <c r="F18" t="s">
        <v>1631</v>
      </c>
      <c r="G18" t="s">
        <v>1678</v>
      </c>
      <c r="H18" t="s">
        <v>1679</v>
      </c>
      <c r="I18" t="s">
        <v>1634</v>
      </c>
      <c r="J18" t="s">
        <v>136</v>
      </c>
      <c r="K18">
        <v>0.7</v>
      </c>
      <c r="L18">
        <v>0</v>
      </c>
      <c r="M18" s="1">
        <v>30</v>
      </c>
      <c r="N18">
        <v>0</v>
      </c>
      <c r="O18">
        <v>0</v>
      </c>
      <c r="P18">
        <v>0</v>
      </c>
      <c r="Q18" s="1">
        <v>0</v>
      </c>
      <c r="R18">
        <v>0.65</v>
      </c>
      <c r="S18" s="2">
        <v>46133</v>
      </c>
      <c r="T18" s="2">
        <v>46140</v>
      </c>
      <c r="U18">
        <v>300</v>
      </c>
      <c r="V18">
        <v>0</v>
      </c>
      <c r="W18">
        <v>0</v>
      </c>
      <c r="X18">
        <v>0</v>
      </c>
      <c r="Y18">
        <v>0</v>
      </c>
      <c r="Z18" s="8">
        <v>300</v>
      </c>
      <c r="AA18">
        <v>75</v>
      </c>
      <c r="AB18">
        <v>0</v>
      </c>
      <c r="AC18">
        <v>4</v>
      </c>
      <c r="AD18" s="1">
        <v>0</v>
      </c>
      <c r="AE18" s="2">
        <v>46248</v>
      </c>
      <c r="AF18" s="2">
        <v>46256</v>
      </c>
      <c r="AG18" s="2">
        <v>46263</v>
      </c>
      <c r="AH18">
        <v>0</v>
      </c>
      <c r="AI18" s="3">
        <v>0</v>
      </c>
      <c r="AJ18" s="1" t="s">
        <v>1635</v>
      </c>
      <c r="AK18" s="2" t="s">
        <v>1635</v>
      </c>
      <c r="AL18" s="4" t="s">
        <v>1658</v>
      </c>
      <c r="AM18" s="5" t="s">
        <v>1658</v>
      </c>
      <c r="AN18" s="4">
        <v>0</v>
      </c>
      <c r="AO18" t="s">
        <v>1635</v>
      </c>
      <c r="AP18" s="4" t="s">
        <v>1658</v>
      </c>
      <c r="AQ18" t="s">
        <v>1619</v>
      </c>
      <c r="AR18" t="s">
        <v>1620</v>
      </c>
      <c r="AT18" s="16" t="str">
        <f>_xlfn.XLOOKUP(B18,'SWiSH Demand Forecast Sep-26'!D:D,'SWiSH Demand Forecast Sep-26'!G:G,"Not Exist")</f>
        <v>Not Exist</v>
      </c>
    </row>
    <row r="19" spans="1:46" x14ac:dyDescent="0.3">
      <c r="A19">
        <v>107200123</v>
      </c>
      <c r="B19" t="s">
        <v>1680</v>
      </c>
      <c r="C19" t="s">
        <v>10</v>
      </c>
      <c r="D19" t="s">
        <v>1675</v>
      </c>
      <c r="E19" t="s">
        <v>1661</v>
      </c>
      <c r="F19" t="s">
        <v>1656</v>
      </c>
      <c r="G19" t="s">
        <v>1681</v>
      </c>
      <c r="H19" t="s">
        <v>1657</v>
      </c>
      <c r="I19" t="s">
        <v>1634</v>
      </c>
      <c r="J19" t="s">
        <v>10</v>
      </c>
      <c r="K19">
        <v>2.5</v>
      </c>
      <c r="L19">
        <v>0</v>
      </c>
      <c r="M19" s="1">
        <v>15</v>
      </c>
      <c r="N19">
        <v>0</v>
      </c>
      <c r="O19">
        <v>0</v>
      </c>
      <c r="P19">
        <v>0</v>
      </c>
      <c r="Q19" s="1">
        <v>0</v>
      </c>
      <c r="R19">
        <v>2.5</v>
      </c>
      <c r="S19" s="2">
        <v>46127</v>
      </c>
      <c r="T19" s="2">
        <v>46136</v>
      </c>
      <c r="U19">
        <v>8</v>
      </c>
      <c r="V19">
        <v>0</v>
      </c>
      <c r="W19">
        <v>0</v>
      </c>
      <c r="X19">
        <v>0</v>
      </c>
      <c r="Y19">
        <v>0</v>
      </c>
      <c r="Z19" s="8">
        <v>8</v>
      </c>
      <c r="AA19">
        <v>2</v>
      </c>
      <c r="AB19">
        <v>0</v>
      </c>
      <c r="AC19">
        <v>4</v>
      </c>
      <c r="AD19" s="1">
        <v>0</v>
      </c>
      <c r="AE19" s="2">
        <v>46248</v>
      </c>
      <c r="AF19" s="2">
        <v>46256</v>
      </c>
      <c r="AG19" s="2">
        <v>46263</v>
      </c>
      <c r="AH19">
        <v>0</v>
      </c>
      <c r="AI19" s="3">
        <v>0</v>
      </c>
      <c r="AJ19" s="1" t="s">
        <v>1635</v>
      </c>
      <c r="AK19" s="2" t="s">
        <v>1635</v>
      </c>
      <c r="AL19" s="4" t="s">
        <v>1658</v>
      </c>
      <c r="AM19" s="5" t="s">
        <v>1658</v>
      </c>
      <c r="AN19" s="4">
        <v>0</v>
      </c>
      <c r="AO19" t="s">
        <v>1635</v>
      </c>
      <c r="AP19" s="4" t="s">
        <v>1658</v>
      </c>
      <c r="AQ19" t="s">
        <v>1619</v>
      </c>
      <c r="AR19" t="s">
        <v>1620</v>
      </c>
      <c r="AT19" s="16" t="str">
        <f>_xlfn.XLOOKUP(B19,'SWiSH Demand Forecast Sep-26'!D:D,'SWiSH Demand Forecast Sep-26'!G:G,"Not Exist")</f>
        <v>Not Exist</v>
      </c>
    </row>
    <row r="20" spans="1:46" x14ac:dyDescent="0.3">
      <c r="A20">
        <v>107200128</v>
      </c>
      <c r="B20" t="s">
        <v>1682</v>
      </c>
      <c r="C20" t="s">
        <v>10</v>
      </c>
      <c r="D20" t="s">
        <v>1675</v>
      </c>
      <c r="E20" t="s">
        <v>1683</v>
      </c>
      <c r="F20" t="s">
        <v>1656</v>
      </c>
      <c r="G20" t="s">
        <v>1632</v>
      </c>
      <c r="H20" t="s">
        <v>1657</v>
      </c>
      <c r="I20" t="s">
        <v>1634</v>
      </c>
      <c r="J20" t="s">
        <v>10</v>
      </c>
      <c r="K20">
        <v>3.25</v>
      </c>
      <c r="L20">
        <v>0</v>
      </c>
      <c r="M20" s="1">
        <v>7</v>
      </c>
      <c r="N20">
        <v>0</v>
      </c>
      <c r="O20">
        <v>0</v>
      </c>
      <c r="P20">
        <v>0</v>
      </c>
      <c r="Q20" s="1">
        <v>0</v>
      </c>
      <c r="R20">
        <v>3.25</v>
      </c>
      <c r="S20" s="2">
        <v>46127</v>
      </c>
      <c r="T20" s="2">
        <v>46137</v>
      </c>
      <c r="U20">
        <v>3</v>
      </c>
      <c r="V20">
        <v>0</v>
      </c>
      <c r="W20">
        <v>0</v>
      </c>
      <c r="X20">
        <v>0</v>
      </c>
      <c r="Y20">
        <v>0</v>
      </c>
      <c r="Z20" s="8">
        <v>3</v>
      </c>
      <c r="AA20">
        <v>0.75</v>
      </c>
      <c r="AB20">
        <v>0</v>
      </c>
      <c r="AC20">
        <v>4</v>
      </c>
      <c r="AD20" s="1">
        <v>0</v>
      </c>
      <c r="AE20" s="2">
        <v>46248</v>
      </c>
      <c r="AF20" s="2">
        <v>46256</v>
      </c>
      <c r="AG20" s="2">
        <v>46263</v>
      </c>
      <c r="AH20">
        <v>0</v>
      </c>
      <c r="AI20" s="3">
        <v>0</v>
      </c>
      <c r="AJ20" s="1" t="s">
        <v>1635</v>
      </c>
      <c r="AK20" s="2" t="s">
        <v>1635</v>
      </c>
      <c r="AL20" s="4" t="s">
        <v>1658</v>
      </c>
      <c r="AM20" s="5" t="s">
        <v>1658</v>
      </c>
      <c r="AN20" s="4">
        <v>0</v>
      </c>
      <c r="AO20" t="s">
        <v>1635</v>
      </c>
      <c r="AP20" s="4" t="s">
        <v>1658</v>
      </c>
      <c r="AQ20" t="s">
        <v>1619</v>
      </c>
      <c r="AR20" t="s">
        <v>1620</v>
      </c>
      <c r="AT20" s="16" t="str">
        <f>_xlfn.XLOOKUP(B20,'SWiSH Demand Forecast Sep-26'!D:D,'SWiSH Demand Forecast Sep-26'!G:G,"Not Exist")</f>
        <v>Not Exist</v>
      </c>
    </row>
    <row r="21" spans="1:46" x14ac:dyDescent="0.3">
      <c r="A21">
        <v>104800008</v>
      </c>
      <c r="B21" t="s">
        <v>1684</v>
      </c>
      <c r="C21" t="s">
        <v>10</v>
      </c>
      <c r="D21" t="s">
        <v>1675</v>
      </c>
      <c r="E21" t="s">
        <v>1685</v>
      </c>
      <c r="F21" t="s">
        <v>1639</v>
      </c>
      <c r="G21" t="s">
        <v>1686</v>
      </c>
      <c r="H21" t="s">
        <v>1687</v>
      </c>
      <c r="I21" t="s">
        <v>1618</v>
      </c>
      <c r="J21" t="s">
        <v>1688</v>
      </c>
      <c r="K21">
        <v>0.23749999999999999</v>
      </c>
      <c r="L21">
        <v>0</v>
      </c>
      <c r="M21" s="1">
        <v>3</v>
      </c>
      <c r="N21">
        <v>0</v>
      </c>
      <c r="O21">
        <v>0</v>
      </c>
      <c r="P21">
        <v>0</v>
      </c>
      <c r="Q21" s="1">
        <v>0</v>
      </c>
      <c r="R21">
        <v>2.85</v>
      </c>
      <c r="S21" s="2">
        <v>46138</v>
      </c>
      <c r="T21" s="2">
        <v>46162</v>
      </c>
      <c r="U21">
        <v>276</v>
      </c>
      <c r="V21">
        <v>204</v>
      </c>
      <c r="W21">
        <v>0</v>
      </c>
      <c r="X21">
        <v>0</v>
      </c>
      <c r="Y21">
        <v>0</v>
      </c>
      <c r="Z21" s="8">
        <v>276</v>
      </c>
      <c r="AA21">
        <v>120</v>
      </c>
      <c r="AB21">
        <v>0</v>
      </c>
      <c r="AC21">
        <v>2.2999999999999998</v>
      </c>
      <c r="AD21" s="1">
        <v>0</v>
      </c>
      <c r="AE21" s="2">
        <v>46248</v>
      </c>
      <c r="AF21" s="2">
        <v>46256</v>
      </c>
      <c r="AG21" s="2">
        <v>46263</v>
      </c>
      <c r="AH21">
        <v>0</v>
      </c>
      <c r="AI21" s="3">
        <v>0</v>
      </c>
      <c r="AJ21" s="1" t="s">
        <v>1635</v>
      </c>
      <c r="AK21" s="2" t="s">
        <v>1635</v>
      </c>
      <c r="AL21" s="4" t="s">
        <v>1658</v>
      </c>
      <c r="AM21" s="5" t="s">
        <v>1658</v>
      </c>
      <c r="AN21" s="4">
        <v>0</v>
      </c>
      <c r="AO21" t="s">
        <v>1635</v>
      </c>
      <c r="AP21" s="4" t="s">
        <v>1658</v>
      </c>
      <c r="AQ21" t="s">
        <v>1619</v>
      </c>
      <c r="AR21" t="s">
        <v>1620</v>
      </c>
      <c r="AT21" s="16" t="str">
        <f>_xlfn.XLOOKUP(B21,'SWiSH Demand Forecast Sep-26'!D:D,'SWiSH Demand Forecast Sep-26'!G:G,"Not Exist")</f>
        <v>Not Exist</v>
      </c>
    </row>
    <row r="22" spans="1:46" x14ac:dyDescent="0.3">
      <c r="A22">
        <v>106800040</v>
      </c>
      <c r="B22" t="s">
        <v>1689</v>
      </c>
      <c r="C22" t="s">
        <v>10</v>
      </c>
      <c r="D22" t="s">
        <v>1629</v>
      </c>
      <c r="E22" t="s">
        <v>1685</v>
      </c>
      <c r="F22" t="s">
        <v>1664</v>
      </c>
      <c r="G22" t="s">
        <v>1690</v>
      </c>
      <c r="H22" t="s">
        <v>1665</v>
      </c>
      <c r="I22" t="s">
        <v>1634</v>
      </c>
      <c r="J22" t="s">
        <v>10</v>
      </c>
      <c r="K22">
        <v>3.0000000000000001E-3</v>
      </c>
      <c r="L22">
        <v>0</v>
      </c>
      <c r="M22" s="1">
        <v>15</v>
      </c>
      <c r="N22">
        <v>0</v>
      </c>
      <c r="O22">
        <v>0</v>
      </c>
      <c r="P22">
        <v>0</v>
      </c>
      <c r="Q22" s="1">
        <v>0</v>
      </c>
      <c r="R22">
        <v>3.0000000000000001E-3</v>
      </c>
      <c r="S22" s="2">
        <v>45994</v>
      </c>
      <c r="T22" s="2">
        <v>46199</v>
      </c>
      <c r="U22">
        <v>2500</v>
      </c>
      <c r="V22">
        <v>0</v>
      </c>
      <c r="W22">
        <v>0</v>
      </c>
      <c r="X22">
        <v>0</v>
      </c>
      <c r="Y22">
        <v>0</v>
      </c>
      <c r="Z22" s="8">
        <v>2500</v>
      </c>
      <c r="AA22">
        <v>625</v>
      </c>
      <c r="AB22">
        <v>0</v>
      </c>
      <c r="AC22">
        <v>4</v>
      </c>
      <c r="AD22" s="1">
        <v>0</v>
      </c>
      <c r="AE22" s="2">
        <v>46248</v>
      </c>
      <c r="AF22" s="2">
        <v>46256</v>
      </c>
      <c r="AG22" s="2">
        <v>46263</v>
      </c>
      <c r="AH22">
        <v>0</v>
      </c>
      <c r="AI22" s="3">
        <v>0</v>
      </c>
      <c r="AJ22" s="1" t="s">
        <v>1635</v>
      </c>
      <c r="AK22" s="2" t="s">
        <v>1635</v>
      </c>
      <c r="AL22" s="4" t="s">
        <v>1636</v>
      </c>
      <c r="AM22" s="5" t="s">
        <v>1636</v>
      </c>
      <c r="AN22" s="4">
        <v>0</v>
      </c>
      <c r="AO22" t="s">
        <v>1635</v>
      </c>
      <c r="AP22" s="4" t="s">
        <v>1636</v>
      </c>
      <c r="AQ22" t="s">
        <v>1619</v>
      </c>
      <c r="AR22" t="s">
        <v>1620</v>
      </c>
      <c r="AT22" s="16" t="str">
        <f>_xlfn.XLOOKUP(B22,'SWiSH Demand Forecast Sep-26'!D:D,'SWiSH Demand Forecast Sep-26'!G:G,"Not Exist")</f>
        <v>Not Exist</v>
      </c>
    </row>
    <row r="23" spans="1:46" x14ac:dyDescent="0.3">
      <c r="A23">
        <v>101400023</v>
      </c>
      <c r="B23" t="s">
        <v>1691</v>
      </c>
      <c r="C23" t="s">
        <v>10</v>
      </c>
      <c r="D23" t="s">
        <v>1629</v>
      </c>
      <c r="E23" t="s">
        <v>1692</v>
      </c>
      <c r="F23" t="s">
        <v>1644</v>
      </c>
      <c r="G23" t="s">
        <v>1624</v>
      </c>
      <c r="H23" t="s">
        <v>1693</v>
      </c>
      <c r="I23" t="s">
        <v>1634</v>
      </c>
      <c r="J23" t="s">
        <v>1694</v>
      </c>
      <c r="K23">
        <v>1.5833333199999999</v>
      </c>
      <c r="L23">
        <v>0</v>
      </c>
      <c r="M23" s="1">
        <v>3</v>
      </c>
      <c r="N23">
        <v>0</v>
      </c>
      <c r="O23">
        <v>0</v>
      </c>
      <c r="P23">
        <v>0</v>
      </c>
      <c r="Q23" s="1">
        <v>0</v>
      </c>
      <c r="R23">
        <v>9.5</v>
      </c>
      <c r="S23" s="2">
        <v>46096</v>
      </c>
      <c r="T23" s="2">
        <v>46235</v>
      </c>
      <c r="U23">
        <v>1</v>
      </c>
      <c r="V23">
        <v>3</v>
      </c>
      <c r="W23">
        <v>0</v>
      </c>
      <c r="X23">
        <v>0</v>
      </c>
      <c r="Y23">
        <v>0</v>
      </c>
      <c r="Z23" s="8">
        <v>3</v>
      </c>
      <c r="AA23">
        <v>1</v>
      </c>
      <c r="AB23">
        <v>0</v>
      </c>
      <c r="AC23">
        <v>3</v>
      </c>
      <c r="AD23" s="1">
        <v>0</v>
      </c>
      <c r="AE23" s="2">
        <v>46248</v>
      </c>
      <c r="AF23" s="2">
        <v>46256</v>
      </c>
      <c r="AG23" s="2">
        <v>46263</v>
      </c>
      <c r="AH23">
        <v>0</v>
      </c>
      <c r="AI23" s="3">
        <v>0</v>
      </c>
      <c r="AJ23" s="1" t="s">
        <v>1635</v>
      </c>
      <c r="AK23" s="2" t="s">
        <v>1635</v>
      </c>
      <c r="AL23" s="4" t="s">
        <v>1658</v>
      </c>
      <c r="AM23" s="5" t="s">
        <v>1658</v>
      </c>
      <c r="AN23" s="4">
        <v>0</v>
      </c>
      <c r="AO23" t="s">
        <v>1635</v>
      </c>
      <c r="AP23" s="4" t="s">
        <v>1658</v>
      </c>
      <c r="AQ23" t="s">
        <v>1619</v>
      </c>
      <c r="AR23" t="s">
        <v>1620</v>
      </c>
      <c r="AT23" s="16" t="str">
        <f>_xlfn.XLOOKUP(B23,'SWiSH Demand Forecast Sep-26'!D:D,'SWiSH Demand Forecast Sep-26'!G:G,"Not Exist")</f>
        <v>Not Exist</v>
      </c>
    </row>
    <row r="24" spans="1:46" x14ac:dyDescent="0.3">
      <c r="A24">
        <v>101400049</v>
      </c>
      <c r="B24" t="s">
        <v>1695</v>
      </c>
      <c r="C24" t="s">
        <v>240</v>
      </c>
      <c r="D24" t="s">
        <v>1629</v>
      </c>
      <c r="E24" t="s">
        <v>1696</v>
      </c>
      <c r="F24" t="s">
        <v>1644</v>
      </c>
      <c r="G24" t="s">
        <v>1616</v>
      </c>
      <c r="H24" t="s">
        <v>1693</v>
      </c>
      <c r="I24" t="s">
        <v>1634</v>
      </c>
      <c r="J24" t="s">
        <v>1697</v>
      </c>
      <c r="K24">
        <v>1.75</v>
      </c>
      <c r="L24">
        <v>0</v>
      </c>
      <c r="M24" s="1">
        <v>3</v>
      </c>
      <c r="N24">
        <v>0</v>
      </c>
      <c r="O24">
        <v>0</v>
      </c>
      <c r="P24">
        <v>0</v>
      </c>
      <c r="Q24" s="1">
        <v>0</v>
      </c>
      <c r="R24">
        <v>14</v>
      </c>
      <c r="S24" s="2">
        <v>46175</v>
      </c>
      <c r="T24" s="2">
        <v>46252</v>
      </c>
      <c r="U24">
        <v>1510</v>
      </c>
      <c r="V24">
        <v>1585</v>
      </c>
      <c r="W24">
        <v>105</v>
      </c>
      <c r="X24">
        <v>0</v>
      </c>
      <c r="Y24">
        <v>0</v>
      </c>
      <c r="Z24" s="8">
        <v>1585</v>
      </c>
      <c r="AA24">
        <v>800</v>
      </c>
      <c r="AB24">
        <v>0</v>
      </c>
      <c r="AC24">
        <v>1.98125</v>
      </c>
      <c r="AD24" s="1">
        <v>0</v>
      </c>
      <c r="AE24" s="2">
        <v>46248</v>
      </c>
      <c r="AF24" s="2">
        <v>46256</v>
      </c>
      <c r="AG24" s="2">
        <v>46263</v>
      </c>
      <c r="AH24">
        <v>0</v>
      </c>
      <c r="AI24" s="3">
        <v>0</v>
      </c>
      <c r="AJ24" s="1" t="s">
        <v>1635</v>
      </c>
      <c r="AK24" s="2" t="s">
        <v>1635</v>
      </c>
      <c r="AL24" s="4" t="s">
        <v>1636</v>
      </c>
      <c r="AM24" s="5" t="s">
        <v>1636</v>
      </c>
      <c r="AN24" s="4">
        <v>0</v>
      </c>
      <c r="AO24" t="s">
        <v>1635</v>
      </c>
      <c r="AP24" s="4" t="s">
        <v>1636</v>
      </c>
      <c r="AQ24" t="s">
        <v>1619</v>
      </c>
      <c r="AR24" t="s">
        <v>1620</v>
      </c>
      <c r="AT24" s="16" t="str">
        <f>_xlfn.XLOOKUP(B24,'SWiSH Demand Forecast Sep-26'!D:D,'SWiSH Demand Forecast Sep-26'!G:G,"Not Exist")</f>
        <v>Not Exist</v>
      </c>
    </row>
    <row r="25" spans="1:46" x14ac:dyDescent="0.3">
      <c r="A25">
        <v>106800054</v>
      </c>
      <c r="B25" t="s">
        <v>1698</v>
      </c>
      <c r="C25" t="s">
        <v>10</v>
      </c>
      <c r="D25" t="s">
        <v>1699</v>
      </c>
      <c r="E25" t="s">
        <v>1685</v>
      </c>
      <c r="F25" t="s">
        <v>1664</v>
      </c>
      <c r="G25" t="s">
        <v>1616</v>
      </c>
      <c r="H25" t="s">
        <v>1665</v>
      </c>
      <c r="I25" t="s">
        <v>1634</v>
      </c>
      <c r="J25" t="s">
        <v>10</v>
      </c>
      <c r="K25">
        <v>0.05</v>
      </c>
      <c r="L25">
        <v>0</v>
      </c>
      <c r="M25" s="1">
        <v>7</v>
      </c>
      <c r="N25">
        <v>0</v>
      </c>
      <c r="O25">
        <v>0</v>
      </c>
      <c r="P25">
        <v>0</v>
      </c>
      <c r="Q25" s="1">
        <v>0</v>
      </c>
      <c r="R25">
        <v>0.05</v>
      </c>
      <c r="S25" s="2">
        <v>46088</v>
      </c>
      <c r="T25" s="2">
        <v>46111</v>
      </c>
      <c r="U25">
        <v>1000</v>
      </c>
      <c r="V25">
        <v>0</v>
      </c>
      <c r="W25">
        <v>0</v>
      </c>
      <c r="X25">
        <v>0</v>
      </c>
      <c r="Y25">
        <v>0</v>
      </c>
      <c r="Z25" s="8">
        <v>1000</v>
      </c>
      <c r="AA25">
        <v>250</v>
      </c>
      <c r="AB25">
        <v>0</v>
      </c>
      <c r="AC25">
        <v>4</v>
      </c>
      <c r="AD25" s="1">
        <v>0</v>
      </c>
      <c r="AE25" s="2">
        <v>46248</v>
      </c>
      <c r="AF25" s="2">
        <v>46256</v>
      </c>
      <c r="AG25" s="2">
        <v>46263</v>
      </c>
      <c r="AH25">
        <v>0</v>
      </c>
      <c r="AI25" s="3">
        <v>0</v>
      </c>
      <c r="AJ25" s="1" t="s">
        <v>1635</v>
      </c>
      <c r="AK25" s="2" t="s">
        <v>1635</v>
      </c>
      <c r="AL25" s="4" t="s">
        <v>1658</v>
      </c>
      <c r="AM25" s="5" t="s">
        <v>1658</v>
      </c>
      <c r="AN25" s="4">
        <v>0</v>
      </c>
      <c r="AO25" t="s">
        <v>1635</v>
      </c>
      <c r="AP25" s="4" t="s">
        <v>1658</v>
      </c>
      <c r="AQ25" t="s">
        <v>1619</v>
      </c>
      <c r="AR25" t="s">
        <v>1620</v>
      </c>
      <c r="AT25" s="16" t="str">
        <f>_xlfn.XLOOKUP(B25,'SWiSH Demand Forecast Sep-26'!D:D,'SWiSH Demand Forecast Sep-26'!G:G,"Not Exist")</f>
        <v>Not Exist</v>
      </c>
    </row>
    <row r="26" spans="1:46" x14ac:dyDescent="0.3">
      <c r="A26">
        <v>107200035</v>
      </c>
      <c r="B26" t="s">
        <v>1700</v>
      </c>
      <c r="C26" t="s">
        <v>10</v>
      </c>
      <c r="D26" t="s">
        <v>1613</v>
      </c>
      <c r="E26" t="s">
        <v>1701</v>
      </c>
      <c r="F26" t="s">
        <v>1656</v>
      </c>
      <c r="G26" t="s">
        <v>1624</v>
      </c>
      <c r="H26" t="s">
        <v>1657</v>
      </c>
      <c r="I26" t="s">
        <v>1634</v>
      </c>
      <c r="J26" t="s">
        <v>10</v>
      </c>
      <c r="K26">
        <v>6</v>
      </c>
      <c r="L26">
        <v>0</v>
      </c>
      <c r="M26" s="1">
        <v>15</v>
      </c>
      <c r="N26">
        <v>0</v>
      </c>
      <c r="O26">
        <v>0</v>
      </c>
      <c r="P26">
        <v>0</v>
      </c>
      <c r="Q26" s="1">
        <v>0</v>
      </c>
      <c r="R26">
        <v>6</v>
      </c>
      <c r="S26" s="2">
        <v>46222</v>
      </c>
      <c r="T26" s="2">
        <v>46225</v>
      </c>
      <c r="U26">
        <v>0</v>
      </c>
      <c r="V26">
        <v>0</v>
      </c>
      <c r="W26">
        <v>30</v>
      </c>
      <c r="X26">
        <v>12</v>
      </c>
      <c r="Y26">
        <v>0</v>
      </c>
      <c r="Z26" s="8">
        <v>30</v>
      </c>
      <c r="AA26">
        <v>10.5</v>
      </c>
      <c r="AB26">
        <v>0</v>
      </c>
      <c r="AC26">
        <v>2.8571428571428572</v>
      </c>
      <c r="AD26" s="1">
        <v>0</v>
      </c>
      <c r="AE26" s="2">
        <v>46248</v>
      </c>
      <c r="AF26" s="2">
        <v>46256</v>
      </c>
      <c r="AG26" s="2">
        <v>46263</v>
      </c>
      <c r="AH26">
        <v>0</v>
      </c>
      <c r="AI26" s="3">
        <v>0</v>
      </c>
      <c r="AJ26" s="1" t="s">
        <v>1635</v>
      </c>
      <c r="AK26" s="2" t="s">
        <v>1635</v>
      </c>
      <c r="AL26" s="4" t="s">
        <v>1658</v>
      </c>
      <c r="AM26" s="5" t="s">
        <v>1658</v>
      </c>
      <c r="AN26" s="4">
        <v>0</v>
      </c>
      <c r="AO26" t="s">
        <v>1635</v>
      </c>
      <c r="AP26" s="4" t="s">
        <v>1658</v>
      </c>
      <c r="AQ26">
        <v>16</v>
      </c>
      <c r="AR26" t="s">
        <v>1702</v>
      </c>
      <c r="AT26" s="16" t="str">
        <f>_xlfn.XLOOKUP(B26,'SWiSH Demand Forecast Sep-26'!D:D,'SWiSH Demand Forecast Sep-26'!G:G,"Not Exist")</f>
        <v>Not Exist</v>
      </c>
    </row>
    <row r="27" spans="1:46" x14ac:dyDescent="0.3">
      <c r="A27">
        <v>107200020</v>
      </c>
      <c r="B27" t="s">
        <v>1703</v>
      </c>
      <c r="C27" t="s">
        <v>10</v>
      </c>
      <c r="D27" t="s">
        <v>1675</v>
      </c>
      <c r="E27" t="s">
        <v>1638</v>
      </c>
      <c r="F27" t="s">
        <v>1656</v>
      </c>
      <c r="G27" t="s">
        <v>1704</v>
      </c>
      <c r="H27" t="s">
        <v>1657</v>
      </c>
      <c r="I27" t="s">
        <v>1634</v>
      </c>
      <c r="J27" t="s">
        <v>10</v>
      </c>
      <c r="K27">
        <v>4.75</v>
      </c>
      <c r="L27">
        <v>0</v>
      </c>
      <c r="M27" s="1">
        <v>15</v>
      </c>
      <c r="N27">
        <v>0</v>
      </c>
      <c r="O27">
        <v>0</v>
      </c>
      <c r="P27">
        <v>0</v>
      </c>
      <c r="Q27" s="1">
        <v>0</v>
      </c>
      <c r="R27">
        <v>4.75</v>
      </c>
      <c r="S27" s="2">
        <v>46186</v>
      </c>
      <c r="T27" s="2">
        <v>46187</v>
      </c>
      <c r="U27">
        <v>9</v>
      </c>
      <c r="V27">
        <v>0</v>
      </c>
      <c r="W27">
        <v>3</v>
      </c>
      <c r="X27">
        <v>0</v>
      </c>
      <c r="Y27">
        <v>0</v>
      </c>
      <c r="Z27" s="8">
        <v>9</v>
      </c>
      <c r="AA27">
        <v>3</v>
      </c>
      <c r="AB27">
        <v>0</v>
      </c>
      <c r="AC27">
        <v>3</v>
      </c>
      <c r="AD27" s="1">
        <v>0</v>
      </c>
      <c r="AE27" s="2">
        <v>46248</v>
      </c>
      <c r="AF27" s="2">
        <v>46256</v>
      </c>
      <c r="AG27" s="2">
        <v>46263</v>
      </c>
      <c r="AH27">
        <v>0</v>
      </c>
      <c r="AI27" s="3">
        <v>0</v>
      </c>
      <c r="AJ27" s="1" t="s">
        <v>1635</v>
      </c>
      <c r="AK27" s="2" t="s">
        <v>1635</v>
      </c>
      <c r="AL27" s="4" t="s">
        <v>1658</v>
      </c>
      <c r="AM27" s="5" t="s">
        <v>1658</v>
      </c>
      <c r="AN27" s="4">
        <v>0</v>
      </c>
      <c r="AO27" t="s">
        <v>1635</v>
      </c>
      <c r="AP27" s="4" t="s">
        <v>1658</v>
      </c>
      <c r="AQ27" t="s">
        <v>1619</v>
      </c>
      <c r="AR27" t="s">
        <v>1620</v>
      </c>
      <c r="AT27" s="16" t="str">
        <f>_xlfn.XLOOKUP(B27,'SWiSH Demand Forecast Sep-26'!D:D,'SWiSH Demand Forecast Sep-26'!G:G,"Not Exist")</f>
        <v>Not Exist</v>
      </c>
    </row>
    <row r="28" spans="1:46" x14ac:dyDescent="0.3">
      <c r="A28">
        <v>105600029</v>
      </c>
      <c r="B28" t="s">
        <v>1705</v>
      </c>
      <c r="C28" t="s">
        <v>136</v>
      </c>
      <c r="D28" t="s">
        <v>1629</v>
      </c>
      <c r="E28" t="s">
        <v>1663</v>
      </c>
      <c r="F28" t="s">
        <v>1664</v>
      </c>
      <c r="G28" t="s">
        <v>1624</v>
      </c>
      <c r="H28" t="s">
        <v>1679</v>
      </c>
      <c r="I28" t="s">
        <v>1634</v>
      </c>
      <c r="J28" t="s">
        <v>136</v>
      </c>
      <c r="K28">
        <v>0.45003591999999998</v>
      </c>
      <c r="L28">
        <v>0</v>
      </c>
      <c r="M28" s="1">
        <v>30</v>
      </c>
      <c r="N28">
        <v>0</v>
      </c>
      <c r="O28">
        <v>0</v>
      </c>
      <c r="P28">
        <v>0</v>
      </c>
      <c r="Q28" s="1">
        <v>0</v>
      </c>
      <c r="R28">
        <v>0.45</v>
      </c>
      <c r="S28" s="2">
        <v>46095</v>
      </c>
      <c r="T28" s="2">
        <v>46195</v>
      </c>
      <c r="U28">
        <v>220</v>
      </c>
      <c r="V28">
        <v>480</v>
      </c>
      <c r="W28">
        <v>100</v>
      </c>
      <c r="X28">
        <v>0</v>
      </c>
      <c r="Y28">
        <v>0</v>
      </c>
      <c r="Z28" s="8">
        <v>480</v>
      </c>
      <c r="AA28">
        <v>200</v>
      </c>
      <c r="AB28">
        <v>0</v>
      </c>
      <c r="AC28">
        <v>2.4</v>
      </c>
      <c r="AD28" s="1">
        <v>0</v>
      </c>
      <c r="AE28" s="2">
        <v>46248</v>
      </c>
      <c r="AF28" s="2">
        <v>46256</v>
      </c>
      <c r="AG28" s="2">
        <v>46263</v>
      </c>
      <c r="AH28">
        <v>0</v>
      </c>
      <c r="AI28" s="3">
        <v>0</v>
      </c>
      <c r="AJ28" s="1" t="s">
        <v>1635</v>
      </c>
      <c r="AK28" s="2" t="s">
        <v>1635</v>
      </c>
      <c r="AL28" s="4" t="s">
        <v>1636</v>
      </c>
      <c r="AM28" s="5" t="s">
        <v>1636</v>
      </c>
      <c r="AN28" s="4">
        <v>0</v>
      </c>
      <c r="AO28" t="s">
        <v>1635</v>
      </c>
      <c r="AP28" s="4" t="s">
        <v>1636</v>
      </c>
      <c r="AQ28" t="s">
        <v>1619</v>
      </c>
      <c r="AR28" t="s">
        <v>1620</v>
      </c>
      <c r="AT28" s="16" t="str">
        <f>_xlfn.XLOOKUP(B28,'SWiSH Demand Forecast Sep-26'!D:D,'SWiSH Demand Forecast Sep-26'!G:G,"Not Exist")</f>
        <v>Not Exist</v>
      </c>
    </row>
    <row r="29" spans="1:46" x14ac:dyDescent="0.3">
      <c r="A29">
        <v>107200127</v>
      </c>
      <c r="B29" t="s">
        <v>1706</v>
      </c>
      <c r="C29" t="s">
        <v>10</v>
      </c>
      <c r="D29" t="s">
        <v>1675</v>
      </c>
      <c r="E29" t="s">
        <v>1707</v>
      </c>
      <c r="F29" t="s">
        <v>1656</v>
      </c>
      <c r="G29" t="s">
        <v>1632</v>
      </c>
      <c r="H29" t="s">
        <v>1657</v>
      </c>
      <c r="I29" t="s">
        <v>1634</v>
      </c>
      <c r="J29" t="s">
        <v>10</v>
      </c>
      <c r="K29">
        <v>3.25</v>
      </c>
      <c r="L29">
        <v>0</v>
      </c>
      <c r="M29" s="1">
        <v>15</v>
      </c>
      <c r="N29">
        <v>0</v>
      </c>
      <c r="O29">
        <v>0</v>
      </c>
      <c r="P29">
        <v>0</v>
      </c>
      <c r="Q29" s="1">
        <v>0</v>
      </c>
      <c r="R29">
        <v>3.25</v>
      </c>
      <c r="S29" s="2">
        <v>46261</v>
      </c>
      <c r="T29" s="2">
        <v>46261</v>
      </c>
      <c r="U29">
        <v>6</v>
      </c>
      <c r="V29">
        <v>0</v>
      </c>
      <c r="W29">
        <v>0</v>
      </c>
      <c r="X29">
        <v>9</v>
      </c>
      <c r="Y29">
        <v>0</v>
      </c>
      <c r="Z29" s="8">
        <v>9</v>
      </c>
      <c r="AA29">
        <v>3.75</v>
      </c>
      <c r="AB29">
        <v>0</v>
      </c>
      <c r="AC29">
        <v>2.4</v>
      </c>
      <c r="AD29" s="1">
        <v>0</v>
      </c>
      <c r="AE29" s="2">
        <v>46248</v>
      </c>
      <c r="AF29" s="2">
        <v>46256</v>
      </c>
      <c r="AG29" s="2">
        <v>46263</v>
      </c>
      <c r="AH29">
        <v>6</v>
      </c>
      <c r="AI29" s="3">
        <v>0.68965517241379315</v>
      </c>
      <c r="AJ29" s="1">
        <v>0</v>
      </c>
      <c r="AK29" s="2">
        <v>46263</v>
      </c>
      <c r="AL29" s="4" t="s">
        <v>1658</v>
      </c>
      <c r="AM29" s="5" t="s">
        <v>1658</v>
      </c>
      <c r="AN29" s="4">
        <v>0</v>
      </c>
      <c r="AO29" t="s">
        <v>1635</v>
      </c>
      <c r="AP29" s="4" t="s">
        <v>1658</v>
      </c>
      <c r="AQ29" t="s">
        <v>1619</v>
      </c>
      <c r="AR29" t="s">
        <v>1620</v>
      </c>
      <c r="AT29" s="16" t="str">
        <f>_xlfn.XLOOKUP(B29,'SWiSH Demand Forecast Sep-26'!D:D,'SWiSH Demand Forecast Sep-26'!G:G,"Not Exist")</f>
        <v>Not Exist</v>
      </c>
    </row>
    <row r="30" spans="1:46" x14ac:dyDescent="0.3">
      <c r="A30">
        <v>107200154</v>
      </c>
      <c r="B30" t="s">
        <v>1708</v>
      </c>
      <c r="C30" t="s">
        <v>10</v>
      </c>
      <c r="D30" t="s">
        <v>1675</v>
      </c>
      <c r="E30" t="s">
        <v>1638</v>
      </c>
      <c r="F30" t="s">
        <v>1656</v>
      </c>
      <c r="G30" t="s">
        <v>1690</v>
      </c>
      <c r="H30" t="s">
        <v>1657</v>
      </c>
      <c r="I30" t="s">
        <v>1634</v>
      </c>
      <c r="J30" t="s">
        <v>10</v>
      </c>
      <c r="K30">
        <v>3.25</v>
      </c>
      <c r="L30">
        <v>0</v>
      </c>
      <c r="M30" s="1">
        <v>7</v>
      </c>
      <c r="N30">
        <v>0</v>
      </c>
      <c r="O30">
        <v>0</v>
      </c>
      <c r="P30">
        <v>0</v>
      </c>
      <c r="Q30" s="1">
        <v>0</v>
      </c>
      <c r="R30">
        <v>3.25</v>
      </c>
      <c r="S30" s="2">
        <v>46127</v>
      </c>
      <c r="T30" s="2">
        <v>46135</v>
      </c>
      <c r="U30">
        <v>9</v>
      </c>
      <c r="V30">
        <v>0</v>
      </c>
      <c r="W30">
        <v>0</v>
      </c>
      <c r="X30">
        <v>0</v>
      </c>
      <c r="Y30">
        <v>0</v>
      </c>
      <c r="Z30" s="8">
        <v>9</v>
      </c>
      <c r="AA30">
        <v>2.25</v>
      </c>
      <c r="AB30">
        <v>0</v>
      </c>
      <c r="AC30">
        <v>4</v>
      </c>
      <c r="AD30" s="1">
        <v>0</v>
      </c>
      <c r="AE30" s="2">
        <v>46248</v>
      </c>
      <c r="AF30" s="2">
        <v>46256</v>
      </c>
      <c r="AG30" s="2">
        <v>46263</v>
      </c>
      <c r="AH30">
        <v>0</v>
      </c>
      <c r="AI30" s="3">
        <v>0</v>
      </c>
      <c r="AJ30" s="1" t="s">
        <v>1635</v>
      </c>
      <c r="AK30" s="2" t="s">
        <v>1635</v>
      </c>
      <c r="AL30" s="4" t="s">
        <v>1658</v>
      </c>
      <c r="AM30" s="5" t="s">
        <v>1658</v>
      </c>
      <c r="AN30" s="4">
        <v>0</v>
      </c>
      <c r="AO30" t="s">
        <v>1635</v>
      </c>
      <c r="AP30" s="4" t="s">
        <v>1658</v>
      </c>
      <c r="AQ30" t="s">
        <v>1619</v>
      </c>
      <c r="AR30" t="s">
        <v>1620</v>
      </c>
      <c r="AS30" t="s">
        <v>1666</v>
      </c>
      <c r="AT30" s="16" t="str">
        <f>_xlfn.XLOOKUP(B30,'SWiSH Demand Forecast Sep-26'!D:D,'SWiSH Demand Forecast Sep-26'!G:G,"Not Exist")</f>
        <v>Not Exist</v>
      </c>
    </row>
    <row r="31" spans="1:46" x14ac:dyDescent="0.3">
      <c r="A31">
        <v>107200184</v>
      </c>
      <c r="B31" t="s">
        <v>1709</v>
      </c>
      <c r="C31" t="s">
        <v>10</v>
      </c>
      <c r="D31" t="s">
        <v>1613</v>
      </c>
      <c r="E31" t="s">
        <v>1663</v>
      </c>
      <c r="F31" t="s">
        <v>1656</v>
      </c>
      <c r="G31" t="s">
        <v>1624</v>
      </c>
      <c r="H31" t="s">
        <v>1657</v>
      </c>
      <c r="I31" t="s">
        <v>1634</v>
      </c>
      <c r="J31" t="s">
        <v>10</v>
      </c>
      <c r="K31">
        <v>4.25</v>
      </c>
      <c r="L31">
        <v>0</v>
      </c>
      <c r="M31" s="1">
        <v>7</v>
      </c>
      <c r="N31">
        <v>0</v>
      </c>
      <c r="O31">
        <v>0</v>
      </c>
      <c r="P31">
        <v>0</v>
      </c>
      <c r="Q31" s="1">
        <v>0</v>
      </c>
      <c r="R31">
        <v>4.25</v>
      </c>
      <c r="S31" s="2">
        <v>46092</v>
      </c>
      <c r="T31" s="2">
        <v>46117</v>
      </c>
      <c r="U31">
        <v>12</v>
      </c>
      <c r="V31">
        <v>0</v>
      </c>
      <c r="W31">
        <v>0</v>
      </c>
      <c r="X31">
        <v>0</v>
      </c>
      <c r="Y31">
        <v>0</v>
      </c>
      <c r="Z31" s="8">
        <v>12</v>
      </c>
      <c r="AA31">
        <v>3</v>
      </c>
      <c r="AB31">
        <v>0</v>
      </c>
      <c r="AC31">
        <v>4</v>
      </c>
      <c r="AD31" s="1">
        <v>0</v>
      </c>
      <c r="AE31" s="2">
        <v>46248</v>
      </c>
      <c r="AF31" s="2">
        <v>46256</v>
      </c>
      <c r="AG31" s="2">
        <v>46263</v>
      </c>
      <c r="AH31">
        <v>0</v>
      </c>
      <c r="AI31" s="3">
        <v>0</v>
      </c>
      <c r="AJ31" s="1" t="s">
        <v>1635</v>
      </c>
      <c r="AK31" s="2" t="s">
        <v>1635</v>
      </c>
      <c r="AL31" s="4" t="s">
        <v>1658</v>
      </c>
      <c r="AM31" s="5" t="s">
        <v>1658</v>
      </c>
      <c r="AN31" s="4">
        <v>0</v>
      </c>
      <c r="AO31" t="s">
        <v>1635</v>
      </c>
      <c r="AP31" s="4" t="s">
        <v>1658</v>
      </c>
      <c r="AQ31" t="s">
        <v>1619</v>
      </c>
      <c r="AR31" t="s">
        <v>1620</v>
      </c>
      <c r="AS31" t="s">
        <v>1666</v>
      </c>
      <c r="AT31" s="16" t="str">
        <f>_xlfn.XLOOKUP(B31,'SWiSH Demand Forecast Sep-26'!D:D,'SWiSH Demand Forecast Sep-26'!G:G,"Not Exist")</f>
        <v>Not Exist</v>
      </c>
    </row>
    <row r="32" spans="1:46" x14ac:dyDescent="0.3">
      <c r="A32">
        <v>106800052</v>
      </c>
      <c r="B32" t="s">
        <v>1710</v>
      </c>
      <c r="C32" t="s">
        <v>10</v>
      </c>
      <c r="D32" t="s">
        <v>1699</v>
      </c>
      <c r="E32" t="s">
        <v>1685</v>
      </c>
      <c r="F32" t="s">
        <v>1664</v>
      </c>
      <c r="G32" t="s">
        <v>1616</v>
      </c>
      <c r="H32" t="s">
        <v>1665</v>
      </c>
      <c r="I32" t="s">
        <v>1634</v>
      </c>
      <c r="J32" t="s">
        <v>10</v>
      </c>
      <c r="K32">
        <v>0.05</v>
      </c>
      <c r="L32">
        <v>0</v>
      </c>
      <c r="M32" s="1">
        <v>7</v>
      </c>
      <c r="N32">
        <v>0</v>
      </c>
      <c r="O32">
        <v>0</v>
      </c>
      <c r="P32">
        <v>0</v>
      </c>
      <c r="Q32" s="1">
        <v>0</v>
      </c>
      <c r="R32">
        <v>0.05</v>
      </c>
      <c r="S32" s="2">
        <v>46088</v>
      </c>
      <c r="T32" s="2">
        <v>46111</v>
      </c>
      <c r="U32">
        <v>1000</v>
      </c>
      <c r="V32">
        <v>0</v>
      </c>
      <c r="W32">
        <v>0</v>
      </c>
      <c r="X32">
        <v>0</v>
      </c>
      <c r="Y32">
        <v>0</v>
      </c>
      <c r="Z32" s="8">
        <v>1000</v>
      </c>
      <c r="AA32">
        <v>250</v>
      </c>
      <c r="AB32">
        <v>0</v>
      </c>
      <c r="AC32">
        <v>4</v>
      </c>
      <c r="AD32" s="1">
        <v>0</v>
      </c>
      <c r="AE32" s="2">
        <v>46248</v>
      </c>
      <c r="AF32" s="2">
        <v>46256</v>
      </c>
      <c r="AG32" s="2">
        <v>46263</v>
      </c>
      <c r="AH32">
        <v>0</v>
      </c>
      <c r="AI32" s="3">
        <v>0</v>
      </c>
      <c r="AJ32" s="1" t="s">
        <v>1635</v>
      </c>
      <c r="AK32" s="2" t="s">
        <v>1635</v>
      </c>
      <c r="AL32" s="4" t="s">
        <v>1658</v>
      </c>
      <c r="AM32" s="5" t="s">
        <v>1658</v>
      </c>
      <c r="AN32" s="4">
        <v>0</v>
      </c>
      <c r="AO32" t="s">
        <v>1635</v>
      </c>
      <c r="AP32" s="4" t="s">
        <v>1658</v>
      </c>
      <c r="AQ32" t="s">
        <v>1619</v>
      </c>
      <c r="AR32" t="s">
        <v>1620</v>
      </c>
      <c r="AT32" s="16" t="str">
        <f>_xlfn.XLOOKUP(B32,'SWiSH Demand Forecast Sep-26'!D:D,'SWiSH Demand Forecast Sep-26'!G:G,"Not Exist")</f>
        <v>Not Exist</v>
      </c>
    </row>
    <row r="33" spans="1:46" x14ac:dyDescent="0.3">
      <c r="A33">
        <v>107200072</v>
      </c>
      <c r="B33" t="s">
        <v>1711</v>
      </c>
      <c r="C33" t="s">
        <v>10</v>
      </c>
      <c r="D33" t="s">
        <v>1613</v>
      </c>
      <c r="E33" t="s">
        <v>1683</v>
      </c>
      <c r="F33" t="s">
        <v>1656</v>
      </c>
      <c r="G33" t="s">
        <v>1624</v>
      </c>
      <c r="H33" t="s">
        <v>1657</v>
      </c>
      <c r="I33" t="s">
        <v>1634</v>
      </c>
      <c r="J33" t="s">
        <v>10</v>
      </c>
      <c r="K33">
        <v>4</v>
      </c>
      <c r="L33">
        <v>0</v>
      </c>
      <c r="M33" s="1">
        <v>15</v>
      </c>
      <c r="N33">
        <v>0</v>
      </c>
      <c r="O33">
        <v>0</v>
      </c>
      <c r="P33">
        <v>0</v>
      </c>
      <c r="Q33" s="1">
        <v>0</v>
      </c>
      <c r="R33">
        <v>4</v>
      </c>
      <c r="S33" s="2">
        <v>46127</v>
      </c>
      <c r="T33" s="2">
        <v>46175</v>
      </c>
      <c r="U33">
        <v>2</v>
      </c>
      <c r="V33">
        <v>0</v>
      </c>
      <c r="W33">
        <v>0</v>
      </c>
      <c r="X33">
        <v>0</v>
      </c>
      <c r="Y33">
        <v>0</v>
      </c>
      <c r="Z33" s="8">
        <v>2</v>
      </c>
      <c r="AA33">
        <v>0.5</v>
      </c>
      <c r="AB33">
        <v>0</v>
      </c>
      <c r="AC33">
        <v>4</v>
      </c>
      <c r="AD33" s="1">
        <v>0</v>
      </c>
      <c r="AE33" s="2">
        <v>46248</v>
      </c>
      <c r="AF33" s="2">
        <v>46256</v>
      </c>
      <c r="AG33" s="2">
        <v>46263</v>
      </c>
      <c r="AH33">
        <v>0</v>
      </c>
      <c r="AI33" s="3">
        <v>0</v>
      </c>
      <c r="AJ33" s="1" t="s">
        <v>1635</v>
      </c>
      <c r="AK33" s="2" t="s">
        <v>1635</v>
      </c>
      <c r="AL33" s="4" t="s">
        <v>1658</v>
      </c>
      <c r="AM33" s="5" t="s">
        <v>1658</v>
      </c>
      <c r="AN33" s="4">
        <v>0</v>
      </c>
      <c r="AO33" t="s">
        <v>1635</v>
      </c>
      <c r="AP33" s="4" t="s">
        <v>1658</v>
      </c>
      <c r="AQ33" t="s">
        <v>1619</v>
      </c>
      <c r="AR33" t="s">
        <v>1620</v>
      </c>
      <c r="AT33" s="16" t="str">
        <f>_xlfn.XLOOKUP(B33,'SWiSH Demand Forecast Sep-26'!D:D,'SWiSH Demand Forecast Sep-26'!G:G,"Not Exist")</f>
        <v>Not Exist</v>
      </c>
    </row>
    <row r="34" spans="1:46" x14ac:dyDescent="0.3">
      <c r="A34">
        <v>106800056</v>
      </c>
      <c r="B34" t="s">
        <v>1712</v>
      </c>
      <c r="C34" t="s">
        <v>10</v>
      </c>
      <c r="D34" t="s">
        <v>1699</v>
      </c>
      <c r="E34" t="s">
        <v>1685</v>
      </c>
      <c r="F34" t="s">
        <v>1664</v>
      </c>
      <c r="G34" t="s">
        <v>1616</v>
      </c>
      <c r="H34" t="s">
        <v>1665</v>
      </c>
      <c r="I34" t="s">
        <v>1634</v>
      </c>
      <c r="J34" t="s">
        <v>10</v>
      </c>
      <c r="K34">
        <v>0.05</v>
      </c>
      <c r="L34">
        <v>0</v>
      </c>
      <c r="M34" s="1">
        <v>7</v>
      </c>
      <c r="N34">
        <v>0</v>
      </c>
      <c r="O34">
        <v>0</v>
      </c>
      <c r="P34">
        <v>0</v>
      </c>
      <c r="Q34" s="1">
        <v>0</v>
      </c>
      <c r="R34">
        <v>0.05</v>
      </c>
      <c r="S34" s="2">
        <v>46088</v>
      </c>
      <c r="T34" s="2">
        <v>46111</v>
      </c>
      <c r="U34">
        <v>1000</v>
      </c>
      <c r="V34">
        <v>0</v>
      </c>
      <c r="W34">
        <v>0</v>
      </c>
      <c r="X34">
        <v>0</v>
      </c>
      <c r="Y34">
        <v>0</v>
      </c>
      <c r="Z34" s="8">
        <v>1000</v>
      </c>
      <c r="AA34">
        <v>250</v>
      </c>
      <c r="AB34">
        <v>0</v>
      </c>
      <c r="AC34">
        <v>4</v>
      </c>
      <c r="AD34" s="1">
        <v>0</v>
      </c>
      <c r="AE34" s="2">
        <v>46248</v>
      </c>
      <c r="AF34" s="2">
        <v>46256</v>
      </c>
      <c r="AG34" s="2">
        <v>46263</v>
      </c>
      <c r="AH34">
        <v>0</v>
      </c>
      <c r="AI34" s="3">
        <v>0</v>
      </c>
      <c r="AJ34" s="1" t="s">
        <v>1635</v>
      </c>
      <c r="AK34" s="2" t="s">
        <v>1635</v>
      </c>
      <c r="AL34" s="4" t="s">
        <v>1658</v>
      </c>
      <c r="AM34" s="5" t="s">
        <v>1658</v>
      </c>
      <c r="AN34" s="4">
        <v>0</v>
      </c>
      <c r="AO34" t="s">
        <v>1635</v>
      </c>
      <c r="AP34" s="4" t="s">
        <v>1658</v>
      </c>
      <c r="AQ34" t="s">
        <v>1619</v>
      </c>
      <c r="AR34" t="s">
        <v>1620</v>
      </c>
      <c r="AT34" s="16" t="str">
        <f>_xlfn.XLOOKUP(B34,'SWiSH Demand Forecast Sep-26'!D:D,'SWiSH Demand Forecast Sep-26'!G:G,"Not Exist")</f>
        <v>Not Exist</v>
      </c>
    </row>
    <row r="35" spans="1:46" x14ac:dyDescent="0.3">
      <c r="A35">
        <v>106800055</v>
      </c>
      <c r="B35" t="s">
        <v>1713</v>
      </c>
      <c r="C35" t="s">
        <v>10</v>
      </c>
      <c r="D35" t="s">
        <v>1699</v>
      </c>
      <c r="E35" t="s">
        <v>1685</v>
      </c>
      <c r="F35" t="s">
        <v>1664</v>
      </c>
      <c r="G35" t="s">
        <v>1616</v>
      </c>
      <c r="H35" t="s">
        <v>1665</v>
      </c>
      <c r="I35" t="s">
        <v>1634</v>
      </c>
      <c r="J35" t="s">
        <v>10</v>
      </c>
      <c r="K35">
        <v>0.13</v>
      </c>
      <c r="L35">
        <v>0</v>
      </c>
      <c r="M35" s="1">
        <v>7</v>
      </c>
      <c r="N35">
        <v>0</v>
      </c>
      <c r="O35">
        <v>0</v>
      </c>
      <c r="P35">
        <v>0</v>
      </c>
      <c r="Q35" s="1">
        <v>0</v>
      </c>
      <c r="R35">
        <v>0.13</v>
      </c>
      <c r="S35" s="2">
        <v>46088</v>
      </c>
      <c r="T35" s="2">
        <v>46111</v>
      </c>
      <c r="U35">
        <v>1000</v>
      </c>
      <c r="V35">
        <v>0</v>
      </c>
      <c r="W35">
        <v>0</v>
      </c>
      <c r="X35">
        <v>0</v>
      </c>
      <c r="Y35">
        <v>0</v>
      </c>
      <c r="Z35" s="8">
        <v>1000</v>
      </c>
      <c r="AA35">
        <v>250</v>
      </c>
      <c r="AB35">
        <v>0</v>
      </c>
      <c r="AC35">
        <v>4</v>
      </c>
      <c r="AD35" s="1">
        <v>0</v>
      </c>
      <c r="AE35" s="2">
        <v>46248</v>
      </c>
      <c r="AF35" s="2">
        <v>46256</v>
      </c>
      <c r="AG35" s="2">
        <v>46263</v>
      </c>
      <c r="AH35">
        <v>0</v>
      </c>
      <c r="AI35" s="3">
        <v>0</v>
      </c>
      <c r="AJ35" s="1" t="s">
        <v>1635</v>
      </c>
      <c r="AK35" s="2" t="s">
        <v>1635</v>
      </c>
      <c r="AL35" s="4" t="s">
        <v>1658</v>
      </c>
      <c r="AM35" s="5" t="s">
        <v>1658</v>
      </c>
      <c r="AN35" s="4">
        <v>0</v>
      </c>
      <c r="AO35" t="s">
        <v>1635</v>
      </c>
      <c r="AP35" s="4" t="s">
        <v>1658</v>
      </c>
      <c r="AQ35" t="s">
        <v>1619</v>
      </c>
      <c r="AR35" t="s">
        <v>1620</v>
      </c>
      <c r="AT35" s="16" t="str">
        <f>_xlfn.XLOOKUP(B35,'SWiSH Demand Forecast Sep-26'!D:D,'SWiSH Demand Forecast Sep-26'!G:G,"Not Exist")</f>
        <v>Not Exist</v>
      </c>
    </row>
    <row r="36" spans="1:46" x14ac:dyDescent="0.3">
      <c r="A36">
        <v>106800053</v>
      </c>
      <c r="B36" t="s">
        <v>1714</v>
      </c>
      <c r="C36" t="s">
        <v>10</v>
      </c>
      <c r="D36" t="s">
        <v>1699</v>
      </c>
      <c r="E36" t="s">
        <v>1685</v>
      </c>
      <c r="F36" t="s">
        <v>1664</v>
      </c>
      <c r="G36" t="s">
        <v>1616</v>
      </c>
      <c r="H36" t="s">
        <v>1665</v>
      </c>
      <c r="I36" t="s">
        <v>1634</v>
      </c>
      <c r="J36" t="s">
        <v>10</v>
      </c>
      <c r="K36">
        <v>0.13</v>
      </c>
      <c r="L36">
        <v>0</v>
      </c>
      <c r="M36" s="1">
        <v>7</v>
      </c>
      <c r="N36">
        <v>0</v>
      </c>
      <c r="O36">
        <v>0</v>
      </c>
      <c r="P36">
        <v>0</v>
      </c>
      <c r="Q36" s="1">
        <v>0</v>
      </c>
      <c r="R36">
        <v>0.13</v>
      </c>
      <c r="S36" s="2">
        <v>46088</v>
      </c>
      <c r="T36" s="2">
        <v>46111</v>
      </c>
      <c r="U36">
        <v>1000</v>
      </c>
      <c r="V36">
        <v>0</v>
      </c>
      <c r="W36">
        <v>0</v>
      </c>
      <c r="X36">
        <v>0</v>
      </c>
      <c r="Y36">
        <v>0</v>
      </c>
      <c r="Z36" s="8">
        <v>1000</v>
      </c>
      <c r="AA36">
        <v>250</v>
      </c>
      <c r="AB36">
        <v>0</v>
      </c>
      <c r="AC36">
        <v>4</v>
      </c>
      <c r="AD36" s="1">
        <v>0</v>
      </c>
      <c r="AE36" s="2">
        <v>46248</v>
      </c>
      <c r="AF36" s="2">
        <v>46256</v>
      </c>
      <c r="AG36" s="2">
        <v>46263</v>
      </c>
      <c r="AH36">
        <v>0</v>
      </c>
      <c r="AI36" s="3">
        <v>0</v>
      </c>
      <c r="AJ36" s="1" t="s">
        <v>1635</v>
      </c>
      <c r="AK36" s="2" t="s">
        <v>1635</v>
      </c>
      <c r="AL36" s="4" t="s">
        <v>1658</v>
      </c>
      <c r="AM36" s="5" t="s">
        <v>1658</v>
      </c>
      <c r="AN36" s="4">
        <v>0</v>
      </c>
      <c r="AO36" t="s">
        <v>1635</v>
      </c>
      <c r="AP36" s="4" t="s">
        <v>1658</v>
      </c>
      <c r="AQ36" t="s">
        <v>1619</v>
      </c>
      <c r="AR36" t="s">
        <v>1620</v>
      </c>
      <c r="AT36" s="16" t="str">
        <f>_xlfn.XLOOKUP(B36,'SWiSH Demand Forecast Sep-26'!D:D,'SWiSH Demand Forecast Sep-26'!G:G,"Not Exist")</f>
        <v>Not Exist</v>
      </c>
    </row>
    <row r="37" spans="1:46" x14ac:dyDescent="0.3">
      <c r="A37">
        <v>106800057</v>
      </c>
      <c r="B37" t="s">
        <v>1715</v>
      </c>
      <c r="C37" t="s">
        <v>10</v>
      </c>
      <c r="D37" t="s">
        <v>1699</v>
      </c>
      <c r="E37" t="s">
        <v>1685</v>
      </c>
      <c r="F37" t="s">
        <v>1664</v>
      </c>
      <c r="G37" t="s">
        <v>1616</v>
      </c>
      <c r="H37" t="s">
        <v>1665</v>
      </c>
      <c r="I37" t="s">
        <v>1634</v>
      </c>
      <c r="J37" t="s">
        <v>10</v>
      </c>
      <c r="K37">
        <v>0.13</v>
      </c>
      <c r="L37">
        <v>0</v>
      </c>
      <c r="M37" s="1">
        <v>7</v>
      </c>
      <c r="N37">
        <v>0</v>
      </c>
      <c r="O37">
        <v>0</v>
      </c>
      <c r="P37">
        <v>0</v>
      </c>
      <c r="Q37" s="1">
        <v>0</v>
      </c>
      <c r="R37">
        <v>0.13</v>
      </c>
      <c r="S37" s="2">
        <v>46088</v>
      </c>
      <c r="T37" s="2">
        <v>46111</v>
      </c>
      <c r="U37">
        <v>1000</v>
      </c>
      <c r="V37">
        <v>0</v>
      </c>
      <c r="W37">
        <v>0</v>
      </c>
      <c r="X37">
        <v>0</v>
      </c>
      <c r="Y37">
        <v>0</v>
      </c>
      <c r="Z37" s="8">
        <v>1000</v>
      </c>
      <c r="AA37">
        <v>250</v>
      </c>
      <c r="AB37">
        <v>0</v>
      </c>
      <c r="AC37">
        <v>4</v>
      </c>
      <c r="AD37" s="1">
        <v>0</v>
      </c>
      <c r="AE37" s="2">
        <v>46248</v>
      </c>
      <c r="AF37" s="2">
        <v>46256</v>
      </c>
      <c r="AG37" s="2">
        <v>46263</v>
      </c>
      <c r="AH37">
        <v>0</v>
      </c>
      <c r="AI37" s="3">
        <v>0</v>
      </c>
      <c r="AJ37" s="1" t="s">
        <v>1635</v>
      </c>
      <c r="AK37" s="2" t="s">
        <v>1635</v>
      </c>
      <c r="AL37" s="4" t="s">
        <v>1658</v>
      </c>
      <c r="AM37" s="5" t="s">
        <v>1658</v>
      </c>
      <c r="AN37" s="4">
        <v>0</v>
      </c>
      <c r="AO37" t="s">
        <v>1635</v>
      </c>
      <c r="AP37" s="4" t="s">
        <v>1658</v>
      </c>
      <c r="AQ37" t="s">
        <v>1619</v>
      </c>
      <c r="AR37" t="s">
        <v>1620</v>
      </c>
      <c r="AT37" s="16" t="str">
        <f>_xlfn.XLOOKUP(B37,'SWiSH Demand Forecast Sep-26'!D:D,'SWiSH Demand Forecast Sep-26'!G:G,"Not Exist")</f>
        <v>Not Exist</v>
      </c>
    </row>
    <row r="38" spans="1:46" x14ac:dyDescent="0.3">
      <c r="A38">
        <v>107200093</v>
      </c>
      <c r="B38" t="s">
        <v>1716</v>
      </c>
      <c r="C38" t="s">
        <v>10</v>
      </c>
      <c r="D38" t="s">
        <v>1613</v>
      </c>
      <c r="E38" t="s">
        <v>1663</v>
      </c>
      <c r="F38" t="s">
        <v>1656</v>
      </c>
      <c r="G38" t="s">
        <v>1624</v>
      </c>
      <c r="H38" t="s">
        <v>1657</v>
      </c>
      <c r="I38" t="s">
        <v>1634</v>
      </c>
      <c r="J38" t="s">
        <v>10</v>
      </c>
      <c r="K38">
        <v>3.75</v>
      </c>
      <c r="L38">
        <v>0</v>
      </c>
      <c r="M38" s="1">
        <v>7</v>
      </c>
      <c r="N38">
        <v>0</v>
      </c>
      <c r="O38">
        <v>0</v>
      </c>
      <c r="P38">
        <v>0</v>
      </c>
      <c r="Q38" s="1">
        <v>0</v>
      </c>
      <c r="R38">
        <v>3.75</v>
      </c>
      <c r="S38" s="2">
        <v>46078</v>
      </c>
      <c r="T38" s="2">
        <v>46131</v>
      </c>
      <c r="U38">
        <v>6</v>
      </c>
      <c r="V38">
        <v>0</v>
      </c>
      <c r="W38">
        <v>0</v>
      </c>
      <c r="X38">
        <v>0</v>
      </c>
      <c r="Y38">
        <v>0</v>
      </c>
      <c r="Z38" s="8">
        <v>6</v>
      </c>
      <c r="AA38">
        <v>1.5</v>
      </c>
      <c r="AB38">
        <v>0</v>
      </c>
      <c r="AC38">
        <v>4</v>
      </c>
      <c r="AD38" s="1">
        <v>0</v>
      </c>
      <c r="AE38" s="2">
        <v>46248</v>
      </c>
      <c r="AF38" s="2">
        <v>46256</v>
      </c>
      <c r="AG38" s="2">
        <v>46263</v>
      </c>
      <c r="AH38">
        <v>0</v>
      </c>
      <c r="AI38" s="3">
        <v>0</v>
      </c>
      <c r="AJ38" s="1" t="s">
        <v>1635</v>
      </c>
      <c r="AK38" s="2" t="s">
        <v>1635</v>
      </c>
      <c r="AL38" s="4" t="s">
        <v>1658</v>
      </c>
      <c r="AM38" s="5" t="s">
        <v>1658</v>
      </c>
      <c r="AN38" s="4">
        <v>0</v>
      </c>
      <c r="AO38" t="s">
        <v>1635</v>
      </c>
      <c r="AP38" s="4" t="s">
        <v>1658</v>
      </c>
      <c r="AQ38" t="s">
        <v>1619</v>
      </c>
      <c r="AR38" t="s">
        <v>1620</v>
      </c>
      <c r="AS38" t="s">
        <v>1666</v>
      </c>
      <c r="AT38" s="16" t="str">
        <f>_xlfn.XLOOKUP(B38,'SWiSH Demand Forecast Sep-26'!D:D,'SWiSH Demand Forecast Sep-26'!G:G,"Not Exist")</f>
        <v>Not Exist</v>
      </c>
    </row>
    <row r="39" spans="1:46" x14ac:dyDescent="0.3">
      <c r="A39">
        <v>107200111</v>
      </c>
      <c r="B39" t="s">
        <v>1717</v>
      </c>
      <c r="C39" t="s">
        <v>10</v>
      </c>
      <c r="D39" t="s">
        <v>1613</v>
      </c>
      <c r="E39" t="s">
        <v>1663</v>
      </c>
      <c r="F39" t="s">
        <v>1656</v>
      </c>
      <c r="G39" t="s">
        <v>1624</v>
      </c>
      <c r="H39" t="s">
        <v>1657</v>
      </c>
      <c r="I39" t="s">
        <v>1634</v>
      </c>
      <c r="J39" t="s">
        <v>10</v>
      </c>
      <c r="K39">
        <v>3.75</v>
      </c>
      <c r="L39">
        <v>0</v>
      </c>
      <c r="M39" s="1">
        <v>15</v>
      </c>
      <c r="N39">
        <v>0</v>
      </c>
      <c r="O39">
        <v>0</v>
      </c>
      <c r="P39">
        <v>0</v>
      </c>
      <c r="Q39" s="1">
        <v>0</v>
      </c>
      <c r="R39">
        <v>3.75</v>
      </c>
      <c r="S39" s="2">
        <v>46025</v>
      </c>
      <c r="T39" s="2">
        <v>46119</v>
      </c>
      <c r="U39">
        <v>9</v>
      </c>
      <c r="V39">
        <v>0</v>
      </c>
      <c r="W39">
        <v>0</v>
      </c>
      <c r="X39">
        <v>0</v>
      </c>
      <c r="Y39">
        <v>0</v>
      </c>
      <c r="Z39" s="8">
        <v>9</v>
      </c>
      <c r="AA39">
        <v>2.25</v>
      </c>
      <c r="AB39">
        <v>0</v>
      </c>
      <c r="AC39">
        <v>4</v>
      </c>
      <c r="AD39" s="1">
        <v>0</v>
      </c>
      <c r="AE39" s="2">
        <v>46248</v>
      </c>
      <c r="AF39" s="2">
        <v>46256</v>
      </c>
      <c r="AG39" s="2">
        <v>46263</v>
      </c>
      <c r="AH39">
        <v>0</v>
      </c>
      <c r="AI39" s="3">
        <v>0</v>
      </c>
      <c r="AJ39" s="1" t="s">
        <v>1635</v>
      </c>
      <c r="AK39" s="2" t="s">
        <v>1635</v>
      </c>
      <c r="AL39" s="4" t="s">
        <v>1658</v>
      </c>
      <c r="AM39" s="5" t="s">
        <v>1658</v>
      </c>
      <c r="AN39" s="4">
        <v>0</v>
      </c>
      <c r="AO39" t="s">
        <v>1635</v>
      </c>
      <c r="AP39" s="4" t="s">
        <v>1658</v>
      </c>
      <c r="AQ39" t="s">
        <v>1619</v>
      </c>
      <c r="AR39" t="s">
        <v>1620</v>
      </c>
      <c r="AT39" s="16" t="str">
        <f>_xlfn.XLOOKUP(B39,'SWiSH Demand Forecast Sep-26'!D:D,'SWiSH Demand Forecast Sep-26'!G:G,"Not Exist")</f>
        <v>Not Exist</v>
      </c>
    </row>
    <row r="40" spans="1:46" x14ac:dyDescent="0.3">
      <c r="A40">
        <v>106800336</v>
      </c>
      <c r="B40" t="s">
        <v>1718</v>
      </c>
      <c r="C40" t="s">
        <v>10</v>
      </c>
      <c r="D40" t="s">
        <v>1629</v>
      </c>
      <c r="E40" t="s">
        <v>1719</v>
      </c>
      <c r="F40" t="s">
        <v>1664</v>
      </c>
      <c r="G40" t="s">
        <v>1624</v>
      </c>
      <c r="H40" t="s">
        <v>1665</v>
      </c>
      <c r="I40" t="s">
        <v>1634</v>
      </c>
      <c r="J40" t="s">
        <v>10</v>
      </c>
      <c r="K40">
        <v>1.333E-2</v>
      </c>
      <c r="L40">
        <v>0</v>
      </c>
      <c r="M40" s="1">
        <v>7</v>
      </c>
      <c r="N40">
        <v>0</v>
      </c>
      <c r="O40">
        <v>0</v>
      </c>
      <c r="P40">
        <v>0</v>
      </c>
      <c r="Q40" s="1">
        <v>0</v>
      </c>
      <c r="R40">
        <v>1.333E-2</v>
      </c>
      <c r="S40" s="2">
        <v>46119</v>
      </c>
      <c r="T40" s="2">
        <v>46122</v>
      </c>
      <c r="U40">
        <v>1500</v>
      </c>
      <c r="V40">
        <v>0</v>
      </c>
      <c r="W40">
        <v>0</v>
      </c>
      <c r="X40">
        <v>0</v>
      </c>
      <c r="Y40">
        <v>0</v>
      </c>
      <c r="Z40" s="8">
        <v>1500</v>
      </c>
      <c r="AA40">
        <v>375</v>
      </c>
      <c r="AB40">
        <v>0</v>
      </c>
      <c r="AC40">
        <v>4</v>
      </c>
      <c r="AD40" s="1">
        <v>0</v>
      </c>
      <c r="AE40" s="2">
        <v>46248</v>
      </c>
      <c r="AF40" s="2">
        <v>46256</v>
      </c>
      <c r="AG40" s="2">
        <v>46263</v>
      </c>
      <c r="AH40">
        <v>0</v>
      </c>
      <c r="AI40" s="3">
        <v>0</v>
      </c>
      <c r="AJ40" s="1" t="s">
        <v>1635</v>
      </c>
      <c r="AK40" s="2" t="s">
        <v>1635</v>
      </c>
      <c r="AL40" s="4" t="s">
        <v>1658</v>
      </c>
      <c r="AM40" s="5" t="s">
        <v>1658</v>
      </c>
      <c r="AN40" s="4">
        <v>0</v>
      </c>
      <c r="AO40" t="s">
        <v>1635</v>
      </c>
      <c r="AP40" s="4" t="s">
        <v>1658</v>
      </c>
      <c r="AQ40" t="s">
        <v>1619</v>
      </c>
      <c r="AR40" t="s">
        <v>1620</v>
      </c>
      <c r="AS40" t="s">
        <v>1666</v>
      </c>
      <c r="AT40" s="16" t="str">
        <f>_xlfn.XLOOKUP(B40,'SWiSH Demand Forecast Sep-26'!D:D,'SWiSH Demand Forecast Sep-26'!G:G,"Not Exist")</f>
        <v>Not Exist</v>
      </c>
    </row>
    <row r="41" spans="1:46" x14ac:dyDescent="0.3">
      <c r="A41">
        <v>106800263</v>
      </c>
      <c r="B41" t="s">
        <v>1720</v>
      </c>
      <c r="C41" t="s">
        <v>10</v>
      </c>
      <c r="D41" t="s">
        <v>1629</v>
      </c>
      <c r="E41" t="s">
        <v>1638</v>
      </c>
      <c r="F41" t="s">
        <v>1664</v>
      </c>
      <c r="G41" t="s">
        <v>1624</v>
      </c>
      <c r="H41" t="s">
        <v>1665</v>
      </c>
      <c r="I41" t="s">
        <v>1634</v>
      </c>
      <c r="J41" t="s">
        <v>10</v>
      </c>
      <c r="K41">
        <v>5.0000000000000001E-3</v>
      </c>
      <c r="L41">
        <v>0</v>
      </c>
      <c r="M41" s="1">
        <v>7</v>
      </c>
      <c r="N41">
        <v>0</v>
      </c>
      <c r="O41">
        <v>0</v>
      </c>
      <c r="P41">
        <v>0</v>
      </c>
      <c r="Q41" s="1">
        <v>0</v>
      </c>
      <c r="R41">
        <v>5.0000000000000001E-3</v>
      </c>
      <c r="S41" s="2">
        <v>46081</v>
      </c>
      <c r="T41" s="2">
        <v>46140</v>
      </c>
      <c r="U41">
        <v>6000</v>
      </c>
      <c r="V41">
        <v>0</v>
      </c>
      <c r="W41">
        <v>0</v>
      </c>
      <c r="X41">
        <v>0</v>
      </c>
      <c r="Y41">
        <v>0</v>
      </c>
      <c r="Z41" s="8">
        <v>6000</v>
      </c>
      <c r="AA41">
        <v>1500</v>
      </c>
      <c r="AC41">
        <v>4</v>
      </c>
      <c r="AD41" s="1">
        <v>0</v>
      </c>
      <c r="AE41" s="2">
        <v>46248</v>
      </c>
      <c r="AF41" s="2">
        <v>46256</v>
      </c>
      <c r="AG41" s="2">
        <v>46263</v>
      </c>
      <c r="AH41">
        <v>0</v>
      </c>
      <c r="AI41" s="3">
        <v>0</v>
      </c>
      <c r="AJ41" s="1" t="s">
        <v>1635</v>
      </c>
      <c r="AK41" s="2" t="s">
        <v>1635</v>
      </c>
      <c r="AL41" s="4" t="s">
        <v>1658</v>
      </c>
      <c r="AM41" s="5" t="s">
        <v>1658</v>
      </c>
      <c r="AN41" s="4">
        <v>0</v>
      </c>
      <c r="AO41" t="s">
        <v>1635</v>
      </c>
      <c r="AP41" s="4" t="s">
        <v>1658</v>
      </c>
      <c r="AQ41" t="s">
        <v>1619</v>
      </c>
      <c r="AR41" t="s">
        <v>1620</v>
      </c>
      <c r="AS41" t="s">
        <v>1666</v>
      </c>
      <c r="AT41" s="16" t="str">
        <f>_xlfn.XLOOKUP(B41,'SWiSH Demand Forecast Sep-26'!D:D,'SWiSH Demand Forecast Sep-26'!G:G,"Not Exist")</f>
        <v>Not Exist</v>
      </c>
    </row>
    <row r="42" spans="1:46" x14ac:dyDescent="0.3">
      <c r="A42">
        <v>107200131</v>
      </c>
      <c r="B42" t="s">
        <v>1721</v>
      </c>
      <c r="C42" t="s">
        <v>10</v>
      </c>
      <c r="D42" t="s">
        <v>1613</v>
      </c>
      <c r="E42" t="s">
        <v>1701</v>
      </c>
      <c r="F42" t="s">
        <v>1656</v>
      </c>
      <c r="G42" t="s">
        <v>1624</v>
      </c>
      <c r="H42" t="s">
        <v>1657</v>
      </c>
      <c r="I42" t="s">
        <v>1634</v>
      </c>
      <c r="J42" t="s">
        <v>10</v>
      </c>
      <c r="K42">
        <v>2.75</v>
      </c>
      <c r="L42">
        <v>0</v>
      </c>
      <c r="M42" s="1">
        <v>15</v>
      </c>
      <c r="N42">
        <v>0</v>
      </c>
      <c r="O42">
        <v>0</v>
      </c>
      <c r="P42">
        <v>0</v>
      </c>
      <c r="Q42" s="1">
        <v>0</v>
      </c>
      <c r="R42">
        <v>2.75</v>
      </c>
      <c r="S42" s="2">
        <v>46114</v>
      </c>
      <c r="T42" s="2">
        <v>46203</v>
      </c>
      <c r="U42">
        <v>22</v>
      </c>
      <c r="V42">
        <v>0</v>
      </c>
      <c r="W42">
        <v>0</v>
      </c>
      <c r="X42">
        <v>0</v>
      </c>
      <c r="Y42">
        <v>0</v>
      </c>
      <c r="Z42" s="8">
        <v>22</v>
      </c>
      <c r="AA42">
        <v>5.5</v>
      </c>
      <c r="AB42">
        <v>0</v>
      </c>
      <c r="AC42">
        <v>4</v>
      </c>
      <c r="AD42" s="1">
        <v>0</v>
      </c>
      <c r="AE42" s="2">
        <v>46248</v>
      </c>
      <c r="AF42" s="2">
        <v>46256</v>
      </c>
      <c r="AG42" s="2">
        <v>46263</v>
      </c>
      <c r="AH42">
        <v>0</v>
      </c>
      <c r="AI42" s="3">
        <v>0</v>
      </c>
      <c r="AJ42" s="1" t="s">
        <v>1635</v>
      </c>
      <c r="AK42" s="2" t="s">
        <v>1635</v>
      </c>
      <c r="AL42" s="4" t="s">
        <v>1658</v>
      </c>
      <c r="AM42" s="5" t="s">
        <v>1658</v>
      </c>
      <c r="AN42" s="4">
        <v>0</v>
      </c>
      <c r="AO42" t="s">
        <v>1635</v>
      </c>
      <c r="AP42" s="4" t="s">
        <v>1658</v>
      </c>
      <c r="AQ42" t="s">
        <v>1619</v>
      </c>
      <c r="AR42" t="s">
        <v>1620</v>
      </c>
      <c r="AT42" s="16" t="str">
        <f>_xlfn.XLOOKUP(B42,'SWiSH Demand Forecast Sep-26'!D:D,'SWiSH Demand Forecast Sep-26'!G:G,"Not Exist")</f>
        <v>Not Exist</v>
      </c>
    </row>
    <row r="43" spans="1:46" x14ac:dyDescent="0.3">
      <c r="A43">
        <v>106600148</v>
      </c>
      <c r="B43" t="s">
        <v>1722</v>
      </c>
      <c r="C43" t="s">
        <v>10</v>
      </c>
      <c r="D43" t="s">
        <v>1629</v>
      </c>
      <c r="E43" t="s">
        <v>1685</v>
      </c>
      <c r="F43" t="s">
        <v>1664</v>
      </c>
      <c r="G43" t="s">
        <v>1624</v>
      </c>
      <c r="H43" t="s">
        <v>1723</v>
      </c>
      <c r="I43" t="s">
        <v>1634</v>
      </c>
      <c r="J43" t="s">
        <v>10</v>
      </c>
      <c r="K43">
        <v>1.7999999999999999E-2</v>
      </c>
      <c r="L43">
        <v>0</v>
      </c>
      <c r="M43" s="1">
        <v>15</v>
      </c>
      <c r="N43">
        <v>0</v>
      </c>
      <c r="O43">
        <v>0</v>
      </c>
      <c r="P43">
        <v>0</v>
      </c>
      <c r="Q43" s="1">
        <v>0</v>
      </c>
      <c r="R43">
        <v>1.7999999999999999E-2</v>
      </c>
      <c r="S43" s="2">
        <v>46124</v>
      </c>
      <c r="T43" s="2">
        <v>46193</v>
      </c>
      <c r="U43">
        <v>5000</v>
      </c>
      <c r="V43">
        <v>0</v>
      </c>
      <c r="W43">
        <v>0</v>
      </c>
      <c r="X43">
        <v>0</v>
      </c>
      <c r="Y43">
        <v>0</v>
      </c>
      <c r="Z43" s="8">
        <v>5000</v>
      </c>
      <c r="AA43">
        <v>1250</v>
      </c>
      <c r="AB43">
        <v>0</v>
      </c>
      <c r="AC43">
        <v>4</v>
      </c>
      <c r="AD43" s="1">
        <v>0</v>
      </c>
      <c r="AE43" s="2">
        <v>46248</v>
      </c>
      <c r="AF43" s="2">
        <v>46256</v>
      </c>
      <c r="AG43" s="2">
        <v>46263</v>
      </c>
      <c r="AH43">
        <v>0</v>
      </c>
      <c r="AI43" s="3">
        <v>0</v>
      </c>
      <c r="AJ43" s="1" t="s">
        <v>1635</v>
      </c>
      <c r="AK43" s="2" t="s">
        <v>1635</v>
      </c>
      <c r="AL43" s="4" t="s">
        <v>1658</v>
      </c>
      <c r="AM43" s="5" t="s">
        <v>1658</v>
      </c>
      <c r="AN43" s="4">
        <v>0</v>
      </c>
      <c r="AO43" t="s">
        <v>1635</v>
      </c>
      <c r="AP43" s="4" t="s">
        <v>1658</v>
      </c>
      <c r="AQ43" t="s">
        <v>1619</v>
      </c>
      <c r="AR43" t="s">
        <v>1620</v>
      </c>
      <c r="AS43" t="s">
        <v>1666</v>
      </c>
      <c r="AT43" s="16" t="str">
        <f>_xlfn.XLOOKUP(B43,'SWiSH Demand Forecast Sep-26'!D:D,'SWiSH Demand Forecast Sep-26'!G:G,"Not Exist")</f>
        <v>Not Exist</v>
      </c>
    </row>
    <row r="44" spans="1:46" x14ac:dyDescent="0.3">
      <c r="A44">
        <v>101500035</v>
      </c>
      <c r="B44" t="s">
        <v>1724</v>
      </c>
      <c r="C44" t="s">
        <v>10</v>
      </c>
      <c r="D44" t="s">
        <v>1699</v>
      </c>
      <c r="E44" t="s">
        <v>1661</v>
      </c>
      <c r="F44" t="s">
        <v>1644</v>
      </c>
      <c r="G44" t="s">
        <v>1624</v>
      </c>
      <c r="H44" t="s">
        <v>1647</v>
      </c>
      <c r="I44" t="s">
        <v>1634</v>
      </c>
      <c r="J44" t="e">
        <v>#N/A</v>
      </c>
      <c r="K44">
        <v>1.6665099999999999</v>
      </c>
      <c r="L44">
        <v>0</v>
      </c>
      <c r="M44" s="1">
        <v>3</v>
      </c>
      <c r="N44">
        <v>0</v>
      </c>
      <c r="O44">
        <v>0</v>
      </c>
      <c r="P44">
        <v>0</v>
      </c>
      <c r="Q44" s="1">
        <v>0</v>
      </c>
      <c r="R44">
        <v>1.6665099999999999</v>
      </c>
      <c r="S44" s="2">
        <v>45119</v>
      </c>
      <c r="T44" s="2">
        <v>46210</v>
      </c>
      <c r="U44">
        <v>4</v>
      </c>
      <c r="V44">
        <v>0</v>
      </c>
      <c r="W44">
        <v>0</v>
      </c>
      <c r="X44">
        <v>0</v>
      </c>
      <c r="Y44">
        <v>0</v>
      </c>
      <c r="Z44" s="8">
        <v>4</v>
      </c>
      <c r="AA44">
        <v>1</v>
      </c>
      <c r="AB44">
        <v>0</v>
      </c>
      <c r="AC44">
        <v>4</v>
      </c>
      <c r="AD44" s="1">
        <v>0</v>
      </c>
      <c r="AE44" s="2">
        <v>46248</v>
      </c>
      <c r="AF44" s="2">
        <v>46256</v>
      </c>
      <c r="AG44" s="2">
        <v>46263</v>
      </c>
      <c r="AH44">
        <v>0</v>
      </c>
      <c r="AI44" s="3">
        <v>0</v>
      </c>
      <c r="AJ44" s="1" t="s">
        <v>1635</v>
      </c>
      <c r="AK44" s="2" t="s">
        <v>1635</v>
      </c>
      <c r="AL44" s="4" t="s">
        <v>1658</v>
      </c>
      <c r="AM44" s="5" t="s">
        <v>1658</v>
      </c>
      <c r="AN44" s="4">
        <v>0</v>
      </c>
      <c r="AO44" t="s">
        <v>1635</v>
      </c>
      <c r="AP44" s="4" t="s">
        <v>1658</v>
      </c>
      <c r="AQ44" t="s">
        <v>1619</v>
      </c>
      <c r="AR44" t="s">
        <v>1620</v>
      </c>
      <c r="AT44" s="16" t="str">
        <f>_xlfn.XLOOKUP(B44,'SWiSH Demand Forecast Sep-26'!D:D,'SWiSH Demand Forecast Sep-26'!G:G,"Not Exist")</f>
        <v>Not Exist</v>
      </c>
    </row>
    <row r="45" spans="1:46" x14ac:dyDescent="0.3">
      <c r="A45">
        <v>107200001</v>
      </c>
      <c r="B45" t="s">
        <v>1725</v>
      </c>
      <c r="C45" t="s">
        <v>10</v>
      </c>
      <c r="D45" t="s">
        <v>1613</v>
      </c>
      <c r="E45" t="s">
        <v>1701</v>
      </c>
      <c r="F45" t="s">
        <v>1656</v>
      </c>
      <c r="G45" t="s">
        <v>1624</v>
      </c>
      <c r="H45" t="s">
        <v>1657</v>
      </c>
      <c r="I45" t="s">
        <v>1634</v>
      </c>
      <c r="J45" t="s">
        <v>10</v>
      </c>
      <c r="K45">
        <v>3.5</v>
      </c>
      <c r="L45">
        <v>0</v>
      </c>
      <c r="M45" s="1">
        <v>15</v>
      </c>
      <c r="N45">
        <v>0</v>
      </c>
      <c r="O45">
        <v>0</v>
      </c>
      <c r="P45">
        <v>0</v>
      </c>
      <c r="Q45" s="1">
        <v>0</v>
      </c>
      <c r="R45">
        <v>3.5</v>
      </c>
      <c r="S45" s="2">
        <v>46114</v>
      </c>
      <c r="T45" s="2">
        <v>46118</v>
      </c>
      <c r="U45">
        <v>11</v>
      </c>
      <c r="V45">
        <v>0</v>
      </c>
      <c r="W45">
        <v>0</v>
      </c>
      <c r="X45">
        <v>0</v>
      </c>
      <c r="Y45">
        <v>0</v>
      </c>
      <c r="Z45" s="8">
        <v>11</v>
      </c>
      <c r="AA45">
        <v>2.75</v>
      </c>
      <c r="AB45">
        <v>0</v>
      </c>
      <c r="AC45">
        <v>4</v>
      </c>
      <c r="AD45" s="1">
        <v>0</v>
      </c>
      <c r="AE45" s="2">
        <v>46248</v>
      </c>
      <c r="AF45" s="2">
        <v>46256</v>
      </c>
      <c r="AG45" s="2">
        <v>46263</v>
      </c>
      <c r="AH45">
        <v>0</v>
      </c>
      <c r="AI45" s="3">
        <v>0</v>
      </c>
      <c r="AJ45" s="1" t="s">
        <v>1635</v>
      </c>
      <c r="AK45" s="2" t="s">
        <v>1635</v>
      </c>
      <c r="AL45" s="4" t="s">
        <v>1658</v>
      </c>
      <c r="AM45" s="5" t="s">
        <v>1658</v>
      </c>
      <c r="AN45" s="4">
        <v>0</v>
      </c>
      <c r="AO45" t="s">
        <v>1635</v>
      </c>
      <c r="AP45" s="4" t="s">
        <v>1658</v>
      </c>
      <c r="AQ45" t="s">
        <v>1619</v>
      </c>
      <c r="AR45" t="s">
        <v>1620</v>
      </c>
      <c r="AT45" s="16" t="str">
        <f>_xlfn.XLOOKUP(B45,'SWiSH Demand Forecast Sep-26'!D:D,'SWiSH Demand Forecast Sep-26'!G:G,"Not Exist")</f>
        <v>Not Exist</v>
      </c>
    </row>
    <row r="46" spans="1:46" x14ac:dyDescent="0.3">
      <c r="A46">
        <v>107200137</v>
      </c>
      <c r="B46" t="s">
        <v>1726</v>
      </c>
      <c r="C46" t="s">
        <v>10</v>
      </c>
      <c r="D46" t="s">
        <v>1613</v>
      </c>
      <c r="E46" t="s">
        <v>1638</v>
      </c>
      <c r="F46" t="s">
        <v>1656</v>
      </c>
      <c r="G46" t="s">
        <v>1624</v>
      </c>
      <c r="H46" t="s">
        <v>1657</v>
      </c>
      <c r="I46" t="s">
        <v>1634</v>
      </c>
      <c r="J46" t="s">
        <v>10</v>
      </c>
      <c r="K46">
        <v>3.5</v>
      </c>
      <c r="L46">
        <v>0</v>
      </c>
      <c r="M46" s="1">
        <v>15</v>
      </c>
      <c r="N46">
        <v>0</v>
      </c>
      <c r="O46">
        <v>0</v>
      </c>
      <c r="P46">
        <v>0</v>
      </c>
      <c r="Q46" s="1">
        <v>0</v>
      </c>
      <c r="R46">
        <v>3.5</v>
      </c>
      <c r="S46" s="2">
        <v>46215</v>
      </c>
      <c r="T46" s="2">
        <v>46221</v>
      </c>
      <c r="U46">
        <v>5</v>
      </c>
      <c r="V46">
        <v>0</v>
      </c>
      <c r="W46">
        <v>21</v>
      </c>
      <c r="X46">
        <v>3</v>
      </c>
      <c r="Y46">
        <v>0</v>
      </c>
      <c r="Z46" s="8">
        <v>21</v>
      </c>
      <c r="AA46">
        <v>7.25</v>
      </c>
      <c r="AB46">
        <v>0</v>
      </c>
      <c r="AC46">
        <v>2.896551724137931</v>
      </c>
      <c r="AD46" s="1">
        <v>0</v>
      </c>
      <c r="AE46" s="2">
        <v>46248</v>
      </c>
      <c r="AF46" s="2">
        <v>46256</v>
      </c>
      <c r="AG46" s="2">
        <v>46263</v>
      </c>
      <c r="AH46">
        <v>0</v>
      </c>
      <c r="AI46" s="3">
        <v>0</v>
      </c>
      <c r="AJ46" s="1" t="s">
        <v>1635</v>
      </c>
      <c r="AK46" s="2" t="s">
        <v>1635</v>
      </c>
      <c r="AL46" s="4" t="s">
        <v>1658</v>
      </c>
      <c r="AM46" s="5" t="s">
        <v>1658</v>
      </c>
      <c r="AN46" s="4">
        <v>0</v>
      </c>
      <c r="AO46" t="s">
        <v>1635</v>
      </c>
      <c r="AP46" s="4" t="s">
        <v>1658</v>
      </c>
      <c r="AQ46" t="s">
        <v>1619</v>
      </c>
      <c r="AR46" t="s">
        <v>1620</v>
      </c>
      <c r="AT46" s="16" t="str">
        <f>_xlfn.XLOOKUP(B46,'SWiSH Demand Forecast Sep-26'!D:D,'SWiSH Demand Forecast Sep-26'!G:G,"Not Exist")</f>
        <v>Not Exist</v>
      </c>
    </row>
    <row r="47" spans="1:46" x14ac:dyDescent="0.3">
      <c r="A47">
        <v>107200197</v>
      </c>
      <c r="B47" t="s">
        <v>1727</v>
      </c>
      <c r="C47" t="s">
        <v>10</v>
      </c>
      <c r="D47" t="s">
        <v>1613</v>
      </c>
      <c r="E47" t="s">
        <v>1728</v>
      </c>
      <c r="F47" t="s">
        <v>1656</v>
      </c>
      <c r="G47" t="s">
        <v>1624</v>
      </c>
      <c r="H47" t="s">
        <v>1657</v>
      </c>
      <c r="I47" t="s">
        <v>1634</v>
      </c>
      <c r="J47" t="s">
        <v>10</v>
      </c>
      <c r="K47">
        <v>4.25</v>
      </c>
      <c r="L47">
        <v>0</v>
      </c>
      <c r="M47" s="1">
        <v>7</v>
      </c>
      <c r="N47">
        <v>0</v>
      </c>
      <c r="O47">
        <v>0</v>
      </c>
      <c r="P47">
        <v>0</v>
      </c>
      <c r="Q47" s="1">
        <v>0</v>
      </c>
      <c r="R47">
        <v>4.25</v>
      </c>
      <c r="S47" s="2">
        <v>46072</v>
      </c>
      <c r="T47" s="2">
        <v>46137</v>
      </c>
      <c r="U47">
        <v>10</v>
      </c>
      <c r="V47">
        <v>0</v>
      </c>
      <c r="W47">
        <v>0</v>
      </c>
      <c r="X47">
        <v>0</v>
      </c>
      <c r="Y47">
        <v>0</v>
      </c>
      <c r="Z47" s="8">
        <v>10</v>
      </c>
      <c r="AA47">
        <v>2.5</v>
      </c>
      <c r="AB47">
        <v>0</v>
      </c>
      <c r="AC47">
        <v>4</v>
      </c>
      <c r="AD47" s="1">
        <v>0</v>
      </c>
      <c r="AE47" s="2">
        <v>46248</v>
      </c>
      <c r="AF47" s="2">
        <v>46256</v>
      </c>
      <c r="AG47" s="2">
        <v>46263</v>
      </c>
      <c r="AH47">
        <v>0</v>
      </c>
      <c r="AI47" s="3">
        <v>0</v>
      </c>
      <c r="AJ47" s="1" t="s">
        <v>1635</v>
      </c>
      <c r="AK47" s="2" t="s">
        <v>1635</v>
      </c>
      <c r="AL47" s="4" t="s">
        <v>1658</v>
      </c>
      <c r="AM47" s="5" t="s">
        <v>1658</v>
      </c>
      <c r="AN47" s="4">
        <v>0</v>
      </c>
      <c r="AO47" t="s">
        <v>1635</v>
      </c>
      <c r="AP47" s="4" t="s">
        <v>1658</v>
      </c>
      <c r="AQ47" t="s">
        <v>1619</v>
      </c>
      <c r="AR47" t="s">
        <v>1620</v>
      </c>
      <c r="AT47" s="16" t="str">
        <f>_xlfn.XLOOKUP(B47,'SWiSH Demand Forecast Sep-26'!D:D,'SWiSH Demand Forecast Sep-26'!G:G,"Not Exist")</f>
        <v>Not Exist</v>
      </c>
    </row>
    <row r="48" spans="1:46" hidden="1" x14ac:dyDescent="0.3">
      <c r="A48">
        <v>105900062</v>
      </c>
      <c r="B48" t="s">
        <v>1055</v>
      </c>
      <c r="C48" t="s">
        <v>10</v>
      </c>
      <c r="D48" t="s">
        <v>1699</v>
      </c>
      <c r="E48" t="s">
        <v>1638</v>
      </c>
      <c r="F48" t="s">
        <v>1631</v>
      </c>
      <c r="G48" t="s">
        <v>1624</v>
      </c>
      <c r="H48" t="s">
        <v>1729</v>
      </c>
      <c r="I48" t="s">
        <v>1634</v>
      </c>
      <c r="J48" t="s">
        <v>1730</v>
      </c>
      <c r="K48">
        <v>3.0696109999999999E-2</v>
      </c>
      <c r="L48">
        <v>0</v>
      </c>
      <c r="M48" s="1">
        <v>15</v>
      </c>
      <c r="N48">
        <v>0</v>
      </c>
      <c r="O48">
        <v>0</v>
      </c>
      <c r="P48">
        <v>0</v>
      </c>
      <c r="Q48" s="1">
        <v>0</v>
      </c>
      <c r="R48">
        <v>43.509799999999998</v>
      </c>
      <c r="S48" s="2">
        <v>45701</v>
      </c>
      <c r="T48" s="2">
        <v>46212</v>
      </c>
      <c r="U48">
        <v>1400</v>
      </c>
      <c r="V48">
        <v>0</v>
      </c>
      <c r="W48">
        <v>0</v>
      </c>
      <c r="X48">
        <v>0</v>
      </c>
      <c r="Y48">
        <v>0</v>
      </c>
      <c r="Z48" s="8">
        <v>1400</v>
      </c>
      <c r="AA48">
        <v>350</v>
      </c>
      <c r="AB48">
        <v>0</v>
      </c>
      <c r="AC48">
        <v>4</v>
      </c>
      <c r="AD48" s="1">
        <v>0</v>
      </c>
      <c r="AE48" s="2">
        <v>46248</v>
      </c>
      <c r="AF48" s="2">
        <v>46256</v>
      </c>
      <c r="AG48" s="2">
        <v>46263</v>
      </c>
      <c r="AH48">
        <v>0</v>
      </c>
      <c r="AI48" s="3">
        <v>0</v>
      </c>
      <c r="AJ48" s="1" t="s">
        <v>1635</v>
      </c>
      <c r="AK48" s="2" t="s">
        <v>1635</v>
      </c>
      <c r="AL48" s="4" t="s">
        <v>1658</v>
      </c>
      <c r="AM48" s="5" t="s">
        <v>1658</v>
      </c>
      <c r="AN48" s="4">
        <v>0</v>
      </c>
      <c r="AO48" t="s">
        <v>1635</v>
      </c>
      <c r="AP48" s="4" t="s">
        <v>1658</v>
      </c>
      <c r="AQ48" t="s">
        <v>1619</v>
      </c>
      <c r="AR48" t="s">
        <v>1620</v>
      </c>
      <c r="AT48" s="16">
        <f>_xlfn.XLOOKUP(B48,'SWiSH Demand Forecast Sep-26'!D:D,'SWiSH Demand Forecast Sep-26'!G:G,"Not Exist")</f>
        <v>126</v>
      </c>
    </row>
    <row r="49" spans="1:46" x14ac:dyDescent="0.3">
      <c r="A49">
        <v>107200143</v>
      </c>
      <c r="B49" t="s">
        <v>1731</v>
      </c>
      <c r="C49" t="s">
        <v>10</v>
      </c>
      <c r="D49" t="s">
        <v>1613</v>
      </c>
      <c r="E49" t="s">
        <v>1638</v>
      </c>
      <c r="F49" t="s">
        <v>1656</v>
      </c>
      <c r="G49" t="s">
        <v>1624</v>
      </c>
      <c r="H49" t="s">
        <v>1657</v>
      </c>
      <c r="I49" t="s">
        <v>1634</v>
      </c>
      <c r="J49" t="s">
        <v>10</v>
      </c>
      <c r="K49">
        <v>3</v>
      </c>
      <c r="L49">
        <v>0</v>
      </c>
      <c r="M49" s="1">
        <v>15</v>
      </c>
      <c r="N49">
        <v>0</v>
      </c>
      <c r="O49">
        <v>0</v>
      </c>
      <c r="P49">
        <v>0</v>
      </c>
      <c r="Q49" s="1">
        <v>0</v>
      </c>
      <c r="R49">
        <v>3</v>
      </c>
      <c r="S49" s="2">
        <v>46215</v>
      </c>
      <c r="T49" s="2">
        <v>46217</v>
      </c>
      <c r="U49">
        <v>30</v>
      </c>
      <c r="V49">
        <v>0</v>
      </c>
      <c r="W49">
        <v>0</v>
      </c>
      <c r="X49">
        <v>9</v>
      </c>
      <c r="Y49">
        <v>0</v>
      </c>
      <c r="Z49" s="8">
        <v>30</v>
      </c>
      <c r="AA49">
        <v>9.75</v>
      </c>
      <c r="AB49">
        <v>0</v>
      </c>
      <c r="AC49">
        <v>3.0769230769230771</v>
      </c>
      <c r="AD49" s="1">
        <v>0</v>
      </c>
      <c r="AE49" s="2">
        <v>46248</v>
      </c>
      <c r="AF49" s="2">
        <v>46256</v>
      </c>
      <c r="AG49" s="2">
        <v>46263</v>
      </c>
      <c r="AH49">
        <v>0</v>
      </c>
      <c r="AI49" s="3">
        <v>0</v>
      </c>
      <c r="AJ49" s="1" t="s">
        <v>1635</v>
      </c>
      <c r="AK49" s="2" t="s">
        <v>1635</v>
      </c>
      <c r="AL49" s="4" t="s">
        <v>1658</v>
      </c>
      <c r="AM49" s="5" t="s">
        <v>1658</v>
      </c>
      <c r="AN49" s="4">
        <v>0</v>
      </c>
      <c r="AO49" t="s">
        <v>1635</v>
      </c>
      <c r="AP49" s="4" t="s">
        <v>1658</v>
      </c>
      <c r="AQ49" t="s">
        <v>1619</v>
      </c>
      <c r="AR49" t="s">
        <v>1620</v>
      </c>
      <c r="AT49" s="16" t="str">
        <f>_xlfn.XLOOKUP(B49,'SWiSH Demand Forecast Sep-26'!D:D,'SWiSH Demand Forecast Sep-26'!G:G,"Not Exist")</f>
        <v>Not Exist</v>
      </c>
    </row>
    <row r="50" spans="1:46" hidden="1" x14ac:dyDescent="0.3">
      <c r="A50">
        <v>105900011</v>
      </c>
      <c r="B50" t="s">
        <v>157</v>
      </c>
      <c r="C50" t="s">
        <v>10</v>
      </c>
      <c r="D50" t="s">
        <v>1613</v>
      </c>
      <c r="E50" t="s">
        <v>1732</v>
      </c>
      <c r="F50" t="s">
        <v>1664</v>
      </c>
      <c r="G50" t="s">
        <v>1616</v>
      </c>
      <c r="H50" t="s">
        <v>1729</v>
      </c>
      <c r="I50" t="s">
        <v>1634</v>
      </c>
      <c r="J50" t="s">
        <v>1733</v>
      </c>
      <c r="K50">
        <v>4.0447299999999999E-3</v>
      </c>
      <c r="L50">
        <v>0</v>
      </c>
      <c r="M50" s="1">
        <v>90</v>
      </c>
      <c r="N50">
        <v>0</v>
      </c>
      <c r="O50">
        <v>0</v>
      </c>
      <c r="P50">
        <v>0</v>
      </c>
      <c r="Q50" s="1">
        <v>0</v>
      </c>
      <c r="R50">
        <v>4.1440000000000001</v>
      </c>
      <c r="S50" s="2">
        <v>46082</v>
      </c>
      <c r="T50" s="2">
        <v>46260</v>
      </c>
      <c r="U50">
        <v>25600</v>
      </c>
      <c r="V50">
        <v>12200</v>
      </c>
      <c r="W50">
        <v>3200</v>
      </c>
      <c r="X50">
        <v>0</v>
      </c>
      <c r="Y50">
        <v>0</v>
      </c>
      <c r="Z50" s="8">
        <v>25600</v>
      </c>
      <c r="AA50">
        <v>10250</v>
      </c>
      <c r="AB50">
        <v>0</v>
      </c>
      <c r="AC50">
        <v>2.4975609756097561</v>
      </c>
      <c r="AD50" s="1">
        <v>0</v>
      </c>
      <c r="AE50" s="2">
        <v>46248</v>
      </c>
      <c r="AF50" s="2">
        <v>46256</v>
      </c>
      <c r="AG50" s="2">
        <v>46263</v>
      </c>
      <c r="AH50">
        <v>0</v>
      </c>
      <c r="AI50" s="3">
        <v>0</v>
      </c>
      <c r="AJ50" s="1" t="s">
        <v>1635</v>
      </c>
      <c r="AK50" s="2" t="s">
        <v>1635</v>
      </c>
      <c r="AL50" s="4">
        <v>120</v>
      </c>
      <c r="AM50" s="5">
        <v>100</v>
      </c>
      <c r="AN50" s="4">
        <v>0</v>
      </c>
      <c r="AO50">
        <v>0</v>
      </c>
      <c r="AP50" s="4">
        <v>1</v>
      </c>
      <c r="AQ50" t="s">
        <v>1619</v>
      </c>
      <c r="AR50" t="s">
        <v>1620</v>
      </c>
      <c r="AT50" s="16">
        <f>_xlfn.XLOOKUP(B50,'SWiSH Demand Forecast Sep-26'!D:D,'SWiSH Demand Forecast Sep-26'!G:G,"Not Exist")</f>
        <v>11704</v>
      </c>
    </row>
    <row r="51" spans="1:46" x14ac:dyDescent="0.3">
      <c r="A51">
        <v>106600149</v>
      </c>
      <c r="B51" t="s">
        <v>1734</v>
      </c>
      <c r="C51" t="s">
        <v>10</v>
      </c>
      <c r="D51" t="s">
        <v>1699</v>
      </c>
      <c r="E51" t="s">
        <v>1663</v>
      </c>
      <c r="F51" t="s">
        <v>1664</v>
      </c>
      <c r="G51" t="s">
        <v>1624</v>
      </c>
      <c r="H51" t="s">
        <v>1723</v>
      </c>
      <c r="I51" t="s">
        <v>1634</v>
      </c>
      <c r="J51" t="s">
        <v>10</v>
      </c>
      <c r="K51">
        <v>5.4000000000000003E-3</v>
      </c>
      <c r="L51">
        <v>0</v>
      </c>
      <c r="M51" s="1">
        <v>15</v>
      </c>
      <c r="N51">
        <v>0</v>
      </c>
      <c r="O51">
        <v>0</v>
      </c>
      <c r="P51">
        <v>0</v>
      </c>
      <c r="Q51" s="1">
        <v>0</v>
      </c>
      <c r="R51">
        <v>5.4000000000000003E-3</v>
      </c>
      <c r="S51" s="2">
        <v>46155</v>
      </c>
      <c r="T51" s="2">
        <v>46245</v>
      </c>
      <c r="U51">
        <v>0</v>
      </c>
      <c r="V51">
        <v>50000</v>
      </c>
      <c r="W51">
        <v>0</v>
      </c>
      <c r="X51">
        <v>0</v>
      </c>
      <c r="Y51">
        <v>0</v>
      </c>
      <c r="Z51" s="8">
        <v>50000</v>
      </c>
      <c r="AA51">
        <v>12500</v>
      </c>
      <c r="AB51">
        <v>0</v>
      </c>
      <c r="AC51">
        <v>4</v>
      </c>
      <c r="AD51" s="1">
        <v>0</v>
      </c>
      <c r="AE51" s="2">
        <v>46248</v>
      </c>
      <c r="AF51" s="2">
        <v>46256</v>
      </c>
      <c r="AG51" s="2">
        <v>46263</v>
      </c>
      <c r="AH51">
        <v>0</v>
      </c>
      <c r="AI51" s="3">
        <v>0</v>
      </c>
      <c r="AJ51" s="1" t="s">
        <v>1635</v>
      </c>
      <c r="AK51" s="2" t="s">
        <v>1635</v>
      </c>
      <c r="AL51" s="4" t="s">
        <v>1658</v>
      </c>
      <c r="AM51" s="5" t="s">
        <v>1658</v>
      </c>
      <c r="AN51" s="4">
        <v>0</v>
      </c>
      <c r="AO51" t="s">
        <v>1635</v>
      </c>
      <c r="AP51" s="4" t="s">
        <v>1658</v>
      </c>
      <c r="AQ51" t="s">
        <v>1619</v>
      </c>
      <c r="AR51" t="s">
        <v>1620</v>
      </c>
      <c r="AT51" s="16" t="str">
        <f>_xlfn.XLOOKUP(B51,'SWiSH Demand Forecast Sep-26'!D:D,'SWiSH Demand Forecast Sep-26'!G:G,"Not Exist")</f>
        <v>Not Exist</v>
      </c>
    </row>
    <row r="52" spans="1:46" x14ac:dyDescent="0.3">
      <c r="A52">
        <v>106800365</v>
      </c>
      <c r="B52" t="s">
        <v>1735</v>
      </c>
      <c r="C52" t="s">
        <v>10</v>
      </c>
      <c r="D52" t="s">
        <v>1629</v>
      </c>
      <c r="E52" t="s">
        <v>1701</v>
      </c>
      <c r="F52" t="s">
        <v>1664</v>
      </c>
      <c r="G52" t="s">
        <v>1624</v>
      </c>
      <c r="H52" t="s">
        <v>1665</v>
      </c>
      <c r="I52" t="s">
        <v>1634</v>
      </c>
      <c r="J52" t="s">
        <v>10</v>
      </c>
      <c r="K52">
        <v>0.01</v>
      </c>
      <c r="L52">
        <v>0</v>
      </c>
      <c r="M52" s="1">
        <v>7</v>
      </c>
      <c r="N52">
        <v>0</v>
      </c>
      <c r="O52">
        <v>0</v>
      </c>
      <c r="P52">
        <v>0</v>
      </c>
      <c r="Q52" s="1">
        <v>0</v>
      </c>
      <c r="R52">
        <v>0.01</v>
      </c>
      <c r="S52" s="2">
        <v>46167</v>
      </c>
      <c r="T52" s="2">
        <v>46186</v>
      </c>
      <c r="U52">
        <v>0</v>
      </c>
      <c r="V52">
        <v>75000</v>
      </c>
      <c r="W52">
        <v>0</v>
      </c>
      <c r="X52">
        <v>0</v>
      </c>
      <c r="Y52">
        <v>0</v>
      </c>
      <c r="Z52" s="8">
        <v>75000</v>
      </c>
      <c r="AA52">
        <v>18750</v>
      </c>
      <c r="AB52">
        <v>0</v>
      </c>
      <c r="AC52">
        <v>4</v>
      </c>
      <c r="AD52" s="1">
        <v>0</v>
      </c>
      <c r="AE52" s="2">
        <v>46248</v>
      </c>
      <c r="AF52" s="2">
        <v>46256</v>
      </c>
      <c r="AG52" s="2">
        <v>46263</v>
      </c>
      <c r="AH52">
        <v>0</v>
      </c>
      <c r="AI52" s="3">
        <v>0</v>
      </c>
      <c r="AJ52" s="1" t="s">
        <v>1635</v>
      </c>
      <c r="AK52" s="2" t="s">
        <v>1635</v>
      </c>
      <c r="AL52" s="4" t="s">
        <v>1658</v>
      </c>
      <c r="AM52" s="5" t="s">
        <v>1658</v>
      </c>
      <c r="AN52" s="4">
        <v>0</v>
      </c>
      <c r="AO52" t="s">
        <v>1635</v>
      </c>
      <c r="AP52" s="4" t="s">
        <v>1658</v>
      </c>
      <c r="AQ52" t="s">
        <v>1619</v>
      </c>
      <c r="AR52" t="s">
        <v>1620</v>
      </c>
      <c r="AT52" s="16" t="str">
        <f>_xlfn.XLOOKUP(B52,'SWiSH Demand Forecast Sep-26'!D:D,'SWiSH Demand Forecast Sep-26'!G:G,"Not Exist")</f>
        <v>Not Exist</v>
      </c>
    </row>
    <row r="53" spans="1:46" x14ac:dyDescent="0.3">
      <c r="A53">
        <v>106800353</v>
      </c>
      <c r="B53" t="s">
        <v>1736</v>
      </c>
      <c r="C53" t="s">
        <v>10</v>
      </c>
      <c r="D53" t="s">
        <v>1629</v>
      </c>
      <c r="E53" t="s">
        <v>1685</v>
      </c>
      <c r="F53" t="s">
        <v>1664</v>
      </c>
      <c r="G53" t="s">
        <v>1624</v>
      </c>
      <c r="H53" t="s">
        <v>1665</v>
      </c>
      <c r="I53" t="s">
        <v>1634</v>
      </c>
      <c r="J53" t="s">
        <v>10</v>
      </c>
      <c r="K53">
        <v>1.3299999999999999E-2</v>
      </c>
      <c r="L53">
        <v>0</v>
      </c>
      <c r="M53" s="1">
        <v>7</v>
      </c>
      <c r="N53">
        <v>0</v>
      </c>
      <c r="O53">
        <v>0</v>
      </c>
      <c r="P53">
        <v>0</v>
      </c>
      <c r="Q53" s="1">
        <v>0</v>
      </c>
      <c r="R53">
        <v>1.3299999999999999E-2</v>
      </c>
      <c r="S53" s="2">
        <v>46149</v>
      </c>
      <c r="T53" s="2">
        <v>46181</v>
      </c>
      <c r="U53">
        <v>0</v>
      </c>
      <c r="V53">
        <v>1000</v>
      </c>
      <c r="W53">
        <v>1000</v>
      </c>
      <c r="X53">
        <v>0</v>
      </c>
      <c r="Y53">
        <v>0</v>
      </c>
      <c r="Z53" s="8">
        <v>1000</v>
      </c>
      <c r="AA53">
        <v>500</v>
      </c>
      <c r="AB53">
        <v>0</v>
      </c>
      <c r="AC53">
        <v>2</v>
      </c>
      <c r="AD53" s="1">
        <v>0</v>
      </c>
      <c r="AE53" s="2">
        <v>46248</v>
      </c>
      <c r="AF53" s="2">
        <v>46256</v>
      </c>
      <c r="AG53" s="2">
        <v>46263</v>
      </c>
      <c r="AH53">
        <v>0</v>
      </c>
      <c r="AI53" s="3">
        <v>0</v>
      </c>
      <c r="AJ53" s="1" t="s">
        <v>1635</v>
      </c>
      <c r="AK53" s="2" t="s">
        <v>1635</v>
      </c>
      <c r="AL53" s="4" t="s">
        <v>1636</v>
      </c>
      <c r="AM53" s="5" t="s">
        <v>1636</v>
      </c>
      <c r="AN53" s="4">
        <v>0</v>
      </c>
      <c r="AO53" t="s">
        <v>1635</v>
      </c>
      <c r="AP53" s="4" t="s">
        <v>1636</v>
      </c>
      <c r="AQ53" t="s">
        <v>1619</v>
      </c>
      <c r="AR53" t="s">
        <v>1620</v>
      </c>
      <c r="AS53" t="s">
        <v>1666</v>
      </c>
      <c r="AT53" s="16" t="str">
        <f>_xlfn.XLOOKUP(B53,'SWiSH Demand Forecast Sep-26'!D:D,'SWiSH Demand Forecast Sep-26'!G:G,"Not Exist")</f>
        <v>Not Exist</v>
      </c>
    </row>
    <row r="54" spans="1:46" x14ac:dyDescent="0.3">
      <c r="A54">
        <v>106800364</v>
      </c>
      <c r="B54" t="s">
        <v>1737</v>
      </c>
      <c r="C54" t="s">
        <v>10</v>
      </c>
      <c r="D54" t="s">
        <v>1699</v>
      </c>
      <c r="E54" t="s">
        <v>1655</v>
      </c>
      <c r="F54" t="s">
        <v>1664</v>
      </c>
      <c r="G54" t="s">
        <v>1624</v>
      </c>
      <c r="H54" t="s">
        <v>1665</v>
      </c>
      <c r="I54" t="s">
        <v>1634</v>
      </c>
      <c r="J54" t="s">
        <v>10</v>
      </c>
      <c r="K54">
        <v>0.01</v>
      </c>
      <c r="L54">
        <v>0</v>
      </c>
      <c r="M54" s="1">
        <v>7</v>
      </c>
      <c r="N54">
        <v>0</v>
      </c>
      <c r="O54">
        <v>0</v>
      </c>
      <c r="P54">
        <v>0</v>
      </c>
      <c r="Q54" s="1">
        <v>0</v>
      </c>
      <c r="R54">
        <v>0.01</v>
      </c>
      <c r="S54" s="2">
        <v>46167</v>
      </c>
      <c r="T54" s="2">
        <v>46187</v>
      </c>
      <c r="U54">
        <v>0</v>
      </c>
      <c r="V54">
        <v>68450</v>
      </c>
      <c r="W54">
        <v>0</v>
      </c>
      <c r="X54">
        <v>0</v>
      </c>
      <c r="Y54">
        <v>0</v>
      </c>
      <c r="Z54" s="8">
        <v>68450</v>
      </c>
      <c r="AA54">
        <v>17112.5</v>
      </c>
      <c r="AB54">
        <v>0</v>
      </c>
      <c r="AC54">
        <v>4</v>
      </c>
      <c r="AD54" s="1">
        <v>0</v>
      </c>
      <c r="AE54" s="2">
        <v>46248</v>
      </c>
      <c r="AF54" s="2">
        <v>46256</v>
      </c>
      <c r="AG54" s="2">
        <v>46263</v>
      </c>
      <c r="AH54">
        <v>0</v>
      </c>
      <c r="AI54" s="3">
        <v>0</v>
      </c>
      <c r="AJ54" s="1" t="s">
        <v>1635</v>
      </c>
      <c r="AK54" s="2" t="s">
        <v>1635</v>
      </c>
      <c r="AL54" s="4" t="s">
        <v>1658</v>
      </c>
      <c r="AM54" s="5" t="s">
        <v>1658</v>
      </c>
      <c r="AN54" s="4">
        <v>0</v>
      </c>
      <c r="AO54" t="s">
        <v>1635</v>
      </c>
      <c r="AP54" s="4" t="s">
        <v>1658</v>
      </c>
      <c r="AQ54" t="s">
        <v>1619</v>
      </c>
      <c r="AR54" t="s">
        <v>1620</v>
      </c>
      <c r="AT54" s="16" t="str">
        <f>_xlfn.XLOOKUP(B54,'SWiSH Demand Forecast Sep-26'!D:D,'SWiSH Demand Forecast Sep-26'!G:G,"Not Exist")</f>
        <v>Not Exist</v>
      </c>
    </row>
    <row r="55" spans="1:46" x14ac:dyDescent="0.3">
      <c r="A55">
        <v>106800370</v>
      </c>
      <c r="B55" t="s">
        <v>1738</v>
      </c>
      <c r="C55" t="s">
        <v>10</v>
      </c>
      <c r="D55" t="s">
        <v>1699</v>
      </c>
      <c r="E55" t="s">
        <v>1655</v>
      </c>
      <c r="F55" t="s">
        <v>1664</v>
      </c>
      <c r="G55" t="s">
        <v>1624</v>
      </c>
      <c r="H55" t="s">
        <v>1665</v>
      </c>
      <c r="I55" t="s">
        <v>1634</v>
      </c>
      <c r="J55" t="s">
        <v>10</v>
      </c>
      <c r="K55">
        <v>1.0999999999999999E-2</v>
      </c>
      <c r="L55">
        <v>0</v>
      </c>
      <c r="M55" s="1">
        <v>7</v>
      </c>
      <c r="N55">
        <v>0</v>
      </c>
      <c r="O55">
        <v>0</v>
      </c>
      <c r="P55">
        <v>0</v>
      </c>
      <c r="Q55" s="1">
        <v>0</v>
      </c>
      <c r="R55">
        <v>1.0999999999999999E-2</v>
      </c>
      <c r="S55" s="2">
        <v>46166</v>
      </c>
      <c r="T55" s="2">
        <v>46227</v>
      </c>
      <c r="U55">
        <v>0</v>
      </c>
      <c r="V55">
        <v>5000</v>
      </c>
      <c r="W55">
        <v>0</v>
      </c>
      <c r="X55">
        <v>0</v>
      </c>
      <c r="Y55">
        <v>0</v>
      </c>
      <c r="Z55" s="8">
        <v>5000</v>
      </c>
      <c r="AA55">
        <v>1250</v>
      </c>
      <c r="AB55">
        <v>0</v>
      </c>
      <c r="AC55">
        <v>4</v>
      </c>
      <c r="AD55" s="1">
        <v>0</v>
      </c>
      <c r="AE55" s="2">
        <v>46248</v>
      </c>
      <c r="AF55" s="2">
        <v>46256</v>
      </c>
      <c r="AG55" s="2">
        <v>46263</v>
      </c>
      <c r="AH55">
        <v>0</v>
      </c>
      <c r="AI55" s="3">
        <v>0</v>
      </c>
      <c r="AJ55" s="1" t="s">
        <v>1635</v>
      </c>
      <c r="AK55" s="2" t="s">
        <v>1635</v>
      </c>
      <c r="AL55" s="4" t="s">
        <v>1658</v>
      </c>
      <c r="AM55" s="5" t="s">
        <v>1658</v>
      </c>
      <c r="AN55" s="4">
        <v>0</v>
      </c>
      <c r="AO55" t="s">
        <v>1635</v>
      </c>
      <c r="AP55" s="4" t="s">
        <v>1658</v>
      </c>
      <c r="AQ55" t="s">
        <v>1619</v>
      </c>
      <c r="AR55" t="s">
        <v>1620</v>
      </c>
      <c r="AT55" s="16" t="str">
        <f>_xlfn.XLOOKUP(B55,'SWiSH Demand Forecast Sep-26'!D:D,'SWiSH Demand Forecast Sep-26'!G:G,"Not Exist")</f>
        <v>Not Exist</v>
      </c>
    </row>
    <row r="56" spans="1:46" x14ac:dyDescent="0.3">
      <c r="A56">
        <v>107200015</v>
      </c>
      <c r="B56" t="s">
        <v>1739</v>
      </c>
      <c r="C56" t="s">
        <v>10</v>
      </c>
      <c r="D56" t="s">
        <v>1629</v>
      </c>
      <c r="E56" t="s">
        <v>1638</v>
      </c>
      <c r="F56" t="s">
        <v>1656</v>
      </c>
      <c r="G56" t="s">
        <v>1690</v>
      </c>
      <c r="H56" t="s">
        <v>1657</v>
      </c>
      <c r="I56" t="s">
        <v>1634</v>
      </c>
      <c r="J56" t="s">
        <v>10</v>
      </c>
      <c r="K56">
        <v>1.75</v>
      </c>
      <c r="L56">
        <v>0</v>
      </c>
      <c r="M56" s="1">
        <v>15</v>
      </c>
      <c r="N56">
        <v>0</v>
      </c>
      <c r="O56">
        <v>0</v>
      </c>
      <c r="P56">
        <v>0</v>
      </c>
      <c r="Q56" s="1">
        <v>0</v>
      </c>
      <c r="R56">
        <v>1.75</v>
      </c>
      <c r="S56" s="2">
        <v>46127</v>
      </c>
      <c r="T56" s="2">
        <v>46135</v>
      </c>
      <c r="U56">
        <v>6</v>
      </c>
      <c r="V56">
        <v>0</v>
      </c>
      <c r="W56">
        <v>0</v>
      </c>
      <c r="X56">
        <v>0</v>
      </c>
      <c r="Y56">
        <v>0</v>
      </c>
      <c r="Z56" s="8">
        <v>6</v>
      </c>
      <c r="AA56">
        <v>1.5</v>
      </c>
      <c r="AB56">
        <v>0</v>
      </c>
      <c r="AC56">
        <v>4</v>
      </c>
      <c r="AD56" s="1">
        <v>0</v>
      </c>
      <c r="AE56" s="2">
        <v>46248</v>
      </c>
      <c r="AF56" s="2">
        <v>46256</v>
      </c>
      <c r="AG56" s="2">
        <v>46263</v>
      </c>
      <c r="AH56">
        <v>0</v>
      </c>
      <c r="AI56" s="3">
        <v>0</v>
      </c>
      <c r="AJ56" s="1" t="s">
        <v>1635</v>
      </c>
      <c r="AK56" s="2" t="s">
        <v>1635</v>
      </c>
      <c r="AL56" s="4" t="s">
        <v>1636</v>
      </c>
      <c r="AM56" s="5" t="s">
        <v>1636</v>
      </c>
      <c r="AN56" s="4">
        <v>0</v>
      </c>
      <c r="AO56" t="s">
        <v>1635</v>
      </c>
      <c r="AP56" s="4" t="s">
        <v>1636</v>
      </c>
      <c r="AQ56" t="s">
        <v>1619</v>
      </c>
      <c r="AR56" t="s">
        <v>1620</v>
      </c>
      <c r="AT56" s="16" t="str">
        <f>_xlfn.XLOOKUP(B56,'SWiSH Demand Forecast Sep-26'!D:D,'SWiSH Demand Forecast Sep-26'!G:G,"Not Exist")</f>
        <v>Not Exist</v>
      </c>
    </row>
    <row r="57" spans="1:46" x14ac:dyDescent="0.3">
      <c r="A57">
        <v>104200068</v>
      </c>
      <c r="B57" t="s">
        <v>1740</v>
      </c>
      <c r="C57" t="s">
        <v>10</v>
      </c>
      <c r="D57" t="s">
        <v>1629</v>
      </c>
      <c r="E57" t="s">
        <v>1638</v>
      </c>
      <c r="F57" t="s">
        <v>1631</v>
      </c>
      <c r="G57" t="s">
        <v>1704</v>
      </c>
      <c r="H57" t="s">
        <v>1633</v>
      </c>
      <c r="I57" t="s">
        <v>1634</v>
      </c>
      <c r="J57" t="s">
        <v>10</v>
      </c>
      <c r="K57">
        <v>50</v>
      </c>
      <c r="L57">
        <v>0</v>
      </c>
      <c r="M57" s="1">
        <v>30</v>
      </c>
      <c r="N57">
        <v>0</v>
      </c>
      <c r="O57">
        <v>0</v>
      </c>
      <c r="P57">
        <v>0</v>
      </c>
      <c r="Q57" s="1">
        <v>0</v>
      </c>
      <c r="R57">
        <v>50</v>
      </c>
      <c r="S57" s="2">
        <v>46121</v>
      </c>
      <c r="T57" s="2">
        <v>46132</v>
      </c>
      <c r="U57">
        <v>13</v>
      </c>
      <c r="V57">
        <v>0</v>
      </c>
      <c r="W57">
        <v>0</v>
      </c>
      <c r="X57">
        <v>0</v>
      </c>
      <c r="Y57">
        <v>0</v>
      </c>
      <c r="Z57" s="8">
        <v>13</v>
      </c>
      <c r="AA57">
        <v>3.25</v>
      </c>
      <c r="AB57">
        <v>0</v>
      </c>
      <c r="AC57">
        <v>4</v>
      </c>
      <c r="AD57" s="1">
        <v>0</v>
      </c>
      <c r="AE57" s="2">
        <v>46248</v>
      </c>
      <c r="AF57" s="2">
        <v>46256</v>
      </c>
      <c r="AG57" s="2">
        <v>46263</v>
      </c>
      <c r="AH57">
        <v>0</v>
      </c>
      <c r="AI57" s="3">
        <v>0</v>
      </c>
      <c r="AJ57" s="1" t="s">
        <v>1635</v>
      </c>
      <c r="AK57" s="2" t="s">
        <v>1635</v>
      </c>
      <c r="AL57" s="4" t="s">
        <v>1636</v>
      </c>
      <c r="AM57" s="5" t="s">
        <v>1636</v>
      </c>
      <c r="AN57" s="4">
        <v>0</v>
      </c>
      <c r="AO57" t="s">
        <v>1635</v>
      </c>
      <c r="AP57" s="4" t="s">
        <v>1636</v>
      </c>
      <c r="AQ57" t="s">
        <v>1619</v>
      </c>
      <c r="AR57" t="s">
        <v>1620</v>
      </c>
      <c r="AT57" s="16" t="str">
        <f>_xlfn.XLOOKUP(B57,'SWiSH Demand Forecast Sep-26'!D:D,'SWiSH Demand Forecast Sep-26'!G:G,"Not Exist")</f>
        <v>Not Exist</v>
      </c>
    </row>
    <row r="58" spans="1:46" x14ac:dyDescent="0.3">
      <c r="A58">
        <v>101400061</v>
      </c>
      <c r="B58" t="s">
        <v>1741</v>
      </c>
      <c r="C58" t="s">
        <v>240</v>
      </c>
      <c r="D58" t="s">
        <v>1629</v>
      </c>
      <c r="E58" t="s">
        <v>1742</v>
      </c>
      <c r="F58" t="s">
        <v>1644</v>
      </c>
      <c r="G58" t="s">
        <v>1624</v>
      </c>
      <c r="H58" t="s">
        <v>1693</v>
      </c>
      <c r="I58" t="s">
        <v>1634</v>
      </c>
      <c r="J58" t="s">
        <v>1743</v>
      </c>
      <c r="K58">
        <v>0.9</v>
      </c>
      <c r="L58">
        <v>0</v>
      </c>
      <c r="M58" s="1">
        <v>3</v>
      </c>
      <c r="N58">
        <v>0</v>
      </c>
      <c r="O58">
        <v>0</v>
      </c>
      <c r="P58">
        <v>0</v>
      </c>
      <c r="Q58" s="1">
        <v>0</v>
      </c>
      <c r="R58">
        <v>18</v>
      </c>
      <c r="S58" s="2">
        <v>46162</v>
      </c>
      <c r="T58" s="2">
        <v>46198</v>
      </c>
      <c r="U58">
        <v>1850</v>
      </c>
      <c r="V58">
        <v>2170</v>
      </c>
      <c r="W58">
        <v>780</v>
      </c>
      <c r="X58">
        <v>0</v>
      </c>
      <c r="Y58">
        <v>0</v>
      </c>
      <c r="Z58" s="8">
        <v>2170</v>
      </c>
      <c r="AA58">
        <v>1200</v>
      </c>
      <c r="AB58">
        <v>0</v>
      </c>
      <c r="AC58">
        <v>1.8083333333333333</v>
      </c>
      <c r="AD58" s="1">
        <v>0</v>
      </c>
      <c r="AE58" s="2">
        <v>46248</v>
      </c>
      <c r="AF58" s="2">
        <v>46256</v>
      </c>
      <c r="AG58" s="2">
        <v>46263</v>
      </c>
      <c r="AH58">
        <v>0</v>
      </c>
      <c r="AI58" s="3">
        <v>0</v>
      </c>
      <c r="AJ58" s="1" t="s">
        <v>1635</v>
      </c>
      <c r="AK58" s="2" t="s">
        <v>1635</v>
      </c>
      <c r="AL58" s="4" t="s">
        <v>1636</v>
      </c>
      <c r="AM58" s="5" t="s">
        <v>1636</v>
      </c>
      <c r="AN58" s="4">
        <v>0</v>
      </c>
      <c r="AO58" t="s">
        <v>1635</v>
      </c>
      <c r="AP58" s="4" t="s">
        <v>1636</v>
      </c>
      <c r="AQ58" t="s">
        <v>1619</v>
      </c>
      <c r="AR58" t="s">
        <v>1620</v>
      </c>
      <c r="AT58" s="16" t="str">
        <f>_xlfn.XLOOKUP(B58,'SWiSH Demand Forecast Sep-26'!D:D,'SWiSH Demand Forecast Sep-26'!G:G,"Not Exist")</f>
        <v>Not Exist</v>
      </c>
    </row>
    <row r="59" spans="1:46" x14ac:dyDescent="0.3">
      <c r="A59">
        <v>107200116</v>
      </c>
      <c r="B59" t="s">
        <v>1744</v>
      </c>
      <c r="C59" t="s">
        <v>10</v>
      </c>
      <c r="D59" t="s">
        <v>1613</v>
      </c>
      <c r="E59" t="s">
        <v>1745</v>
      </c>
      <c r="F59" t="s">
        <v>1656</v>
      </c>
      <c r="G59" t="s">
        <v>1624</v>
      </c>
      <c r="H59" t="s">
        <v>1657</v>
      </c>
      <c r="I59" t="s">
        <v>1634</v>
      </c>
      <c r="J59" t="s">
        <v>10</v>
      </c>
      <c r="K59">
        <v>2.5</v>
      </c>
      <c r="L59">
        <v>0</v>
      </c>
      <c r="M59" s="1">
        <v>15</v>
      </c>
      <c r="N59">
        <v>0</v>
      </c>
      <c r="O59">
        <v>0</v>
      </c>
      <c r="P59">
        <v>0</v>
      </c>
      <c r="Q59" s="1">
        <v>0</v>
      </c>
      <c r="R59">
        <v>2.5</v>
      </c>
      <c r="S59" s="2">
        <v>45792</v>
      </c>
      <c r="T59" s="2">
        <v>46137</v>
      </c>
      <c r="U59">
        <v>15</v>
      </c>
      <c r="V59">
        <v>0</v>
      </c>
      <c r="W59">
        <v>0</v>
      </c>
      <c r="X59">
        <v>0</v>
      </c>
      <c r="Y59">
        <v>0</v>
      </c>
      <c r="Z59" s="8">
        <v>15</v>
      </c>
      <c r="AA59">
        <v>3.75</v>
      </c>
      <c r="AB59">
        <v>0</v>
      </c>
      <c r="AC59">
        <v>4</v>
      </c>
      <c r="AD59" s="1">
        <v>0</v>
      </c>
      <c r="AE59" s="2">
        <v>46248</v>
      </c>
      <c r="AF59" s="2">
        <v>46256</v>
      </c>
      <c r="AG59" s="2">
        <v>46263</v>
      </c>
      <c r="AH59">
        <v>0</v>
      </c>
      <c r="AI59" s="3">
        <v>0</v>
      </c>
      <c r="AJ59" s="1" t="s">
        <v>1635</v>
      </c>
      <c r="AK59" s="2" t="s">
        <v>1635</v>
      </c>
      <c r="AL59" s="4" t="s">
        <v>1658</v>
      </c>
      <c r="AM59" s="5" t="s">
        <v>1658</v>
      </c>
      <c r="AN59" s="4">
        <v>0</v>
      </c>
      <c r="AO59" t="s">
        <v>1635</v>
      </c>
      <c r="AP59" s="4" t="s">
        <v>1658</v>
      </c>
      <c r="AQ59" t="s">
        <v>1619</v>
      </c>
      <c r="AR59" t="s">
        <v>1620</v>
      </c>
      <c r="AT59" s="16" t="str">
        <f>_xlfn.XLOOKUP(B59,'SWiSH Demand Forecast Sep-26'!D:D,'SWiSH Demand Forecast Sep-26'!G:G,"Not Exist")</f>
        <v>Not Exist</v>
      </c>
    </row>
    <row r="60" spans="1:46" x14ac:dyDescent="0.3">
      <c r="A60">
        <v>107200161</v>
      </c>
      <c r="B60" t="s">
        <v>1746</v>
      </c>
      <c r="C60" t="s">
        <v>10</v>
      </c>
      <c r="D60" t="s">
        <v>1675</v>
      </c>
      <c r="E60" t="s">
        <v>1638</v>
      </c>
      <c r="F60" t="s">
        <v>1656</v>
      </c>
      <c r="G60" t="s">
        <v>1624</v>
      </c>
      <c r="H60" t="s">
        <v>1657</v>
      </c>
      <c r="I60" t="s">
        <v>1634</v>
      </c>
      <c r="J60" t="s">
        <v>10</v>
      </c>
      <c r="K60">
        <v>3</v>
      </c>
      <c r="L60">
        <v>0</v>
      </c>
      <c r="M60" s="1">
        <v>15</v>
      </c>
      <c r="N60">
        <v>0</v>
      </c>
      <c r="O60">
        <v>0</v>
      </c>
      <c r="P60">
        <v>0</v>
      </c>
      <c r="Q60" s="1">
        <v>0</v>
      </c>
      <c r="R60">
        <v>3</v>
      </c>
      <c r="S60" s="2">
        <v>46202</v>
      </c>
      <c r="T60" s="2">
        <v>46203</v>
      </c>
      <c r="U60">
        <v>49</v>
      </c>
      <c r="V60">
        <v>0</v>
      </c>
      <c r="W60">
        <v>12</v>
      </c>
      <c r="X60">
        <v>0</v>
      </c>
      <c r="Y60">
        <v>0</v>
      </c>
      <c r="Z60" s="8">
        <v>49</v>
      </c>
      <c r="AA60">
        <v>15.25</v>
      </c>
      <c r="AB60">
        <v>0</v>
      </c>
      <c r="AC60">
        <v>3.2131147540983607</v>
      </c>
      <c r="AD60" s="1">
        <v>0</v>
      </c>
      <c r="AE60" s="2">
        <v>46248</v>
      </c>
      <c r="AF60" s="2">
        <v>46256</v>
      </c>
      <c r="AG60" s="2">
        <v>46263</v>
      </c>
      <c r="AH60">
        <v>0</v>
      </c>
      <c r="AI60" s="3">
        <v>0</v>
      </c>
      <c r="AJ60" s="1" t="s">
        <v>1635</v>
      </c>
      <c r="AK60" s="2" t="s">
        <v>1635</v>
      </c>
      <c r="AL60" s="4" t="s">
        <v>1658</v>
      </c>
      <c r="AM60" s="5" t="s">
        <v>1658</v>
      </c>
      <c r="AN60" s="4">
        <v>0</v>
      </c>
      <c r="AO60" t="s">
        <v>1635</v>
      </c>
      <c r="AP60" s="4" t="s">
        <v>1658</v>
      </c>
      <c r="AQ60" t="s">
        <v>1619</v>
      </c>
      <c r="AR60" t="s">
        <v>1620</v>
      </c>
      <c r="AT60" s="16" t="str">
        <f>_xlfn.XLOOKUP(B60,'SWiSH Demand Forecast Sep-26'!D:D,'SWiSH Demand Forecast Sep-26'!G:G,"Not Exist")</f>
        <v>Not Exist</v>
      </c>
    </row>
    <row r="61" spans="1:46" x14ac:dyDescent="0.3">
      <c r="A61">
        <v>106700114</v>
      </c>
      <c r="B61" t="s">
        <v>1747</v>
      </c>
      <c r="C61" t="s">
        <v>10</v>
      </c>
      <c r="D61" t="s">
        <v>1675</v>
      </c>
      <c r="E61" t="s">
        <v>1643</v>
      </c>
      <c r="F61" t="s">
        <v>1650</v>
      </c>
      <c r="G61" t="s">
        <v>1632</v>
      </c>
      <c r="H61" t="s">
        <v>1651</v>
      </c>
      <c r="I61" t="s">
        <v>1634</v>
      </c>
      <c r="J61" t="s">
        <v>10</v>
      </c>
      <c r="K61">
        <v>25</v>
      </c>
      <c r="L61">
        <v>0</v>
      </c>
      <c r="M61" s="1">
        <v>3</v>
      </c>
      <c r="N61">
        <v>0</v>
      </c>
      <c r="O61">
        <v>0</v>
      </c>
      <c r="P61">
        <v>0</v>
      </c>
      <c r="Q61" s="1">
        <v>0</v>
      </c>
      <c r="R61">
        <v>25</v>
      </c>
      <c r="S61" s="2">
        <v>46118</v>
      </c>
      <c r="T61" s="2">
        <v>46118</v>
      </c>
      <c r="U61">
        <v>3</v>
      </c>
      <c r="V61">
        <v>0</v>
      </c>
      <c r="W61">
        <v>0</v>
      </c>
      <c r="X61">
        <v>0</v>
      </c>
      <c r="Y61">
        <v>0</v>
      </c>
      <c r="Z61" s="8">
        <v>3</v>
      </c>
      <c r="AA61">
        <v>0.75</v>
      </c>
      <c r="AB61">
        <v>0</v>
      </c>
      <c r="AC61">
        <v>4</v>
      </c>
      <c r="AD61" s="1">
        <v>0</v>
      </c>
      <c r="AE61" s="2">
        <v>46248</v>
      </c>
      <c r="AF61" s="2">
        <v>46256</v>
      </c>
      <c r="AG61" s="2">
        <v>46263</v>
      </c>
      <c r="AH61">
        <v>0</v>
      </c>
      <c r="AI61" s="3">
        <v>0</v>
      </c>
      <c r="AJ61" s="1" t="s">
        <v>1635</v>
      </c>
      <c r="AK61" s="2" t="s">
        <v>1635</v>
      </c>
      <c r="AL61" s="4" t="s">
        <v>1658</v>
      </c>
      <c r="AM61" s="5" t="s">
        <v>1658</v>
      </c>
      <c r="AN61" s="4">
        <v>0</v>
      </c>
      <c r="AO61" t="s">
        <v>1635</v>
      </c>
      <c r="AP61" s="4" t="s">
        <v>1658</v>
      </c>
      <c r="AQ61" t="s">
        <v>1619</v>
      </c>
      <c r="AR61" t="s">
        <v>1620</v>
      </c>
      <c r="AT61" s="16" t="str">
        <f>_xlfn.XLOOKUP(B61,'SWiSH Demand Forecast Sep-26'!D:D,'SWiSH Demand Forecast Sep-26'!G:G,"Not Exist")</f>
        <v>Not Exist</v>
      </c>
    </row>
    <row r="62" spans="1:46" x14ac:dyDescent="0.3">
      <c r="A62">
        <v>106700115</v>
      </c>
      <c r="B62" t="s">
        <v>1748</v>
      </c>
      <c r="C62" t="s">
        <v>10</v>
      </c>
      <c r="D62" t="s">
        <v>1675</v>
      </c>
      <c r="E62" t="s">
        <v>1643</v>
      </c>
      <c r="F62" t="s">
        <v>1650</v>
      </c>
      <c r="G62" t="s">
        <v>1632</v>
      </c>
      <c r="H62" t="s">
        <v>1651</v>
      </c>
      <c r="I62" t="s">
        <v>1634</v>
      </c>
      <c r="J62" t="s">
        <v>10</v>
      </c>
      <c r="K62">
        <v>31</v>
      </c>
      <c r="L62">
        <v>0</v>
      </c>
      <c r="M62" s="1">
        <v>3</v>
      </c>
      <c r="N62">
        <v>0</v>
      </c>
      <c r="O62">
        <v>0</v>
      </c>
      <c r="P62">
        <v>0</v>
      </c>
      <c r="Q62" s="1">
        <v>0</v>
      </c>
      <c r="R62">
        <v>31</v>
      </c>
      <c r="S62" s="2">
        <v>46118</v>
      </c>
      <c r="T62" s="2">
        <v>46118</v>
      </c>
      <c r="U62">
        <v>2</v>
      </c>
      <c r="V62">
        <v>0</v>
      </c>
      <c r="W62">
        <v>0</v>
      </c>
      <c r="X62">
        <v>0</v>
      </c>
      <c r="Y62">
        <v>0</v>
      </c>
      <c r="Z62" s="8">
        <v>2</v>
      </c>
      <c r="AA62">
        <v>0.5</v>
      </c>
      <c r="AB62">
        <v>0</v>
      </c>
      <c r="AC62">
        <v>4</v>
      </c>
      <c r="AD62" s="1">
        <v>0</v>
      </c>
      <c r="AE62" s="2">
        <v>46248</v>
      </c>
      <c r="AF62" s="2">
        <v>46256</v>
      </c>
      <c r="AG62" s="2">
        <v>46263</v>
      </c>
      <c r="AH62">
        <v>0</v>
      </c>
      <c r="AI62" s="3">
        <v>0</v>
      </c>
      <c r="AJ62" s="1" t="s">
        <v>1635</v>
      </c>
      <c r="AK62" s="2" t="s">
        <v>1635</v>
      </c>
      <c r="AL62" s="4" t="s">
        <v>1658</v>
      </c>
      <c r="AM62" s="5" t="s">
        <v>1658</v>
      </c>
      <c r="AN62" s="4">
        <v>0</v>
      </c>
      <c r="AO62" t="s">
        <v>1635</v>
      </c>
      <c r="AP62" s="4" t="s">
        <v>1658</v>
      </c>
      <c r="AQ62" t="s">
        <v>1619</v>
      </c>
      <c r="AR62" t="s">
        <v>1620</v>
      </c>
      <c r="AT62" s="16" t="str">
        <f>_xlfn.XLOOKUP(B62,'SWiSH Demand Forecast Sep-26'!D:D,'SWiSH Demand Forecast Sep-26'!G:G,"Not Exist")</f>
        <v>Not Exist</v>
      </c>
    </row>
    <row r="63" spans="1:46" x14ac:dyDescent="0.3">
      <c r="A63">
        <v>106700116</v>
      </c>
      <c r="B63" t="s">
        <v>1749</v>
      </c>
      <c r="C63" t="s">
        <v>10</v>
      </c>
      <c r="D63" t="s">
        <v>1675</v>
      </c>
      <c r="E63" t="s">
        <v>1643</v>
      </c>
      <c r="F63" t="s">
        <v>1650</v>
      </c>
      <c r="G63" t="s">
        <v>1632</v>
      </c>
      <c r="H63" t="s">
        <v>1651</v>
      </c>
      <c r="I63" t="s">
        <v>1634</v>
      </c>
      <c r="J63" t="s">
        <v>10</v>
      </c>
      <c r="K63">
        <v>31</v>
      </c>
      <c r="L63">
        <v>0</v>
      </c>
      <c r="M63" s="1">
        <v>3</v>
      </c>
      <c r="N63">
        <v>0</v>
      </c>
      <c r="O63">
        <v>0</v>
      </c>
      <c r="P63">
        <v>0</v>
      </c>
      <c r="Q63" s="1">
        <v>0</v>
      </c>
      <c r="R63">
        <v>31</v>
      </c>
      <c r="S63" s="2">
        <v>46118</v>
      </c>
      <c r="T63" s="2">
        <v>46118</v>
      </c>
      <c r="U63">
        <v>2</v>
      </c>
      <c r="V63">
        <v>0</v>
      </c>
      <c r="W63">
        <v>0</v>
      </c>
      <c r="X63">
        <v>0</v>
      </c>
      <c r="Y63">
        <v>0</v>
      </c>
      <c r="Z63" s="8">
        <v>2</v>
      </c>
      <c r="AA63">
        <v>0.5</v>
      </c>
      <c r="AB63">
        <v>0</v>
      </c>
      <c r="AC63">
        <v>4</v>
      </c>
      <c r="AD63" s="1">
        <v>0</v>
      </c>
      <c r="AE63" s="2">
        <v>46248</v>
      </c>
      <c r="AF63" s="2">
        <v>46256</v>
      </c>
      <c r="AG63" s="2">
        <v>46263</v>
      </c>
      <c r="AH63">
        <v>0</v>
      </c>
      <c r="AI63" s="3">
        <v>0</v>
      </c>
      <c r="AJ63" s="1" t="s">
        <v>1635</v>
      </c>
      <c r="AK63" s="2" t="s">
        <v>1635</v>
      </c>
      <c r="AL63" s="4" t="s">
        <v>1658</v>
      </c>
      <c r="AM63" s="5" t="s">
        <v>1658</v>
      </c>
      <c r="AN63" s="4">
        <v>0</v>
      </c>
      <c r="AO63" t="s">
        <v>1635</v>
      </c>
      <c r="AP63" s="4" t="s">
        <v>1658</v>
      </c>
      <c r="AQ63" t="s">
        <v>1619</v>
      </c>
      <c r="AR63" t="s">
        <v>1620</v>
      </c>
      <c r="AT63" s="16" t="str">
        <f>_xlfn.XLOOKUP(B63,'SWiSH Demand Forecast Sep-26'!D:D,'SWiSH Demand Forecast Sep-26'!G:G,"Not Exist")</f>
        <v>Not Exist</v>
      </c>
    </row>
    <row r="64" spans="1:46" x14ac:dyDescent="0.3">
      <c r="A64">
        <v>106700117</v>
      </c>
      <c r="B64" t="s">
        <v>1750</v>
      </c>
      <c r="C64" t="s">
        <v>10</v>
      </c>
      <c r="D64" t="s">
        <v>1675</v>
      </c>
      <c r="E64" t="s">
        <v>1643</v>
      </c>
      <c r="F64" t="s">
        <v>1650</v>
      </c>
      <c r="G64" t="s">
        <v>1632</v>
      </c>
      <c r="H64" t="s">
        <v>1651</v>
      </c>
      <c r="I64" t="s">
        <v>1634</v>
      </c>
      <c r="J64" t="s">
        <v>10</v>
      </c>
      <c r="K64">
        <v>31</v>
      </c>
      <c r="L64">
        <v>0</v>
      </c>
      <c r="M64" s="1">
        <v>3</v>
      </c>
      <c r="N64">
        <v>0</v>
      </c>
      <c r="O64">
        <v>0</v>
      </c>
      <c r="P64">
        <v>0</v>
      </c>
      <c r="Q64" s="1">
        <v>0</v>
      </c>
      <c r="R64">
        <v>31</v>
      </c>
      <c r="S64" s="2">
        <v>46118</v>
      </c>
      <c r="T64" s="2">
        <v>46118</v>
      </c>
      <c r="U64">
        <v>2</v>
      </c>
      <c r="V64">
        <v>0</v>
      </c>
      <c r="W64">
        <v>0</v>
      </c>
      <c r="X64">
        <v>0</v>
      </c>
      <c r="Y64">
        <v>0</v>
      </c>
      <c r="Z64" s="8">
        <v>2</v>
      </c>
      <c r="AA64">
        <v>0.5</v>
      </c>
      <c r="AB64">
        <v>0</v>
      </c>
      <c r="AC64">
        <v>4</v>
      </c>
      <c r="AD64" s="1">
        <v>0</v>
      </c>
      <c r="AE64" s="2">
        <v>46248</v>
      </c>
      <c r="AF64" s="2">
        <v>46256</v>
      </c>
      <c r="AG64" s="2">
        <v>46263</v>
      </c>
      <c r="AH64">
        <v>0</v>
      </c>
      <c r="AI64" s="3">
        <v>0</v>
      </c>
      <c r="AJ64" s="1" t="s">
        <v>1635</v>
      </c>
      <c r="AK64" s="2" t="s">
        <v>1635</v>
      </c>
      <c r="AL64" s="4" t="s">
        <v>1658</v>
      </c>
      <c r="AM64" s="5" t="s">
        <v>1658</v>
      </c>
      <c r="AN64" s="4">
        <v>0</v>
      </c>
      <c r="AO64" t="s">
        <v>1635</v>
      </c>
      <c r="AP64" s="4" t="s">
        <v>1658</v>
      </c>
      <c r="AQ64" t="s">
        <v>1619</v>
      </c>
      <c r="AR64" t="s">
        <v>1620</v>
      </c>
      <c r="AT64" s="16" t="str">
        <f>_xlfn.XLOOKUP(B64,'SWiSH Demand Forecast Sep-26'!D:D,'SWiSH Demand Forecast Sep-26'!G:G,"Not Exist")</f>
        <v>Not Exist</v>
      </c>
    </row>
    <row r="65" spans="1:46" x14ac:dyDescent="0.3">
      <c r="A65">
        <v>103200002</v>
      </c>
      <c r="B65" t="s">
        <v>1751</v>
      </c>
      <c r="C65" t="s">
        <v>136</v>
      </c>
      <c r="D65" t="s">
        <v>1699</v>
      </c>
      <c r="E65" t="s">
        <v>1663</v>
      </c>
      <c r="F65" t="s">
        <v>1752</v>
      </c>
      <c r="G65" t="s">
        <v>1686</v>
      </c>
      <c r="H65" t="s">
        <v>1753</v>
      </c>
      <c r="I65" t="s">
        <v>1754</v>
      </c>
      <c r="J65" t="s">
        <v>1755</v>
      </c>
      <c r="K65">
        <v>4.1666666699999997</v>
      </c>
      <c r="L65">
        <v>0</v>
      </c>
      <c r="M65" s="1">
        <v>3</v>
      </c>
      <c r="N65">
        <v>0</v>
      </c>
      <c r="O65">
        <v>0</v>
      </c>
      <c r="P65">
        <v>0</v>
      </c>
      <c r="Q65" s="1">
        <v>0</v>
      </c>
      <c r="R65">
        <v>30</v>
      </c>
      <c r="S65" s="2">
        <v>46025</v>
      </c>
      <c r="T65" s="2">
        <v>46218</v>
      </c>
      <c r="U65">
        <v>0</v>
      </c>
      <c r="V65">
        <v>1.2</v>
      </c>
      <c r="W65">
        <v>6.5999999999999988</v>
      </c>
      <c r="X65">
        <v>1.2</v>
      </c>
      <c r="Y65">
        <v>0</v>
      </c>
      <c r="Z65" s="8">
        <v>6.5999999999999988</v>
      </c>
      <c r="AA65">
        <v>2.2499999999999996</v>
      </c>
      <c r="AB65">
        <v>0</v>
      </c>
      <c r="AC65">
        <v>2.9333333333333336</v>
      </c>
      <c r="AD65" s="1">
        <v>0</v>
      </c>
      <c r="AE65" s="2">
        <v>46248</v>
      </c>
      <c r="AF65" s="2">
        <v>46256</v>
      </c>
      <c r="AG65" s="2">
        <v>46263</v>
      </c>
      <c r="AH65">
        <v>0</v>
      </c>
      <c r="AI65" s="3">
        <v>0</v>
      </c>
      <c r="AJ65" s="1" t="s">
        <v>1635</v>
      </c>
      <c r="AK65" s="2" t="s">
        <v>1635</v>
      </c>
      <c r="AL65" s="4">
        <v>30</v>
      </c>
      <c r="AM65" s="5">
        <v>15</v>
      </c>
      <c r="AN65" s="4">
        <v>0</v>
      </c>
      <c r="AO65">
        <v>0</v>
      </c>
      <c r="AP65" s="4">
        <v>1</v>
      </c>
      <c r="AQ65" t="s">
        <v>1619</v>
      </c>
      <c r="AR65" t="s">
        <v>1620</v>
      </c>
      <c r="AT65" s="16" t="str">
        <f>_xlfn.XLOOKUP(B65,'SWiSH Demand Forecast Sep-26'!D:D,'SWiSH Demand Forecast Sep-26'!G:G,"Not Exist")</f>
        <v>Not Exist</v>
      </c>
    </row>
    <row r="66" spans="1:46" x14ac:dyDescent="0.3">
      <c r="A66">
        <v>107200065</v>
      </c>
      <c r="B66" t="s">
        <v>1756</v>
      </c>
      <c r="C66" t="s">
        <v>10</v>
      </c>
      <c r="D66" t="s">
        <v>1675</v>
      </c>
      <c r="E66" t="e">
        <v>#N/A</v>
      </c>
      <c r="F66" t="s">
        <v>1644</v>
      </c>
      <c r="G66" t="s">
        <v>1690</v>
      </c>
      <c r="H66" t="s">
        <v>1657</v>
      </c>
      <c r="I66" t="s">
        <v>1634</v>
      </c>
      <c r="J66" t="s">
        <v>10</v>
      </c>
      <c r="K66">
        <v>1.5</v>
      </c>
      <c r="L66">
        <v>0</v>
      </c>
      <c r="M66" s="1">
        <v>15</v>
      </c>
      <c r="N66">
        <v>0</v>
      </c>
      <c r="O66">
        <v>0</v>
      </c>
      <c r="P66">
        <v>0</v>
      </c>
      <c r="Q66" s="1">
        <v>0</v>
      </c>
      <c r="R66">
        <v>1.5</v>
      </c>
      <c r="S66" s="2">
        <v>46127</v>
      </c>
      <c r="T66" s="2">
        <v>46131</v>
      </c>
      <c r="U66">
        <v>50</v>
      </c>
      <c r="V66">
        <v>0</v>
      </c>
      <c r="W66">
        <v>0</v>
      </c>
      <c r="X66">
        <v>0</v>
      </c>
      <c r="Y66">
        <v>0</v>
      </c>
      <c r="Z66" s="8">
        <v>50</v>
      </c>
      <c r="AA66">
        <v>12.5</v>
      </c>
      <c r="AB66">
        <v>0</v>
      </c>
      <c r="AC66">
        <v>4</v>
      </c>
      <c r="AD66" s="1">
        <v>0</v>
      </c>
      <c r="AE66" s="2">
        <v>46248</v>
      </c>
      <c r="AF66" s="2">
        <v>46256</v>
      </c>
      <c r="AG66" s="2">
        <v>46263</v>
      </c>
      <c r="AH66">
        <v>0</v>
      </c>
      <c r="AI66" s="3">
        <v>0</v>
      </c>
      <c r="AJ66" s="1" t="s">
        <v>1635</v>
      </c>
      <c r="AK66" s="2" t="s">
        <v>1635</v>
      </c>
      <c r="AL66" s="4" t="s">
        <v>1658</v>
      </c>
      <c r="AM66" s="5" t="s">
        <v>1658</v>
      </c>
      <c r="AN66" s="4">
        <v>0</v>
      </c>
      <c r="AO66" t="s">
        <v>1635</v>
      </c>
      <c r="AP66" s="4" t="s">
        <v>1658</v>
      </c>
      <c r="AQ66" t="s">
        <v>1619</v>
      </c>
      <c r="AR66" t="s">
        <v>1620</v>
      </c>
      <c r="AT66" s="16" t="str">
        <f>_xlfn.XLOOKUP(B66,'SWiSH Demand Forecast Sep-26'!D:D,'SWiSH Demand Forecast Sep-26'!G:G,"Not Exist")</f>
        <v>Not Exist</v>
      </c>
    </row>
    <row r="67" spans="1:46" x14ac:dyDescent="0.3">
      <c r="A67">
        <v>107200082</v>
      </c>
      <c r="B67" t="s">
        <v>1757</v>
      </c>
      <c r="C67" t="s">
        <v>10</v>
      </c>
      <c r="D67" t="s">
        <v>1613</v>
      </c>
      <c r="E67" t="s">
        <v>1655</v>
      </c>
      <c r="F67" t="s">
        <v>1656</v>
      </c>
      <c r="G67" t="s">
        <v>1624</v>
      </c>
      <c r="H67" t="s">
        <v>1657</v>
      </c>
      <c r="I67" t="s">
        <v>1634</v>
      </c>
      <c r="J67" t="s">
        <v>10</v>
      </c>
      <c r="K67">
        <v>4</v>
      </c>
      <c r="L67">
        <v>0</v>
      </c>
      <c r="M67" s="1">
        <v>7</v>
      </c>
      <c r="N67">
        <v>0</v>
      </c>
      <c r="O67">
        <v>0</v>
      </c>
      <c r="P67">
        <v>0</v>
      </c>
      <c r="Q67" s="1">
        <v>0</v>
      </c>
      <c r="R67">
        <v>4</v>
      </c>
      <c r="S67" s="2">
        <v>46145</v>
      </c>
      <c r="T67" s="2">
        <v>46184</v>
      </c>
      <c r="U67">
        <v>0</v>
      </c>
      <c r="V67">
        <v>46</v>
      </c>
      <c r="W67">
        <v>0</v>
      </c>
      <c r="X67">
        <v>0</v>
      </c>
      <c r="Y67">
        <v>0</v>
      </c>
      <c r="Z67" s="8">
        <v>46</v>
      </c>
      <c r="AA67">
        <v>11.5</v>
      </c>
      <c r="AB67">
        <v>0</v>
      </c>
      <c r="AC67">
        <v>4</v>
      </c>
      <c r="AD67" s="1">
        <v>0</v>
      </c>
      <c r="AE67" s="2">
        <v>46248</v>
      </c>
      <c r="AF67" s="2">
        <v>46256</v>
      </c>
      <c r="AG67" s="2">
        <v>46263</v>
      </c>
      <c r="AH67">
        <v>0</v>
      </c>
      <c r="AI67" s="3">
        <v>0</v>
      </c>
      <c r="AJ67" s="1" t="s">
        <v>1635</v>
      </c>
      <c r="AK67" s="2" t="s">
        <v>1635</v>
      </c>
      <c r="AL67" s="4" t="s">
        <v>1658</v>
      </c>
      <c r="AM67" s="5" t="s">
        <v>1658</v>
      </c>
      <c r="AN67" s="4">
        <v>0</v>
      </c>
      <c r="AO67" t="s">
        <v>1635</v>
      </c>
      <c r="AP67" s="4" t="s">
        <v>1658</v>
      </c>
      <c r="AQ67" t="s">
        <v>1619</v>
      </c>
      <c r="AR67" t="s">
        <v>1620</v>
      </c>
      <c r="AT67" s="16" t="str">
        <f>_xlfn.XLOOKUP(B67,'SWiSH Demand Forecast Sep-26'!D:D,'SWiSH Demand Forecast Sep-26'!G:G,"Not Exist")</f>
        <v>Not Exist</v>
      </c>
    </row>
    <row r="68" spans="1:46" x14ac:dyDescent="0.3">
      <c r="A68">
        <v>104900018</v>
      </c>
      <c r="B68" t="s">
        <v>1758</v>
      </c>
      <c r="C68" t="s">
        <v>10</v>
      </c>
      <c r="D68" t="s">
        <v>1629</v>
      </c>
      <c r="E68" t="s">
        <v>1701</v>
      </c>
      <c r="F68" t="s">
        <v>1664</v>
      </c>
      <c r="G68" t="s">
        <v>1624</v>
      </c>
      <c r="H68" t="s">
        <v>1759</v>
      </c>
      <c r="I68" t="s">
        <v>1634</v>
      </c>
      <c r="J68" t="s">
        <v>10</v>
      </c>
      <c r="K68">
        <v>7.4999999999999997E-3</v>
      </c>
      <c r="L68">
        <v>0</v>
      </c>
      <c r="M68" s="1">
        <v>3</v>
      </c>
      <c r="N68">
        <v>0</v>
      </c>
      <c r="O68">
        <v>0</v>
      </c>
      <c r="P68">
        <v>0</v>
      </c>
      <c r="Q68" s="1">
        <v>0</v>
      </c>
      <c r="R68">
        <v>7.5</v>
      </c>
      <c r="S68" s="2">
        <v>46237</v>
      </c>
      <c r="T68" s="2">
        <v>46237</v>
      </c>
      <c r="U68">
        <v>2000</v>
      </c>
      <c r="V68">
        <v>3000</v>
      </c>
      <c r="W68">
        <v>8000</v>
      </c>
      <c r="X68">
        <v>0</v>
      </c>
      <c r="Y68">
        <v>0</v>
      </c>
      <c r="Z68" s="8">
        <v>8000</v>
      </c>
      <c r="AA68">
        <v>3250</v>
      </c>
      <c r="AB68">
        <v>0</v>
      </c>
      <c r="AC68">
        <v>2.4615384615384617</v>
      </c>
      <c r="AD68" s="1">
        <v>0</v>
      </c>
      <c r="AE68" s="2">
        <v>46248</v>
      </c>
      <c r="AF68" s="2">
        <v>46256</v>
      </c>
      <c r="AG68" s="2">
        <v>46263</v>
      </c>
      <c r="AH68">
        <v>5000</v>
      </c>
      <c r="AI68" s="3">
        <v>0.64655172413793105</v>
      </c>
      <c r="AJ68" s="1">
        <v>0</v>
      </c>
      <c r="AK68" s="2">
        <v>46263</v>
      </c>
      <c r="AL68" s="4" t="s">
        <v>1636</v>
      </c>
      <c r="AM68" s="5" t="s">
        <v>1636</v>
      </c>
      <c r="AN68" s="4">
        <v>0</v>
      </c>
      <c r="AO68" t="s">
        <v>1635</v>
      </c>
      <c r="AP68" s="4" t="s">
        <v>1636</v>
      </c>
      <c r="AQ68" t="s">
        <v>1619</v>
      </c>
      <c r="AR68" t="s">
        <v>1620</v>
      </c>
      <c r="AT68" s="16" t="str">
        <f>_xlfn.XLOOKUP(B68,'SWiSH Demand Forecast Sep-26'!D:D,'SWiSH Demand Forecast Sep-26'!G:G,"Not Exist")</f>
        <v>Not Exist</v>
      </c>
    </row>
    <row r="69" spans="1:46" hidden="1" x14ac:dyDescent="0.3">
      <c r="A69">
        <v>105900046</v>
      </c>
      <c r="B69" t="s">
        <v>155</v>
      </c>
      <c r="C69" t="s">
        <v>10</v>
      </c>
      <c r="D69" t="s">
        <v>1613</v>
      </c>
      <c r="E69" t="s">
        <v>1732</v>
      </c>
      <c r="F69" t="s">
        <v>1664</v>
      </c>
      <c r="G69" t="s">
        <v>1624</v>
      </c>
      <c r="H69" t="s">
        <v>1729</v>
      </c>
      <c r="I69" t="s">
        <v>1634</v>
      </c>
      <c r="J69" t="s">
        <v>1733</v>
      </c>
      <c r="K69">
        <v>4.1440000000000001E-3</v>
      </c>
      <c r="L69">
        <v>0</v>
      </c>
      <c r="M69" s="1">
        <v>90</v>
      </c>
      <c r="N69">
        <v>0</v>
      </c>
      <c r="O69">
        <v>0</v>
      </c>
      <c r="P69">
        <v>0</v>
      </c>
      <c r="Q69" s="1">
        <v>0</v>
      </c>
      <c r="R69">
        <v>4.1440000000000001</v>
      </c>
      <c r="S69" s="2">
        <v>46082</v>
      </c>
      <c r="T69" s="2">
        <v>46254</v>
      </c>
      <c r="U69">
        <v>20000</v>
      </c>
      <c r="V69">
        <v>20900</v>
      </c>
      <c r="W69">
        <v>3400</v>
      </c>
      <c r="X69">
        <v>0</v>
      </c>
      <c r="Y69">
        <v>0</v>
      </c>
      <c r="Z69" s="8">
        <v>20900</v>
      </c>
      <c r="AA69">
        <v>11075</v>
      </c>
      <c r="AB69">
        <v>0</v>
      </c>
      <c r="AC69">
        <v>1.8871331828442437</v>
      </c>
      <c r="AD69" s="1">
        <v>0</v>
      </c>
      <c r="AE69" s="2">
        <v>46248</v>
      </c>
      <c r="AF69" s="2">
        <v>46256</v>
      </c>
      <c r="AG69" s="2">
        <v>46263</v>
      </c>
      <c r="AH69">
        <v>0</v>
      </c>
      <c r="AI69" s="3">
        <v>0</v>
      </c>
      <c r="AJ69" s="1" t="s">
        <v>1635</v>
      </c>
      <c r="AK69" s="2" t="s">
        <v>1635</v>
      </c>
      <c r="AL69" s="4">
        <v>120</v>
      </c>
      <c r="AM69" s="5">
        <v>100</v>
      </c>
      <c r="AN69" s="4">
        <v>0</v>
      </c>
      <c r="AO69">
        <v>0</v>
      </c>
      <c r="AP69" s="4">
        <v>1</v>
      </c>
      <c r="AQ69" t="s">
        <v>1619</v>
      </c>
      <c r="AR69" t="s">
        <v>1620</v>
      </c>
      <c r="AT69" s="16">
        <f>_xlfn.XLOOKUP(B69,'SWiSH Demand Forecast Sep-26'!D:D,'SWiSH Demand Forecast Sep-26'!G:G,"Not Exist")</f>
        <v>11836</v>
      </c>
    </row>
    <row r="70" spans="1:46" x14ac:dyDescent="0.3">
      <c r="A70">
        <v>107200027</v>
      </c>
      <c r="B70" t="s">
        <v>1760</v>
      </c>
      <c r="C70" t="s">
        <v>10</v>
      </c>
      <c r="D70" t="s">
        <v>1675</v>
      </c>
      <c r="E70" t="s">
        <v>1685</v>
      </c>
      <c r="F70" t="s">
        <v>1656</v>
      </c>
      <c r="G70" t="s">
        <v>1686</v>
      </c>
      <c r="H70" t="s">
        <v>1657</v>
      </c>
      <c r="I70" t="s">
        <v>1634</v>
      </c>
      <c r="J70" t="s">
        <v>10</v>
      </c>
      <c r="K70">
        <v>1.75</v>
      </c>
      <c r="L70">
        <v>0</v>
      </c>
      <c r="M70" s="1">
        <v>15</v>
      </c>
      <c r="N70">
        <v>0</v>
      </c>
      <c r="O70">
        <v>0</v>
      </c>
      <c r="P70">
        <v>0</v>
      </c>
      <c r="Q70" s="1">
        <v>0</v>
      </c>
      <c r="R70">
        <v>1.75</v>
      </c>
      <c r="S70" s="2">
        <v>45615</v>
      </c>
      <c r="T70" s="2">
        <v>46201</v>
      </c>
      <c r="U70">
        <v>0</v>
      </c>
      <c r="V70">
        <v>3</v>
      </c>
      <c r="W70">
        <v>3</v>
      </c>
      <c r="X70">
        <v>0</v>
      </c>
      <c r="Y70">
        <v>0</v>
      </c>
      <c r="Z70" s="8">
        <v>3</v>
      </c>
      <c r="AA70">
        <v>1.5</v>
      </c>
      <c r="AB70">
        <v>0</v>
      </c>
      <c r="AC70">
        <v>2</v>
      </c>
      <c r="AD70" s="1">
        <v>0</v>
      </c>
      <c r="AE70" s="2">
        <v>46248</v>
      </c>
      <c r="AF70" s="2">
        <v>46256</v>
      </c>
      <c r="AG70" s="2">
        <v>46263</v>
      </c>
      <c r="AH70">
        <v>0</v>
      </c>
      <c r="AI70" s="3">
        <v>0</v>
      </c>
      <c r="AJ70" s="1" t="s">
        <v>1635</v>
      </c>
      <c r="AK70" s="2" t="s">
        <v>1635</v>
      </c>
      <c r="AL70" s="4" t="s">
        <v>1658</v>
      </c>
      <c r="AM70" s="5" t="s">
        <v>1658</v>
      </c>
      <c r="AN70" s="4">
        <v>0</v>
      </c>
      <c r="AO70" t="s">
        <v>1635</v>
      </c>
      <c r="AP70" s="4" t="s">
        <v>1658</v>
      </c>
      <c r="AQ70" t="s">
        <v>1619</v>
      </c>
      <c r="AR70" t="s">
        <v>1620</v>
      </c>
      <c r="AT70" s="16" t="str">
        <f>_xlfn.XLOOKUP(B70,'SWiSH Demand Forecast Sep-26'!D:D,'SWiSH Demand Forecast Sep-26'!G:G,"Not Exist")</f>
        <v>Not Exist</v>
      </c>
    </row>
    <row r="71" spans="1:46" x14ac:dyDescent="0.3">
      <c r="A71">
        <v>106401137</v>
      </c>
      <c r="B71" t="s">
        <v>1761</v>
      </c>
      <c r="C71" t="s">
        <v>10</v>
      </c>
      <c r="D71" t="s">
        <v>1613</v>
      </c>
      <c r="E71" t="s">
        <v>1762</v>
      </c>
      <c r="F71" t="s">
        <v>1763</v>
      </c>
      <c r="G71" t="s">
        <v>1624</v>
      </c>
      <c r="H71" t="s">
        <v>1764</v>
      </c>
      <c r="I71" t="s">
        <v>1754</v>
      </c>
      <c r="J71" t="e">
        <v>#N/A</v>
      </c>
      <c r="K71">
        <v>0.51539453999999996</v>
      </c>
      <c r="L71">
        <v>0.51539453999999996</v>
      </c>
      <c r="M71" s="1">
        <v>15</v>
      </c>
      <c r="N71">
        <v>0</v>
      </c>
      <c r="O71">
        <v>0</v>
      </c>
      <c r="P71">
        <v>1</v>
      </c>
      <c r="Q71" s="1">
        <v>1</v>
      </c>
      <c r="R71">
        <v>0</v>
      </c>
      <c r="S71" s="2">
        <v>0</v>
      </c>
      <c r="T71" s="2">
        <v>46212</v>
      </c>
      <c r="U71">
        <v>142</v>
      </c>
      <c r="V71">
        <v>120</v>
      </c>
      <c r="W71">
        <v>48</v>
      </c>
      <c r="X71">
        <v>48</v>
      </c>
      <c r="Y71">
        <v>48</v>
      </c>
      <c r="Z71" s="8">
        <v>142</v>
      </c>
      <c r="AA71">
        <v>89.5</v>
      </c>
      <c r="AB71">
        <v>0.53631284916201116</v>
      </c>
      <c r="AC71">
        <v>1.5865921787709498</v>
      </c>
      <c r="AD71" s="1">
        <v>0</v>
      </c>
      <c r="AE71" s="2">
        <v>46248</v>
      </c>
      <c r="AF71" s="2">
        <v>46256</v>
      </c>
      <c r="AG71" s="2">
        <v>46263</v>
      </c>
      <c r="AH71">
        <v>0</v>
      </c>
      <c r="AI71" s="3">
        <v>0</v>
      </c>
      <c r="AJ71" s="1" t="s">
        <v>1635</v>
      </c>
      <c r="AK71" s="2" t="s">
        <v>1635</v>
      </c>
      <c r="AL71" s="4" t="s">
        <v>1658</v>
      </c>
      <c r="AM71" s="5" t="s">
        <v>1658</v>
      </c>
      <c r="AN71" s="4">
        <v>0</v>
      </c>
      <c r="AO71" t="s">
        <v>1635</v>
      </c>
      <c r="AP71" s="4" t="s">
        <v>1658</v>
      </c>
      <c r="AQ71" t="s">
        <v>1619</v>
      </c>
      <c r="AR71" t="s">
        <v>1620</v>
      </c>
      <c r="AT71" s="16" t="str">
        <f>_xlfn.XLOOKUP(B71,'SWiSH Demand Forecast Sep-26'!D:D,'SWiSH Demand Forecast Sep-26'!G:G,"Not Exist")</f>
        <v>Not Exist</v>
      </c>
    </row>
    <row r="72" spans="1:46" x14ac:dyDescent="0.3">
      <c r="A72">
        <v>106800334</v>
      </c>
      <c r="B72" t="s">
        <v>1765</v>
      </c>
      <c r="C72" t="s">
        <v>10</v>
      </c>
      <c r="D72" t="s">
        <v>1629</v>
      </c>
      <c r="E72" t="s">
        <v>1638</v>
      </c>
      <c r="F72" t="s">
        <v>1664</v>
      </c>
      <c r="G72" t="s">
        <v>1624</v>
      </c>
      <c r="H72" t="s">
        <v>1665</v>
      </c>
      <c r="I72" t="s">
        <v>1634</v>
      </c>
      <c r="J72" t="s">
        <v>10</v>
      </c>
      <c r="K72">
        <v>4.4400000000000004E-3</v>
      </c>
      <c r="L72">
        <v>0</v>
      </c>
      <c r="M72" s="1">
        <v>7</v>
      </c>
      <c r="N72">
        <v>0</v>
      </c>
      <c r="O72">
        <v>0</v>
      </c>
      <c r="P72">
        <v>0</v>
      </c>
      <c r="Q72" s="1">
        <v>0</v>
      </c>
      <c r="R72">
        <v>4.4400000000000004E-3</v>
      </c>
      <c r="S72" s="2">
        <v>46149</v>
      </c>
      <c r="T72" s="2">
        <v>46154</v>
      </c>
      <c r="U72">
        <v>29000</v>
      </c>
      <c r="V72">
        <v>7500</v>
      </c>
      <c r="W72">
        <v>0</v>
      </c>
      <c r="X72">
        <v>0</v>
      </c>
      <c r="Y72">
        <v>0</v>
      </c>
      <c r="Z72" s="8">
        <v>29000</v>
      </c>
      <c r="AA72">
        <v>9125</v>
      </c>
      <c r="AB72">
        <v>0</v>
      </c>
      <c r="AC72">
        <v>3.1780821917808217</v>
      </c>
      <c r="AD72" s="1">
        <v>0</v>
      </c>
      <c r="AE72" s="2">
        <v>46248</v>
      </c>
      <c r="AF72" s="2">
        <v>46256</v>
      </c>
      <c r="AG72" s="2">
        <v>46263</v>
      </c>
      <c r="AH72">
        <v>0</v>
      </c>
      <c r="AI72" s="3">
        <v>0</v>
      </c>
      <c r="AJ72" s="1" t="s">
        <v>1635</v>
      </c>
      <c r="AK72" s="2" t="s">
        <v>1635</v>
      </c>
      <c r="AL72" s="4" t="s">
        <v>1658</v>
      </c>
      <c r="AM72" s="5" t="s">
        <v>1658</v>
      </c>
      <c r="AN72" s="4">
        <v>0</v>
      </c>
      <c r="AO72" t="s">
        <v>1635</v>
      </c>
      <c r="AP72" s="4" t="s">
        <v>1658</v>
      </c>
      <c r="AQ72" t="s">
        <v>1619</v>
      </c>
      <c r="AR72" t="s">
        <v>1620</v>
      </c>
      <c r="AS72" t="s">
        <v>1666</v>
      </c>
      <c r="AT72" s="16" t="str">
        <f>_xlfn.XLOOKUP(B72,'SWiSH Demand Forecast Sep-26'!D:D,'SWiSH Demand Forecast Sep-26'!G:G,"Not Exist")</f>
        <v>Not Exist</v>
      </c>
    </row>
    <row r="73" spans="1:46" x14ac:dyDescent="0.3">
      <c r="A73">
        <v>101600086</v>
      </c>
      <c r="B73" t="s">
        <v>1766</v>
      </c>
      <c r="C73" t="s">
        <v>10</v>
      </c>
      <c r="D73" t="s">
        <v>1629</v>
      </c>
      <c r="E73" t="s">
        <v>1767</v>
      </c>
      <c r="F73" t="s">
        <v>1664</v>
      </c>
      <c r="G73" t="s">
        <v>1624</v>
      </c>
      <c r="H73" t="s">
        <v>1768</v>
      </c>
      <c r="I73" t="s">
        <v>1634</v>
      </c>
      <c r="J73" t="s">
        <v>10</v>
      </c>
      <c r="K73">
        <v>0.03</v>
      </c>
      <c r="L73">
        <v>0</v>
      </c>
      <c r="M73" s="1">
        <v>15</v>
      </c>
      <c r="N73">
        <v>0</v>
      </c>
      <c r="O73">
        <v>0</v>
      </c>
      <c r="P73">
        <v>0</v>
      </c>
      <c r="Q73" s="1">
        <v>0</v>
      </c>
      <c r="R73">
        <v>3</v>
      </c>
      <c r="S73" s="2">
        <v>46128</v>
      </c>
      <c r="T73" s="2">
        <v>46218</v>
      </c>
      <c r="U73">
        <v>38700</v>
      </c>
      <c r="V73">
        <v>9900</v>
      </c>
      <c r="W73">
        <v>5700</v>
      </c>
      <c r="X73">
        <v>3600</v>
      </c>
      <c r="Y73">
        <v>3600</v>
      </c>
      <c r="Z73" s="8">
        <v>38700</v>
      </c>
      <c r="AA73">
        <v>14475</v>
      </c>
      <c r="AB73">
        <v>0.24870466321243523</v>
      </c>
      <c r="AC73">
        <v>2.6735751295336789</v>
      </c>
      <c r="AD73" s="1">
        <v>0</v>
      </c>
      <c r="AE73" s="2">
        <v>46248</v>
      </c>
      <c r="AF73" s="2">
        <v>46256</v>
      </c>
      <c r="AG73" s="2">
        <v>46263</v>
      </c>
      <c r="AH73">
        <v>0</v>
      </c>
      <c r="AI73" s="3">
        <v>0</v>
      </c>
      <c r="AJ73" s="1" t="s">
        <v>1635</v>
      </c>
      <c r="AK73" s="2" t="s">
        <v>1635</v>
      </c>
      <c r="AL73" s="4" t="s">
        <v>1636</v>
      </c>
      <c r="AM73" s="5" t="s">
        <v>1636</v>
      </c>
      <c r="AN73" s="4">
        <v>0</v>
      </c>
      <c r="AO73" t="s">
        <v>1635</v>
      </c>
      <c r="AP73" s="4" t="s">
        <v>1636</v>
      </c>
      <c r="AQ73" t="s">
        <v>1619</v>
      </c>
      <c r="AR73" t="s">
        <v>1620</v>
      </c>
      <c r="AS73" t="s">
        <v>1666</v>
      </c>
      <c r="AT73" s="16" t="str">
        <f>_xlfn.XLOOKUP(B73,'SWiSH Demand Forecast Sep-26'!D:D,'SWiSH Demand Forecast Sep-26'!G:G,"Not Exist")</f>
        <v>Not Exist</v>
      </c>
    </row>
    <row r="74" spans="1:46" x14ac:dyDescent="0.3">
      <c r="A74">
        <v>106700044</v>
      </c>
      <c r="B74" t="s">
        <v>1769</v>
      </c>
      <c r="C74" t="s">
        <v>10</v>
      </c>
      <c r="D74" t="s">
        <v>1675</v>
      </c>
      <c r="E74" t="s">
        <v>1643</v>
      </c>
      <c r="F74" t="s">
        <v>1650</v>
      </c>
      <c r="G74" t="s">
        <v>1704</v>
      </c>
      <c r="H74" t="s">
        <v>1651</v>
      </c>
      <c r="I74" t="s">
        <v>1634</v>
      </c>
      <c r="J74" t="s">
        <v>10</v>
      </c>
      <c r="K74">
        <v>0.04</v>
      </c>
      <c r="L74">
        <v>0</v>
      </c>
      <c r="M74" s="1">
        <v>3</v>
      </c>
      <c r="N74">
        <v>0</v>
      </c>
      <c r="O74">
        <v>0</v>
      </c>
      <c r="P74">
        <v>0</v>
      </c>
      <c r="Q74" s="1">
        <v>0</v>
      </c>
      <c r="R74">
        <v>0.04</v>
      </c>
      <c r="S74" s="2">
        <v>44416</v>
      </c>
      <c r="T74" s="2">
        <v>46148</v>
      </c>
      <c r="U74">
        <v>0</v>
      </c>
      <c r="V74">
        <v>1700</v>
      </c>
      <c r="W74">
        <v>0</v>
      </c>
      <c r="X74">
        <v>0</v>
      </c>
      <c r="Y74">
        <v>0</v>
      </c>
      <c r="Z74" s="8">
        <v>1700</v>
      </c>
      <c r="AA74">
        <v>425</v>
      </c>
      <c r="AB74">
        <v>0</v>
      </c>
      <c r="AC74">
        <v>4</v>
      </c>
      <c r="AD74" s="1">
        <v>0</v>
      </c>
      <c r="AE74" s="2">
        <v>46248</v>
      </c>
      <c r="AF74" s="2">
        <v>46256</v>
      </c>
      <c r="AG74" s="2">
        <v>46263</v>
      </c>
      <c r="AH74">
        <v>0</v>
      </c>
      <c r="AI74" s="3">
        <v>0</v>
      </c>
      <c r="AJ74" s="1" t="s">
        <v>1635</v>
      </c>
      <c r="AK74" s="2" t="s">
        <v>1635</v>
      </c>
      <c r="AL74" s="4" t="s">
        <v>1658</v>
      </c>
      <c r="AM74" s="5" t="s">
        <v>1658</v>
      </c>
      <c r="AN74" s="4">
        <v>0</v>
      </c>
      <c r="AO74" t="s">
        <v>1635</v>
      </c>
      <c r="AP74" s="4" t="s">
        <v>1658</v>
      </c>
      <c r="AQ74" t="s">
        <v>1619</v>
      </c>
      <c r="AR74" t="s">
        <v>1620</v>
      </c>
      <c r="AT74" s="16" t="str">
        <f>_xlfn.XLOOKUP(B74,'SWiSH Demand Forecast Sep-26'!D:D,'SWiSH Demand Forecast Sep-26'!G:G,"Not Exist")</f>
        <v>Not Exist</v>
      </c>
    </row>
    <row r="75" spans="1:46" x14ac:dyDescent="0.3">
      <c r="A75">
        <v>106700092</v>
      </c>
      <c r="B75" t="s">
        <v>1770</v>
      </c>
      <c r="C75" t="s">
        <v>10</v>
      </c>
      <c r="D75" t="s">
        <v>1675</v>
      </c>
      <c r="E75" t="s">
        <v>1643</v>
      </c>
      <c r="F75" t="s">
        <v>1650</v>
      </c>
      <c r="G75" t="s">
        <v>1704</v>
      </c>
      <c r="H75" t="s">
        <v>1651</v>
      </c>
      <c r="I75" t="s">
        <v>1634</v>
      </c>
      <c r="J75" t="s">
        <v>10</v>
      </c>
      <c r="K75">
        <v>17.5</v>
      </c>
      <c r="L75">
        <v>0</v>
      </c>
      <c r="M75" s="1">
        <v>7</v>
      </c>
      <c r="N75">
        <v>0</v>
      </c>
      <c r="O75">
        <v>0</v>
      </c>
      <c r="P75">
        <v>0</v>
      </c>
      <c r="Q75" s="1">
        <v>0</v>
      </c>
      <c r="R75">
        <v>17.5</v>
      </c>
      <c r="S75" s="2">
        <v>43844</v>
      </c>
      <c r="T75" s="2">
        <v>46173</v>
      </c>
      <c r="U75">
        <v>0</v>
      </c>
      <c r="V75">
        <v>4</v>
      </c>
      <c r="W75">
        <v>0</v>
      </c>
      <c r="X75">
        <v>0</v>
      </c>
      <c r="Y75">
        <v>0</v>
      </c>
      <c r="Z75" s="8">
        <v>4</v>
      </c>
      <c r="AA75">
        <v>1</v>
      </c>
      <c r="AB75">
        <v>0</v>
      </c>
      <c r="AC75">
        <v>4</v>
      </c>
      <c r="AD75" s="1">
        <v>0</v>
      </c>
      <c r="AE75" s="2">
        <v>46248</v>
      </c>
      <c r="AF75" s="2">
        <v>46256</v>
      </c>
      <c r="AG75" s="2">
        <v>46263</v>
      </c>
      <c r="AH75">
        <v>0</v>
      </c>
      <c r="AI75" s="3">
        <v>0</v>
      </c>
      <c r="AJ75" s="1" t="s">
        <v>1635</v>
      </c>
      <c r="AK75" s="2" t="s">
        <v>1635</v>
      </c>
      <c r="AL75" s="4" t="s">
        <v>1658</v>
      </c>
      <c r="AM75" s="5" t="s">
        <v>1658</v>
      </c>
      <c r="AN75" s="4">
        <v>0</v>
      </c>
      <c r="AO75" t="s">
        <v>1635</v>
      </c>
      <c r="AP75" s="4" t="s">
        <v>1658</v>
      </c>
      <c r="AQ75" t="s">
        <v>1619</v>
      </c>
      <c r="AR75" t="s">
        <v>1620</v>
      </c>
      <c r="AT75" s="16" t="str">
        <f>_xlfn.XLOOKUP(B75,'SWiSH Demand Forecast Sep-26'!D:D,'SWiSH Demand Forecast Sep-26'!G:G,"Not Exist")</f>
        <v>Not Exist</v>
      </c>
    </row>
    <row r="76" spans="1:46" hidden="1" x14ac:dyDescent="0.3">
      <c r="A76">
        <v>105900004</v>
      </c>
      <c r="B76" t="s">
        <v>99</v>
      </c>
      <c r="C76" t="s">
        <v>10</v>
      </c>
      <c r="D76" t="s">
        <v>1613</v>
      </c>
      <c r="E76" t="s">
        <v>1732</v>
      </c>
      <c r="F76" t="s">
        <v>1664</v>
      </c>
      <c r="G76" t="s">
        <v>1624</v>
      </c>
      <c r="H76" t="s">
        <v>1729</v>
      </c>
      <c r="I76" t="s">
        <v>1634</v>
      </c>
      <c r="J76" t="s">
        <v>1733</v>
      </c>
      <c r="K76">
        <v>5.2030000000000002E-3</v>
      </c>
      <c r="L76">
        <v>0</v>
      </c>
      <c r="M76" s="1">
        <v>90</v>
      </c>
      <c r="N76">
        <v>0</v>
      </c>
      <c r="O76">
        <v>0</v>
      </c>
      <c r="P76">
        <v>0</v>
      </c>
      <c r="Q76" s="1">
        <v>0</v>
      </c>
      <c r="R76">
        <v>5.2030000000000003</v>
      </c>
      <c r="S76" s="2">
        <v>46082</v>
      </c>
      <c r="T76" s="2">
        <v>46261</v>
      </c>
      <c r="U76">
        <v>9100</v>
      </c>
      <c r="V76">
        <v>11900</v>
      </c>
      <c r="W76">
        <v>10200</v>
      </c>
      <c r="X76">
        <v>1700</v>
      </c>
      <c r="Y76">
        <v>1700</v>
      </c>
      <c r="Z76" s="8">
        <v>11900</v>
      </c>
      <c r="AA76">
        <v>8225</v>
      </c>
      <c r="AB76">
        <v>0.20668693009118541</v>
      </c>
      <c r="AC76">
        <v>1.446808510638298</v>
      </c>
      <c r="AD76" s="1">
        <v>0</v>
      </c>
      <c r="AE76" s="2">
        <v>46248</v>
      </c>
      <c r="AF76" s="2">
        <v>46256</v>
      </c>
      <c r="AG76" s="2">
        <v>46263</v>
      </c>
      <c r="AH76">
        <v>0</v>
      </c>
      <c r="AI76" s="3">
        <v>0</v>
      </c>
      <c r="AJ76" s="1" t="s">
        <v>1635</v>
      </c>
      <c r="AK76" s="2" t="s">
        <v>1635</v>
      </c>
      <c r="AL76" s="4">
        <v>120</v>
      </c>
      <c r="AM76" s="5">
        <v>100</v>
      </c>
      <c r="AN76" s="4">
        <v>0</v>
      </c>
      <c r="AO76">
        <v>0</v>
      </c>
      <c r="AP76" s="4">
        <v>1</v>
      </c>
      <c r="AQ76" t="s">
        <v>1619</v>
      </c>
      <c r="AR76" t="s">
        <v>1620</v>
      </c>
      <c r="AT76" s="16">
        <f>_xlfn.XLOOKUP(B76,'SWiSH Demand Forecast Sep-26'!D:D,'SWiSH Demand Forecast Sep-26'!G:G,"Not Exist")</f>
        <v>19186</v>
      </c>
    </row>
    <row r="77" spans="1:46" x14ac:dyDescent="0.3">
      <c r="A77">
        <v>107200209</v>
      </c>
      <c r="B77" t="s">
        <v>1771</v>
      </c>
      <c r="C77" t="s">
        <v>10</v>
      </c>
      <c r="D77" t="s">
        <v>1613</v>
      </c>
      <c r="E77" t="s">
        <v>1732</v>
      </c>
      <c r="F77" t="s">
        <v>1656</v>
      </c>
      <c r="G77" t="s">
        <v>1624</v>
      </c>
      <c r="H77" t="s">
        <v>1657</v>
      </c>
      <c r="I77" t="s">
        <v>1634</v>
      </c>
      <c r="J77" t="s">
        <v>10</v>
      </c>
      <c r="K77">
        <v>5.75</v>
      </c>
      <c r="L77">
        <v>0</v>
      </c>
      <c r="M77" s="1">
        <v>7</v>
      </c>
      <c r="N77">
        <v>0</v>
      </c>
      <c r="O77">
        <v>0</v>
      </c>
      <c r="P77">
        <v>0</v>
      </c>
      <c r="Q77" s="1">
        <v>0</v>
      </c>
      <c r="R77">
        <v>5.75</v>
      </c>
      <c r="S77" s="2">
        <v>46190</v>
      </c>
      <c r="T77" s="2">
        <v>46196</v>
      </c>
      <c r="U77">
        <v>6</v>
      </c>
      <c r="V77">
        <v>0</v>
      </c>
      <c r="W77">
        <v>3</v>
      </c>
      <c r="X77">
        <v>0</v>
      </c>
      <c r="Y77">
        <v>0</v>
      </c>
      <c r="Z77" s="8">
        <v>6</v>
      </c>
      <c r="AA77">
        <v>2.25</v>
      </c>
      <c r="AB77">
        <v>0</v>
      </c>
      <c r="AC77">
        <v>2.6666666666666665</v>
      </c>
      <c r="AD77" s="1">
        <v>0</v>
      </c>
      <c r="AE77" s="2">
        <v>46248</v>
      </c>
      <c r="AF77" s="2">
        <v>46256</v>
      </c>
      <c r="AG77" s="2">
        <v>46263</v>
      </c>
      <c r="AH77">
        <v>0</v>
      </c>
      <c r="AI77" s="3">
        <v>0</v>
      </c>
      <c r="AJ77" s="1" t="s">
        <v>1635</v>
      </c>
      <c r="AK77" s="2" t="s">
        <v>1635</v>
      </c>
      <c r="AL77" s="4" t="s">
        <v>1658</v>
      </c>
      <c r="AM77" s="5" t="s">
        <v>1658</v>
      </c>
      <c r="AN77" s="4">
        <v>0</v>
      </c>
      <c r="AO77" t="s">
        <v>1635</v>
      </c>
      <c r="AP77" s="4" t="s">
        <v>1658</v>
      </c>
      <c r="AQ77">
        <v>3</v>
      </c>
      <c r="AR77" t="s">
        <v>1702</v>
      </c>
      <c r="AS77" t="s">
        <v>1666</v>
      </c>
      <c r="AT77" s="16" t="str">
        <f>_xlfn.XLOOKUP(B77,'SWiSH Demand Forecast Sep-26'!D:D,'SWiSH Demand Forecast Sep-26'!G:G,"Not Exist")</f>
        <v>Not Exist</v>
      </c>
    </row>
    <row r="78" spans="1:46" x14ac:dyDescent="0.3">
      <c r="A78">
        <v>106800354</v>
      </c>
      <c r="B78" t="s">
        <v>1772</v>
      </c>
      <c r="C78" t="s">
        <v>10</v>
      </c>
      <c r="D78" t="s">
        <v>1629</v>
      </c>
      <c r="E78" t="s">
        <v>1685</v>
      </c>
      <c r="F78" t="s">
        <v>1664</v>
      </c>
      <c r="G78" t="s">
        <v>1624</v>
      </c>
      <c r="H78" t="s">
        <v>1665</v>
      </c>
      <c r="I78" t="s">
        <v>1634</v>
      </c>
      <c r="J78" t="s">
        <v>10</v>
      </c>
      <c r="K78">
        <v>1.3299999999999999E-2</v>
      </c>
      <c r="L78">
        <v>0</v>
      </c>
      <c r="M78" s="1">
        <v>7</v>
      </c>
      <c r="N78">
        <v>0</v>
      </c>
      <c r="O78">
        <v>0</v>
      </c>
      <c r="P78">
        <v>0</v>
      </c>
      <c r="Q78" s="1">
        <v>0</v>
      </c>
      <c r="R78">
        <v>1.3299999999999999E-2</v>
      </c>
      <c r="S78" s="2">
        <v>46149</v>
      </c>
      <c r="T78" s="2">
        <v>46181</v>
      </c>
      <c r="U78">
        <v>0</v>
      </c>
      <c r="V78">
        <v>1000</v>
      </c>
      <c r="W78">
        <v>500</v>
      </c>
      <c r="X78">
        <v>0</v>
      </c>
      <c r="Y78">
        <v>0</v>
      </c>
      <c r="Z78" s="8">
        <v>1000</v>
      </c>
      <c r="AA78">
        <v>375</v>
      </c>
      <c r="AB78">
        <v>0</v>
      </c>
      <c r="AC78">
        <v>2.6666666666666665</v>
      </c>
      <c r="AD78" s="1">
        <v>0</v>
      </c>
      <c r="AE78" s="2">
        <v>46248</v>
      </c>
      <c r="AF78" s="2">
        <v>46256</v>
      </c>
      <c r="AG78" s="2">
        <v>46263</v>
      </c>
      <c r="AH78">
        <v>0</v>
      </c>
      <c r="AI78" s="3">
        <v>0</v>
      </c>
      <c r="AJ78" s="1" t="s">
        <v>1635</v>
      </c>
      <c r="AK78" s="2" t="s">
        <v>1635</v>
      </c>
      <c r="AL78" s="4" t="s">
        <v>1636</v>
      </c>
      <c r="AM78" s="5" t="s">
        <v>1636</v>
      </c>
      <c r="AN78" s="4">
        <v>0</v>
      </c>
      <c r="AO78" t="s">
        <v>1635</v>
      </c>
      <c r="AP78" s="4" t="s">
        <v>1636</v>
      </c>
      <c r="AQ78" t="s">
        <v>1619</v>
      </c>
      <c r="AR78" t="s">
        <v>1620</v>
      </c>
      <c r="AS78" t="s">
        <v>1666</v>
      </c>
      <c r="AT78" s="16" t="str">
        <f>_xlfn.XLOOKUP(B78,'SWiSH Demand Forecast Sep-26'!D:D,'SWiSH Demand Forecast Sep-26'!G:G,"Not Exist")</f>
        <v>Not Exist</v>
      </c>
    </row>
    <row r="79" spans="1:46" x14ac:dyDescent="0.3">
      <c r="A79">
        <v>106800355</v>
      </c>
      <c r="B79" t="s">
        <v>1773</v>
      </c>
      <c r="C79" t="s">
        <v>10</v>
      </c>
      <c r="D79" t="s">
        <v>1629</v>
      </c>
      <c r="E79" t="s">
        <v>1685</v>
      </c>
      <c r="F79" t="s">
        <v>1664</v>
      </c>
      <c r="G79" t="s">
        <v>1624</v>
      </c>
      <c r="H79" t="s">
        <v>1665</v>
      </c>
      <c r="I79" t="s">
        <v>1634</v>
      </c>
      <c r="J79" t="s">
        <v>10</v>
      </c>
      <c r="K79">
        <v>1.3299999999999999E-2</v>
      </c>
      <c r="L79">
        <v>0</v>
      </c>
      <c r="M79" s="1">
        <v>7</v>
      </c>
      <c r="N79">
        <v>0</v>
      </c>
      <c r="O79">
        <v>0</v>
      </c>
      <c r="P79">
        <v>0</v>
      </c>
      <c r="Q79" s="1">
        <v>0</v>
      </c>
      <c r="R79">
        <v>1.3299999999999999E-2</v>
      </c>
      <c r="S79" s="2">
        <v>46149</v>
      </c>
      <c r="T79" s="2">
        <v>46151</v>
      </c>
      <c r="U79">
        <v>0</v>
      </c>
      <c r="V79">
        <v>1000</v>
      </c>
      <c r="W79">
        <v>0</v>
      </c>
      <c r="X79">
        <v>0</v>
      </c>
      <c r="Y79">
        <v>0</v>
      </c>
      <c r="Z79" s="8">
        <v>1000</v>
      </c>
      <c r="AA79">
        <v>250</v>
      </c>
      <c r="AB79">
        <v>0</v>
      </c>
      <c r="AC79">
        <v>4</v>
      </c>
      <c r="AD79" s="1">
        <v>0</v>
      </c>
      <c r="AE79" s="2">
        <v>46248</v>
      </c>
      <c r="AF79" s="2">
        <v>46256</v>
      </c>
      <c r="AG79" s="2">
        <v>46263</v>
      </c>
      <c r="AH79">
        <v>0</v>
      </c>
      <c r="AI79" s="3">
        <v>0</v>
      </c>
      <c r="AJ79" s="1" t="s">
        <v>1635</v>
      </c>
      <c r="AK79" s="2" t="s">
        <v>1635</v>
      </c>
      <c r="AL79" s="4" t="s">
        <v>1658</v>
      </c>
      <c r="AM79" s="5" t="s">
        <v>1658</v>
      </c>
      <c r="AN79" s="4">
        <v>0</v>
      </c>
      <c r="AO79" t="s">
        <v>1635</v>
      </c>
      <c r="AP79" s="4" t="s">
        <v>1658</v>
      </c>
      <c r="AQ79" t="s">
        <v>1619</v>
      </c>
      <c r="AR79" t="s">
        <v>1620</v>
      </c>
      <c r="AS79" t="s">
        <v>1666</v>
      </c>
      <c r="AT79" s="16" t="str">
        <f>_xlfn.XLOOKUP(B79,'SWiSH Demand Forecast Sep-26'!D:D,'SWiSH Demand Forecast Sep-26'!G:G,"Not Exist")</f>
        <v>Not Exist</v>
      </c>
    </row>
    <row r="80" spans="1:46" x14ac:dyDescent="0.3">
      <c r="A80">
        <v>107200057</v>
      </c>
      <c r="B80" t="s">
        <v>1774</v>
      </c>
      <c r="C80" t="s">
        <v>10</v>
      </c>
      <c r="D80" t="s">
        <v>1613</v>
      </c>
      <c r="E80" t="s">
        <v>1775</v>
      </c>
      <c r="F80" t="s">
        <v>1656</v>
      </c>
      <c r="G80" t="s">
        <v>1624</v>
      </c>
      <c r="H80" t="s">
        <v>1657</v>
      </c>
      <c r="I80" t="s">
        <v>1634</v>
      </c>
      <c r="J80" t="s">
        <v>10</v>
      </c>
      <c r="K80">
        <v>9.5</v>
      </c>
      <c r="L80">
        <v>0</v>
      </c>
      <c r="M80" s="1">
        <v>15</v>
      </c>
      <c r="N80">
        <v>0</v>
      </c>
      <c r="O80">
        <v>0</v>
      </c>
      <c r="P80">
        <v>0</v>
      </c>
      <c r="Q80" s="1">
        <v>0</v>
      </c>
      <c r="R80">
        <v>9.5</v>
      </c>
      <c r="S80" s="2">
        <v>46011</v>
      </c>
      <c r="T80" s="2">
        <v>46212</v>
      </c>
      <c r="U80">
        <v>3</v>
      </c>
      <c r="V80">
        <v>0</v>
      </c>
      <c r="W80">
        <v>0</v>
      </c>
      <c r="X80">
        <v>11</v>
      </c>
      <c r="Y80">
        <v>0</v>
      </c>
      <c r="Z80" s="8">
        <v>11</v>
      </c>
      <c r="AA80">
        <v>3.5</v>
      </c>
      <c r="AB80">
        <v>0</v>
      </c>
      <c r="AC80">
        <v>3.1428571428571428</v>
      </c>
      <c r="AD80" s="1">
        <v>0</v>
      </c>
      <c r="AE80" s="2">
        <v>46248</v>
      </c>
      <c r="AF80" s="2">
        <v>46256</v>
      </c>
      <c r="AG80" s="2">
        <v>46263</v>
      </c>
      <c r="AH80">
        <v>0</v>
      </c>
      <c r="AI80" s="3">
        <v>0</v>
      </c>
      <c r="AJ80" s="1" t="s">
        <v>1635</v>
      </c>
      <c r="AK80" s="2" t="s">
        <v>1635</v>
      </c>
      <c r="AL80" s="4" t="s">
        <v>1658</v>
      </c>
      <c r="AM80" s="5" t="s">
        <v>1658</v>
      </c>
      <c r="AN80" s="4">
        <v>0</v>
      </c>
      <c r="AO80" t="s">
        <v>1635</v>
      </c>
      <c r="AP80" s="4" t="s">
        <v>1658</v>
      </c>
      <c r="AQ80" t="s">
        <v>1619</v>
      </c>
      <c r="AR80" t="s">
        <v>1620</v>
      </c>
      <c r="AT80" s="16" t="str">
        <f>_xlfn.XLOOKUP(B80,'SWiSH Demand Forecast Sep-26'!D:D,'SWiSH Demand Forecast Sep-26'!G:G,"Not Exist")</f>
        <v>Not Exist</v>
      </c>
    </row>
    <row r="81" spans="1:46" x14ac:dyDescent="0.3">
      <c r="A81">
        <v>107200104</v>
      </c>
      <c r="B81" t="s">
        <v>1776</v>
      </c>
      <c r="C81" t="s">
        <v>10</v>
      </c>
      <c r="D81" t="s">
        <v>1613</v>
      </c>
      <c r="E81" t="s">
        <v>1663</v>
      </c>
      <c r="F81" t="s">
        <v>1656</v>
      </c>
      <c r="G81" t="s">
        <v>1624</v>
      </c>
      <c r="H81" t="s">
        <v>1657</v>
      </c>
      <c r="I81" t="s">
        <v>1634</v>
      </c>
      <c r="J81" t="s">
        <v>10</v>
      </c>
      <c r="K81">
        <v>1.2512391599999999</v>
      </c>
      <c r="L81">
        <v>0</v>
      </c>
      <c r="M81" s="1">
        <v>15</v>
      </c>
      <c r="N81">
        <v>0</v>
      </c>
      <c r="O81">
        <v>0</v>
      </c>
      <c r="P81">
        <v>0</v>
      </c>
      <c r="Q81" s="1">
        <v>0</v>
      </c>
      <c r="R81">
        <v>1.25</v>
      </c>
      <c r="S81" s="2">
        <v>46092</v>
      </c>
      <c r="T81" s="2">
        <v>46211</v>
      </c>
      <c r="U81">
        <v>0</v>
      </c>
      <c r="V81">
        <v>0</v>
      </c>
      <c r="W81">
        <v>8</v>
      </c>
      <c r="X81">
        <v>770</v>
      </c>
      <c r="Y81">
        <v>0</v>
      </c>
      <c r="Z81" s="8">
        <v>770</v>
      </c>
      <c r="AA81">
        <v>194.5</v>
      </c>
      <c r="AB81">
        <v>0</v>
      </c>
      <c r="AC81">
        <v>3.9588688946015425</v>
      </c>
      <c r="AD81" s="1">
        <v>0</v>
      </c>
      <c r="AE81" s="2">
        <v>46248</v>
      </c>
      <c r="AF81" s="2">
        <v>46256</v>
      </c>
      <c r="AG81" s="2">
        <v>46263</v>
      </c>
      <c r="AH81">
        <v>0</v>
      </c>
      <c r="AI81" s="3">
        <v>0</v>
      </c>
      <c r="AJ81" s="1" t="s">
        <v>1635</v>
      </c>
      <c r="AK81" s="2" t="s">
        <v>1635</v>
      </c>
      <c r="AL81" s="4" t="s">
        <v>1658</v>
      </c>
      <c r="AM81" s="5" t="s">
        <v>1658</v>
      </c>
      <c r="AN81" s="4">
        <v>0</v>
      </c>
      <c r="AO81" t="s">
        <v>1635</v>
      </c>
      <c r="AP81" s="4" t="s">
        <v>1658</v>
      </c>
      <c r="AQ81" t="s">
        <v>1619</v>
      </c>
      <c r="AR81" t="s">
        <v>1620</v>
      </c>
      <c r="AT81" s="16" t="str">
        <f>_xlfn.XLOOKUP(B81,'SWiSH Demand Forecast Sep-26'!D:D,'SWiSH Demand Forecast Sep-26'!G:G,"Not Exist")</f>
        <v>Not Exist</v>
      </c>
    </row>
    <row r="82" spans="1:46" x14ac:dyDescent="0.3">
      <c r="A82">
        <v>107200103</v>
      </c>
      <c r="B82" t="s">
        <v>1777</v>
      </c>
      <c r="C82" t="s">
        <v>10</v>
      </c>
      <c r="D82" t="s">
        <v>1613</v>
      </c>
      <c r="E82" t="s">
        <v>1638</v>
      </c>
      <c r="F82" t="s">
        <v>1656</v>
      </c>
      <c r="G82" t="s">
        <v>1624</v>
      </c>
      <c r="H82" t="s">
        <v>1657</v>
      </c>
      <c r="I82" t="s">
        <v>1634</v>
      </c>
      <c r="J82" t="s">
        <v>10</v>
      </c>
      <c r="K82">
        <v>2.5058500000000001</v>
      </c>
      <c r="L82">
        <v>0</v>
      </c>
      <c r="M82" s="1">
        <v>15</v>
      </c>
      <c r="N82">
        <v>0</v>
      </c>
      <c r="O82">
        <v>0</v>
      </c>
      <c r="P82">
        <v>0</v>
      </c>
      <c r="Q82" s="1">
        <v>0</v>
      </c>
      <c r="R82">
        <v>2.5058500000000001</v>
      </c>
      <c r="S82" s="2">
        <v>45295</v>
      </c>
      <c r="T82" s="2">
        <v>46227</v>
      </c>
      <c r="U82">
        <v>39</v>
      </c>
      <c r="V82">
        <v>39</v>
      </c>
      <c r="W82">
        <v>50</v>
      </c>
      <c r="X82">
        <v>15</v>
      </c>
      <c r="Y82">
        <v>15</v>
      </c>
      <c r="Z82" s="8">
        <v>50</v>
      </c>
      <c r="AA82">
        <v>35.75</v>
      </c>
      <c r="AB82">
        <v>0.41958041958041958</v>
      </c>
      <c r="AC82">
        <v>1.3986013986013985</v>
      </c>
      <c r="AD82" s="1">
        <v>0</v>
      </c>
      <c r="AE82" s="2">
        <v>46248</v>
      </c>
      <c r="AF82" s="2">
        <v>46256</v>
      </c>
      <c r="AG82" s="2">
        <v>46263</v>
      </c>
      <c r="AH82">
        <v>0</v>
      </c>
      <c r="AI82" s="3">
        <v>0</v>
      </c>
      <c r="AJ82" s="1" t="s">
        <v>1635</v>
      </c>
      <c r="AK82" s="2" t="s">
        <v>1635</v>
      </c>
      <c r="AL82" s="4" t="s">
        <v>1658</v>
      </c>
      <c r="AM82" s="5" t="s">
        <v>1658</v>
      </c>
      <c r="AN82" s="4">
        <v>0</v>
      </c>
      <c r="AO82" t="s">
        <v>1635</v>
      </c>
      <c r="AP82" s="4" t="s">
        <v>1658</v>
      </c>
      <c r="AQ82" t="s">
        <v>1619</v>
      </c>
      <c r="AR82" t="s">
        <v>1620</v>
      </c>
      <c r="AT82" s="16" t="str">
        <f>_xlfn.XLOOKUP(B82,'SWiSH Demand Forecast Sep-26'!D:D,'SWiSH Demand Forecast Sep-26'!G:G,"Not Exist")</f>
        <v>Not Exist</v>
      </c>
    </row>
    <row r="83" spans="1:46" x14ac:dyDescent="0.3">
      <c r="A83">
        <v>105200014</v>
      </c>
      <c r="B83" t="s">
        <v>1778</v>
      </c>
      <c r="C83" t="s">
        <v>10</v>
      </c>
      <c r="D83" t="s">
        <v>1629</v>
      </c>
      <c r="E83" t="s">
        <v>1663</v>
      </c>
      <c r="F83" t="s">
        <v>1664</v>
      </c>
      <c r="G83" t="s">
        <v>1624</v>
      </c>
      <c r="H83" t="s">
        <v>1779</v>
      </c>
      <c r="I83" t="s">
        <v>1634</v>
      </c>
      <c r="J83" t="s">
        <v>10</v>
      </c>
      <c r="K83">
        <v>3.7999999999999999E-2</v>
      </c>
      <c r="L83">
        <v>0</v>
      </c>
      <c r="M83" s="1">
        <v>30</v>
      </c>
      <c r="N83">
        <v>0</v>
      </c>
      <c r="O83">
        <v>0</v>
      </c>
      <c r="P83">
        <v>0</v>
      </c>
      <c r="Q83" s="1">
        <v>0</v>
      </c>
      <c r="R83">
        <v>3.7999999999999999E-2</v>
      </c>
      <c r="S83" s="2">
        <v>46139</v>
      </c>
      <c r="T83" s="2">
        <v>46234</v>
      </c>
      <c r="U83">
        <v>22250</v>
      </c>
      <c r="V83">
        <v>14220</v>
      </c>
      <c r="W83">
        <v>8250</v>
      </c>
      <c r="X83">
        <v>8000</v>
      </c>
      <c r="Y83">
        <v>8000</v>
      </c>
      <c r="Z83" s="8">
        <v>22250</v>
      </c>
      <c r="AA83">
        <v>13180</v>
      </c>
      <c r="AB83">
        <v>0.60698027314112291</v>
      </c>
      <c r="AC83">
        <v>1.6881638846737481</v>
      </c>
      <c r="AD83" s="1">
        <v>0</v>
      </c>
      <c r="AE83" s="2">
        <v>46248</v>
      </c>
      <c r="AF83" s="2">
        <v>46256</v>
      </c>
      <c r="AG83" s="2">
        <v>46263</v>
      </c>
      <c r="AH83">
        <v>0</v>
      </c>
      <c r="AI83" s="3">
        <v>0</v>
      </c>
      <c r="AJ83" s="1" t="s">
        <v>1635</v>
      </c>
      <c r="AK83" s="2" t="s">
        <v>1635</v>
      </c>
      <c r="AL83" s="4" t="s">
        <v>1636</v>
      </c>
      <c r="AM83" s="5" t="s">
        <v>1636</v>
      </c>
      <c r="AN83" s="4">
        <v>0</v>
      </c>
      <c r="AO83" t="s">
        <v>1635</v>
      </c>
      <c r="AP83" s="4" t="s">
        <v>1636</v>
      </c>
      <c r="AQ83" t="s">
        <v>1619</v>
      </c>
      <c r="AR83" t="s">
        <v>1620</v>
      </c>
      <c r="AT83" s="16" t="str">
        <f>_xlfn.XLOOKUP(B83,'SWiSH Demand Forecast Sep-26'!D:D,'SWiSH Demand Forecast Sep-26'!G:G,"Not Exist")</f>
        <v>Not Exist</v>
      </c>
    </row>
    <row r="84" spans="1:46" hidden="1" x14ac:dyDescent="0.3">
      <c r="A84">
        <v>104800012</v>
      </c>
      <c r="B84" t="s">
        <v>270</v>
      </c>
      <c r="C84" t="s">
        <v>10</v>
      </c>
      <c r="D84" t="s">
        <v>1629</v>
      </c>
      <c r="E84" t="s">
        <v>1780</v>
      </c>
      <c r="F84" t="s">
        <v>1639</v>
      </c>
      <c r="G84" t="s">
        <v>1616</v>
      </c>
      <c r="H84" t="s">
        <v>1687</v>
      </c>
      <c r="I84" t="s">
        <v>1618</v>
      </c>
      <c r="J84" t="s">
        <v>1781</v>
      </c>
      <c r="K84">
        <v>3.4722080000000002E-2</v>
      </c>
      <c r="L84">
        <v>0</v>
      </c>
      <c r="M84" s="1">
        <v>3</v>
      </c>
      <c r="N84">
        <v>0</v>
      </c>
      <c r="O84">
        <v>0</v>
      </c>
      <c r="P84">
        <v>0</v>
      </c>
      <c r="Q84" s="1">
        <v>0</v>
      </c>
      <c r="R84">
        <v>0.83333000000000002</v>
      </c>
      <c r="S84" s="2">
        <v>46230</v>
      </c>
      <c r="T84" s="2">
        <v>46252</v>
      </c>
      <c r="U84">
        <v>73797</v>
      </c>
      <c r="V84">
        <v>78219</v>
      </c>
      <c r="W84">
        <v>77208</v>
      </c>
      <c r="X84">
        <v>59640</v>
      </c>
      <c r="Y84">
        <v>59640</v>
      </c>
      <c r="Z84" s="8">
        <v>78219</v>
      </c>
      <c r="AA84">
        <v>72216</v>
      </c>
      <c r="AB84">
        <v>0.8258557660352277</v>
      </c>
      <c r="AC84">
        <v>1.0831256231306081</v>
      </c>
      <c r="AD84" s="1">
        <v>0</v>
      </c>
      <c r="AE84" s="2">
        <v>46248</v>
      </c>
      <c r="AF84" s="2">
        <v>46256</v>
      </c>
      <c r="AG84" s="2">
        <v>46263</v>
      </c>
      <c r="AH84">
        <v>0</v>
      </c>
      <c r="AI84" s="3">
        <v>0</v>
      </c>
      <c r="AJ84" s="1" t="s">
        <v>1635</v>
      </c>
      <c r="AK84" s="2" t="s">
        <v>1635</v>
      </c>
      <c r="AL84" s="4" t="s">
        <v>1636</v>
      </c>
      <c r="AM84" s="5" t="s">
        <v>1636</v>
      </c>
      <c r="AN84" s="4">
        <v>0</v>
      </c>
      <c r="AO84" t="s">
        <v>1635</v>
      </c>
      <c r="AP84" s="4" t="s">
        <v>1636</v>
      </c>
      <c r="AQ84" t="s">
        <v>1619</v>
      </c>
      <c r="AR84" t="s">
        <v>1782</v>
      </c>
      <c r="AT84" s="16">
        <f>_xlfn.XLOOKUP(B84,'SWiSH Demand Forecast Sep-26'!D:D,'SWiSH Demand Forecast Sep-26'!G:G,"Not Exist")</f>
        <v>5836</v>
      </c>
    </row>
    <row r="85" spans="1:46" x14ac:dyDescent="0.3">
      <c r="A85">
        <v>107200126</v>
      </c>
      <c r="B85" t="s">
        <v>1783</v>
      </c>
      <c r="C85" t="s">
        <v>10</v>
      </c>
      <c r="D85" t="s">
        <v>1675</v>
      </c>
      <c r="E85" t="s">
        <v>1784</v>
      </c>
      <c r="F85" t="s">
        <v>1656</v>
      </c>
      <c r="G85" t="s">
        <v>1632</v>
      </c>
      <c r="H85" t="s">
        <v>1657</v>
      </c>
      <c r="I85" t="s">
        <v>1634</v>
      </c>
      <c r="J85" t="s">
        <v>10</v>
      </c>
      <c r="K85">
        <v>3.25</v>
      </c>
      <c r="L85">
        <v>0</v>
      </c>
      <c r="M85" s="1">
        <v>15</v>
      </c>
      <c r="N85">
        <v>0</v>
      </c>
      <c r="O85">
        <v>0</v>
      </c>
      <c r="P85">
        <v>0</v>
      </c>
      <c r="Q85" s="1">
        <v>0</v>
      </c>
      <c r="R85">
        <v>3.25</v>
      </c>
      <c r="S85" s="2">
        <v>46261</v>
      </c>
      <c r="T85" s="2">
        <v>46261</v>
      </c>
      <c r="U85">
        <v>56</v>
      </c>
      <c r="V85">
        <v>0</v>
      </c>
      <c r="W85">
        <v>0</v>
      </c>
      <c r="X85">
        <v>8</v>
      </c>
      <c r="Y85">
        <v>0</v>
      </c>
      <c r="Z85" s="8">
        <v>56</v>
      </c>
      <c r="AA85">
        <v>16</v>
      </c>
      <c r="AB85">
        <v>0</v>
      </c>
      <c r="AC85">
        <v>3.5</v>
      </c>
      <c r="AD85" s="1">
        <v>0</v>
      </c>
      <c r="AE85" s="2">
        <v>46248</v>
      </c>
      <c r="AF85" s="2">
        <v>46256</v>
      </c>
      <c r="AG85" s="2">
        <v>46263</v>
      </c>
      <c r="AH85">
        <v>6</v>
      </c>
      <c r="AI85" s="3">
        <v>0.11083743842364532</v>
      </c>
      <c r="AJ85" s="1">
        <v>0</v>
      </c>
      <c r="AK85" s="2">
        <v>46263</v>
      </c>
      <c r="AL85" s="4" t="s">
        <v>1658</v>
      </c>
      <c r="AM85" s="5" t="s">
        <v>1658</v>
      </c>
      <c r="AN85" s="4">
        <v>0</v>
      </c>
      <c r="AO85" t="s">
        <v>1635</v>
      </c>
      <c r="AP85" s="4" t="s">
        <v>1658</v>
      </c>
      <c r="AQ85">
        <v>6</v>
      </c>
      <c r="AR85" t="s">
        <v>1785</v>
      </c>
      <c r="AT85" s="16" t="str">
        <f>_xlfn.XLOOKUP(B85,'SWiSH Demand Forecast Sep-26'!D:D,'SWiSH Demand Forecast Sep-26'!G:G,"Not Exist")</f>
        <v>Not Exist</v>
      </c>
    </row>
    <row r="86" spans="1:46" x14ac:dyDescent="0.3">
      <c r="A86">
        <v>106400400</v>
      </c>
      <c r="B86" t="s">
        <v>1786</v>
      </c>
      <c r="C86" t="s">
        <v>10</v>
      </c>
      <c r="D86" t="s">
        <v>1613</v>
      </c>
      <c r="E86" t="s">
        <v>1787</v>
      </c>
      <c r="F86" t="s">
        <v>1787</v>
      </c>
      <c r="G86" t="s">
        <v>1616</v>
      </c>
      <c r="H86" t="s">
        <v>1764</v>
      </c>
      <c r="I86" t="s">
        <v>1754</v>
      </c>
      <c r="J86" t="s">
        <v>10</v>
      </c>
      <c r="K86">
        <v>9.8897831800000002</v>
      </c>
      <c r="L86">
        <v>0</v>
      </c>
      <c r="M86" s="1">
        <v>3</v>
      </c>
      <c r="N86">
        <v>0</v>
      </c>
      <c r="O86">
        <v>0</v>
      </c>
      <c r="P86">
        <v>0</v>
      </c>
      <c r="Q86" s="1">
        <v>0</v>
      </c>
      <c r="R86">
        <v>0</v>
      </c>
      <c r="S86" s="2">
        <v>0</v>
      </c>
      <c r="T86" s="2">
        <v>46158</v>
      </c>
      <c r="U86">
        <v>19</v>
      </c>
      <c r="V86">
        <v>9</v>
      </c>
      <c r="W86">
        <v>1</v>
      </c>
      <c r="X86">
        <v>0</v>
      </c>
      <c r="Y86">
        <v>0</v>
      </c>
      <c r="Z86" s="8">
        <v>19</v>
      </c>
      <c r="AA86">
        <v>7.25</v>
      </c>
      <c r="AB86">
        <v>0</v>
      </c>
      <c r="AC86">
        <v>2.6206896551724137</v>
      </c>
      <c r="AD86" s="1">
        <v>0</v>
      </c>
      <c r="AE86" s="2">
        <v>46248</v>
      </c>
      <c r="AF86" s="2">
        <v>46256</v>
      </c>
      <c r="AG86" s="2">
        <v>46263</v>
      </c>
      <c r="AH86">
        <v>0</v>
      </c>
      <c r="AI86" s="3">
        <v>0</v>
      </c>
      <c r="AJ86" s="1" t="s">
        <v>1635</v>
      </c>
      <c r="AK86" s="2" t="s">
        <v>1635</v>
      </c>
      <c r="AL86" s="4" t="s">
        <v>1658</v>
      </c>
      <c r="AM86" s="5" t="s">
        <v>1658</v>
      </c>
      <c r="AN86" s="4">
        <v>0</v>
      </c>
      <c r="AO86" t="s">
        <v>1635</v>
      </c>
      <c r="AP86" s="4" t="s">
        <v>1658</v>
      </c>
      <c r="AQ86" t="s">
        <v>1619</v>
      </c>
      <c r="AR86" t="s">
        <v>1620</v>
      </c>
      <c r="AS86" t="s">
        <v>1666</v>
      </c>
      <c r="AT86" s="16" t="str">
        <f>_xlfn.XLOOKUP(B86,'SWiSH Demand Forecast Sep-26'!D:D,'SWiSH Demand Forecast Sep-26'!G:G,"Not Exist")</f>
        <v>Not Exist</v>
      </c>
    </row>
    <row r="87" spans="1:46" x14ac:dyDescent="0.3">
      <c r="A87">
        <v>107200175</v>
      </c>
      <c r="B87" t="s">
        <v>1788</v>
      </c>
      <c r="C87" t="s">
        <v>10</v>
      </c>
      <c r="D87" t="s">
        <v>1789</v>
      </c>
      <c r="E87" t="s">
        <v>1701</v>
      </c>
      <c r="F87" t="s">
        <v>1656</v>
      </c>
      <c r="G87" t="s">
        <v>1616</v>
      </c>
      <c r="H87" t="s">
        <v>1657</v>
      </c>
      <c r="I87" t="s">
        <v>1634</v>
      </c>
      <c r="J87" t="s">
        <v>10</v>
      </c>
      <c r="K87">
        <v>4.75</v>
      </c>
      <c r="L87">
        <v>0</v>
      </c>
      <c r="M87" s="1">
        <v>15</v>
      </c>
      <c r="N87">
        <v>0</v>
      </c>
      <c r="O87">
        <v>0</v>
      </c>
      <c r="P87">
        <v>0</v>
      </c>
      <c r="Q87" s="1">
        <v>0</v>
      </c>
      <c r="R87">
        <v>4.75</v>
      </c>
      <c r="S87" s="2">
        <v>46222</v>
      </c>
      <c r="T87" s="2">
        <v>46225</v>
      </c>
      <c r="U87">
        <v>20</v>
      </c>
      <c r="V87">
        <v>0</v>
      </c>
      <c r="W87">
        <v>42</v>
      </c>
      <c r="X87">
        <v>18</v>
      </c>
      <c r="Y87">
        <v>0</v>
      </c>
      <c r="Z87" s="8">
        <v>42</v>
      </c>
      <c r="AA87">
        <v>20</v>
      </c>
      <c r="AB87">
        <v>0</v>
      </c>
      <c r="AC87">
        <v>2.1</v>
      </c>
      <c r="AD87" s="1">
        <v>0</v>
      </c>
      <c r="AE87" s="2">
        <v>46248</v>
      </c>
      <c r="AF87" s="2">
        <v>46256</v>
      </c>
      <c r="AG87" s="2">
        <v>46263</v>
      </c>
      <c r="AH87">
        <v>0</v>
      </c>
      <c r="AI87" s="3">
        <v>0</v>
      </c>
      <c r="AJ87" s="1" t="s">
        <v>1635</v>
      </c>
      <c r="AK87" s="2" t="s">
        <v>1635</v>
      </c>
      <c r="AL87" s="4" t="s">
        <v>1658</v>
      </c>
      <c r="AM87" s="5" t="s">
        <v>1658</v>
      </c>
      <c r="AN87" s="4">
        <v>0</v>
      </c>
      <c r="AO87" t="s">
        <v>1635</v>
      </c>
      <c r="AP87" s="4" t="s">
        <v>1658</v>
      </c>
      <c r="AQ87" t="s">
        <v>1619</v>
      </c>
      <c r="AR87" t="s">
        <v>1620</v>
      </c>
      <c r="AT87" s="16" t="str">
        <f>_xlfn.XLOOKUP(B87,'SWiSH Demand Forecast Sep-26'!D:D,'SWiSH Demand Forecast Sep-26'!G:G,"Not Exist")</f>
        <v>Not Exist</v>
      </c>
    </row>
    <row r="88" spans="1:46" x14ac:dyDescent="0.3">
      <c r="A88">
        <v>106400384</v>
      </c>
      <c r="B88" t="s">
        <v>1790</v>
      </c>
      <c r="C88" t="s">
        <v>10</v>
      </c>
      <c r="D88" t="s">
        <v>1613</v>
      </c>
      <c r="E88" t="s">
        <v>1787</v>
      </c>
      <c r="F88" t="s">
        <v>1787</v>
      </c>
      <c r="G88" t="s">
        <v>1616</v>
      </c>
      <c r="H88" t="s">
        <v>1764</v>
      </c>
      <c r="I88" t="s">
        <v>1754</v>
      </c>
      <c r="J88" t="s">
        <v>10</v>
      </c>
      <c r="K88">
        <v>5.6394152399999999</v>
      </c>
      <c r="L88">
        <v>0</v>
      </c>
      <c r="M88" s="1">
        <v>3</v>
      </c>
      <c r="N88">
        <v>0</v>
      </c>
      <c r="O88">
        <v>0</v>
      </c>
      <c r="P88">
        <v>0</v>
      </c>
      <c r="Q88" s="1">
        <v>0</v>
      </c>
      <c r="R88">
        <v>0</v>
      </c>
      <c r="S88" s="2">
        <v>0</v>
      </c>
      <c r="T88" s="2">
        <v>46158</v>
      </c>
      <c r="U88">
        <v>10</v>
      </c>
      <c r="V88">
        <v>4</v>
      </c>
      <c r="W88">
        <v>0.5</v>
      </c>
      <c r="X88">
        <v>0</v>
      </c>
      <c r="Y88">
        <v>0</v>
      </c>
      <c r="Z88" s="8">
        <v>10</v>
      </c>
      <c r="AA88">
        <v>3.625</v>
      </c>
      <c r="AB88">
        <v>0</v>
      </c>
      <c r="AC88">
        <v>2.7586206896551726</v>
      </c>
      <c r="AD88" s="1">
        <v>0</v>
      </c>
      <c r="AE88" s="2">
        <v>46248</v>
      </c>
      <c r="AF88" s="2">
        <v>46256</v>
      </c>
      <c r="AG88" s="2">
        <v>46263</v>
      </c>
      <c r="AH88">
        <v>0</v>
      </c>
      <c r="AI88" s="3">
        <v>0</v>
      </c>
      <c r="AJ88" s="1" t="s">
        <v>1635</v>
      </c>
      <c r="AK88" s="2" t="s">
        <v>1635</v>
      </c>
      <c r="AL88" s="4" t="s">
        <v>1658</v>
      </c>
      <c r="AM88" s="5" t="s">
        <v>1658</v>
      </c>
      <c r="AN88" s="4">
        <v>0</v>
      </c>
      <c r="AO88" t="s">
        <v>1635</v>
      </c>
      <c r="AP88" s="4" t="s">
        <v>1658</v>
      </c>
      <c r="AQ88" t="s">
        <v>1619</v>
      </c>
      <c r="AR88" t="s">
        <v>1620</v>
      </c>
      <c r="AS88" t="s">
        <v>1666</v>
      </c>
      <c r="AT88" s="16" t="str">
        <f>_xlfn.XLOOKUP(B88,'SWiSH Demand Forecast Sep-26'!D:D,'SWiSH Demand Forecast Sep-26'!G:G,"Not Exist")</f>
        <v>Not Exist</v>
      </c>
    </row>
    <row r="89" spans="1:46" x14ac:dyDescent="0.3">
      <c r="A89">
        <v>107200130</v>
      </c>
      <c r="B89" t="s">
        <v>1791</v>
      </c>
      <c r="C89" t="s">
        <v>10</v>
      </c>
      <c r="D89" t="s">
        <v>1789</v>
      </c>
      <c r="E89" t="s">
        <v>1663</v>
      </c>
      <c r="F89" t="s">
        <v>1656</v>
      </c>
      <c r="G89" t="s">
        <v>1624</v>
      </c>
      <c r="H89" t="s">
        <v>1657</v>
      </c>
      <c r="I89" t="s">
        <v>1634</v>
      </c>
      <c r="J89" t="s">
        <v>10</v>
      </c>
      <c r="K89">
        <v>2.75</v>
      </c>
      <c r="L89">
        <v>0</v>
      </c>
      <c r="M89" s="1">
        <v>15</v>
      </c>
      <c r="N89">
        <v>0</v>
      </c>
      <c r="O89">
        <v>0</v>
      </c>
      <c r="P89">
        <v>0</v>
      </c>
      <c r="Q89" s="1">
        <v>0</v>
      </c>
      <c r="R89">
        <v>2.75</v>
      </c>
      <c r="S89" s="2">
        <v>45827</v>
      </c>
      <c r="T89" s="2">
        <v>46119</v>
      </c>
      <c r="U89">
        <v>5</v>
      </c>
      <c r="V89">
        <v>0</v>
      </c>
      <c r="W89">
        <v>0</v>
      </c>
      <c r="X89">
        <v>0</v>
      </c>
      <c r="Y89">
        <v>0</v>
      </c>
      <c r="Z89" s="8">
        <v>5</v>
      </c>
      <c r="AA89">
        <v>1.25</v>
      </c>
      <c r="AB89">
        <v>0</v>
      </c>
      <c r="AC89">
        <v>4</v>
      </c>
      <c r="AD89" s="1">
        <v>0</v>
      </c>
      <c r="AE89" s="2">
        <v>46248</v>
      </c>
      <c r="AF89" s="2">
        <v>46256</v>
      </c>
      <c r="AG89" s="2">
        <v>46263</v>
      </c>
      <c r="AH89">
        <v>0</v>
      </c>
      <c r="AI89" s="3">
        <v>0</v>
      </c>
      <c r="AJ89" s="1" t="s">
        <v>1635</v>
      </c>
      <c r="AK89" s="2" t="s">
        <v>1635</v>
      </c>
      <c r="AL89" s="4" t="s">
        <v>1658</v>
      </c>
      <c r="AM89" s="5" t="s">
        <v>1658</v>
      </c>
      <c r="AN89" s="4">
        <v>0</v>
      </c>
      <c r="AO89" t="s">
        <v>1635</v>
      </c>
      <c r="AP89" s="4" t="s">
        <v>1658</v>
      </c>
      <c r="AQ89" t="s">
        <v>1619</v>
      </c>
      <c r="AR89" t="s">
        <v>1620</v>
      </c>
      <c r="AT89" s="16" t="str">
        <f>_xlfn.XLOOKUP(B89,'SWiSH Demand Forecast Sep-26'!D:D,'SWiSH Demand Forecast Sep-26'!G:G,"Not Exist")</f>
        <v>Not Exist</v>
      </c>
    </row>
    <row r="90" spans="1:46" x14ac:dyDescent="0.3">
      <c r="A90">
        <v>106400391</v>
      </c>
      <c r="B90" t="s">
        <v>1792</v>
      </c>
      <c r="C90" t="s">
        <v>10</v>
      </c>
      <c r="D90" t="s">
        <v>1613</v>
      </c>
      <c r="E90" t="s">
        <v>1787</v>
      </c>
      <c r="F90" t="s">
        <v>1787</v>
      </c>
      <c r="G90" t="s">
        <v>1616</v>
      </c>
      <c r="H90" t="s">
        <v>1764</v>
      </c>
      <c r="I90" t="s">
        <v>1754</v>
      </c>
      <c r="J90" t="s">
        <v>10</v>
      </c>
      <c r="K90">
        <v>12.197233580000001</v>
      </c>
      <c r="L90">
        <v>0</v>
      </c>
      <c r="M90" s="1">
        <v>3</v>
      </c>
      <c r="N90">
        <v>0</v>
      </c>
      <c r="O90">
        <v>0</v>
      </c>
      <c r="P90">
        <v>0</v>
      </c>
      <c r="Q90" s="1">
        <v>0</v>
      </c>
      <c r="R90">
        <v>0</v>
      </c>
      <c r="S90" s="2">
        <v>0</v>
      </c>
      <c r="T90" s="2">
        <v>46203</v>
      </c>
      <c r="U90">
        <v>14</v>
      </c>
      <c r="V90">
        <v>6</v>
      </c>
      <c r="W90">
        <v>4.5</v>
      </c>
      <c r="X90">
        <v>0</v>
      </c>
      <c r="Y90">
        <v>0</v>
      </c>
      <c r="Z90" s="8">
        <v>14</v>
      </c>
      <c r="AA90">
        <v>6.125</v>
      </c>
      <c r="AB90">
        <v>0</v>
      </c>
      <c r="AC90">
        <v>2.2857142857142856</v>
      </c>
      <c r="AD90" s="1">
        <v>0</v>
      </c>
      <c r="AE90" s="2">
        <v>46248</v>
      </c>
      <c r="AF90" s="2">
        <v>46256</v>
      </c>
      <c r="AG90" s="2">
        <v>46263</v>
      </c>
      <c r="AH90">
        <v>0</v>
      </c>
      <c r="AI90" s="3">
        <v>0</v>
      </c>
      <c r="AJ90" s="1" t="s">
        <v>1635</v>
      </c>
      <c r="AK90" s="2" t="s">
        <v>1635</v>
      </c>
      <c r="AL90" s="4" t="s">
        <v>1658</v>
      </c>
      <c r="AM90" s="5" t="s">
        <v>1658</v>
      </c>
      <c r="AN90" s="4">
        <v>0</v>
      </c>
      <c r="AO90" t="s">
        <v>1635</v>
      </c>
      <c r="AP90" s="4" t="s">
        <v>1658</v>
      </c>
      <c r="AQ90" t="s">
        <v>1619</v>
      </c>
      <c r="AR90" t="s">
        <v>1620</v>
      </c>
      <c r="AS90" t="s">
        <v>1666</v>
      </c>
      <c r="AT90" s="16" t="str">
        <f>_xlfn.XLOOKUP(B90,'SWiSH Demand Forecast Sep-26'!D:D,'SWiSH Demand Forecast Sep-26'!G:G,"Not Exist")</f>
        <v>Not Exist</v>
      </c>
    </row>
    <row r="91" spans="1:46" hidden="1" x14ac:dyDescent="0.3">
      <c r="A91">
        <v>100900067</v>
      </c>
      <c r="B91" t="s">
        <v>161</v>
      </c>
      <c r="C91" t="s">
        <v>10</v>
      </c>
      <c r="D91" t="s">
        <v>1629</v>
      </c>
      <c r="E91" t="s">
        <v>1793</v>
      </c>
      <c r="F91" t="s">
        <v>1639</v>
      </c>
      <c r="G91" t="s">
        <v>1616</v>
      </c>
      <c r="H91" t="s">
        <v>1640</v>
      </c>
      <c r="I91" t="s">
        <v>1618</v>
      </c>
      <c r="J91" t="s">
        <v>1641</v>
      </c>
      <c r="K91">
        <v>8.2424330000000004E-2</v>
      </c>
      <c r="L91">
        <v>0</v>
      </c>
      <c r="M91" s="1">
        <v>3</v>
      </c>
      <c r="N91">
        <v>0</v>
      </c>
      <c r="O91">
        <v>0</v>
      </c>
      <c r="P91">
        <v>0</v>
      </c>
      <c r="Q91" s="1">
        <v>0</v>
      </c>
      <c r="R91">
        <v>2.4727299999999999</v>
      </c>
      <c r="S91" s="2">
        <v>46230</v>
      </c>
      <c r="T91" s="2">
        <v>46254</v>
      </c>
      <c r="U91">
        <v>46589</v>
      </c>
      <c r="V91">
        <v>53160</v>
      </c>
      <c r="W91">
        <v>53482</v>
      </c>
      <c r="X91">
        <v>54012</v>
      </c>
      <c r="Y91">
        <v>46589</v>
      </c>
      <c r="Z91" s="8">
        <v>54012</v>
      </c>
      <c r="AA91">
        <v>51810.75</v>
      </c>
      <c r="AB91">
        <v>0.89921493126426466</v>
      </c>
      <c r="AC91">
        <v>1.0424863565958802</v>
      </c>
      <c r="AD91" s="1">
        <v>0</v>
      </c>
      <c r="AE91" s="2">
        <v>46248</v>
      </c>
      <c r="AF91" s="2">
        <v>46256</v>
      </c>
      <c r="AG91" s="2">
        <v>46263</v>
      </c>
      <c r="AH91">
        <v>4</v>
      </c>
      <c r="AI91" s="3">
        <v>7.6611327750921254E-5</v>
      </c>
      <c r="AJ91" s="1">
        <v>0</v>
      </c>
      <c r="AK91" s="2">
        <v>46263</v>
      </c>
      <c r="AL91" s="4" t="s">
        <v>1636</v>
      </c>
      <c r="AM91" s="5" t="s">
        <v>1636</v>
      </c>
      <c r="AN91" s="4">
        <v>0</v>
      </c>
      <c r="AO91" t="s">
        <v>1635</v>
      </c>
      <c r="AP91" s="4" t="s">
        <v>1636</v>
      </c>
      <c r="AQ91" t="s">
        <v>1619</v>
      </c>
      <c r="AR91" t="s">
        <v>1794</v>
      </c>
      <c r="AT91" s="16">
        <f>_xlfn.XLOOKUP(B91,'SWiSH Demand Forecast Sep-26'!D:D,'SWiSH Demand Forecast Sep-26'!G:G,"Not Exist")</f>
        <v>11463</v>
      </c>
    </row>
    <row r="92" spans="1:46" x14ac:dyDescent="0.3">
      <c r="A92">
        <v>104600198</v>
      </c>
      <c r="B92" t="s">
        <v>1795</v>
      </c>
      <c r="C92" t="s">
        <v>10</v>
      </c>
      <c r="D92" t="s">
        <v>1613</v>
      </c>
      <c r="E92" t="s">
        <v>1796</v>
      </c>
      <c r="F92" t="s">
        <v>1656</v>
      </c>
      <c r="G92" t="s">
        <v>1624</v>
      </c>
      <c r="H92" t="s">
        <v>1657</v>
      </c>
      <c r="I92" t="s">
        <v>1634</v>
      </c>
      <c r="J92" t="s">
        <v>10</v>
      </c>
      <c r="K92">
        <v>1.75</v>
      </c>
      <c r="L92">
        <v>0</v>
      </c>
      <c r="M92" s="1">
        <v>7</v>
      </c>
      <c r="N92">
        <v>0</v>
      </c>
      <c r="O92">
        <v>0</v>
      </c>
      <c r="P92">
        <v>0</v>
      </c>
      <c r="Q92" s="1">
        <v>0</v>
      </c>
      <c r="R92">
        <v>1.75</v>
      </c>
      <c r="S92" s="2">
        <v>46209</v>
      </c>
      <c r="T92" s="2">
        <v>46209</v>
      </c>
      <c r="U92">
        <v>0</v>
      </c>
      <c r="V92">
        <v>0</v>
      </c>
      <c r="W92">
        <v>0</v>
      </c>
      <c r="X92">
        <v>4</v>
      </c>
      <c r="Y92">
        <v>0</v>
      </c>
      <c r="Z92" s="8">
        <v>4</v>
      </c>
      <c r="AA92">
        <v>1</v>
      </c>
      <c r="AB92">
        <v>0</v>
      </c>
      <c r="AC92">
        <v>4</v>
      </c>
      <c r="AD92" s="1">
        <v>0</v>
      </c>
      <c r="AE92" s="2">
        <v>46248</v>
      </c>
      <c r="AF92" s="2">
        <v>46256</v>
      </c>
      <c r="AG92" s="2">
        <v>46263</v>
      </c>
      <c r="AH92">
        <v>0</v>
      </c>
      <c r="AI92" s="3">
        <v>0</v>
      </c>
      <c r="AJ92" s="1" t="s">
        <v>1635</v>
      </c>
      <c r="AK92" s="2" t="s">
        <v>1635</v>
      </c>
      <c r="AL92" s="4" t="s">
        <v>1658</v>
      </c>
      <c r="AM92" s="5" t="s">
        <v>1658</v>
      </c>
      <c r="AN92" s="4">
        <v>0</v>
      </c>
      <c r="AO92" t="s">
        <v>1635</v>
      </c>
      <c r="AP92" s="4" t="s">
        <v>1658</v>
      </c>
      <c r="AQ92" t="s">
        <v>1619</v>
      </c>
      <c r="AR92" t="s">
        <v>1620</v>
      </c>
      <c r="AT92" s="16" t="str">
        <f>_xlfn.XLOOKUP(B92,'SWiSH Demand Forecast Sep-26'!D:D,'SWiSH Demand Forecast Sep-26'!G:G,"Not Exist")</f>
        <v>Not Exist</v>
      </c>
    </row>
    <row r="93" spans="1:46" x14ac:dyDescent="0.3">
      <c r="A93">
        <v>107200211</v>
      </c>
      <c r="B93" t="s">
        <v>1797</v>
      </c>
      <c r="C93" t="s">
        <v>10</v>
      </c>
      <c r="D93" t="s">
        <v>1613</v>
      </c>
      <c r="E93" t="s">
        <v>1732</v>
      </c>
      <c r="F93" t="s">
        <v>1656</v>
      </c>
      <c r="G93" t="s">
        <v>1624</v>
      </c>
      <c r="H93" t="s">
        <v>1657</v>
      </c>
      <c r="I93" t="s">
        <v>1634</v>
      </c>
      <c r="J93" t="s">
        <v>10</v>
      </c>
      <c r="K93">
        <v>3.5</v>
      </c>
      <c r="L93">
        <v>0</v>
      </c>
      <c r="M93" s="1">
        <v>7</v>
      </c>
      <c r="N93">
        <v>0</v>
      </c>
      <c r="O93">
        <v>0</v>
      </c>
      <c r="P93">
        <v>0</v>
      </c>
      <c r="Q93" s="1">
        <v>0</v>
      </c>
      <c r="R93">
        <v>3.5</v>
      </c>
      <c r="S93" s="2">
        <v>46190</v>
      </c>
      <c r="T93" s="2">
        <v>46196</v>
      </c>
      <c r="U93">
        <v>0</v>
      </c>
      <c r="V93">
        <v>0</v>
      </c>
      <c r="W93">
        <v>90</v>
      </c>
      <c r="X93">
        <v>0</v>
      </c>
      <c r="Y93">
        <v>0</v>
      </c>
      <c r="Z93" s="8">
        <v>90</v>
      </c>
      <c r="AA93">
        <v>22.5</v>
      </c>
      <c r="AB93">
        <v>0</v>
      </c>
      <c r="AC93">
        <v>4</v>
      </c>
      <c r="AD93" s="1">
        <v>0</v>
      </c>
      <c r="AE93" s="2">
        <v>46248</v>
      </c>
      <c r="AF93" s="2">
        <v>46256</v>
      </c>
      <c r="AG93" s="2">
        <v>46263</v>
      </c>
      <c r="AH93">
        <v>0</v>
      </c>
      <c r="AI93" s="3">
        <v>0</v>
      </c>
      <c r="AJ93" s="1" t="s">
        <v>1635</v>
      </c>
      <c r="AK93" s="2" t="s">
        <v>1635</v>
      </c>
      <c r="AL93" s="4" t="s">
        <v>1658</v>
      </c>
      <c r="AM93" s="5" t="s">
        <v>1658</v>
      </c>
      <c r="AN93" s="4">
        <v>0</v>
      </c>
      <c r="AO93" t="s">
        <v>1635</v>
      </c>
      <c r="AP93" s="4" t="s">
        <v>1658</v>
      </c>
      <c r="AQ93" t="s">
        <v>1619</v>
      </c>
      <c r="AR93" t="s">
        <v>1620</v>
      </c>
      <c r="AT93" s="16" t="str">
        <f>_xlfn.XLOOKUP(B93,'SWiSH Demand Forecast Sep-26'!D:D,'SWiSH Demand Forecast Sep-26'!G:G,"Not Exist")</f>
        <v>Not Exist</v>
      </c>
    </row>
    <row r="94" spans="1:46" x14ac:dyDescent="0.3">
      <c r="A94">
        <v>106800377</v>
      </c>
      <c r="B94" t="s">
        <v>1798</v>
      </c>
      <c r="C94" t="s">
        <v>10</v>
      </c>
      <c r="D94" t="s">
        <v>1629</v>
      </c>
      <c r="E94" t="s">
        <v>1638</v>
      </c>
      <c r="F94" t="s">
        <v>1664</v>
      </c>
      <c r="G94" t="s">
        <v>1624</v>
      </c>
      <c r="H94" t="s">
        <v>1665</v>
      </c>
      <c r="I94" t="s">
        <v>1634</v>
      </c>
      <c r="J94" t="s">
        <v>10</v>
      </c>
      <c r="K94">
        <v>4.2300000000000003E-3</v>
      </c>
      <c r="L94">
        <v>0</v>
      </c>
      <c r="M94" s="1">
        <v>7</v>
      </c>
      <c r="N94">
        <v>0</v>
      </c>
      <c r="O94">
        <v>0</v>
      </c>
      <c r="P94">
        <v>0</v>
      </c>
      <c r="Q94" s="1">
        <v>0</v>
      </c>
      <c r="R94">
        <v>4.2300000000000003E-3</v>
      </c>
      <c r="S94" s="2">
        <v>46187</v>
      </c>
      <c r="T94" s="2">
        <v>46237</v>
      </c>
      <c r="U94">
        <v>0</v>
      </c>
      <c r="V94">
        <v>0</v>
      </c>
      <c r="W94">
        <v>26000</v>
      </c>
      <c r="X94">
        <v>0</v>
      </c>
      <c r="Y94">
        <v>0</v>
      </c>
      <c r="Z94" s="8">
        <v>26000</v>
      </c>
      <c r="AA94">
        <v>6500</v>
      </c>
      <c r="AB94">
        <v>0</v>
      </c>
      <c r="AC94">
        <v>4</v>
      </c>
      <c r="AD94" s="1">
        <v>0</v>
      </c>
      <c r="AE94" s="2">
        <v>46248</v>
      </c>
      <c r="AF94" s="2">
        <v>46256</v>
      </c>
      <c r="AG94" s="2">
        <v>46263</v>
      </c>
      <c r="AH94">
        <v>0</v>
      </c>
      <c r="AI94" s="3">
        <v>0</v>
      </c>
      <c r="AJ94" s="1" t="s">
        <v>1635</v>
      </c>
      <c r="AK94" s="2" t="s">
        <v>1635</v>
      </c>
      <c r="AL94" s="4" t="s">
        <v>1658</v>
      </c>
      <c r="AM94" s="5" t="s">
        <v>1658</v>
      </c>
      <c r="AN94" s="4">
        <v>0</v>
      </c>
      <c r="AO94" t="s">
        <v>1635</v>
      </c>
      <c r="AP94" s="4" t="s">
        <v>1658</v>
      </c>
      <c r="AQ94" t="s">
        <v>1619</v>
      </c>
      <c r="AR94" t="s">
        <v>1620</v>
      </c>
      <c r="AT94" s="16" t="str">
        <f>_xlfn.XLOOKUP(B94,'SWiSH Demand Forecast Sep-26'!D:D,'SWiSH Demand Forecast Sep-26'!G:G,"Not Exist")</f>
        <v>Not Exist</v>
      </c>
    </row>
    <row r="95" spans="1:46" hidden="1" x14ac:dyDescent="0.3">
      <c r="A95">
        <v>100900063</v>
      </c>
      <c r="B95" t="s">
        <v>740</v>
      </c>
      <c r="C95" t="s">
        <v>10</v>
      </c>
      <c r="D95" t="s">
        <v>1629</v>
      </c>
      <c r="E95" t="s">
        <v>1799</v>
      </c>
      <c r="F95" t="s">
        <v>1639</v>
      </c>
      <c r="G95" t="s">
        <v>1616</v>
      </c>
      <c r="H95" t="s">
        <v>1640</v>
      </c>
      <c r="I95" t="s">
        <v>1618</v>
      </c>
      <c r="J95" t="s">
        <v>10</v>
      </c>
      <c r="K95">
        <v>8.2424330000000004E-2</v>
      </c>
      <c r="L95">
        <v>0.16484866000000001</v>
      </c>
      <c r="M95" s="1">
        <v>3</v>
      </c>
      <c r="N95">
        <v>0</v>
      </c>
      <c r="O95">
        <v>0</v>
      </c>
      <c r="P95">
        <v>2</v>
      </c>
      <c r="Q95" s="1">
        <v>2</v>
      </c>
      <c r="R95">
        <v>2.4727299999999999</v>
      </c>
      <c r="S95" s="2">
        <v>46223</v>
      </c>
      <c r="T95" s="2">
        <v>46239</v>
      </c>
      <c r="U95">
        <v>25975</v>
      </c>
      <c r="V95">
        <v>28919</v>
      </c>
      <c r="W95">
        <v>29578</v>
      </c>
      <c r="X95">
        <v>26760</v>
      </c>
      <c r="Y95">
        <v>25975</v>
      </c>
      <c r="Z95" s="8">
        <v>29578</v>
      </c>
      <c r="AA95">
        <v>27808</v>
      </c>
      <c r="AB95">
        <v>0.93408371691599534</v>
      </c>
      <c r="AC95">
        <v>1.063650747986191</v>
      </c>
      <c r="AD95" s="1">
        <v>0</v>
      </c>
      <c r="AE95" s="2">
        <v>46248</v>
      </c>
      <c r="AF95" s="2">
        <v>46256</v>
      </c>
      <c r="AG95" s="2">
        <v>46263</v>
      </c>
      <c r="AH95">
        <v>0</v>
      </c>
      <c r="AI95" s="3">
        <v>0</v>
      </c>
      <c r="AJ95" s="1" t="s">
        <v>1635</v>
      </c>
      <c r="AK95" s="2" t="s">
        <v>1635</v>
      </c>
      <c r="AL95" s="4" t="s">
        <v>1636</v>
      </c>
      <c r="AM95" s="5" t="s">
        <v>1636</v>
      </c>
      <c r="AN95" s="4">
        <v>0</v>
      </c>
      <c r="AO95" t="s">
        <v>1635</v>
      </c>
      <c r="AP95" s="4" t="s">
        <v>1636</v>
      </c>
      <c r="AQ95" t="s">
        <v>1619</v>
      </c>
      <c r="AR95" t="s">
        <v>1800</v>
      </c>
      <c r="AT95" s="16">
        <f>_xlfn.XLOOKUP(B95,'SWiSH Demand Forecast Sep-26'!D:D,'SWiSH Demand Forecast Sep-26'!G:G,"Not Exist")</f>
        <v>524</v>
      </c>
    </row>
    <row r="96" spans="1:46" x14ac:dyDescent="0.3">
      <c r="A96">
        <v>107200210</v>
      </c>
      <c r="B96" t="s">
        <v>1801</v>
      </c>
      <c r="C96" t="s">
        <v>10</v>
      </c>
      <c r="D96" t="s">
        <v>1613</v>
      </c>
      <c r="E96" t="s">
        <v>1732</v>
      </c>
      <c r="F96" t="s">
        <v>1656</v>
      </c>
      <c r="G96" t="s">
        <v>1624</v>
      </c>
      <c r="H96" t="s">
        <v>1657</v>
      </c>
      <c r="I96" t="s">
        <v>1634</v>
      </c>
      <c r="J96" t="s">
        <v>10</v>
      </c>
      <c r="K96">
        <v>6.75</v>
      </c>
      <c r="L96">
        <v>0</v>
      </c>
      <c r="M96" s="1">
        <v>7</v>
      </c>
      <c r="N96">
        <v>0</v>
      </c>
      <c r="O96">
        <v>0</v>
      </c>
      <c r="P96">
        <v>0</v>
      </c>
      <c r="Q96" s="1">
        <v>0</v>
      </c>
      <c r="R96">
        <v>6.75</v>
      </c>
      <c r="S96" s="2">
        <v>46190</v>
      </c>
      <c r="T96" s="2">
        <v>46196</v>
      </c>
      <c r="U96">
        <v>0</v>
      </c>
      <c r="V96">
        <v>0</v>
      </c>
      <c r="W96">
        <v>90</v>
      </c>
      <c r="X96">
        <v>0</v>
      </c>
      <c r="Y96">
        <v>0</v>
      </c>
      <c r="Z96" s="8">
        <v>90</v>
      </c>
      <c r="AA96">
        <v>22.5</v>
      </c>
      <c r="AB96">
        <v>0</v>
      </c>
      <c r="AC96">
        <v>4</v>
      </c>
      <c r="AD96" s="1">
        <v>0</v>
      </c>
      <c r="AE96" s="2">
        <v>46248</v>
      </c>
      <c r="AF96" s="2">
        <v>46256</v>
      </c>
      <c r="AG96" s="2">
        <v>46263</v>
      </c>
      <c r="AH96">
        <v>0</v>
      </c>
      <c r="AI96" s="3">
        <v>0</v>
      </c>
      <c r="AJ96" s="1" t="s">
        <v>1635</v>
      </c>
      <c r="AK96" s="2" t="s">
        <v>1635</v>
      </c>
      <c r="AL96" s="4" t="s">
        <v>1658</v>
      </c>
      <c r="AM96" s="5" t="s">
        <v>1658</v>
      </c>
      <c r="AN96" s="4">
        <v>0</v>
      </c>
      <c r="AO96" t="s">
        <v>1635</v>
      </c>
      <c r="AP96" s="4" t="s">
        <v>1658</v>
      </c>
      <c r="AQ96" t="s">
        <v>1619</v>
      </c>
      <c r="AR96" t="s">
        <v>1620</v>
      </c>
      <c r="AT96" s="16" t="str">
        <f>_xlfn.XLOOKUP(B96,'SWiSH Demand Forecast Sep-26'!D:D,'SWiSH Demand Forecast Sep-26'!G:G,"Not Exist")</f>
        <v>Not Exist</v>
      </c>
    </row>
    <row r="97" spans="1:46" x14ac:dyDescent="0.3">
      <c r="A97">
        <v>107200215</v>
      </c>
      <c r="B97" t="s">
        <v>1802</v>
      </c>
      <c r="C97" t="s">
        <v>10</v>
      </c>
      <c r="D97" t="s">
        <v>1613</v>
      </c>
      <c r="E97" t="s">
        <v>1663</v>
      </c>
      <c r="F97" t="s">
        <v>1656</v>
      </c>
      <c r="G97" t="s">
        <v>1624</v>
      </c>
      <c r="H97" t="s">
        <v>1657</v>
      </c>
      <c r="I97" t="s">
        <v>1634</v>
      </c>
      <c r="J97" t="s">
        <v>10</v>
      </c>
      <c r="K97">
        <v>3.5</v>
      </c>
      <c r="L97">
        <v>0</v>
      </c>
      <c r="M97" s="1">
        <v>7</v>
      </c>
      <c r="N97">
        <v>0</v>
      </c>
      <c r="O97">
        <v>0</v>
      </c>
      <c r="P97">
        <v>0</v>
      </c>
      <c r="Q97" s="1">
        <v>0</v>
      </c>
      <c r="R97">
        <v>3.5</v>
      </c>
      <c r="S97" s="2">
        <v>46212</v>
      </c>
      <c r="T97" s="2">
        <v>46220</v>
      </c>
      <c r="U97">
        <v>0</v>
      </c>
      <c r="V97">
        <v>0</v>
      </c>
      <c r="W97">
        <v>69</v>
      </c>
      <c r="X97">
        <v>6</v>
      </c>
      <c r="Y97">
        <v>0</v>
      </c>
      <c r="Z97" s="8">
        <v>69</v>
      </c>
      <c r="AA97">
        <v>18.75</v>
      </c>
      <c r="AB97">
        <v>0</v>
      </c>
      <c r="AC97">
        <v>3.68</v>
      </c>
      <c r="AD97" s="1">
        <v>0</v>
      </c>
      <c r="AE97" s="2">
        <v>46248</v>
      </c>
      <c r="AF97" s="2">
        <v>46256</v>
      </c>
      <c r="AG97" s="2">
        <v>46263</v>
      </c>
      <c r="AH97">
        <v>0</v>
      </c>
      <c r="AI97" s="3">
        <v>0</v>
      </c>
      <c r="AJ97" s="1" t="s">
        <v>1635</v>
      </c>
      <c r="AK97" s="2" t="s">
        <v>1635</v>
      </c>
      <c r="AL97" s="4" t="s">
        <v>1658</v>
      </c>
      <c r="AM97" s="5" t="s">
        <v>1658</v>
      </c>
      <c r="AN97" s="4">
        <v>0</v>
      </c>
      <c r="AO97" t="s">
        <v>1635</v>
      </c>
      <c r="AP97" s="4" t="s">
        <v>1658</v>
      </c>
      <c r="AQ97" t="s">
        <v>1619</v>
      </c>
      <c r="AR97" t="s">
        <v>1620</v>
      </c>
      <c r="AT97" s="16" t="str">
        <f>_xlfn.XLOOKUP(B97,'SWiSH Demand Forecast Sep-26'!D:D,'SWiSH Demand Forecast Sep-26'!G:G,"Not Exist")</f>
        <v>Not Exist</v>
      </c>
    </row>
    <row r="98" spans="1:46" x14ac:dyDescent="0.3">
      <c r="A98">
        <v>100900005</v>
      </c>
      <c r="B98" t="s">
        <v>1803</v>
      </c>
      <c r="C98" t="s">
        <v>10</v>
      </c>
      <c r="D98" t="s">
        <v>1629</v>
      </c>
      <c r="E98" t="s">
        <v>1804</v>
      </c>
      <c r="F98" t="s">
        <v>1639</v>
      </c>
      <c r="G98" t="s">
        <v>1616</v>
      </c>
      <c r="H98" t="s">
        <v>1640</v>
      </c>
      <c r="I98" t="s">
        <v>1618</v>
      </c>
      <c r="J98" t="s">
        <v>1641</v>
      </c>
      <c r="K98">
        <v>6.8055669999999999E-2</v>
      </c>
      <c r="L98">
        <v>0</v>
      </c>
      <c r="M98" s="1">
        <v>3</v>
      </c>
      <c r="N98">
        <v>0</v>
      </c>
      <c r="O98">
        <v>0</v>
      </c>
      <c r="P98">
        <v>0</v>
      </c>
      <c r="Q98" s="1">
        <v>0</v>
      </c>
      <c r="R98">
        <v>2.0416699999999999</v>
      </c>
      <c r="S98" s="2">
        <v>46167</v>
      </c>
      <c r="T98" s="2">
        <v>46214</v>
      </c>
      <c r="U98">
        <v>22980</v>
      </c>
      <c r="V98">
        <v>21870</v>
      </c>
      <c r="W98">
        <v>810</v>
      </c>
      <c r="X98">
        <v>0</v>
      </c>
      <c r="Y98">
        <v>0</v>
      </c>
      <c r="Z98" s="8">
        <v>22980</v>
      </c>
      <c r="AA98">
        <v>11415</v>
      </c>
      <c r="AB98">
        <v>0</v>
      </c>
      <c r="AC98">
        <v>2.0131406044678055</v>
      </c>
      <c r="AD98" s="1">
        <v>0</v>
      </c>
      <c r="AE98" s="2">
        <v>46248</v>
      </c>
      <c r="AF98" s="2">
        <v>46256</v>
      </c>
      <c r="AG98" s="2">
        <v>46263</v>
      </c>
      <c r="AH98">
        <v>0</v>
      </c>
      <c r="AI98" s="3">
        <v>0</v>
      </c>
      <c r="AJ98" s="1" t="s">
        <v>1635</v>
      </c>
      <c r="AK98" s="2" t="s">
        <v>1635</v>
      </c>
      <c r="AL98" s="4" t="s">
        <v>1636</v>
      </c>
      <c r="AM98" s="5" t="s">
        <v>1636</v>
      </c>
      <c r="AN98" s="4">
        <v>0</v>
      </c>
      <c r="AO98" t="s">
        <v>1635</v>
      </c>
      <c r="AP98" s="4" t="s">
        <v>1636</v>
      </c>
      <c r="AQ98" t="s">
        <v>1619</v>
      </c>
      <c r="AR98" t="s">
        <v>1620</v>
      </c>
      <c r="AT98" s="16" t="str">
        <f>_xlfn.XLOOKUP(B98,'SWiSH Demand Forecast Sep-26'!D:D,'SWiSH Demand Forecast Sep-26'!G:G,"Not Exist")</f>
        <v>Not Exist</v>
      </c>
    </row>
    <row r="99" spans="1:46" x14ac:dyDescent="0.3">
      <c r="A99">
        <v>107200081</v>
      </c>
      <c r="B99" t="s">
        <v>1805</v>
      </c>
      <c r="C99" t="s">
        <v>10</v>
      </c>
      <c r="D99" t="s">
        <v>1699</v>
      </c>
      <c r="E99" t="s">
        <v>1655</v>
      </c>
      <c r="F99" t="s">
        <v>1656</v>
      </c>
      <c r="G99" t="s">
        <v>1624</v>
      </c>
      <c r="H99" t="s">
        <v>1657</v>
      </c>
      <c r="I99" t="s">
        <v>1634</v>
      </c>
      <c r="J99" t="e">
        <v>#N/A</v>
      </c>
      <c r="K99">
        <v>2.75</v>
      </c>
      <c r="L99">
        <v>0</v>
      </c>
      <c r="M99" s="1">
        <v>7</v>
      </c>
      <c r="N99">
        <v>0</v>
      </c>
      <c r="O99">
        <v>0</v>
      </c>
      <c r="P99">
        <v>0</v>
      </c>
      <c r="Q99" s="1">
        <v>0</v>
      </c>
      <c r="R99">
        <v>2.75</v>
      </c>
      <c r="S99" s="2">
        <v>46145</v>
      </c>
      <c r="T99" s="2">
        <v>46152</v>
      </c>
      <c r="U99">
        <v>0</v>
      </c>
      <c r="V99">
        <v>72</v>
      </c>
      <c r="W99">
        <v>0</v>
      </c>
      <c r="X99">
        <v>0</v>
      </c>
      <c r="Y99">
        <v>0</v>
      </c>
      <c r="Z99" s="8">
        <v>72</v>
      </c>
      <c r="AA99">
        <v>18</v>
      </c>
      <c r="AB99">
        <v>0</v>
      </c>
      <c r="AC99">
        <v>4</v>
      </c>
      <c r="AD99" s="1">
        <v>0</v>
      </c>
      <c r="AE99" s="2">
        <v>46248</v>
      </c>
      <c r="AF99" s="2">
        <v>46256</v>
      </c>
      <c r="AG99" s="2">
        <v>46263</v>
      </c>
      <c r="AH99">
        <v>0</v>
      </c>
      <c r="AI99" s="3">
        <v>0</v>
      </c>
      <c r="AJ99" s="1" t="s">
        <v>1635</v>
      </c>
      <c r="AK99" s="2" t="s">
        <v>1635</v>
      </c>
      <c r="AL99" s="4" t="s">
        <v>1658</v>
      </c>
      <c r="AM99" s="5" t="s">
        <v>1658</v>
      </c>
      <c r="AN99" s="4">
        <v>0</v>
      </c>
      <c r="AO99" t="s">
        <v>1635</v>
      </c>
      <c r="AP99" s="4" t="s">
        <v>1658</v>
      </c>
      <c r="AQ99" t="s">
        <v>1619</v>
      </c>
      <c r="AR99" t="s">
        <v>1620</v>
      </c>
      <c r="AT99" s="16" t="str">
        <f>_xlfn.XLOOKUP(B99,'SWiSH Demand Forecast Sep-26'!D:D,'SWiSH Demand Forecast Sep-26'!G:G,"Not Exist")</f>
        <v>Not Exist</v>
      </c>
    </row>
    <row r="100" spans="1:46" x14ac:dyDescent="0.3">
      <c r="A100">
        <v>107200216</v>
      </c>
      <c r="B100" t="s">
        <v>1806</v>
      </c>
      <c r="C100" t="s">
        <v>10</v>
      </c>
      <c r="D100" t="s">
        <v>1613</v>
      </c>
      <c r="E100" t="s">
        <v>1663</v>
      </c>
      <c r="F100" t="s">
        <v>1656</v>
      </c>
      <c r="G100" t="s">
        <v>1624</v>
      </c>
      <c r="H100" t="s">
        <v>1657</v>
      </c>
      <c r="I100" t="s">
        <v>1634</v>
      </c>
      <c r="J100" t="s">
        <v>10</v>
      </c>
      <c r="K100">
        <v>2.75</v>
      </c>
      <c r="L100">
        <v>0</v>
      </c>
      <c r="M100" s="1">
        <v>7</v>
      </c>
      <c r="N100">
        <v>0</v>
      </c>
      <c r="O100">
        <v>0</v>
      </c>
      <c r="P100">
        <v>0</v>
      </c>
      <c r="Q100" s="1">
        <v>0</v>
      </c>
      <c r="R100">
        <v>2.75</v>
      </c>
      <c r="S100" s="2">
        <v>46202</v>
      </c>
      <c r="T100" s="2">
        <v>46203</v>
      </c>
      <c r="U100">
        <v>0</v>
      </c>
      <c r="V100">
        <v>0</v>
      </c>
      <c r="W100">
        <v>141</v>
      </c>
      <c r="X100">
        <v>0</v>
      </c>
      <c r="Y100">
        <v>0</v>
      </c>
      <c r="Z100" s="8">
        <v>141</v>
      </c>
      <c r="AA100">
        <v>35.25</v>
      </c>
      <c r="AB100">
        <v>0</v>
      </c>
      <c r="AC100">
        <v>4</v>
      </c>
      <c r="AD100" s="1">
        <v>0</v>
      </c>
      <c r="AE100" s="2">
        <v>46248</v>
      </c>
      <c r="AF100" s="2">
        <v>46256</v>
      </c>
      <c r="AG100" s="2">
        <v>46263</v>
      </c>
      <c r="AH100">
        <v>0</v>
      </c>
      <c r="AI100" s="3">
        <v>0</v>
      </c>
      <c r="AJ100" s="1" t="s">
        <v>1635</v>
      </c>
      <c r="AK100" s="2" t="s">
        <v>1635</v>
      </c>
      <c r="AL100" s="4" t="s">
        <v>1658</v>
      </c>
      <c r="AM100" s="5" t="s">
        <v>1658</v>
      </c>
      <c r="AN100" s="4">
        <v>0</v>
      </c>
      <c r="AO100" t="s">
        <v>1635</v>
      </c>
      <c r="AP100" s="4" t="s">
        <v>1658</v>
      </c>
      <c r="AQ100" t="s">
        <v>1619</v>
      </c>
      <c r="AR100" t="s">
        <v>1620</v>
      </c>
      <c r="AT100" s="16" t="str">
        <f>_xlfn.XLOOKUP(B100,'SWiSH Demand Forecast Sep-26'!D:D,'SWiSH Demand Forecast Sep-26'!G:G,"Not Exist")</f>
        <v>Not Exist</v>
      </c>
    </row>
    <row r="101" spans="1:46" x14ac:dyDescent="0.3">
      <c r="A101">
        <v>106600153</v>
      </c>
      <c r="B101" t="s">
        <v>1807</v>
      </c>
      <c r="C101" t="s">
        <v>10</v>
      </c>
      <c r="D101" t="s">
        <v>1629</v>
      </c>
      <c r="E101" t="s">
        <v>1663</v>
      </c>
      <c r="F101" t="s">
        <v>1664</v>
      </c>
      <c r="G101" t="s">
        <v>1624</v>
      </c>
      <c r="H101" t="s">
        <v>1665</v>
      </c>
      <c r="I101" t="s">
        <v>1634</v>
      </c>
      <c r="J101" t="s">
        <v>10</v>
      </c>
      <c r="K101">
        <v>7.0000000000000007E-2</v>
      </c>
      <c r="L101">
        <v>0</v>
      </c>
      <c r="M101" s="1">
        <v>7</v>
      </c>
      <c r="N101">
        <v>0</v>
      </c>
      <c r="O101">
        <v>0</v>
      </c>
      <c r="P101">
        <v>0</v>
      </c>
      <c r="Q101" s="1">
        <v>0</v>
      </c>
      <c r="R101">
        <v>7.0000000000000007E-2</v>
      </c>
      <c r="S101" s="2">
        <v>46187</v>
      </c>
      <c r="T101" s="2">
        <v>46231</v>
      </c>
      <c r="U101">
        <v>0</v>
      </c>
      <c r="V101">
        <v>0</v>
      </c>
      <c r="W101">
        <v>2000</v>
      </c>
      <c r="X101">
        <v>0</v>
      </c>
      <c r="Y101">
        <v>0</v>
      </c>
      <c r="Z101" s="8">
        <v>2000</v>
      </c>
      <c r="AA101">
        <v>500</v>
      </c>
      <c r="AB101">
        <v>0</v>
      </c>
      <c r="AC101">
        <v>4</v>
      </c>
      <c r="AD101" s="1">
        <v>0</v>
      </c>
      <c r="AE101" s="2">
        <v>46248</v>
      </c>
      <c r="AF101" s="2">
        <v>46256</v>
      </c>
      <c r="AG101" s="2">
        <v>46263</v>
      </c>
      <c r="AH101">
        <v>0</v>
      </c>
      <c r="AI101" s="3">
        <v>0</v>
      </c>
      <c r="AJ101" s="1" t="s">
        <v>1635</v>
      </c>
      <c r="AK101" s="2" t="s">
        <v>1635</v>
      </c>
      <c r="AL101" s="4" t="s">
        <v>1658</v>
      </c>
      <c r="AM101" s="5" t="s">
        <v>1658</v>
      </c>
      <c r="AN101" s="4">
        <v>0</v>
      </c>
      <c r="AO101" t="s">
        <v>1635</v>
      </c>
      <c r="AP101" s="4" t="s">
        <v>1658</v>
      </c>
      <c r="AQ101" t="s">
        <v>1619</v>
      </c>
      <c r="AR101" t="s">
        <v>1620</v>
      </c>
      <c r="AT101" s="16" t="str">
        <f>_xlfn.XLOOKUP(B101,'SWiSH Demand Forecast Sep-26'!D:D,'SWiSH Demand Forecast Sep-26'!G:G,"Not Exist")</f>
        <v>Not Exist</v>
      </c>
    </row>
    <row r="102" spans="1:46" x14ac:dyDescent="0.3">
      <c r="A102">
        <v>106600154</v>
      </c>
      <c r="B102" t="s">
        <v>1808</v>
      </c>
      <c r="C102" t="s">
        <v>10</v>
      </c>
      <c r="D102" t="s">
        <v>1629</v>
      </c>
      <c r="E102" t="s">
        <v>1663</v>
      </c>
      <c r="F102" t="s">
        <v>1664</v>
      </c>
      <c r="G102" t="s">
        <v>1624</v>
      </c>
      <c r="H102" t="s">
        <v>1723</v>
      </c>
      <c r="I102" t="s">
        <v>1634</v>
      </c>
      <c r="J102" t="s">
        <v>10</v>
      </c>
      <c r="K102">
        <v>0.14000000000000001</v>
      </c>
      <c r="L102">
        <v>0</v>
      </c>
      <c r="M102" s="1">
        <v>7</v>
      </c>
      <c r="N102">
        <v>0</v>
      </c>
      <c r="O102">
        <v>0</v>
      </c>
      <c r="P102">
        <v>0</v>
      </c>
      <c r="Q102" s="1">
        <v>0</v>
      </c>
      <c r="R102">
        <v>0.14000000000000001</v>
      </c>
      <c r="S102" s="2">
        <v>46187</v>
      </c>
      <c r="T102" s="2">
        <v>46222</v>
      </c>
      <c r="U102">
        <v>0</v>
      </c>
      <c r="V102">
        <v>0</v>
      </c>
      <c r="W102">
        <v>2000</v>
      </c>
      <c r="X102">
        <v>0</v>
      </c>
      <c r="Y102">
        <v>0</v>
      </c>
      <c r="Z102" s="8">
        <v>2000</v>
      </c>
      <c r="AA102">
        <v>500</v>
      </c>
      <c r="AB102">
        <v>0</v>
      </c>
      <c r="AC102">
        <v>4</v>
      </c>
      <c r="AD102" s="1">
        <v>0</v>
      </c>
      <c r="AE102" s="2">
        <v>46248</v>
      </c>
      <c r="AF102" s="2">
        <v>46256</v>
      </c>
      <c r="AG102" s="2">
        <v>46263</v>
      </c>
      <c r="AH102">
        <v>0</v>
      </c>
      <c r="AI102" s="3">
        <v>0</v>
      </c>
      <c r="AJ102" s="1" t="s">
        <v>1635</v>
      </c>
      <c r="AK102" s="2" t="s">
        <v>1635</v>
      </c>
      <c r="AL102" s="4" t="s">
        <v>1658</v>
      </c>
      <c r="AM102" s="5" t="s">
        <v>1658</v>
      </c>
      <c r="AN102" s="4">
        <v>0</v>
      </c>
      <c r="AO102" t="s">
        <v>1635</v>
      </c>
      <c r="AP102" s="4" t="s">
        <v>1658</v>
      </c>
      <c r="AQ102" t="s">
        <v>1619</v>
      </c>
      <c r="AR102" t="s">
        <v>1620</v>
      </c>
      <c r="AT102" s="16" t="str">
        <f>_xlfn.XLOOKUP(B102,'SWiSH Demand Forecast Sep-26'!D:D,'SWiSH Demand Forecast Sep-26'!G:G,"Not Exist")</f>
        <v>Not Exist</v>
      </c>
    </row>
    <row r="103" spans="1:46" x14ac:dyDescent="0.3">
      <c r="A103">
        <v>100400254</v>
      </c>
      <c r="B103" t="s">
        <v>1809</v>
      </c>
      <c r="C103" t="s">
        <v>10</v>
      </c>
      <c r="D103" t="s">
        <v>1629</v>
      </c>
      <c r="E103" t="s">
        <v>1655</v>
      </c>
      <c r="F103" t="s">
        <v>1664</v>
      </c>
      <c r="G103" t="s">
        <v>1624</v>
      </c>
      <c r="H103" t="s">
        <v>1810</v>
      </c>
      <c r="I103" t="s">
        <v>1634</v>
      </c>
      <c r="J103" t="s">
        <v>10</v>
      </c>
      <c r="K103">
        <v>1.8333329999999998E-2</v>
      </c>
      <c r="L103">
        <v>0</v>
      </c>
      <c r="M103" s="1">
        <v>15</v>
      </c>
      <c r="N103">
        <v>0</v>
      </c>
      <c r="O103">
        <v>0</v>
      </c>
      <c r="P103">
        <v>0</v>
      </c>
      <c r="Q103" s="1">
        <v>0</v>
      </c>
      <c r="R103">
        <v>11</v>
      </c>
      <c r="S103" s="2">
        <v>46203</v>
      </c>
      <c r="T103" s="2">
        <v>46227</v>
      </c>
      <c r="U103">
        <v>0</v>
      </c>
      <c r="V103">
        <v>0</v>
      </c>
      <c r="W103">
        <v>2800</v>
      </c>
      <c r="X103">
        <v>200</v>
      </c>
      <c r="Y103">
        <v>0</v>
      </c>
      <c r="Z103" s="8">
        <v>2800</v>
      </c>
      <c r="AA103">
        <v>750</v>
      </c>
      <c r="AB103">
        <v>0</v>
      </c>
      <c r="AC103">
        <v>3.7333333333333334</v>
      </c>
      <c r="AD103" s="1">
        <v>0</v>
      </c>
      <c r="AE103" s="2">
        <v>46248</v>
      </c>
      <c r="AF103" s="2">
        <v>46256</v>
      </c>
      <c r="AG103" s="2">
        <v>46263</v>
      </c>
      <c r="AH103">
        <v>0</v>
      </c>
      <c r="AI103" s="3">
        <v>0</v>
      </c>
      <c r="AJ103" s="1" t="s">
        <v>1635</v>
      </c>
      <c r="AK103" s="2" t="s">
        <v>1635</v>
      </c>
      <c r="AL103" s="4" t="s">
        <v>1636</v>
      </c>
      <c r="AM103" s="5" t="s">
        <v>1636</v>
      </c>
      <c r="AN103" s="4">
        <v>0</v>
      </c>
      <c r="AO103" t="s">
        <v>1635</v>
      </c>
      <c r="AP103" s="4" t="s">
        <v>1636</v>
      </c>
      <c r="AQ103" t="s">
        <v>1619</v>
      </c>
      <c r="AR103" t="s">
        <v>1620</v>
      </c>
      <c r="AT103" s="16" t="str">
        <f>_xlfn.XLOOKUP(B103,'SWiSH Demand Forecast Sep-26'!D:D,'SWiSH Demand Forecast Sep-26'!G:G,"Not Exist")</f>
        <v>Not Exist</v>
      </c>
    </row>
    <row r="104" spans="1:46" x14ac:dyDescent="0.3">
      <c r="A104">
        <v>106400398</v>
      </c>
      <c r="B104" t="s">
        <v>1811</v>
      </c>
      <c r="C104" t="s">
        <v>136</v>
      </c>
      <c r="D104" t="s">
        <v>1613</v>
      </c>
      <c r="E104" t="s">
        <v>1685</v>
      </c>
      <c r="F104" t="s">
        <v>1812</v>
      </c>
      <c r="G104" t="s">
        <v>1616</v>
      </c>
      <c r="H104" t="s">
        <v>1764</v>
      </c>
      <c r="I104" t="s">
        <v>1754</v>
      </c>
      <c r="J104" t="s">
        <v>10</v>
      </c>
      <c r="K104">
        <v>17.480953979999999</v>
      </c>
      <c r="L104">
        <v>0</v>
      </c>
      <c r="M104" s="1">
        <v>3</v>
      </c>
      <c r="N104">
        <v>0</v>
      </c>
      <c r="O104">
        <v>0</v>
      </c>
      <c r="P104">
        <v>0</v>
      </c>
      <c r="Q104" s="1">
        <v>0</v>
      </c>
      <c r="R104">
        <v>0</v>
      </c>
      <c r="S104" s="2">
        <v>0</v>
      </c>
      <c r="T104" s="2">
        <v>46158</v>
      </c>
      <c r="U104">
        <v>1</v>
      </c>
      <c r="V104">
        <v>2</v>
      </c>
      <c r="W104">
        <v>1.5</v>
      </c>
      <c r="X104">
        <v>0</v>
      </c>
      <c r="Y104">
        <v>0</v>
      </c>
      <c r="Z104" s="8">
        <v>2</v>
      </c>
      <c r="AA104">
        <v>1.125</v>
      </c>
      <c r="AB104">
        <v>0</v>
      </c>
      <c r="AC104">
        <v>1.7777777777777777</v>
      </c>
      <c r="AD104" s="1">
        <v>0</v>
      </c>
      <c r="AE104" s="2">
        <v>46248</v>
      </c>
      <c r="AF104" s="2">
        <v>46256</v>
      </c>
      <c r="AG104" s="2">
        <v>46263</v>
      </c>
      <c r="AH104">
        <v>0</v>
      </c>
      <c r="AI104" s="3">
        <v>0</v>
      </c>
      <c r="AJ104" s="1" t="s">
        <v>1635</v>
      </c>
      <c r="AK104" s="2" t="s">
        <v>1635</v>
      </c>
      <c r="AL104" s="4" t="s">
        <v>1658</v>
      </c>
      <c r="AM104" s="5" t="s">
        <v>1658</v>
      </c>
      <c r="AN104" s="4">
        <v>0</v>
      </c>
      <c r="AO104" t="s">
        <v>1635</v>
      </c>
      <c r="AP104" s="4" t="s">
        <v>1658</v>
      </c>
      <c r="AQ104" t="s">
        <v>1619</v>
      </c>
      <c r="AR104" t="s">
        <v>1620</v>
      </c>
      <c r="AT104" s="16" t="str">
        <f>_xlfn.XLOOKUP(B104,'SWiSH Demand Forecast Sep-26'!D:D,'SWiSH Demand Forecast Sep-26'!G:G,"Not Exist")</f>
        <v>Not Exist</v>
      </c>
    </row>
    <row r="105" spans="1:46" hidden="1" x14ac:dyDescent="0.3">
      <c r="A105">
        <v>100900003</v>
      </c>
      <c r="B105" t="s">
        <v>449</v>
      </c>
      <c r="C105" t="s">
        <v>10</v>
      </c>
      <c r="D105" t="s">
        <v>1629</v>
      </c>
      <c r="E105" t="s">
        <v>1813</v>
      </c>
      <c r="F105" t="s">
        <v>1639</v>
      </c>
      <c r="G105" t="s">
        <v>1616</v>
      </c>
      <c r="H105" t="s">
        <v>1640</v>
      </c>
      <c r="I105" t="s">
        <v>1618</v>
      </c>
      <c r="J105" t="s">
        <v>1641</v>
      </c>
      <c r="K105">
        <v>8.2424330000000004E-2</v>
      </c>
      <c r="L105">
        <v>0</v>
      </c>
      <c r="M105" s="1">
        <v>3</v>
      </c>
      <c r="N105">
        <v>0</v>
      </c>
      <c r="O105">
        <v>0</v>
      </c>
      <c r="P105">
        <v>0</v>
      </c>
      <c r="Q105" s="1">
        <v>0</v>
      </c>
      <c r="R105">
        <v>2.4727299999999999</v>
      </c>
      <c r="S105" s="2">
        <v>46224</v>
      </c>
      <c r="T105" s="2">
        <v>46237</v>
      </c>
      <c r="U105">
        <v>4720</v>
      </c>
      <c r="V105">
        <v>5729</v>
      </c>
      <c r="W105">
        <v>3990</v>
      </c>
      <c r="X105">
        <v>4170</v>
      </c>
      <c r="Y105">
        <v>3990</v>
      </c>
      <c r="Z105" s="8">
        <v>5729</v>
      </c>
      <c r="AA105">
        <v>4652.25</v>
      </c>
      <c r="AB105">
        <v>0.85764952442366593</v>
      </c>
      <c r="AC105">
        <v>1.2314471492288677</v>
      </c>
      <c r="AD105" s="1">
        <v>0</v>
      </c>
      <c r="AE105" s="2">
        <v>46248</v>
      </c>
      <c r="AF105" s="2">
        <v>46256</v>
      </c>
      <c r="AG105" s="2">
        <v>46263</v>
      </c>
      <c r="AH105">
        <v>0</v>
      </c>
      <c r="AI105" s="3">
        <v>0</v>
      </c>
      <c r="AJ105" s="1" t="s">
        <v>1635</v>
      </c>
      <c r="AK105" s="2" t="s">
        <v>1635</v>
      </c>
      <c r="AL105" s="4" t="s">
        <v>1636</v>
      </c>
      <c r="AM105" s="5" t="s">
        <v>1636</v>
      </c>
      <c r="AN105" s="4">
        <v>0</v>
      </c>
      <c r="AO105" t="s">
        <v>1635</v>
      </c>
      <c r="AP105" s="4" t="s">
        <v>1636</v>
      </c>
      <c r="AQ105" t="s">
        <v>1619</v>
      </c>
      <c r="AR105" t="s">
        <v>1620</v>
      </c>
      <c r="AT105" s="16">
        <f>_xlfn.XLOOKUP(B105,'SWiSH Demand Forecast Sep-26'!D:D,'SWiSH Demand Forecast Sep-26'!G:G,"Not Exist")</f>
        <v>2112</v>
      </c>
    </row>
    <row r="106" spans="1:46" x14ac:dyDescent="0.3">
      <c r="A106">
        <v>100900052</v>
      </c>
      <c r="B106" t="s">
        <v>1814</v>
      </c>
      <c r="C106" t="s">
        <v>10</v>
      </c>
      <c r="D106" t="s">
        <v>1629</v>
      </c>
      <c r="E106" t="s">
        <v>1815</v>
      </c>
      <c r="F106" t="s">
        <v>1639</v>
      </c>
      <c r="G106" t="s">
        <v>1616</v>
      </c>
      <c r="H106" t="s">
        <v>1640</v>
      </c>
      <c r="I106" t="s">
        <v>1618</v>
      </c>
      <c r="J106" t="s">
        <v>10</v>
      </c>
      <c r="K106">
        <v>9.0279109999999996E-2</v>
      </c>
      <c r="L106">
        <v>0</v>
      </c>
      <c r="M106" s="1">
        <v>3</v>
      </c>
      <c r="N106">
        <v>0</v>
      </c>
      <c r="O106">
        <v>0</v>
      </c>
      <c r="P106">
        <v>0</v>
      </c>
      <c r="Q106" s="1">
        <v>0</v>
      </c>
      <c r="R106">
        <v>2.7083300000000001</v>
      </c>
      <c r="S106" s="2">
        <v>46025</v>
      </c>
      <c r="T106" s="2">
        <v>46203</v>
      </c>
      <c r="U106">
        <v>0</v>
      </c>
      <c r="V106">
        <v>0</v>
      </c>
      <c r="W106">
        <v>390</v>
      </c>
      <c r="X106">
        <v>0</v>
      </c>
      <c r="Y106">
        <v>0</v>
      </c>
      <c r="Z106" s="8">
        <v>390</v>
      </c>
      <c r="AA106">
        <v>97.5</v>
      </c>
      <c r="AB106">
        <v>0</v>
      </c>
      <c r="AC106">
        <v>4</v>
      </c>
      <c r="AD106" s="1">
        <v>0</v>
      </c>
      <c r="AE106" s="2">
        <v>46248</v>
      </c>
      <c r="AF106" s="2">
        <v>46256</v>
      </c>
      <c r="AG106" s="2">
        <v>46263</v>
      </c>
      <c r="AH106">
        <v>0</v>
      </c>
      <c r="AI106" s="3">
        <v>0</v>
      </c>
      <c r="AJ106" s="1" t="s">
        <v>1635</v>
      </c>
      <c r="AK106" s="2" t="s">
        <v>1635</v>
      </c>
      <c r="AL106" s="4" t="s">
        <v>1636</v>
      </c>
      <c r="AM106" s="5" t="s">
        <v>1636</v>
      </c>
      <c r="AN106" s="4">
        <v>0</v>
      </c>
      <c r="AO106" t="s">
        <v>1635</v>
      </c>
      <c r="AP106" s="4" t="s">
        <v>1636</v>
      </c>
      <c r="AQ106" t="s">
        <v>1619</v>
      </c>
      <c r="AR106" t="s">
        <v>1620</v>
      </c>
      <c r="AT106" s="16" t="str">
        <f>_xlfn.XLOOKUP(B106,'SWiSH Demand Forecast Sep-26'!D:D,'SWiSH Demand Forecast Sep-26'!G:G,"Not Exist")</f>
        <v>Not Exist</v>
      </c>
    </row>
    <row r="107" spans="1:46" x14ac:dyDescent="0.3">
      <c r="A107">
        <v>103700106</v>
      </c>
      <c r="B107" t="s">
        <v>1816</v>
      </c>
      <c r="C107" t="s">
        <v>136</v>
      </c>
      <c r="D107" t="s">
        <v>1613</v>
      </c>
      <c r="E107" t="s">
        <v>1732</v>
      </c>
      <c r="F107" t="s">
        <v>1615</v>
      </c>
      <c r="G107" t="s">
        <v>1616</v>
      </c>
      <c r="H107" t="s">
        <v>1617</v>
      </c>
      <c r="I107" t="s">
        <v>1618</v>
      </c>
      <c r="J107" t="s">
        <v>1817</v>
      </c>
      <c r="K107">
        <v>3.5</v>
      </c>
      <c r="L107">
        <v>0</v>
      </c>
      <c r="M107" s="1">
        <v>3</v>
      </c>
      <c r="N107">
        <v>0</v>
      </c>
      <c r="O107">
        <v>0</v>
      </c>
      <c r="P107">
        <v>0</v>
      </c>
      <c r="Q107" s="1">
        <v>0</v>
      </c>
      <c r="R107">
        <v>3.5</v>
      </c>
      <c r="S107" s="2">
        <v>46168</v>
      </c>
      <c r="T107" s="2">
        <v>46261</v>
      </c>
      <c r="U107">
        <v>125</v>
      </c>
      <c r="V107">
        <v>111</v>
      </c>
      <c r="W107">
        <v>44</v>
      </c>
      <c r="X107">
        <v>0</v>
      </c>
      <c r="Y107">
        <v>0</v>
      </c>
      <c r="Z107" s="8">
        <v>125</v>
      </c>
      <c r="AA107">
        <v>70</v>
      </c>
      <c r="AB107">
        <v>0</v>
      </c>
      <c r="AC107">
        <v>1.7857142857142858</v>
      </c>
      <c r="AD107" s="1">
        <v>0</v>
      </c>
      <c r="AE107" s="2">
        <v>46248</v>
      </c>
      <c r="AF107" s="2">
        <v>46256</v>
      </c>
      <c r="AG107" s="2">
        <v>46263</v>
      </c>
      <c r="AH107">
        <v>0</v>
      </c>
      <c r="AI107" s="3">
        <v>0</v>
      </c>
      <c r="AJ107" s="1" t="s">
        <v>1635</v>
      </c>
      <c r="AK107" s="2" t="s">
        <v>1635</v>
      </c>
      <c r="AL107" s="4">
        <v>30</v>
      </c>
      <c r="AM107" s="5">
        <v>15</v>
      </c>
      <c r="AN107" s="4">
        <v>0</v>
      </c>
      <c r="AO107">
        <v>0</v>
      </c>
      <c r="AP107" s="4">
        <v>1</v>
      </c>
      <c r="AQ107" t="s">
        <v>1619</v>
      </c>
      <c r="AR107" t="s">
        <v>1620</v>
      </c>
      <c r="AT107" s="16" t="str">
        <f>_xlfn.XLOOKUP(B107,'SWiSH Demand Forecast Sep-26'!D:D,'SWiSH Demand Forecast Sep-26'!G:G,"Not Exist")</f>
        <v>Not Exist</v>
      </c>
    </row>
    <row r="108" spans="1:46" x14ac:dyDescent="0.3">
      <c r="A108">
        <v>100900004</v>
      </c>
      <c r="B108" t="s">
        <v>1818</v>
      </c>
      <c r="C108" t="s">
        <v>10</v>
      </c>
      <c r="D108" t="s">
        <v>1629</v>
      </c>
      <c r="E108" t="s">
        <v>1819</v>
      </c>
      <c r="F108" t="s">
        <v>1639</v>
      </c>
      <c r="G108" t="s">
        <v>1616</v>
      </c>
      <c r="H108" t="s">
        <v>1640</v>
      </c>
      <c r="I108" t="s">
        <v>1618</v>
      </c>
      <c r="J108" t="s">
        <v>10</v>
      </c>
      <c r="K108">
        <v>6.8055669999999999E-2</v>
      </c>
      <c r="L108">
        <v>0</v>
      </c>
      <c r="M108" s="1">
        <v>3</v>
      </c>
      <c r="N108">
        <v>0</v>
      </c>
      <c r="O108">
        <v>0</v>
      </c>
      <c r="P108">
        <v>0</v>
      </c>
      <c r="Q108" s="1">
        <v>0</v>
      </c>
      <c r="R108">
        <v>2.0416699999999999</v>
      </c>
      <c r="S108" s="2">
        <v>46176</v>
      </c>
      <c r="T108" s="2">
        <v>46223</v>
      </c>
      <c r="U108">
        <v>17550</v>
      </c>
      <c r="V108">
        <v>15750</v>
      </c>
      <c r="W108">
        <v>6180</v>
      </c>
      <c r="X108">
        <v>1140</v>
      </c>
      <c r="Y108">
        <v>1140</v>
      </c>
      <c r="Z108" s="8">
        <v>17550</v>
      </c>
      <c r="AA108">
        <v>10155</v>
      </c>
      <c r="AB108">
        <v>0.11225997045790251</v>
      </c>
      <c r="AC108">
        <v>1.7282127031019203</v>
      </c>
      <c r="AD108" s="1">
        <v>0</v>
      </c>
      <c r="AE108" s="2">
        <v>46248</v>
      </c>
      <c r="AF108" s="2">
        <v>46256</v>
      </c>
      <c r="AG108" s="2">
        <v>46263</v>
      </c>
      <c r="AH108">
        <v>0</v>
      </c>
      <c r="AI108" s="3">
        <v>0</v>
      </c>
      <c r="AJ108" s="1" t="s">
        <v>1635</v>
      </c>
      <c r="AK108" s="2" t="s">
        <v>1635</v>
      </c>
      <c r="AL108" s="4" t="s">
        <v>1636</v>
      </c>
      <c r="AM108" s="5" t="s">
        <v>1636</v>
      </c>
      <c r="AN108" s="4">
        <v>0</v>
      </c>
      <c r="AO108" t="s">
        <v>1635</v>
      </c>
      <c r="AP108" s="4" t="s">
        <v>1636</v>
      </c>
      <c r="AQ108" t="s">
        <v>1619</v>
      </c>
      <c r="AR108" t="s">
        <v>1620</v>
      </c>
      <c r="AT108" s="16" t="str">
        <f>_xlfn.XLOOKUP(B108,'SWiSH Demand Forecast Sep-26'!D:D,'SWiSH Demand Forecast Sep-26'!G:G,"Not Exist")</f>
        <v>Not Exist</v>
      </c>
    </row>
    <row r="109" spans="1:46" x14ac:dyDescent="0.3">
      <c r="A109">
        <v>103800011</v>
      </c>
      <c r="B109" t="s">
        <v>1820</v>
      </c>
      <c r="C109" t="s">
        <v>136</v>
      </c>
      <c r="D109" t="s">
        <v>1629</v>
      </c>
      <c r="E109" t="s">
        <v>1821</v>
      </c>
      <c r="F109" t="s">
        <v>1615</v>
      </c>
      <c r="G109" t="s">
        <v>1616</v>
      </c>
      <c r="H109" t="s">
        <v>1822</v>
      </c>
      <c r="I109" t="s">
        <v>1618</v>
      </c>
      <c r="J109" t="s">
        <v>136</v>
      </c>
      <c r="K109">
        <v>3.00009704</v>
      </c>
      <c r="L109">
        <v>0</v>
      </c>
      <c r="M109" s="1">
        <v>3</v>
      </c>
      <c r="N109">
        <v>0</v>
      </c>
      <c r="O109">
        <v>0</v>
      </c>
      <c r="P109">
        <v>0</v>
      </c>
      <c r="Q109" s="1">
        <v>0</v>
      </c>
      <c r="R109">
        <v>3</v>
      </c>
      <c r="S109" s="2">
        <v>46193</v>
      </c>
      <c r="T109" s="2">
        <v>46226</v>
      </c>
      <c r="U109">
        <v>17</v>
      </c>
      <c r="V109">
        <v>26</v>
      </c>
      <c r="W109">
        <v>12</v>
      </c>
      <c r="X109">
        <v>22</v>
      </c>
      <c r="Y109">
        <v>12</v>
      </c>
      <c r="Z109" s="8">
        <v>26</v>
      </c>
      <c r="AA109">
        <v>19.25</v>
      </c>
      <c r="AB109">
        <v>0.62337662337662336</v>
      </c>
      <c r="AC109">
        <v>1.3506493506493507</v>
      </c>
      <c r="AD109" s="1">
        <v>0</v>
      </c>
      <c r="AE109" s="2">
        <v>46248</v>
      </c>
      <c r="AF109" s="2">
        <v>46256</v>
      </c>
      <c r="AG109" s="2">
        <v>46263</v>
      </c>
      <c r="AH109">
        <v>0</v>
      </c>
      <c r="AI109" s="3">
        <v>0</v>
      </c>
      <c r="AJ109" s="1" t="s">
        <v>1635</v>
      </c>
      <c r="AK109" s="2" t="s">
        <v>1635</v>
      </c>
      <c r="AL109" s="4" t="s">
        <v>1636</v>
      </c>
      <c r="AM109" s="5" t="s">
        <v>1636</v>
      </c>
      <c r="AN109" s="4">
        <v>0</v>
      </c>
      <c r="AO109" t="s">
        <v>1635</v>
      </c>
      <c r="AP109" s="4" t="s">
        <v>1636</v>
      </c>
      <c r="AQ109" t="s">
        <v>1619</v>
      </c>
      <c r="AR109" t="s">
        <v>1620</v>
      </c>
      <c r="AT109" s="16" t="str">
        <f>_xlfn.XLOOKUP(B109,'SWiSH Demand Forecast Sep-26'!D:D,'SWiSH Demand Forecast Sep-26'!G:G,"Not Exist")</f>
        <v>Not Exist</v>
      </c>
    </row>
    <row r="110" spans="1:46" hidden="1" x14ac:dyDescent="0.3">
      <c r="A110">
        <v>100800019</v>
      </c>
      <c r="B110" t="s">
        <v>717</v>
      </c>
      <c r="C110" t="s">
        <v>10</v>
      </c>
      <c r="D110" t="s">
        <v>1629</v>
      </c>
      <c r="E110" t="s">
        <v>1638</v>
      </c>
      <c r="F110" t="s">
        <v>1639</v>
      </c>
      <c r="G110" t="s">
        <v>1632</v>
      </c>
      <c r="H110" t="s">
        <v>1640</v>
      </c>
      <c r="I110" t="s">
        <v>1618</v>
      </c>
      <c r="J110" t="s">
        <v>1823</v>
      </c>
      <c r="K110">
        <v>0.10303042</v>
      </c>
      <c r="L110">
        <v>0</v>
      </c>
      <c r="M110" s="1">
        <v>3</v>
      </c>
      <c r="N110">
        <v>0</v>
      </c>
      <c r="O110">
        <v>0</v>
      </c>
      <c r="P110">
        <v>0</v>
      </c>
      <c r="Q110" s="1">
        <v>0</v>
      </c>
      <c r="R110">
        <v>2.4727299999999999</v>
      </c>
      <c r="S110" s="2">
        <v>46218</v>
      </c>
      <c r="T110" s="2">
        <v>46258</v>
      </c>
      <c r="U110">
        <v>1584</v>
      </c>
      <c r="V110">
        <v>1308</v>
      </c>
      <c r="W110">
        <v>2567</v>
      </c>
      <c r="X110">
        <v>1872</v>
      </c>
      <c r="Y110">
        <v>1308</v>
      </c>
      <c r="Z110" s="8">
        <v>2567</v>
      </c>
      <c r="AA110">
        <v>1832.75</v>
      </c>
      <c r="AB110">
        <v>0.7136816259719001</v>
      </c>
      <c r="AC110">
        <v>1.4006274723775747</v>
      </c>
      <c r="AD110" s="1">
        <v>0</v>
      </c>
      <c r="AE110" s="2">
        <v>46248</v>
      </c>
      <c r="AF110" s="2">
        <v>46256</v>
      </c>
      <c r="AG110" s="2">
        <v>46263</v>
      </c>
      <c r="AH110">
        <v>0</v>
      </c>
      <c r="AI110" s="3">
        <v>0</v>
      </c>
      <c r="AJ110" s="1" t="s">
        <v>1635</v>
      </c>
      <c r="AK110" s="2" t="s">
        <v>1635</v>
      </c>
      <c r="AL110" s="4" t="s">
        <v>1636</v>
      </c>
      <c r="AM110" s="5" t="s">
        <v>1636</v>
      </c>
      <c r="AN110" s="4">
        <v>0</v>
      </c>
      <c r="AO110" t="s">
        <v>1635</v>
      </c>
      <c r="AP110" s="4" t="s">
        <v>1636</v>
      </c>
      <c r="AQ110" t="s">
        <v>1619</v>
      </c>
      <c r="AR110" t="s">
        <v>1800</v>
      </c>
      <c r="AT110" s="16">
        <f>_xlfn.XLOOKUP(B110,'SWiSH Demand Forecast Sep-26'!D:D,'SWiSH Demand Forecast Sep-26'!G:G,"Not Exist")</f>
        <v>584</v>
      </c>
    </row>
    <row r="111" spans="1:46" hidden="1" x14ac:dyDescent="0.3">
      <c r="A111">
        <v>100900054</v>
      </c>
      <c r="B111" t="s">
        <v>1310</v>
      </c>
      <c r="C111" t="s">
        <v>10</v>
      </c>
      <c r="D111" t="s">
        <v>1629</v>
      </c>
      <c r="E111" t="s">
        <v>1815</v>
      </c>
      <c r="F111" t="s">
        <v>1639</v>
      </c>
      <c r="G111" t="s">
        <v>1616</v>
      </c>
      <c r="H111" t="s">
        <v>1640</v>
      </c>
      <c r="I111" t="s">
        <v>1618</v>
      </c>
      <c r="J111" t="s">
        <v>10</v>
      </c>
      <c r="K111">
        <v>0.125</v>
      </c>
      <c r="L111">
        <v>0</v>
      </c>
      <c r="M111" s="1">
        <v>3</v>
      </c>
      <c r="N111">
        <v>0</v>
      </c>
      <c r="O111">
        <v>0</v>
      </c>
      <c r="P111">
        <v>0</v>
      </c>
      <c r="Q111" s="1">
        <v>0</v>
      </c>
      <c r="R111">
        <v>3.75</v>
      </c>
      <c r="S111" s="2">
        <v>46025</v>
      </c>
      <c r="T111" s="2">
        <v>46239</v>
      </c>
      <c r="U111">
        <v>60</v>
      </c>
      <c r="V111">
        <v>90</v>
      </c>
      <c r="W111">
        <v>30</v>
      </c>
      <c r="X111">
        <v>30</v>
      </c>
      <c r="Y111">
        <v>30</v>
      </c>
      <c r="Z111" s="8">
        <v>90</v>
      </c>
      <c r="AA111">
        <v>52.5</v>
      </c>
      <c r="AB111">
        <v>0.5714285714285714</v>
      </c>
      <c r="AC111">
        <v>1.7142857142857142</v>
      </c>
      <c r="AD111" s="1">
        <v>0</v>
      </c>
      <c r="AE111" s="2">
        <v>46248</v>
      </c>
      <c r="AF111" s="2">
        <v>46256</v>
      </c>
      <c r="AG111" s="2">
        <v>46263</v>
      </c>
      <c r="AH111">
        <v>0</v>
      </c>
      <c r="AI111" s="3">
        <v>0</v>
      </c>
      <c r="AJ111" s="1" t="s">
        <v>1635</v>
      </c>
      <c r="AK111" s="2" t="s">
        <v>1635</v>
      </c>
      <c r="AL111" s="4" t="s">
        <v>1636</v>
      </c>
      <c r="AM111" s="5" t="s">
        <v>1636</v>
      </c>
      <c r="AN111" s="4">
        <v>0</v>
      </c>
      <c r="AO111" t="s">
        <v>1635</v>
      </c>
      <c r="AP111" s="4" t="s">
        <v>1636</v>
      </c>
      <c r="AQ111" t="s">
        <v>1619</v>
      </c>
      <c r="AR111" t="s">
        <v>1620</v>
      </c>
      <c r="AT111" s="16">
        <f>_xlfn.XLOOKUP(B111,'SWiSH Demand Forecast Sep-26'!D:D,'SWiSH Demand Forecast Sep-26'!G:G,"Not Exist")</f>
        <v>30</v>
      </c>
    </row>
    <row r="112" spans="1:46" hidden="1" x14ac:dyDescent="0.3">
      <c r="A112">
        <v>100900069</v>
      </c>
      <c r="B112" t="s">
        <v>189</v>
      </c>
      <c r="C112" t="s">
        <v>10</v>
      </c>
      <c r="D112" t="s">
        <v>1629</v>
      </c>
      <c r="E112" t="s">
        <v>1824</v>
      </c>
      <c r="F112" t="s">
        <v>1639</v>
      </c>
      <c r="G112" t="s">
        <v>1686</v>
      </c>
      <c r="H112" t="s">
        <v>1640</v>
      </c>
      <c r="I112" t="s">
        <v>1618</v>
      </c>
      <c r="J112" t="s">
        <v>1641</v>
      </c>
      <c r="K112">
        <v>8.2424330000000004E-2</v>
      </c>
      <c r="L112">
        <v>0</v>
      </c>
      <c r="M112" s="1">
        <v>3</v>
      </c>
      <c r="N112">
        <v>0</v>
      </c>
      <c r="O112">
        <v>0</v>
      </c>
      <c r="P112">
        <v>0</v>
      </c>
      <c r="Q112" s="1">
        <v>0</v>
      </c>
      <c r="R112">
        <v>2.4727299999999999</v>
      </c>
      <c r="S112" s="2">
        <v>46230</v>
      </c>
      <c r="T112" s="2">
        <v>46237</v>
      </c>
      <c r="U112">
        <v>56087</v>
      </c>
      <c r="V112">
        <v>56870</v>
      </c>
      <c r="W112">
        <v>56820</v>
      </c>
      <c r="X112">
        <v>55168</v>
      </c>
      <c r="Y112">
        <v>55168</v>
      </c>
      <c r="Z112" s="8">
        <v>56870</v>
      </c>
      <c r="AA112">
        <v>56236.25</v>
      </c>
      <c r="AB112">
        <v>0.98100424548222898</v>
      </c>
      <c r="AC112">
        <v>1.0112694214141233</v>
      </c>
      <c r="AD112" s="1">
        <v>0</v>
      </c>
      <c r="AE112" s="2">
        <v>46248</v>
      </c>
      <c r="AF112" s="2">
        <v>46256</v>
      </c>
      <c r="AG112" s="2">
        <v>46263</v>
      </c>
      <c r="AH112">
        <v>0</v>
      </c>
      <c r="AI112" s="3">
        <v>0</v>
      </c>
      <c r="AJ112" s="1" t="s">
        <v>1635</v>
      </c>
      <c r="AK112" s="2" t="s">
        <v>1635</v>
      </c>
      <c r="AL112" s="4" t="s">
        <v>1636</v>
      </c>
      <c r="AM112" s="5" t="s">
        <v>1636</v>
      </c>
      <c r="AN112" s="4">
        <v>0</v>
      </c>
      <c r="AO112" t="s">
        <v>1635</v>
      </c>
      <c r="AP112" s="4" t="s">
        <v>1636</v>
      </c>
      <c r="AQ112" t="s">
        <v>1619</v>
      </c>
      <c r="AR112" t="s">
        <v>1800</v>
      </c>
      <c r="AT112" s="16">
        <f>_xlfn.XLOOKUP(B112,'SWiSH Demand Forecast Sep-26'!D:D,'SWiSH Demand Forecast Sep-26'!G:G,"Not Exist")</f>
        <v>9184</v>
      </c>
    </row>
    <row r="113" spans="1:46" x14ac:dyDescent="0.3">
      <c r="A113">
        <v>106400403</v>
      </c>
      <c r="B113" t="s">
        <v>1825</v>
      </c>
      <c r="C113" t="s">
        <v>10</v>
      </c>
      <c r="D113" t="s">
        <v>1613</v>
      </c>
      <c r="E113" t="s">
        <v>1685</v>
      </c>
      <c r="F113" t="s">
        <v>1812</v>
      </c>
      <c r="G113" t="s">
        <v>1616</v>
      </c>
      <c r="H113" t="s">
        <v>1764</v>
      </c>
      <c r="I113" t="s">
        <v>1754</v>
      </c>
      <c r="J113" t="s">
        <v>10</v>
      </c>
      <c r="K113">
        <v>12.84041839</v>
      </c>
      <c r="L113">
        <v>0</v>
      </c>
      <c r="M113" s="1">
        <v>3</v>
      </c>
      <c r="N113">
        <v>0</v>
      </c>
      <c r="O113">
        <v>0</v>
      </c>
      <c r="P113">
        <v>0</v>
      </c>
      <c r="Q113" s="1">
        <v>0</v>
      </c>
      <c r="R113">
        <v>0</v>
      </c>
      <c r="S113" s="2">
        <v>0</v>
      </c>
      <c r="T113" s="2">
        <v>46158</v>
      </c>
      <c r="U113">
        <v>1</v>
      </c>
      <c r="V113">
        <v>2</v>
      </c>
      <c r="W113">
        <v>1</v>
      </c>
      <c r="X113">
        <v>0</v>
      </c>
      <c r="Y113">
        <v>0</v>
      </c>
      <c r="Z113" s="8">
        <v>2</v>
      </c>
      <c r="AA113">
        <v>1</v>
      </c>
      <c r="AB113">
        <v>0</v>
      </c>
      <c r="AC113">
        <v>2</v>
      </c>
      <c r="AD113" s="1">
        <v>0</v>
      </c>
      <c r="AE113" s="2">
        <v>46248</v>
      </c>
      <c r="AF113" s="2">
        <v>46256</v>
      </c>
      <c r="AG113" s="2">
        <v>46263</v>
      </c>
      <c r="AH113">
        <v>0</v>
      </c>
      <c r="AI113" s="3">
        <v>0</v>
      </c>
      <c r="AJ113" s="1" t="s">
        <v>1635</v>
      </c>
      <c r="AK113" s="2" t="s">
        <v>1635</v>
      </c>
      <c r="AL113" s="4" t="s">
        <v>1658</v>
      </c>
      <c r="AM113" s="5" t="s">
        <v>1658</v>
      </c>
      <c r="AN113" s="4">
        <v>0</v>
      </c>
      <c r="AO113" t="s">
        <v>1635</v>
      </c>
      <c r="AP113" s="4" t="s">
        <v>1658</v>
      </c>
      <c r="AQ113" t="s">
        <v>1619</v>
      </c>
      <c r="AR113" t="s">
        <v>1620</v>
      </c>
      <c r="AT113" s="16" t="str">
        <f>_xlfn.XLOOKUP(B113,'SWiSH Demand Forecast Sep-26'!D:D,'SWiSH Demand Forecast Sep-26'!G:G,"Not Exist")</f>
        <v>Not Exist</v>
      </c>
    </row>
    <row r="114" spans="1:46" hidden="1" x14ac:dyDescent="0.3">
      <c r="A114">
        <v>100900000</v>
      </c>
      <c r="B114" t="s">
        <v>363</v>
      </c>
      <c r="C114" t="s">
        <v>10</v>
      </c>
      <c r="D114" t="s">
        <v>1629</v>
      </c>
      <c r="E114" t="s">
        <v>1826</v>
      </c>
      <c r="F114" t="s">
        <v>1639</v>
      </c>
      <c r="G114" t="s">
        <v>1616</v>
      </c>
      <c r="H114" t="s">
        <v>1640</v>
      </c>
      <c r="I114" t="s">
        <v>1618</v>
      </c>
      <c r="J114" t="s">
        <v>1641</v>
      </c>
      <c r="K114">
        <v>8.2424330000000004E-2</v>
      </c>
      <c r="L114">
        <v>0</v>
      </c>
      <c r="M114" s="1">
        <v>3</v>
      </c>
      <c r="N114">
        <v>0</v>
      </c>
      <c r="O114">
        <v>0</v>
      </c>
      <c r="P114">
        <v>0</v>
      </c>
      <c r="Q114" s="1">
        <v>0</v>
      </c>
      <c r="R114">
        <v>2.4727299999999999</v>
      </c>
      <c r="S114" s="2">
        <v>46223</v>
      </c>
      <c r="T114" s="2">
        <v>46237</v>
      </c>
      <c r="U114">
        <v>21452</v>
      </c>
      <c r="V114">
        <v>21600</v>
      </c>
      <c r="W114">
        <v>20370</v>
      </c>
      <c r="X114">
        <v>20609</v>
      </c>
      <c r="Y114">
        <v>20370</v>
      </c>
      <c r="Z114" s="8">
        <v>21600</v>
      </c>
      <c r="AA114">
        <v>21007.75</v>
      </c>
      <c r="AB114">
        <v>0.96964215587104763</v>
      </c>
      <c r="AC114">
        <v>1.0281919767704775</v>
      </c>
      <c r="AD114" s="1">
        <v>0</v>
      </c>
      <c r="AE114" s="2">
        <v>46248</v>
      </c>
      <c r="AF114" s="2">
        <v>46256</v>
      </c>
      <c r="AG114" s="2">
        <v>46263</v>
      </c>
      <c r="AH114">
        <v>0</v>
      </c>
      <c r="AI114" s="3">
        <v>0</v>
      </c>
      <c r="AJ114" s="1" t="s">
        <v>1635</v>
      </c>
      <c r="AK114" s="2" t="s">
        <v>1635</v>
      </c>
      <c r="AL114" s="4" t="s">
        <v>1636</v>
      </c>
      <c r="AM114" s="5" t="s">
        <v>1636</v>
      </c>
      <c r="AN114" s="4">
        <v>0</v>
      </c>
      <c r="AO114" t="s">
        <v>1635</v>
      </c>
      <c r="AP114" s="4" t="s">
        <v>1636</v>
      </c>
      <c r="AQ114" t="s">
        <v>1619</v>
      </c>
      <c r="AR114" t="s">
        <v>1620</v>
      </c>
      <c r="AT114" s="16">
        <f>_xlfn.XLOOKUP(B114,'SWiSH Demand Forecast Sep-26'!D:D,'SWiSH Demand Forecast Sep-26'!G:G,"Not Exist")</f>
        <v>3356</v>
      </c>
    </row>
    <row r="115" spans="1:46" x14ac:dyDescent="0.3">
      <c r="A115">
        <v>100800013</v>
      </c>
      <c r="B115" t="s">
        <v>1827</v>
      </c>
      <c r="C115" t="s">
        <v>10</v>
      </c>
      <c r="D115" t="s">
        <v>1629</v>
      </c>
      <c r="E115" t="s">
        <v>1638</v>
      </c>
      <c r="F115" t="s">
        <v>1639</v>
      </c>
      <c r="G115" t="s">
        <v>1616</v>
      </c>
      <c r="H115" t="s">
        <v>1640</v>
      </c>
      <c r="I115" t="s">
        <v>1618</v>
      </c>
      <c r="J115" t="s">
        <v>1823</v>
      </c>
      <c r="K115">
        <v>0.10303041</v>
      </c>
      <c r="L115">
        <v>0</v>
      </c>
      <c r="M115" s="1">
        <v>3</v>
      </c>
      <c r="N115">
        <v>0</v>
      </c>
      <c r="O115">
        <v>0</v>
      </c>
      <c r="P115">
        <v>0</v>
      </c>
      <c r="Q115" s="1">
        <v>0</v>
      </c>
      <c r="R115">
        <v>2.4727299999999999</v>
      </c>
      <c r="S115" s="2">
        <v>46208</v>
      </c>
      <c r="T115" s="2">
        <v>46237</v>
      </c>
      <c r="U115">
        <v>240</v>
      </c>
      <c r="V115">
        <v>420</v>
      </c>
      <c r="W115">
        <v>1752</v>
      </c>
      <c r="X115">
        <v>732</v>
      </c>
      <c r="Y115">
        <v>240</v>
      </c>
      <c r="Z115" s="8">
        <v>1752</v>
      </c>
      <c r="AA115">
        <v>786</v>
      </c>
      <c r="AB115">
        <v>0.30534351145038169</v>
      </c>
      <c r="AC115">
        <v>2.2290076335877864</v>
      </c>
      <c r="AD115" s="1">
        <v>0</v>
      </c>
      <c r="AE115" s="2">
        <v>46248</v>
      </c>
      <c r="AF115" s="2">
        <v>46256</v>
      </c>
      <c r="AG115" s="2">
        <v>46263</v>
      </c>
      <c r="AH115">
        <v>0</v>
      </c>
      <c r="AI115" s="3">
        <v>0</v>
      </c>
      <c r="AJ115" s="1" t="s">
        <v>1635</v>
      </c>
      <c r="AK115" s="2" t="s">
        <v>1635</v>
      </c>
      <c r="AL115" s="4" t="s">
        <v>1636</v>
      </c>
      <c r="AM115" s="5" t="s">
        <v>1636</v>
      </c>
      <c r="AN115" s="4">
        <v>0</v>
      </c>
      <c r="AO115" t="s">
        <v>1635</v>
      </c>
      <c r="AP115" s="4" t="s">
        <v>1636</v>
      </c>
      <c r="AQ115" t="s">
        <v>1619</v>
      </c>
      <c r="AR115" t="s">
        <v>1620</v>
      </c>
      <c r="AT115" s="16" t="str">
        <f>_xlfn.XLOOKUP(B115,'SWiSH Demand Forecast Sep-26'!D:D,'SWiSH Demand Forecast Sep-26'!G:G,"Not Exist")</f>
        <v>Not Exist</v>
      </c>
    </row>
    <row r="116" spans="1:46" x14ac:dyDescent="0.3">
      <c r="A116">
        <v>106800371</v>
      </c>
      <c r="B116" t="s">
        <v>1828</v>
      </c>
      <c r="C116" t="s">
        <v>10</v>
      </c>
      <c r="D116" t="s">
        <v>1699</v>
      </c>
      <c r="E116" t="s">
        <v>1701</v>
      </c>
      <c r="F116" t="s">
        <v>1664</v>
      </c>
      <c r="G116" t="s">
        <v>1624</v>
      </c>
      <c r="H116" t="s">
        <v>1665</v>
      </c>
      <c r="I116" t="s">
        <v>1634</v>
      </c>
      <c r="J116" t="s">
        <v>10</v>
      </c>
      <c r="K116">
        <v>1.0999999999999999E-2</v>
      </c>
      <c r="L116">
        <v>0</v>
      </c>
      <c r="M116" s="1">
        <v>7</v>
      </c>
      <c r="N116">
        <v>0</v>
      </c>
      <c r="O116">
        <v>0</v>
      </c>
      <c r="P116">
        <v>0</v>
      </c>
      <c r="Q116" s="1">
        <v>0</v>
      </c>
      <c r="R116">
        <v>1.0999999999999999E-2</v>
      </c>
      <c r="S116" s="2">
        <v>46166</v>
      </c>
      <c r="T116" s="2">
        <v>46214</v>
      </c>
      <c r="U116">
        <v>0</v>
      </c>
      <c r="V116">
        <v>5000</v>
      </c>
      <c r="W116">
        <v>0</v>
      </c>
      <c r="X116">
        <v>0</v>
      </c>
      <c r="Y116">
        <v>0</v>
      </c>
      <c r="Z116" s="8">
        <v>5000</v>
      </c>
      <c r="AA116">
        <v>1250</v>
      </c>
      <c r="AB116">
        <v>0</v>
      </c>
      <c r="AC116">
        <v>4</v>
      </c>
      <c r="AD116" s="1">
        <v>0</v>
      </c>
      <c r="AE116" s="2">
        <v>46248</v>
      </c>
      <c r="AF116" s="2">
        <v>46256</v>
      </c>
      <c r="AG116" s="2">
        <v>46263</v>
      </c>
      <c r="AH116">
        <v>0</v>
      </c>
      <c r="AI116" s="3">
        <v>0</v>
      </c>
      <c r="AJ116" s="1" t="s">
        <v>1635</v>
      </c>
      <c r="AK116" s="2" t="s">
        <v>1635</v>
      </c>
      <c r="AL116" s="4" t="s">
        <v>1658</v>
      </c>
      <c r="AM116" s="5" t="s">
        <v>1658</v>
      </c>
      <c r="AN116" s="4">
        <v>0</v>
      </c>
      <c r="AO116" t="s">
        <v>1635</v>
      </c>
      <c r="AP116" s="4" t="s">
        <v>1658</v>
      </c>
      <c r="AQ116">
        <v>10000</v>
      </c>
      <c r="AR116" t="s">
        <v>1829</v>
      </c>
      <c r="AT116" s="16" t="str">
        <f>_xlfn.XLOOKUP(B116,'SWiSH Demand Forecast Sep-26'!D:D,'SWiSH Demand Forecast Sep-26'!G:G,"Not Exist")</f>
        <v>Not Exist</v>
      </c>
    </row>
    <row r="117" spans="1:46" x14ac:dyDescent="0.3">
      <c r="A117">
        <v>100900065</v>
      </c>
      <c r="B117" t="s">
        <v>1830</v>
      </c>
      <c r="C117" t="s">
        <v>10</v>
      </c>
      <c r="D117" t="s">
        <v>1629</v>
      </c>
      <c r="E117" t="s">
        <v>1638</v>
      </c>
      <c r="F117" t="s">
        <v>1639</v>
      </c>
      <c r="G117" t="s">
        <v>1616</v>
      </c>
      <c r="H117" t="s">
        <v>1640</v>
      </c>
      <c r="I117" t="s">
        <v>1618</v>
      </c>
      <c r="J117" t="s">
        <v>1781</v>
      </c>
      <c r="K117">
        <v>8.4046419999999997E-2</v>
      </c>
      <c r="L117">
        <v>0</v>
      </c>
      <c r="M117" s="1">
        <v>3</v>
      </c>
      <c r="N117">
        <v>0</v>
      </c>
      <c r="O117">
        <v>0</v>
      </c>
      <c r="P117">
        <v>0</v>
      </c>
      <c r="Q117" s="1">
        <v>0</v>
      </c>
      <c r="R117">
        <v>1.9818199999999999</v>
      </c>
      <c r="S117" s="2">
        <v>46208</v>
      </c>
      <c r="T117" s="2">
        <v>46238</v>
      </c>
      <c r="U117">
        <v>791</v>
      </c>
      <c r="V117">
        <v>480</v>
      </c>
      <c r="W117">
        <v>1200</v>
      </c>
      <c r="X117">
        <v>1056</v>
      </c>
      <c r="Y117">
        <v>480</v>
      </c>
      <c r="Z117" s="8">
        <v>1200</v>
      </c>
      <c r="AA117">
        <v>881.75</v>
      </c>
      <c r="AB117">
        <v>0.54437198752480864</v>
      </c>
      <c r="AC117">
        <v>1.3609299688120216</v>
      </c>
      <c r="AD117" s="1">
        <v>0</v>
      </c>
      <c r="AE117" s="2">
        <v>46248</v>
      </c>
      <c r="AF117" s="2">
        <v>46256</v>
      </c>
      <c r="AG117" s="2">
        <v>46263</v>
      </c>
      <c r="AH117">
        <v>0</v>
      </c>
      <c r="AI117" s="3">
        <v>0</v>
      </c>
      <c r="AJ117" s="1" t="s">
        <v>1635</v>
      </c>
      <c r="AK117" s="2" t="s">
        <v>1635</v>
      </c>
      <c r="AL117" s="4" t="s">
        <v>1636</v>
      </c>
      <c r="AM117" s="5" t="s">
        <v>1636</v>
      </c>
      <c r="AN117" s="4">
        <v>0</v>
      </c>
      <c r="AO117" t="s">
        <v>1635</v>
      </c>
      <c r="AP117" s="4" t="s">
        <v>1636</v>
      </c>
      <c r="AQ117" t="s">
        <v>1619</v>
      </c>
      <c r="AR117" t="s">
        <v>1620</v>
      </c>
      <c r="AT117" s="16" t="str">
        <f>_xlfn.XLOOKUP(B117,'SWiSH Demand Forecast Sep-26'!D:D,'SWiSH Demand Forecast Sep-26'!G:G,"Not Exist")</f>
        <v>Not Exist</v>
      </c>
    </row>
    <row r="118" spans="1:46" x14ac:dyDescent="0.3">
      <c r="A118">
        <v>101200010</v>
      </c>
      <c r="B118" t="s">
        <v>1831</v>
      </c>
      <c r="C118" t="s">
        <v>136</v>
      </c>
      <c r="D118" t="s">
        <v>1629</v>
      </c>
      <c r="E118" t="s">
        <v>1832</v>
      </c>
      <c r="F118" t="s">
        <v>1833</v>
      </c>
      <c r="G118" t="s">
        <v>1616</v>
      </c>
      <c r="H118" t="s">
        <v>1625</v>
      </c>
      <c r="I118" t="s">
        <v>1626</v>
      </c>
      <c r="J118" t="s">
        <v>136</v>
      </c>
      <c r="K118">
        <v>2.9</v>
      </c>
      <c r="L118">
        <v>0</v>
      </c>
      <c r="M118" s="1">
        <v>3</v>
      </c>
      <c r="N118">
        <v>0</v>
      </c>
      <c r="O118">
        <v>0</v>
      </c>
      <c r="P118">
        <v>0</v>
      </c>
      <c r="Q118" s="1">
        <v>0</v>
      </c>
      <c r="R118">
        <v>2.8999799999999998</v>
      </c>
      <c r="S118" s="2">
        <v>46102</v>
      </c>
      <c r="T118" s="2">
        <v>46247</v>
      </c>
      <c r="U118">
        <v>0</v>
      </c>
      <c r="V118">
        <v>6.7140000000000004</v>
      </c>
      <c r="W118">
        <v>0</v>
      </c>
      <c r="X118">
        <v>0</v>
      </c>
      <c r="Y118">
        <v>0</v>
      </c>
      <c r="Z118" s="8">
        <v>6.7140000000000004</v>
      </c>
      <c r="AA118">
        <v>1.6785000000000001</v>
      </c>
      <c r="AB118">
        <v>0</v>
      </c>
      <c r="AC118">
        <v>4</v>
      </c>
      <c r="AD118" s="1">
        <v>0</v>
      </c>
      <c r="AE118" s="2">
        <v>46248</v>
      </c>
      <c r="AF118" s="2">
        <v>46256</v>
      </c>
      <c r="AG118" s="2">
        <v>46263</v>
      </c>
      <c r="AH118">
        <v>0</v>
      </c>
      <c r="AI118" s="3">
        <v>0</v>
      </c>
      <c r="AJ118" s="1" t="s">
        <v>1635</v>
      </c>
      <c r="AK118" s="2" t="s">
        <v>1635</v>
      </c>
      <c r="AL118" s="4" t="s">
        <v>1658</v>
      </c>
      <c r="AM118" s="5" t="s">
        <v>1658</v>
      </c>
      <c r="AN118" s="4">
        <v>0</v>
      </c>
      <c r="AO118" t="s">
        <v>1635</v>
      </c>
      <c r="AP118" s="4" t="s">
        <v>1658</v>
      </c>
      <c r="AQ118" t="s">
        <v>1619</v>
      </c>
      <c r="AR118" t="s">
        <v>1834</v>
      </c>
      <c r="AT118" s="16" t="str">
        <f>_xlfn.XLOOKUP(B118,'SWiSH Demand Forecast Sep-26'!D:D,'SWiSH Demand Forecast Sep-26'!G:G,"Not Exist")</f>
        <v>Not Exist</v>
      </c>
    </row>
    <row r="119" spans="1:46" x14ac:dyDescent="0.3">
      <c r="A119">
        <v>100900002</v>
      </c>
      <c r="B119" t="s">
        <v>1835</v>
      </c>
      <c r="C119" t="s">
        <v>10</v>
      </c>
      <c r="D119" t="s">
        <v>1629</v>
      </c>
      <c r="E119" t="s">
        <v>1638</v>
      </c>
      <c r="F119" t="s">
        <v>1639</v>
      </c>
      <c r="G119" t="s">
        <v>1616</v>
      </c>
      <c r="H119" t="s">
        <v>1640</v>
      </c>
      <c r="I119" t="s">
        <v>1618</v>
      </c>
      <c r="J119" t="s">
        <v>1781</v>
      </c>
      <c r="K119">
        <v>8.2575830000000003E-2</v>
      </c>
      <c r="L119">
        <v>0</v>
      </c>
      <c r="M119" s="1">
        <v>3</v>
      </c>
      <c r="N119">
        <v>0</v>
      </c>
      <c r="O119">
        <v>0</v>
      </c>
      <c r="P119">
        <v>0</v>
      </c>
      <c r="Q119" s="1">
        <v>0</v>
      </c>
      <c r="R119">
        <v>1.9818199999999999</v>
      </c>
      <c r="S119" s="2">
        <v>46194</v>
      </c>
      <c r="T119" s="2">
        <v>46238</v>
      </c>
      <c r="U119">
        <v>510</v>
      </c>
      <c r="V119">
        <v>503</v>
      </c>
      <c r="W119">
        <v>936</v>
      </c>
      <c r="X119">
        <v>648</v>
      </c>
      <c r="Y119">
        <v>503</v>
      </c>
      <c r="Z119" s="8">
        <v>936</v>
      </c>
      <c r="AA119">
        <v>649.25</v>
      </c>
      <c r="AB119">
        <v>0.77474008471313049</v>
      </c>
      <c r="AC119">
        <v>1.4416634578359646</v>
      </c>
      <c r="AD119" s="1">
        <v>0</v>
      </c>
      <c r="AE119" s="2">
        <v>46248</v>
      </c>
      <c r="AF119" s="2">
        <v>46256</v>
      </c>
      <c r="AG119" s="2">
        <v>46263</v>
      </c>
      <c r="AH119">
        <v>0</v>
      </c>
      <c r="AI119" s="3">
        <v>0</v>
      </c>
      <c r="AJ119" s="1" t="s">
        <v>1635</v>
      </c>
      <c r="AK119" s="2" t="s">
        <v>1635</v>
      </c>
      <c r="AL119" s="4" t="s">
        <v>1636</v>
      </c>
      <c r="AM119" s="5" t="s">
        <v>1636</v>
      </c>
      <c r="AN119" s="4">
        <v>0</v>
      </c>
      <c r="AO119" t="s">
        <v>1635</v>
      </c>
      <c r="AP119" s="4" t="s">
        <v>1636</v>
      </c>
      <c r="AQ119" t="s">
        <v>1619</v>
      </c>
      <c r="AR119" t="s">
        <v>1620</v>
      </c>
      <c r="AT119" s="16" t="str">
        <f>_xlfn.XLOOKUP(B119,'SWiSH Demand Forecast Sep-26'!D:D,'SWiSH Demand Forecast Sep-26'!G:G,"Not Exist")</f>
        <v>Not Exist</v>
      </c>
    </row>
    <row r="120" spans="1:46" x14ac:dyDescent="0.3">
      <c r="A120">
        <v>100900062</v>
      </c>
      <c r="B120" t="s">
        <v>1836</v>
      </c>
      <c r="C120" t="s">
        <v>10</v>
      </c>
      <c r="D120" t="s">
        <v>1629</v>
      </c>
      <c r="E120" t="s">
        <v>1638</v>
      </c>
      <c r="F120" t="s">
        <v>1639</v>
      </c>
      <c r="G120" t="s">
        <v>1616</v>
      </c>
      <c r="H120" t="s">
        <v>1640</v>
      </c>
      <c r="I120" t="s">
        <v>1618</v>
      </c>
      <c r="J120" t="s">
        <v>1781</v>
      </c>
      <c r="K120">
        <v>8.2575830000000003E-2</v>
      </c>
      <c r="L120">
        <v>0</v>
      </c>
      <c r="M120" s="1">
        <v>3</v>
      </c>
      <c r="N120">
        <v>0</v>
      </c>
      <c r="O120">
        <v>0</v>
      </c>
      <c r="P120">
        <v>0</v>
      </c>
      <c r="Q120" s="1">
        <v>0</v>
      </c>
      <c r="R120">
        <v>1.9818199999999999</v>
      </c>
      <c r="S120" s="2">
        <v>46186</v>
      </c>
      <c r="T120" s="2">
        <v>46238</v>
      </c>
      <c r="U120">
        <v>334</v>
      </c>
      <c r="V120">
        <v>97</v>
      </c>
      <c r="W120">
        <v>408</v>
      </c>
      <c r="X120">
        <v>288</v>
      </c>
      <c r="Y120">
        <v>97</v>
      </c>
      <c r="Z120" s="8">
        <v>408</v>
      </c>
      <c r="AA120">
        <v>281.75</v>
      </c>
      <c r="AB120">
        <v>0.34427684117125112</v>
      </c>
      <c r="AC120">
        <v>1.448092280390417</v>
      </c>
      <c r="AD120" s="1">
        <v>0</v>
      </c>
      <c r="AE120" s="2">
        <v>46248</v>
      </c>
      <c r="AF120" s="2">
        <v>46256</v>
      </c>
      <c r="AG120" s="2">
        <v>46263</v>
      </c>
      <c r="AH120">
        <v>0</v>
      </c>
      <c r="AI120" s="3">
        <v>0</v>
      </c>
      <c r="AJ120" s="1" t="s">
        <v>1635</v>
      </c>
      <c r="AK120" s="2" t="s">
        <v>1635</v>
      </c>
      <c r="AL120" s="4" t="s">
        <v>1636</v>
      </c>
      <c r="AM120" s="5" t="s">
        <v>1636</v>
      </c>
      <c r="AN120" s="4">
        <v>0</v>
      </c>
      <c r="AO120" t="s">
        <v>1635</v>
      </c>
      <c r="AP120" s="4" t="s">
        <v>1636</v>
      </c>
      <c r="AQ120" t="s">
        <v>1619</v>
      </c>
      <c r="AR120" t="s">
        <v>1620</v>
      </c>
      <c r="AT120" s="16" t="str">
        <f>_xlfn.XLOOKUP(B120,'SWiSH Demand Forecast Sep-26'!D:D,'SWiSH Demand Forecast Sep-26'!G:G,"Not Exist")</f>
        <v>Not Exist</v>
      </c>
    </row>
    <row r="121" spans="1:46" x14ac:dyDescent="0.3">
      <c r="A121">
        <v>106200126</v>
      </c>
      <c r="B121" t="s">
        <v>1837</v>
      </c>
      <c r="C121" t="s">
        <v>240</v>
      </c>
      <c r="D121" t="s">
        <v>1629</v>
      </c>
      <c r="E121" t="s">
        <v>1745</v>
      </c>
      <c r="F121" t="s">
        <v>1671</v>
      </c>
      <c r="G121" t="s">
        <v>1616</v>
      </c>
      <c r="H121" t="s">
        <v>1672</v>
      </c>
      <c r="I121" t="s">
        <v>1618</v>
      </c>
      <c r="J121" t="s">
        <v>240</v>
      </c>
      <c r="K121">
        <v>7.7380957099999996</v>
      </c>
      <c r="L121">
        <v>0</v>
      </c>
      <c r="M121" s="1">
        <v>3</v>
      </c>
      <c r="N121">
        <v>0</v>
      </c>
      <c r="O121">
        <v>0</v>
      </c>
      <c r="P121">
        <v>0</v>
      </c>
      <c r="Q121" s="1">
        <v>0</v>
      </c>
      <c r="R121">
        <v>0.51500000000000001</v>
      </c>
      <c r="S121" s="2">
        <v>45832</v>
      </c>
      <c r="T121" s="2">
        <v>46189</v>
      </c>
      <c r="U121">
        <v>0.12</v>
      </c>
      <c r="V121">
        <v>0.78</v>
      </c>
      <c r="W121">
        <v>0</v>
      </c>
      <c r="X121">
        <v>0</v>
      </c>
      <c r="Y121">
        <v>0</v>
      </c>
      <c r="Z121" s="8">
        <v>0.78</v>
      </c>
      <c r="AA121">
        <v>0.22500000000000001</v>
      </c>
      <c r="AB121">
        <v>0</v>
      </c>
      <c r="AC121">
        <v>3.4666666666666668</v>
      </c>
      <c r="AD121" s="1">
        <v>0</v>
      </c>
      <c r="AE121" s="2">
        <v>46248</v>
      </c>
      <c r="AF121" s="2">
        <v>46256</v>
      </c>
      <c r="AG121" s="2">
        <v>46263</v>
      </c>
      <c r="AH121">
        <v>0</v>
      </c>
      <c r="AI121" s="3">
        <v>0</v>
      </c>
      <c r="AJ121" s="1" t="s">
        <v>1635</v>
      </c>
      <c r="AK121" s="2" t="s">
        <v>1635</v>
      </c>
      <c r="AL121" s="4" t="s">
        <v>1658</v>
      </c>
      <c r="AM121" s="5" t="s">
        <v>1658</v>
      </c>
      <c r="AN121" s="4">
        <v>0</v>
      </c>
      <c r="AO121" t="s">
        <v>1635</v>
      </c>
      <c r="AP121" s="4" t="s">
        <v>1658</v>
      </c>
      <c r="AQ121" t="s">
        <v>1619</v>
      </c>
      <c r="AR121" t="s">
        <v>1620</v>
      </c>
      <c r="AT121" s="16" t="str">
        <f>_xlfn.XLOOKUP(B121,'SWiSH Demand Forecast Sep-26'!D:D,'SWiSH Demand Forecast Sep-26'!G:G,"Not Exist")</f>
        <v>Not Exist</v>
      </c>
    </row>
    <row r="122" spans="1:46" x14ac:dyDescent="0.3">
      <c r="A122">
        <v>101200049</v>
      </c>
      <c r="B122" t="s">
        <v>1838</v>
      </c>
      <c r="C122" t="s">
        <v>136</v>
      </c>
      <c r="D122" t="s">
        <v>1629</v>
      </c>
      <c r="E122" t="s">
        <v>1677</v>
      </c>
      <c r="F122" t="s">
        <v>1833</v>
      </c>
      <c r="G122" t="s">
        <v>1616</v>
      </c>
      <c r="H122" t="s">
        <v>1625</v>
      </c>
      <c r="I122" t="s">
        <v>1626</v>
      </c>
      <c r="J122" t="s">
        <v>136</v>
      </c>
      <c r="K122">
        <v>5.25</v>
      </c>
      <c r="L122">
        <v>0</v>
      </c>
      <c r="M122" s="1">
        <v>3</v>
      </c>
      <c r="N122">
        <v>0</v>
      </c>
      <c r="O122">
        <v>0</v>
      </c>
      <c r="P122">
        <v>0</v>
      </c>
      <c r="Q122" s="1">
        <v>0</v>
      </c>
      <c r="R122">
        <v>5.25</v>
      </c>
      <c r="S122" s="2">
        <v>46149</v>
      </c>
      <c r="T122" s="2">
        <v>46152</v>
      </c>
      <c r="U122">
        <v>77.871000000000009</v>
      </c>
      <c r="V122">
        <v>108.46400000000001</v>
      </c>
      <c r="W122">
        <v>0</v>
      </c>
      <c r="X122">
        <v>0</v>
      </c>
      <c r="Y122">
        <v>0</v>
      </c>
      <c r="Z122" s="8">
        <v>108.46400000000001</v>
      </c>
      <c r="AA122">
        <v>46.583750000000009</v>
      </c>
      <c r="AB122">
        <v>0</v>
      </c>
      <c r="AC122">
        <v>2.3283655781254189</v>
      </c>
      <c r="AD122" s="1">
        <v>0</v>
      </c>
      <c r="AE122" s="2">
        <v>46248</v>
      </c>
      <c r="AF122" s="2">
        <v>46256</v>
      </c>
      <c r="AG122" s="2">
        <v>46263</v>
      </c>
      <c r="AH122">
        <v>0</v>
      </c>
      <c r="AI122" s="3">
        <v>0</v>
      </c>
      <c r="AJ122" s="1" t="s">
        <v>1635</v>
      </c>
      <c r="AK122" s="2" t="s">
        <v>1635</v>
      </c>
      <c r="AL122" s="4" t="s">
        <v>1658</v>
      </c>
      <c r="AM122" s="5" t="s">
        <v>1658</v>
      </c>
      <c r="AN122" s="4">
        <v>0</v>
      </c>
      <c r="AO122" t="s">
        <v>1635</v>
      </c>
      <c r="AP122" s="4" t="s">
        <v>1658</v>
      </c>
      <c r="AQ122" t="s">
        <v>1619</v>
      </c>
      <c r="AR122" t="s">
        <v>1620</v>
      </c>
      <c r="AT122" s="16" t="str">
        <f>_xlfn.XLOOKUP(B122,'SWiSH Demand Forecast Sep-26'!D:D,'SWiSH Demand Forecast Sep-26'!G:G,"Not Exist")</f>
        <v>Not Exist</v>
      </c>
    </row>
    <row r="123" spans="1:46" x14ac:dyDescent="0.3">
      <c r="A123">
        <v>105500011</v>
      </c>
      <c r="B123" t="s">
        <v>1839</v>
      </c>
      <c r="C123" t="s">
        <v>136</v>
      </c>
      <c r="D123" t="s">
        <v>1629</v>
      </c>
      <c r="E123" t="s">
        <v>1832</v>
      </c>
      <c r="F123" t="s">
        <v>1840</v>
      </c>
      <c r="G123" t="s">
        <v>1616</v>
      </c>
      <c r="H123" t="s">
        <v>1841</v>
      </c>
      <c r="I123" t="s">
        <v>1618</v>
      </c>
      <c r="J123" t="s">
        <v>136</v>
      </c>
      <c r="K123">
        <v>1.0625</v>
      </c>
      <c r="L123">
        <v>0</v>
      </c>
      <c r="M123" s="1">
        <v>3</v>
      </c>
      <c r="N123">
        <v>0</v>
      </c>
      <c r="O123">
        <v>0</v>
      </c>
      <c r="P123">
        <v>0</v>
      </c>
      <c r="Q123" s="1">
        <v>0</v>
      </c>
      <c r="R123">
        <v>12.5</v>
      </c>
      <c r="S123" s="2">
        <v>46089</v>
      </c>
      <c r="T123" s="2">
        <v>46173</v>
      </c>
      <c r="U123">
        <v>72</v>
      </c>
      <c r="V123">
        <v>60</v>
      </c>
      <c r="W123">
        <v>0</v>
      </c>
      <c r="X123">
        <v>0</v>
      </c>
      <c r="Y123">
        <v>0</v>
      </c>
      <c r="Z123" s="8">
        <v>72</v>
      </c>
      <c r="AA123">
        <v>33</v>
      </c>
      <c r="AB123">
        <v>0</v>
      </c>
      <c r="AC123">
        <v>2.1818181818181817</v>
      </c>
      <c r="AD123" s="1">
        <v>0</v>
      </c>
      <c r="AE123" s="2">
        <v>46248</v>
      </c>
      <c r="AF123" s="2">
        <v>46256</v>
      </c>
      <c r="AG123" s="2">
        <v>46263</v>
      </c>
      <c r="AH123">
        <v>0</v>
      </c>
      <c r="AI123" s="3">
        <v>0</v>
      </c>
      <c r="AJ123" s="1" t="s">
        <v>1635</v>
      </c>
      <c r="AK123" s="2" t="s">
        <v>1635</v>
      </c>
      <c r="AL123" s="4" t="s">
        <v>1658</v>
      </c>
      <c r="AM123" s="5" t="s">
        <v>1658</v>
      </c>
      <c r="AN123" s="4">
        <v>0</v>
      </c>
      <c r="AO123" t="s">
        <v>1635</v>
      </c>
      <c r="AP123" s="4" t="s">
        <v>1658</v>
      </c>
      <c r="AQ123" t="s">
        <v>1619</v>
      </c>
      <c r="AR123" t="s">
        <v>1620</v>
      </c>
      <c r="AT123" s="16" t="str">
        <f>_xlfn.XLOOKUP(B123,'SWiSH Demand Forecast Sep-26'!D:D,'SWiSH Demand Forecast Sep-26'!G:G,"Not Exist")</f>
        <v>Not Exist</v>
      </c>
    </row>
    <row r="124" spans="1:46" x14ac:dyDescent="0.3">
      <c r="A124">
        <v>107200108</v>
      </c>
      <c r="B124" t="s">
        <v>1842</v>
      </c>
      <c r="C124" t="s">
        <v>10</v>
      </c>
      <c r="D124" t="s">
        <v>1675</v>
      </c>
      <c r="E124" t="s">
        <v>1683</v>
      </c>
      <c r="F124" t="s">
        <v>1656</v>
      </c>
      <c r="G124" t="s">
        <v>1632</v>
      </c>
      <c r="H124" t="s">
        <v>1657</v>
      </c>
      <c r="I124" t="s">
        <v>1634</v>
      </c>
      <c r="J124" t="s">
        <v>10</v>
      </c>
      <c r="K124">
        <v>6.75</v>
      </c>
      <c r="L124">
        <v>0</v>
      </c>
      <c r="M124" s="1">
        <v>15</v>
      </c>
      <c r="N124">
        <v>0</v>
      </c>
      <c r="O124">
        <v>0</v>
      </c>
      <c r="P124">
        <v>0</v>
      </c>
      <c r="Q124" s="1">
        <v>0</v>
      </c>
      <c r="R124">
        <v>6.75</v>
      </c>
      <c r="S124" s="2">
        <v>46198</v>
      </c>
      <c r="T124" s="2">
        <v>46198</v>
      </c>
      <c r="U124">
        <v>0</v>
      </c>
      <c r="V124">
        <v>0</v>
      </c>
      <c r="W124">
        <v>1</v>
      </c>
      <c r="X124">
        <v>0</v>
      </c>
      <c r="Y124">
        <v>0</v>
      </c>
      <c r="Z124" s="8">
        <v>1</v>
      </c>
      <c r="AA124">
        <v>0.25</v>
      </c>
      <c r="AB124">
        <v>0</v>
      </c>
      <c r="AC124">
        <v>4</v>
      </c>
      <c r="AD124" s="1">
        <v>0</v>
      </c>
      <c r="AE124" s="2">
        <v>46248</v>
      </c>
      <c r="AF124" s="2">
        <v>46256</v>
      </c>
      <c r="AG124" s="2">
        <v>46263</v>
      </c>
      <c r="AH124">
        <v>0</v>
      </c>
      <c r="AI124" s="3">
        <v>0</v>
      </c>
      <c r="AJ124" s="1" t="s">
        <v>1635</v>
      </c>
      <c r="AK124" s="2" t="s">
        <v>1635</v>
      </c>
      <c r="AL124" s="4" t="s">
        <v>1658</v>
      </c>
      <c r="AM124" s="5" t="s">
        <v>1658</v>
      </c>
      <c r="AN124" s="4">
        <v>0</v>
      </c>
      <c r="AO124" t="s">
        <v>1635</v>
      </c>
      <c r="AP124" s="4" t="s">
        <v>1658</v>
      </c>
      <c r="AQ124" t="s">
        <v>1619</v>
      </c>
      <c r="AR124" t="s">
        <v>1620</v>
      </c>
      <c r="AT124" s="16" t="str">
        <f>_xlfn.XLOOKUP(B124,'SWiSH Demand Forecast Sep-26'!D:D,'SWiSH Demand Forecast Sep-26'!G:G,"Not Exist")</f>
        <v>Not Exist</v>
      </c>
    </row>
    <row r="125" spans="1:46" x14ac:dyDescent="0.3">
      <c r="A125">
        <v>107200009</v>
      </c>
      <c r="B125" t="s">
        <v>1843</v>
      </c>
      <c r="C125" t="s">
        <v>10</v>
      </c>
      <c r="D125" t="s">
        <v>1675</v>
      </c>
      <c r="E125" t="s">
        <v>1685</v>
      </c>
      <c r="F125" t="s">
        <v>1656</v>
      </c>
      <c r="G125" t="s">
        <v>1686</v>
      </c>
      <c r="H125" t="s">
        <v>1657</v>
      </c>
      <c r="I125" t="s">
        <v>1634</v>
      </c>
      <c r="J125" t="s">
        <v>10</v>
      </c>
      <c r="K125">
        <v>3.5</v>
      </c>
      <c r="L125">
        <v>0</v>
      </c>
      <c r="M125" s="1">
        <v>15</v>
      </c>
      <c r="N125">
        <v>0</v>
      </c>
      <c r="O125">
        <v>0</v>
      </c>
      <c r="P125">
        <v>0</v>
      </c>
      <c r="Q125" s="1">
        <v>0</v>
      </c>
      <c r="R125">
        <v>3.5</v>
      </c>
      <c r="S125" s="2">
        <v>45774</v>
      </c>
      <c r="T125" s="2">
        <v>46201</v>
      </c>
      <c r="U125">
        <v>0</v>
      </c>
      <c r="V125">
        <v>0</v>
      </c>
      <c r="W125">
        <v>11</v>
      </c>
      <c r="X125">
        <v>0</v>
      </c>
      <c r="Y125">
        <v>0</v>
      </c>
      <c r="Z125" s="8">
        <v>11</v>
      </c>
      <c r="AA125">
        <v>2.75</v>
      </c>
      <c r="AB125">
        <v>0</v>
      </c>
      <c r="AC125">
        <v>4</v>
      </c>
      <c r="AD125" s="1">
        <v>0</v>
      </c>
      <c r="AE125" s="2">
        <v>46248</v>
      </c>
      <c r="AF125" s="2">
        <v>46256</v>
      </c>
      <c r="AG125" s="2">
        <v>46263</v>
      </c>
      <c r="AH125">
        <v>0</v>
      </c>
      <c r="AI125" s="3">
        <v>0</v>
      </c>
      <c r="AJ125" s="1" t="s">
        <v>1635</v>
      </c>
      <c r="AK125" s="2" t="s">
        <v>1635</v>
      </c>
      <c r="AL125" s="4" t="s">
        <v>1658</v>
      </c>
      <c r="AM125" s="5" t="s">
        <v>1658</v>
      </c>
      <c r="AN125" s="4">
        <v>0</v>
      </c>
      <c r="AO125" t="s">
        <v>1635</v>
      </c>
      <c r="AP125" s="4" t="s">
        <v>1658</v>
      </c>
      <c r="AQ125" t="s">
        <v>1619</v>
      </c>
      <c r="AR125" t="s">
        <v>1620</v>
      </c>
      <c r="AT125" s="16" t="str">
        <f>_xlfn.XLOOKUP(B125,'SWiSH Demand Forecast Sep-26'!D:D,'SWiSH Demand Forecast Sep-26'!G:G,"Not Exist")</f>
        <v>Not Exist</v>
      </c>
    </row>
    <row r="126" spans="1:46" x14ac:dyDescent="0.3">
      <c r="A126">
        <v>107200026</v>
      </c>
      <c r="B126" t="s">
        <v>1844</v>
      </c>
      <c r="C126" t="s">
        <v>10</v>
      </c>
      <c r="D126" t="s">
        <v>1675</v>
      </c>
      <c r="E126" t="s">
        <v>1845</v>
      </c>
      <c r="F126" t="s">
        <v>1656</v>
      </c>
      <c r="G126" t="s">
        <v>1686</v>
      </c>
      <c r="H126" t="s">
        <v>1657</v>
      </c>
      <c r="I126" t="s">
        <v>1634</v>
      </c>
      <c r="J126" t="s">
        <v>10</v>
      </c>
      <c r="K126">
        <v>4.75</v>
      </c>
      <c r="L126">
        <v>0</v>
      </c>
      <c r="M126" s="1">
        <v>15</v>
      </c>
      <c r="N126">
        <v>0</v>
      </c>
      <c r="O126">
        <v>0</v>
      </c>
      <c r="P126">
        <v>0</v>
      </c>
      <c r="Q126" s="1">
        <v>0</v>
      </c>
      <c r="R126">
        <v>4.75</v>
      </c>
      <c r="S126" s="2">
        <v>45774</v>
      </c>
      <c r="T126" s="2">
        <v>46201</v>
      </c>
      <c r="U126">
        <v>0</v>
      </c>
      <c r="V126">
        <v>0</v>
      </c>
      <c r="W126">
        <v>51</v>
      </c>
      <c r="X126">
        <v>0</v>
      </c>
      <c r="Y126">
        <v>0</v>
      </c>
      <c r="Z126" s="8">
        <v>51</v>
      </c>
      <c r="AA126">
        <v>12.75</v>
      </c>
      <c r="AB126">
        <v>0</v>
      </c>
      <c r="AC126">
        <v>4</v>
      </c>
      <c r="AD126" s="1">
        <v>0</v>
      </c>
      <c r="AE126" s="2">
        <v>46248</v>
      </c>
      <c r="AF126" s="2">
        <v>46256</v>
      </c>
      <c r="AG126" s="2">
        <v>46263</v>
      </c>
      <c r="AH126">
        <v>0</v>
      </c>
      <c r="AI126" s="3">
        <v>0</v>
      </c>
      <c r="AJ126" s="1" t="s">
        <v>1635</v>
      </c>
      <c r="AK126" s="2" t="s">
        <v>1635</v>
      </c>
      <c r="AL126" s="4" t="s">
        <v>1658</v>
      </c>
      <c r="AM126" s="5" t="s">
        <v>1658</v>
      </c>
      <c r="AN126" s="4">
        <v>0</v>
      </c>
      <c r="AO126" t="s">
        <v>1635</v>
      </c>
      <c r="AP126" s="4" t="s">
        <v>1658</v>
      </c>
      <c r="AQ126" t="s">
        <v>1619</v>
      </c>
      <c r="AR126" t="s">
        <v>1620</v>
      </c>
      <c r="AT126" s="16" t="str">
        <f>_xlfn.XLOOKUP(B126,'SWiSH Demand Forecast Sep-26'!D:D,'SWiSH Demand Forecast Sep-26'!G:G,"Not Exist")</f>
        <v>Not Exist</v>
      </c>
    </row>
    <row r="127" spans="1:46" x14ac:dyDescent="0.3">
      <c r="A127">
        <v>107200049</v>
      </c>
      <c r="B127" t="s">
        <v>1846</v>
      </c>
      <c r="C127" t="s">
        <v>10</v>
      </c>
      <c r="D127" t="s">
        <v>1675</v>
      </c>
      <c r="E127" t="s">
        <v>1685</v>
      </c>
      <c r="F127" t="s">
        <v>1656</v>
      </c>
      <c r="G127" t="s">
        <v>1686</v>
      </c>
      <c r="H127" t="s">
        <v>1657</v>
      </c>
      <c r="I127" t="s">
        <v>1634</v>
      </c>
      <c r="J127" t="s">
        <v>10</v>
      </c>
      <c r="K127">
        <v>8</v>
      </c>
      <c r="L127">
        <v>0</v>
      </c>
      <c r="M127" s="1">
        <v>15</v>
      </c>
      <c r="N127">
        <v>0</v>
      </c>
      <c r="O127">
        <v>0</v>
      </c>
      <c r="P127">
        <v>0</v>
      </c>
      <c r="Q127" s="1">
        <v>0</v>
      </c>
      <c r="R127">
        <v>8</v>
      </c>
      <c r="S127" s="2">
        <v>45998</v>
      </c>
      <c r="T127" s="2">
        <v>46201</v>
      </c>
      <c r="U127">
        <v>0</v>
      </c>
      <c r="V127">
        <v>0</v>
      </c>
      <c r="W127">
        <v>68</v>
      </c>
      <c r="X127">
        <v>0</v>
      </c>
      <c r="Y127">
        <v>0</v>
      </c>
      <c r="Z127" s="8">
        <v>68</v>
      </c>
      <c r="AA127">
        <v>17</v>
      </c>
      <c r="AB127">
        <v>0</v>
      </c>
      <c r="AC127">
        <v>4</v>
      </c>
      <c r="AD127" s="1">
        <v>0</v>
      </c>
      <c r="AE127" s="2">
        <v>46248</v>
      </c>
      <c r="AF127" s="2">
        <v>46256</v>
      </c>
      <c r="AG127" s="2">
        <v>46263</v>
      </c>
      <c r="AH127">
        <v>0</v>
      </c>
      <c r="AI127" s="3">
        <v>0</v>
      </c>
      <c r="AJ127" s="1" t="s">
        <v>1635</v>
      </c>
      <c r="AK127" s="2" t="s">
        <v>1635</v>
      </c>
      <c r="AL127" s="4" t="s">
        <v>1658</v>
      </c>
      <c r="AM127" s="5" t="s">
        <v>1658</v>
      </c>
      <c r="AN127" s="4">
        <v>0</v>
      </c>
      <c r="AO127" t="s">
        <v>1635</v>
      </c>
      <c r="AP127" s="4" t="s">
        <v>1658</v>
      </c>
      <c r="AQ127" t="s">
        <v>1619</v>
      </c>
      <c r="AR127" t="s">
        <v>1620</v>
      </c>
      <c r="AT127" s="16" t="str">
        <f>_xlfn.XLOOKUP(B127,'SWiSH Demand Forecast Sep-26'!D:D,'SWiSH Demand Forecast Sep-26'!G:G,"Not Exist")</f>
        <v>Not Exist</v>
      </c>
    </row>
    <row r="128" spans="1:46" x14ac:dyDescent="0.3">
      <c r="A128">
        <v>101200034</v>
      </c>
      <c r="B128" t="s">
        <v>1847</v>
      </c>
      <c r="C128" t="s">
        <v>136</v>
      </c>
      <c r="D128" t="s">
        <v>1629</v>
      </c>
      <c r="E128" t="s">
        <v>1848</v>
      </c>
      <c r="F128" t="s">
        <v>1833</v>
      </c>
      <c r="G128" t="s">
        <v>1616</v>
      </c>
      <c r="H128" t="s">
        <v>1625</v>
      </c>
      <c r="I128" t="s">
        <v>1626</v>
      </c>
      <c r="J128" t="s">
        <v>136</v>
      </c>
      <c r="K128">
        <v>3</v>
      </c>
      <c r="L128">
        <v>0</v>
      </c>
      <c r="M128" s="1">
        <v>3</v>
      </c>
      <c r="N128">
        <v>0</v>
      </c>
      <c r="O128">
        <v>0</v>
      </c>
      <c r="P128">
        <v>0</v>
      </c>
      <c r="Q128" s="1">
        <v>0</v>
      </c>
      <c r="R128">
        <v>3</v>
      </c>
      <c r="S128" s="2">
        <v>46217</v>
      </c>
      <c r="T128" s="2">
        <v>46249</v>
      </c>
      <c r="U128">
        <v>371.35000000000008</v>
      </c>
      <c r="V128">
        <v>179.536</v>
      </c>
      <c r="W128">
        <v>5.12</v>
      </c>
      <c r="X128">
        <v>5.05</v>
      </c>
      <c r="Y128">
        <v>5.05</v>
      </c>
      <c r="Z128" s="8">
        <v>371.35000000000008</v>
      </c>
      <c r="AA128">
        <v>140.26400000000001</v>
      </c>
      <c r="AB128">
        <v>3.6003536188900925E-2</v>
      </c>
      <c r="AC128">
        <v>2.6475075571778937</v>
      </c>
      <c r="AD128" s="1">
        <v>0</v>
      </c>
      <c r="AE128" s="2">
        <v>46248</v>
      </c>
      <c r="AF128" s="2">
        <v>46256</v>
      </c>
      <c r="AG128" s="2">
        <v>46263</v>
      </c>
      <c r="AH128">
        <v>0</v>
      </c>
      <c r="AI128" s="3">
        <v>0</v>
      </c>
      <c r="AJ128" s="1" t="s">
        <v>1635</v>
      </c>
      <c r="AK128" s="2" t="s">
        <v>1635</v>
      </c>
      <c r="AL128" s="4" t="s">
        <v>1636</v>
      </c>
      <c r="AM128" s="5" t="s">
        <v>1636</v>
      </c>
      <c r="AN128" s="4">
        <v>0</v>
      </c>
      <c r="AO128" t="s">
        <v>1635</v>
      </c>
      <c r="AP128" s="4" t="s">
        <v>1636</v>
      </c>
      <c r="AQ128" t="s">
        <v>1619</v>
      </c>
      <c r="AR128" t="s">
        <v>1849</v>
      </c>
      <c r="AT128" s="16" t="str">
        <f>_xlfn.XLOOKUP(B128,'SWiSH Demand Forecast Sep-26'!D:D,'SWiSH Demand Forecast Sep-26'!G:G,"Not Exist")</f>
        <v>Not Exist</v>
      </c>
    </row>
    <row r="129" spans="1:46" hidden="1" x14ac:dyDescent="0.3">
      <c r="A129">
        <v>104000004</v>
      </c>
      <c r="B129" t="s">
        <v>638</v>
      </c>
      <c r="C129" t="s">
        <v>10</v>
      </c>
      <c r="D129" t="s">
        <v>1629</v>
      </c>
      <c r="E129" t="s">
        <v>1775</v>
      </c>
      <c r="F129" t="s">
        <v>1833</v>
      </c>
      <c r="G129" t="s">
        <v>1616</v>
      </c>
      <c r="H129" t="s">
        <v>1850</v>
      </c>
      <c r="I129" t="s">
        <v>1626</v>
      </c>
      <c r="J129" t="s">
        <v>1851</v>
      </c>
      <c r="K129">
        <v>0.12491973000000001</v>
      </c>
      <c r="L129">
        <v>0</v>
      </c>
      <c r="M129" s="1">
        <v>3</v>
      </c>
      <c r="N129">
        <v>0</v>
      </c>
      <c r="O129">
        <v>0</v>
      </c>
      <c r="P129">
        <v>0</v>
      </c>
      <c r="Q129" s="1">
        <v>0</v>
      </c>
      <c r="R129">
        <v>1.5</v>
      </c>
      <c r="S129" s="2">
        <v>46120</v>
      </c>
      <c r="T129" s="2">
        <v>46156</v>
      </c>
      <c r="U129">
        <v>980</v>
      </c>
      <c r="V129">
        <v>560</v>
      </c>
      <c r="W129">
        <v>0</v>
      </c>
      <c r="X129">
        <v>0</v>
      </c>
      <c r="Y129">
        <v>0</v>
      </c>
      <c r="Z129" s="8">
        <v>980</v>
      </c>
      <c r="AA129">
        <v>385</v>
      </c>
      <c r="AB129">
        <v>0</v>
      </c>
      <c r="AC129">
        <v>2.5454545454545454</v>
      </c>
      <c r="AD129" s="1">
        <v>0</v>
      </c>
      <c r="AE129" s="2">
        <v>46248</v>
      </c>
      <c r="AF129" s="2">
        <v>46256</v>
      </c>
      <c r="AG129" s="2">
        <v>46263</v>
      </c>
      <c r="AH129">
        <v>0</v>
      </c>
      <c r="AI129" s="3">
        <v>0</v>
      </c>
      <c r="AJ129" s="1" t="s">
        <v>1635</v>
      </c>
      <c r="AK129" s="2" t="s">
        <v>1635</v>
      </c>
      <c r="AL129" s="4" t="s">
        <v>1658</v>
      </c>
      <c r="AM129" s="5" t="s">
        <v>1658</v>
      </c>
      <c r="AN129" s="4">
        <v>0</v>
      </c>
      <c r="AO129" t="s">
        <v>1635</v>
      </c>
      <c r="AP129" s="4" t="s">
        <v>1658</v>
      </c>
      <c r="AQ129" t="s">
        <v>1619</v>
      </c>
      <c r="AR129" t="s">
        <v>1620</v>
      </c>
      <c r="AT129" s="16">
        <f>_xlfn.XLOOKUP(B129,'SWiSH Demand Forecast Sep-26'!D:D,'SWiSH Demand Forecast Sep-26'!G:G,"Not Exist")</f>
        <v>841</v>
      </c>
    </row>
    <row r="130" spans="1:46" x14ac:dyDescent="0.3">
      <c r="A130">
        <v>100400157</v>
      </c>
      <c r="B130" t="s">
        <v>1852</v>
      </c>
      <c r="C130" t="s">
        <v>10</v>
      </c>
      <c r="D130" t="s">
        <v>1789</v>
      </c>
      <c r="E130" t="s">
        <v>1685</v>
      </c>
      <c r="F130" t="s">
        <v>1664</v>
      </c>
      <c r="G130" t="s">
        <v>1686</v>
      </c>
      <c r="H130" t="s">
        <v>1810</v>
      </c>
      <c r="I130" t="s">
        <v>1634</v>
      </c>
      <c r="J130" t="s">
        <v>10</v>
      </c>
      <c r="K130">
        <v>5.6669999999999998E-2</v>
      </c>
      <c r="L130">
        <v>0</v>
      </c>
      <c r="M130" s="1">
        <v>30</v>
      </c>
      <c r="N130">
        <v>0</v>
      </c>
      <c r="O130">
        <v>0</v>
      </c>
      <c r="P130">
        <v>0</v>
      </c>
      <c r="Q130" s="1">
        <v>0</v>
      </c>
      <c r="R130">
        <v>6.0999999999999999E-2</v>
      </c>
      <c r="S130" s="2">
        <v>46210</v>
      </c>
      <c r="T130" s="2">
        <v>46131</v>
      </c>
      <c r="U130">
        <v>600</v>
      </c>
      <c r="V130">
        <v>0</v>
      </c>
      <c r="W130">
        <v>0</v>
      </c>
      <c r="X130">
        <v>0</v>
      </c>
      <c r="Y130">
        <v>0</v>
      </c>
      <c r="Z130" s="8">
        <v>600</v>
      </c>
      <c r="AA130">
        <v>150</v>
      </c>
      <c r="AB130">
        <v>0</v>
      </c>
      <c r="AC130">
        <v>4</v>
      </c>
      <c r="AD130" s="1">
        <v>0</v>
      </c>
      <c r="AE130" s="2">
        <v>46248</v>
      </c>
      <c r="AF130" s="2">
        <v>46256</v>
      </c>
      <c r="AG130" s="2">
        <v>46263</v>
      </c>
      <c r="AH130">
        <v>0</v>
      </c>
      <c r="AI130" s="3">
        <v>0</v>
      </c>
      <c r="AJ130" s="1" t="s">
        <v>1635</v>
      </c>
      <c r="AK130" s="2" t="s">
        <v>1635</v>
      </c>
      <c r="AL130" s="4" t="s">
        <v>1658</v>
      </c>
      <c r="AM130" s="5" t="s">
        <v>1658</v>
      </c>
      <c r="AN130" s="4">
        <v>0</v>
      </c>
      <c r="AO130" t="s">
        <v>1635</v>
      </c>
      <c r="AP130" s="4" t="s">
        <v>1658</v>
      </c>
      <c r="AQ130" t="s">
        <v>1619</v>
      </c>
      <c r="AR130" t="s">
        <v>1834</v>
      </c>
      <c r="AT130" s="16" t="str">
        <f>_xlfn.XLOOKUP(B130,'SWiSH Demand Forecast Sep-26'!D:D,'SWiSH Demand Forecast Sep-26'!G:G,"Not Exist")</f>
        <v>Not Exist</v>
      </c>
    </row>
    <row r="131" spans="1:46" x14ac:dyDescent="0.3">
      <c r="A131">
        <v>105500012</v>
      </c>
      <c r="B131" t="s">
        <v>1853</v>
      </c>
      <c r="C131" t="s">
        <v>136</v>
      </c>
      <c r="D131" t="s">
        <v>1629</v>
      </c>
      <c r="E131" t="s">
        <v>1832</v>
      </c>
      <c r="F131" t="s">
        <v>1840</v>
      </c>
      <c r="G131" t="s">
        <v>1686</v>
      </c>
      <c r="H131" t="s">
        <v>1841</v>
      </c>
      <c r="I131" t="s">
        <v>1618</v>
      </c>
      <c r="J131" t="s">
        <v>136</v>
      </c>
      <c r="K131">
        <v>1.5</v>
      </c>
      <c r="L131">
        <v>0</v>
      </c>
      <c r="M131" s="1">
        <v>3</v>
      </c>
      <c r="N131">
        <v>0</v>
      </c>
      <c r="O131">
        <v>0</v>
      </c>
      <c r="P131">
        <v>0</v>
      </c>
      <c r="Q131" s="1">
        <v>0</v>
      </c>
      <c r="R131">
        <v>6</v>
      </c>
      <c r="S131" s="2">
        <v>46095</v>
      </c>
      <c r="T131" s="2">
        <v>46163</v>
      </c>
      <c r="U131">
        <v>72</v>
      </c>
      <c r="V131">
        <v>44</v>
      </c>
      <c r="W131">
        <v>0</v>
      </c>
      <c r="X131">
        <v>0</v>
      </c>
      <c r="Y131">
        <v>0</v>
      </c>
      <c r="Z131" s="8">
        <v>72</v>
      </c>
      <c r="AA131">
        <v>29</v>
      </c>
      <c r="AB131">
        <v>0</v>
      </c>
      <c r="AC131">
        <v>2.4827586206896552</v>
      </c>
      <c r="AD131" s="1">
        <v>0</v>
      </c>
      <c r="AE131" s="2">
        <v>46248</v>
      </c>
      <c r="AF131" s="2">
        <v>46256</v>
      </c>
      <c r="AG131" s="2">
        <v>46263</v>
      </c>
      <c r="AH131">
        <v>0</v>
      </c>
      <c r="AI131" s="3">
        <v>0</v>
      </c>
      <c r="AJ131" s="1" t="s">
        <v>1635</v>
      </c>
      <c r="AK131" s="2" t="s">
        <v>1635</v>
      </c>
      <c r="AL131" s="4" t="s">
        <v>1658</v>
      </c>
      <c r="AM131" s="5" t="s">
        <v>1658</v>
      </c>
      <c r="AN131" s="4">
        <v>0</v>
      </c>
      <c r="AO131" t="s">
        <v>1635</v>
      </c>
      <c r="AP131" s="4" t="s">
        <v>1658</v>
      </c>
      <c r="AQ131" t="s">
        <v>1619</v>
      </c>
      <c r="AR131" t="s">
        <v>1620</v>
      </c>
      <c r="AT131" s="16" t="str">
        <f>_xlfn.XLOOKUP(B131,'SWiSH Demand Forecast Sep-26'!D:D,'SWiSH Demand Forecast Sep-26'!G:G,"Not Exist")</f>
        <v>Not Exist</v>
      </c>
    </row>
    <row r="132" spans="1:46" x14ac:dyDescent="0.3">
      <c r="A132">
        <v>103700023</v>
      </c>
      <c r="B132" t="s">
        <v>1854</v>
      </c>
      <c r="C132" t="s">
        <v>136</v>
      </c>
      <c r="D132" t="s">
        <v>1629</v>
      </c>
      <c r="E132" t="s">
        <v>1677</v>
      </c>
      <c r="F132" t="s">
        <v>1615</v>
      </c>
      <c r="G132" t="s">
        <v>1616</v>
      </c>
      <c r="H132" t="s">
        <v>1617</v>
      </c>
      <c r="I132" t="s">
        <v>1618</v>
      </c>
      <c r="J132" t="s">
        <v>136</v>
      </c>
      <c r="K132">
        <v>3.4715995400000002</v>
      </c>
      <c r="L132">
        <v>0</v>
      </c>
      <c r="M132" s="1">
        <v>3</v>
      </c>
      <c r="N132">
        <v>0</v>
      </c>
      <c r="O132">
        <v>0</v>
      </c>
      <c r="P132">
        <v>0</v>
      </c>
      <c r="Q132" s="1">
        <v>0</v>
      </c>
      <c r="R132">
        <v>3.5</v>
      </c>
      <c r="S132" s="2">
        <v>46135</v>
      </c>
      <c r="T132" s="2">
        <v>46187</v>
      </c>
      <c r="U132">
        <v>184</v>
      </c>
      <c r="V132">
        <v>60</v>
      </c>
      <c r="W132">
        <v>0</v>
      </c>
      <c r="X132">
        <v>0</v>
      </c>
      <c r="Y132">
        <v>0</v>
      </c>
      <c r="Z132" s="8">
        <v>184</v>
      </c>
      <c r="AA132">
        <v>61</v>
      </c>
      <c r="AB132">
        <v>0</v>
      </c>
      <c r="AC132">
        <v>3.0163934426229506</v>
      </c>
      <c r="AD132" s="1">
        <v>0</v>
      </c>
      <c r="AE132" s="2">
        <v>46248</v>
      </c>
      <c r="AF132" s="2">
        <v>46256</v>
      </c>
      <c r="AG132" s="2">
        <v>46263</v>
      </c>
      <c r="AH132">
        <v>0</v>
      </c>
      <c r="AI132" s="3">
        <v>0</v>
      </c>
      <c r="AJ132" s="1" t="s">
        <v>1635</v>
      </c>
      <c r="AK132" s="2" t="s">
        <v>1635</v>
      </c>
      <c r="AL132" s="4" t="s">
        <v>1658</v>
      </c>
      <c r="AM132" s="5" t="s">
        <v>1658</v>
      </c>
      <c r="AN132" s="4">
        <v>0</v>
      </c>
      <c r="AO132" t="s">
        <v>1635</v>
      </c>
      <c r="AP132" s="4" t="s">
        <v>1658</v>
      </c>
      <c r="AQ132" t="s">
        <v>1619</v>
      </c>
      <c r="AR132" t="s">
        <v>1855</v>
      </c>
      <c r="AT132" s="16" t="str">
        <f>_xlfn.XLOOKUP(B132,'SWiSH Demand Forecast Sep-26'!D:D,'SWiSH Demand Forecast Sep-26'!G:G,"Not Exist")</f>
        <v>Not Exist</v>
      </c>
    </row>
    <row r="133" spans="1:46" x14ac:dyDescent="0.3">
      <c r="A133">
        <v>103700122</v>
      </c>
      <c r="B133" t="s">
        <v>1856</v>
      </c>
      <c r="C133" t="s">
        <v>136</v>
      </c>
      <c r="D133" t="s">
        <v>1629</v>
      </c>
      <c r="E133" t="s">
        <v>1857</v>
      </c>
      <c r="F133" t="s">
        <v>1615</v>
      </c>
      <c r="G133" t="s">
        <v>1616</v>
      </c>
      <c r="H133" t="s">
        <v>1617</v>
      </c>
      <c r="I133" t="s">
        <v>1618</v>
      </c>
      <c r="J133" t="s">
        <v>1858</v>
      </c>
      <c r="K133">
        <v>1.8250000500000001</v>
      </c>
      <c r="L133">
        <v>0</v>
      </c>
      <c r="M133" s="1">
        <v>3</v>
      </c>
      <c r="N133">
        <v>0</v>
      </c>
      <c r="O133">
        <v>0</v>
      </c>
      <c r="P133">
        <v>0</v>
      </c>
      <c r="Q133" s="1">
        <v>0</v>
      </c>
      <c r="R133">
        <v>1.75</v>
      </c>
      <c r="S133" s="2">
        <v>46125</v>
      </c>
      <c r="T133" s="2">
        <v>46259</v>
      </c>
      <c r="U133">
        <v>2</v>
      </c>
      <c r="V133">
        <v>1</v>
      </c>
      <c r="W133">
        <v>0</v>
      </c>
      <c r="X133">
        <v>0</v>
      </c>
      <c r="Y133">
        <v>0</v>
      </c>
      <c r="Z133" s="8">
        <v>2</v>
      </c>
      <c r="AA133">
        <v>0.75</v>
      </c>
      <c r="AB133">
        <v>0</v>
      </c>
      <c r="AC133">
        <v>2.6666666666666665</v>
      </c>
      <c r="AD133" s="1">
        <v>0</v>
      </c>
      <c r="AE133" s="2">
        <v>46248</v>
      </c>
      <c r="AF133" s="2">
        <v>46256</v>
      </c>
      <c r="AG133" s="2">
        <v>46263</v>
      </c>
      <c r="AH133">
        <v>0</v>
      </c>
      <c r="AI133" s="3">
        <v>0</v>
      </c>
      <c r="AJ133" s="1" t="s">
        <v>1635</v>
      </c>
      <c r="AK133" s="2" t="s">
        <v>1635</v>
      </c>
      <c r="AL133" s="4" t="s">
        <v>1658</v>
      </c>
      <c r="AM133" s="5" t="s">
        <v>1658</v>
      </c>
      <c r="AN133" s="4">
        <v>0</v>
      </c>
      <c r="AO133" t="s">
        <v>1635</v>
      </c>
      <c r="AP133" s="4" t="s">
        <v>1658</v>
      </c>
      <c r="AQ133" t="s">
        <v>1619</v>
      </c>
      <c r="AR133" t="s">
        <v>1859</v>
      </c>
      <c r="AT133" s="16" t="str">
        <f>_xlfn.XLOOKUP(B133,'SWiSH Demand Forecast Sep-26'!D:D,'SWiSH Demand Forecast Sep-26'!G:G,"Not Exist")</f>
        <v>Not Exist</v>
      </c>
    </row>
    <row r="134" spans="1:46" hidden="1" x14ac:dyDescent="0.3">
      <c r="A134">
        <v>106300029</v>
      </c>
      <c r="B134" t="s">
        <v>1534</v>
      </c>
      <c r="C134" t="s">
        <v>136</v>
      </c>
      <c r="D134" t="s">
        <v>1629</v>
      </c>
      <c r="E134" t="s">
        <v>1732</v>
      </c>
      <c r="F134" t="s">
        <v>1615</v>
      </c>
      <c r="G134" t="s">
        <v>1616</v>
      </c>
      <c r="H134" t="s">
        <v>1860</v>
      </c>
      <c r="I134" t="s">
        <v>1618</v>
      </c>
      <c r="J134" t="s">
        <v>136</v>
      </c>
      <c r="K134">
        <v>6.5</v>
      </c>
      <c r="L134">
        <v>0</v>
      </c>
      <c r="M134" s="1">
        <v>3</v>
      </c>
      <c r="N134">
        <v>0</v>
      </c>
      <c r="O134">
        <v>0</v>
      </c>
      <c r="P134">
        <v>0</v>
      </c>
      <c r="Q134" s="1">
        <v>0</v>
      </c>
      <c r="R134">
        <v>6.5</v>
      </c>
      <c r="S134" s="2">
        <v>46061</v>
      </c>
      <c r="T134" s="2">
        <v>46206</v>
      </c>
      <c r="U134">
        <v>0</v>
      </c>
      <c r="V134">
        <v>0</v>
      </c>
      <c r="W134">
        <v>1</v>
      </c>
      <c r="X134">
        <v>0</v>
      </c>
      <c r="Y134">
        <v>0</v>
      </c>
      <c r="Z134" s="8">
        <v>1</v>
      </c>
      <c r="AA134">
        <v>0.25</v>
      </c>
      <c r="AB134">
        <v>0</v>
      </c>
      <c r="AC134">
        <v>4</v>
      </c>
      <c r="AD134" s="1">
        <v>0</v>
      </c>
      <c r="AE134" s="2">
        <v>46248</v>
      </c>
      <c r="AF134" s="2">
        <v>46256</v>
      </c>
      <c r="AG134" s="2">
        <v>46263</v>
      </c>
      <c r="AH134">
        <v>0</v>
      </c>
      <c r="AI134" s="3">
        <v>0</v>
      </c>
      <c r="AJ134" s="1" t="s">
        <v>1635</v>
      </c>
      <c r="AK134" s="2" t="s">
        <v>1635</v>
      </c>
      <c r="AL134" s="4" t="s">
        <v>1636</v>
      </c>
      <c r="AM134" s="5" t="s">
        <v>1636</v>
      </c>
      <c r="AN134" s="4">
        <v>0</v>
      </c>
      <c r="AO134" t="s">
        <v>1635</v>
      </c>
      <c r="AP134" s="4" t="s">
        <v>1636</v>
      </c>
      <c r="AQ134" t="s">
        <v>1619</v>
      </c>
      <c r="AR134" t="s">
        <v>1620</v>
      </c>
      <c r="AT134" s="16">
        <f>_xlfn.XLOOKUP(B134,'SWiSH Demand Forecast Sep-26'!D:D,'SWiSH Demand Forecast Sep-26'!G:G,"Not Exist")</f>
        <v>1.26746478873239</v>
      </c>
    </row>
    <row r="135" spans="1:46" x14ac:dyDescent="0.3">
      <c r="A135">
        <v>103700000</v>
      </c>
      <c r="B135" t="s">
        <v>1861</v>
      </c>
      <c r="C135" t="s">
        <v>136</v>
      </c>
      <c r="D135" t="s">
        <v>1629</v>
      </c>
      <c r="E135" t="s">
        <v>1862</v>
      </c>
      <c r="F135" t="s">
        <v>1615</v>
      </c>
      <c r="G135" t="s">
        <v>1616</v>
      </c>
      <c r="H135" t="s">
        <v>1617</v>
      </c>
      <c r="I135" t="s">
        <v>1618</v>
      </c>
      <c r="J135" t="s">
        <v>1863</v>
      </c>
      <c r="K135">
        <v>2.70601</v>
      </c>
      <c r="L135">
        <v>0</v>
      </c>
      <c r="M135" s="1">
        <v>3</v>
      </c>
      <c r="N135">
        <v>0</v>
      </c>
      <c r="O135">
        <v>0</v>
      </c>
      <c r="P135">
        <v>0</v>
      </c>
      <c r="Q135" s="1">
        <v>0</v>
      </c>
      <c r="R135">
        <v>38</v>
      </c>
      <c r="S135" s="2">
        <v>46168</v>
      </c>
      <c r="T135" s="2">
        <v>46161</v>
      </c>
      <c r="U135">
        <v>170</v>
      </c>
      <c r="V135">
        <v>50</v>
      </c>
      <c r="W135">
        <v>0</v>
      </c>
      <c r="X135">
        <v>0</v>
      </c>
      <c r="Y135">
        <v>0</v>
      </c>
      <c r="Z135" s="8">
        <v>170</v>
      </c>
      <c r="AA135">
        <v>55</v>
      </c>
      <c r="AB135">
        <v>0</v>
      </c>
      <c r="AC135">
        <v>3.0909090909090908</v>
      </c>
      <c r="AD135" s="1">
        <v>0</v>
      </c>
      <c r="AE135" s="2">
        <v>46248</v>
      </c>
      <c r="AF135" s="2">
        <v>46256</v>
      </c>
      <c r="AG135" s="2">
        <v>46263</v>
      </c>
      <c r="AH135">
        <v>0</v>
      </c>
      <c r="AI135" s="3">
        <v>0</v>
      </c>
      <c r="AJ135" s="1" t="s">
        <v>1635</v>
      </c>
      <c r="AK135" s="2" t="s">
        <v>1635</v>
      </c>
      <c r="AL135" s="4" t="s">
        <v>1658</v>
      </c>
      <c r="AM135" s="5" t="s">
        <v>1658</v>
      </c>
      <c r="AN135" s="4">
        <v>0</v>
      </c>
      <c r="AO135" t="s">
        <v>1635</v>
      </c>
      <c r="AP135" s="4" t="s">
        <v>1658</v>
      </c>
      <c r="AQ135" t="s">
        <v>1619</v>
      </c>
      <c r="AR135" t="s">
        <v>1620</v>
      </c>
      <c r="AT135" s="16" t="str">
        <f>_xlfn.XLOOKUP(B135,'SWiSH Demand Forecast Sep-26'!D:D,'SWiSH Demand Forecast Sep-26'!G:G,"Not Exist")</f>
        <v>Not Exist</v>
      </c>
    </row>
    <row r="136" spans="1:46" x14ac:dyDescent="0.3">
      <c r="A136">
        <v>102700039</v>
      </c>
      <c r="B136" t="s">
        <v>1864</v>
      </c>
      <c r="C136" t="s">
        <v>10</v>
      </c>
      <c r="D136" t="s">
        <v>1629</v>
      </c>
      <c r="E136" t="s">
        <v>1663</v>
      </c>
      <c r="F136" t="s">
        <v>1840</v>
      </c>
      <c r="G136" t="s">
        <v>1616</v>
      </c>
      <c r="H136" t="s">
        <v>1865</v>
      </c>
      <c r="I136" t="s">
        <v>1618</v>
      </c>
      <c r="J136" t="s">
        <v>10</v>
      </c>
      <c r="K136">
        <v>5.5E-2</v>
      </c>
      <c r="L136">
        <v>0</v>
      </c>
      <c r="M136" s="1">
        <v>3</v>
      </c>
      <c r="N136">
        <v>0</v>
      </c>
      <c r="O136">
        <v>0</v>
      </c>
      <c r="P136">
        <v>0</v>
      </c>
      <c r="Q136" s="1">
        <v>0</v>
      </c>
      <c r="R136">
        <v>0.27500000000000002</v>
      </c>
      <c r="S136" s="2">
        <v>46126</v>
      </c>
      <c r="T136" s="2">
        <v>46151</v>
      </c>
      <c r="U136">
        <v>13300</v>
      </c>
      <c r="V136">
        <v>0</v>
      </c>
      <c r="W136">
        <v>0</v>
      </c>
      <c r="X136">
        <v>0</v>
      </c>
      <c r="Y136">
        <v>0</v>
      </c>
      <c r="Z136" s="8">
        <v>13300</v>
      </c>
      <c r="AA136">
        <v>3325</v>
      </c>
      <c r="AB136">
        <v>0</v>
      </c>
      <c r="AC136">
        <v>4</v>
      </c>
      <c r="AD136" s="1">
        <v>0</v>
      </c>
      <c r="AE136" s="2">
        <v>46248</v>
      </c>
      <c r="AF136" s="2">
        <v>46256</v>
      </c>
      <c r="AG136" s="2">
        <v>46263</v>
      </c>
      <c r="AH136">
        <v>0</v>
      </c>
      <c r="AI136" s="3">
        <v>0</v>
      </c>
      <c r="AJ136" s="1" t="s">
        <v>1635</v>
      </c>
      <c r="AK136" s="2" t="s">
        <v>1635</v>
      </c>
      <c r="AL136" s="4" t="s">
        <v>1658</v>
      </c>
      <c r="AM136" s="5" t="s">
        <v>1658</v>
      </c>
      <c r="AN136" s="4">
        <v>0</v>
      </c>
      <c r="AO136" t="s">
        <v>1635</v>
      </c>
      <c r="AP136" s="4" t="s">
        <v>1658</v>
      </c>
      <c r="AQ136" t="s">
        <v>1619</v>
      </c>
      <c r="AR136" t="s">
        <v>1620</v>
      </c>
      <c r="AS136" t="s">
        <v>1666</v>
      </c>
      <c r="AT136" s="16" t="str">
        <f>_xlfn.XLOOKUP(B136,'SWiSH Demand Forecast Sep-26'!D:D,'SWiSH Demand Forecast Sep-26'!G:G,"Not Exist")</f>
        <v>Not Exist</v>
      </c>
    </row>
    <row r="137" spans="1:46" x14ac:dyDescent="0.3">
      <c r="A137">
        <v>100700050</v>
      </c>
      <c r="B137" t="s">
        <v>1866</v>
      </c>
      <c r="C137" t="s">
        <v>136</v>
      </c>
      <c r="D137" t="s">
        <v>1629</v>
      </c>
      <c r="E137" t="s">
        <v>1732</v>
      </c>
      <c r="F137" t="s">
        <v>1671</v>
      </c>
      <c r="G137" t="s">
        <v>1616</v>
      </c>
      <c r="H137" t="s">
        <v>1867</v>
      </c>
      <c r="I137" t="s">
        <v>1618</v>
      </c>
      <c r="J137" t="s">
        <v>136</v>
      </c>
      <c r="K137">
        <v>0.3</v>
      </c>
      <c r="L137">
        <v>0</v>
      </c>
      <c r="M137" s="1">
        <v>3</v>
      </c>
      <c r="N137">
        <v>0</v>
      </c>
      <c r="O137">
        <v>0</v>
      </c>
      <c r="P137">
        <v>0</v>
      </c>
      <c r="Q137" s="1">
        <v>0</v>
      </c>
      <c r="R137">
        <v>4.5</v>
      </c>
      <c r="S137" s="2">
        <v>46104</v>
      </c>
      <c r="T137" s="2">
        <v>46186</v>
      </c>
      <c r="U137">
        <v>1800</v>
      </c>
      <c r="V137">
        <v>6525</v>
      </c>
      <c r="W137">
        <v>675</v>
      </c>
      <c r="X137">
        <v>0</v>
      </c>
      <c r="Y137">
        <v>0</v>
      </c>
      <c r="Z137" s="8">
        <v>6525</v>
      </c>
      <c r="AA137">
        <v>2250</v>
      </c>
      <c r="AB137">
        <v>0</v>
      </c>
      <c r="AC137">
        <v>2.9</v>
      </c>
      <c r="AD137" s="1">
        <v>0</v>
      </c>
      <c r="AE137" s="2">
        <v>46248</v>
      </c>
      <c r="AF137" s="2">
        <v>46256</v>
      </c>
      <c r="AG137" s="2">
        <v>46263</v>
      </c>
      <c r="AH137">
        <v>0</v>
      </c>
      <c r="AI137" s="3">
        <v>0</v>
      </c>
      <c r="AJ137" s="1" t="s">
        <v>1635</v>
      </c>
      <c r="AK137" s="2" t="s">
        <v>1635</v>
      </c>
      <c r="AL137" s="4" t="s">
        <v>1636</v>
      </c>
      <c r="AM137" s="5" t="s">
        <v>1636</v>
      </c>
      <c r="AN137" s="4">
        <v>0</v>
      </c>
      <c r="AO137" t="s">
        <v>1635</v>
      </c>
      <c r="AP137" s="4" t="s">
        <v>1636</v>
      </c>
      <c r="AQ137" t="s">
        <v>1619</v>
      </c>
      <c r="AR137" t="s">
        <v>1620</v>
      </c>
      <c r="AS137" t="s">
        <v>1666</v>
      </c>
      <c r="AT137" s="16" t="str">
        <f>_xlfn.XLOOKUP(B137,'SWiSH Demand Forecast Sep-26'!D:D,'SWiSH Demand Forecast Sep-26'!G:G,"Not Exist")</f>
        <v>Not Exist</v>
      </c>
    </row>
    <row r="138" spans="1:46" hidden="1" x14ac:dyDescent="0.3">
      <c r="A138">
        <v>103100033</v>
      </c>
      <c r="B138" t="s">
        <v>76</v>
      </c>
      <c r="C138" t="s">
        <v>10</v>
      </c>
      <c r="D138" t="s">
        <v>1699</v>
      </c>
      <c r="E138" t="s">
        <v>1868</v>
      </c>
      <c r="F138" t="s">
        <v>1833</v>
      </c>
      <c r="G138" t="s">
        <v>1632</v>
      </c>
      <c r="H138" t="s">
        <v>1869</v>
      </c>
      <c r="I138" t="s">
        <v>1626</v>
      </c>
      <c r="J138" t="s">
        <v>1870</v>
      </c>
      <c r="K138">
        <v>2.7E-2</v>
      </c>
      <c r="L138">
        <v>0</v>
      </c>
      <c r="M138" s="1">
        <v>3</v>
      </c>
      <c r="N138">
        <v>0</v>
      </c>
      <c r="O138">
        <v>0</v>
      </c>
      <c r="P138">
        <v>0</v>
      </c>
      <c r="Q138" s="1">
        <v>0</v>
      </c>
      <c r="R138">
        <v>0.13500000000000001</v>
      </c>
      <c r="S138" s="2">
        <v>46141</v>
      </c>
      <c r="T138" s="2">
        <v>46262</v>
      </c>
      <c r="U138">
        <v>83955</v>
      </c>
      <c r="V138">
        <v>405</v>
      </c>
      <c r="W138">
        <v>0</v>
      </c>
      <c r="X138">
        <v>0</v>
      </c>
      <c r="Y138">
        <v>0</v>
      </c>
      <c r="Z138" s="8">
        <v>83955</v>
      </c>
      <c r="AA138">
        <v>21090</v>
      </c>
      <c r="AB138">
        <v>0</v>
      </c>
      <c r="AC138">
        <v>3.9807965860597441</v>
      </c>
      <c r="AD138" s="1">
        <v>0</v>
      </c>
      <c r="AE138" s="2">
        <v>46248</v>
      </c>
      <c r="AF138" s="2">
        <v>46256</v>
      </c>
      <c r="AG138" s="2">
        <v>46263</v>
      </c>
      <c r="AH138">
        <v>0</v>
      </c>
      <c r="AI138" s="3">
        <v>0</v>
      </c>
      <c r="AJ138" s="1" t="s">
        <v>1635</v>
      </c>
      <c r="AK138" s="2" t="s">
        <v>1635</v>
      </c>
      <c r="AL138" s="4" t="s">
        <v>1658</v>
      </c>
      <c r="AM138" s="5" t="s">
        <v>1658</v>
      </c>
      <c r="AN138" s="4">
        <v>0</v>
      </c>
      <c r="AO138" t="s">
        <v>1635</v>
      </c>
      <c r="AP138" s="4" t="s">
        <v>1658</v>
      </c>
      <c r="AQ138" t="s">
        <v>1619</v>
      </c>
      <c r="AR138" t="s">
        <v>1871</v>
      </c>
      <c r="AT138" s="16">
        <f>_xlfn.XLOOKUP(B138,'SWiSH Demand Forecast Sep-26'!D:D,'SWiSH Demand Forecast Sep-26'!G:G,"Not Exist")</f>
        <v>29850.3783783783</v>
      </c>
    </row>
    <row r="139" spans="1:46" x14ac:dyDescent="0.3">
      <c r="A139">
        <v>106200105</v>
      </c>
      <c r="B139" t="s">
        <v>1872</v>
      </c>
      <c r="C139" t="s">
        <v>240</v>
      </c>
      <c r="D139" t="s">
        <v>1789</v>
      </c>
      <c r="E139" t="s">
        <v>1832</v>
      </c>
      <c r="F139" t="s">
        <v>1671</v>
      </c>
      <c r="G139" t="s">
        <v>1686</v>
      </c>
      <c r="H139" t="s">
        <v>1672</v>
      </c>
      <c r="I139" t="s">
        <v>1618</v>
      </c>
      <c r="J139" t="s">
        <v>240</v>
      </c>
      <c r="K139">
        <v>5.3333300000000001</v>
      </c>
      <c r="L139">
        <v>0</v>
      </c>
      <c r="M139" s="1">
        <v>3</v>
      </c>
      <c r="N139">
        <v>0</v>
      </c>
      <c r="O139">
        <v>0</v>
      </c>
      <c r="P139">
        <v>0</v>
      </c>
      <c r="Q139" s="1">
        <v>0</v>
      </c>
      <c r="R139">
        <v>4</v>
      </c>
      <c r="S139" s="2">
        <v>46011</v>
      </c>
      <c r="T139" s="2">
        <v>46191</v>
      </c>
      <c r="U139">
        <v>0.75</v>
      </c>
      <c r="V139">
        <v>0</v>
      </c>
      <c r="W139">
        <v>0</v>
      </c>
      <c r="X139">
        <v>0</v>
      </c>
      <c r="Y139">
        <v>0</v>
      </c>
      <c r="Z139" s="8">
        <v>0.75</v>
      </c>
      <c r="AA139">
        <v>0.1875</v>
      </c>
      <c r="AB139">
        <v>0</v>
      </c>
      <c r="AC139">
        <v>4</v>
      </c>
      <c r="AD139" s="1">
        <v>0</v>
      </c>
      <c r="AE139" s="2">
        <v>46248</v>
      </c>
      <c r="AF139" s="2">
        <v>46256</v>
      </c>
      <c r="AG139" s="2">
        <v>46263</v>
      </c>
      <c r="AH139">
        <v>0</v>
      </c>
      <c r="AI139" s="3">
        <v>0</v>
      </c>
      <c r="AJ139" s="1" t="s">
        <v>1635</v>
      </c>
      <c r="AK139" s="2" t="s">
        <v>1635</v>
      </c>
      <c r="AL139" s="4" t="s">
        <v>1658</v>
      </c>
      <c r="AM139" s="5" t="s">
        <v>1658</v>
      </c>
      <c r="AN139" s="4">
        <v>0</v>
      </c>
      <c r="AO139" t="s">
        <v>1635</v>
      </c>
      <c r="AP139" s="4" t="s">
        <v>1658</v>
      </c>
      <c r="AQ139" t="s">
        <v>1619</v>
      </c>
      <c r="AR139" t="s">
        <v>1620</v>
      </c>
      <c r="AT139" s="16" t="str">
        <f>_xlfn.XLOOKUP(B139,'SWiSH Demand Forecast Sep-26'!D:D,'SWiSH Demand Forecast Sep-26'!G:G,"Not Exist")</f>
        <v>Not Exist</v>
      </c>
    </row>
    <row r="140" spans="1:46" x14ac:dyDescent="0.3">
      <c r="A140">
        <v>106200000</v>
      </c>
      <c r="B140" t="s">
        <v>1873</v>
      </c>
      <c r="C140" t="s">
        <v>240</v>
      </c>
      <c r="D140" t="s">
        <v>1699</v>
      </c>
      <c r="E140" t="s">
        <v>1677</v>
      </c>
      <c r="F140" t="s">
        <v>1671</v>
      </c>
      <c r="G140" t="s">
        <v>1616</v>
      </c>
      <c r="H140" t="s">
        <v>1672</v>
      </c>
      <c r="I140" t="s">
        <v>1618</v>
      </c>
      <c r="J140" t="s">
        <v>1874</v>
      </c>
      <c r="K140">
        <v>0.75</v>
      </c>
      <c r="L140">
        <v>0</v>
      </c>
      <c r="M140" s="1">
        <v>3</v>
      </c>
      <c r="N140">
        <v>0</v>
      </c>
      <c r="O140">
        <v>0</v>
      </c>
      <c r="P140">
        <v>0</v>
      </c>
      <c r="Q140" s="1">
        <v>0</v>
      </c>
      <c r="R140">
        <v>9</v>
      </c>
      <c r="S140" s="2">
        <v>46096</v>
      </c>
      <c r="T140" s="2">
        <v>46162</v>
      </c>
      <c r="U140">
        <v>126</v>
      </c>
      <c r="V140">
        <v>36</v>
      </c>
      <c r="W140">
        <v>0</v>
      </c>
      <c r="X140">
        <v>0</v>
      </c>
      <c r="Y140">
        <v>0</v>
      </c>
      <c r="Z140" s="8">
        <v>126</v>
      </c>
      <c r="AA140">
        <v>40.5</v>
      </c>
      <c r="AB140">
        <v>0</v>
      </c>
      <c r="AC140">
        <v>3.1111111111111112</v>
      </c>
      <c r="AD140" s="1">
        <v>0</v>
      </c>
      <c r="AE140" s="2">
        <v>46248</v>
      </c>
      <c r="AF140" s="2">
        <v>46256</v>
      </c>
      <c r="AG140" s="2">
        <v>46263</v>
      </c>
      <c r="AH140">
        <v>0</v>
      </c>
      <c r="AI140" s="3">
        <v>0</v>
      </c>
      <c r="AJ140" s="1" t="s">
        <v>1635</v>
      </c>
      <c r="AK140" s="2" t="s">
        <v>1635</v>
      </c>
      <c r="AL140" s="4" t="s">
        <v>1658</v>
      </c>
      <c r="AM140" s="5" t="s">
        <v>1658</v>
      </c>
      <c r="AN140" s="4">
        <v>0</v>
      </c>
      <c r="AO140" t="s">
        <v>1635</v>
      </c>
      <c r="AP140" s="4" t="s">
        <v>1658</v>
      </c>
      <c r="AQ140" t="s">
        <v>1619</v>
      </c>
      <c r="AR140" t="s">
        <v>1620</v>
      </c>
      <c r="AT140" s="16" t="str">
        <f>_xlfn.XLOOKUP(B140,'SWiSH Demand Forecast Sep-26'!D:D,'SWiSH Demand Forecast Sep-26'!G:G,"Not Exist")</f>
        <v>Not Exist</v>
      </c>
    </row>
    <row r="141" spans="1:46" hidden="1" x14ac:dyDescent="0.3">
      <c r="A141">
        <v>100700044</v>
      </c>
      <c r="B141" t="s">
        <v>1394</v>
      </c>
      <c r="C141" t="s">
        <v>136</v>
      </c>
      <c r="D141" t="s">
        <v>1629</v>
      </c>
      <c r="E141" t="s">
        <v>1732</v>
      </c>
      <c r="F141" t="s">
        <v>1875</v>
      </c>
      <c r="G141" t="s">
        <v>1616</v>
      </c>
      <c r="H141" t="s">
        <v>1867</v>
      </c>
      <c r="I141" t="s">
        <v>1618</v>
      </c>
      <c r="J141" t="s">
        <v>1876</v>
      </c>
      <c r="K141">
        <v>0.61851851999999996</v>
      </c>
      <c r="L141">
        <v>0</v>
      </c>
      <c r="M141" s="1">
        <v>3</v>
      </c>
      <c r="N141">
        <v>0</v>
      </c>
      <c r="O141">
        <v>0</v>
      </c>
      <c r="P141">
        <v>0</v>
      </c>
      <c r="Q141" s="1">
        <v>0</v>
      </c>
      <c r="R141">
        <v>7.75</v>
      </c>
      <c r="S141" s="2">
        <v>46137</v>
      </c>
      <c r="T141" s="2">
        <v>46221</v>
      </c>
      <c r="U141">
        <v>225</v>
      </c>
      <c r="V141">
        <v>225</v>
      </c>
      <c r="W141">
        <v>300</v>
      </c>
      <c r="X141">
        <v>0</v>
      </c>
      <c r="Y141">
        <v>0</v>
      </c>
      <c r="Z141" s="8">
        <v>300</v>
      </c>
      <c r="AA141">
        <v>187.5</v>
      </c>
      <c r="AB141">
        <v>0</v>
      </c>
      <c r="AC141">
        <v>1.6</v>
      </c>
      <c r="AD141" s="1">
        <v>0</v>
      </c>
      <c r="AE141" s="2">
        <v>46248</v>
      </c>
      <c r="AF141" s="2">
        <v>46256</v>
      </c>
      <c r="AG141" s="2">
        <v>46263</v>
      </c>
      <c r="AH141">
        <v>0</v>
      </c>
      <c r="AI141" s="3">
        <v>0</v>
      </c>
      <c r="AJ141" s="1" t="s">
        <v>1635</v>
      </c>
      <c r="AK141" s="2" t="s">
        <v>1635</v>
      </c>
      <c r="AL141" s="4" t="s">
        <v>1636</v>
      </c>
      <c r="AM141" s="5" t="s">
        <v>1636</v>
      </c>
      <c r="AN141" s="4">
        <v>0</v>
      </c>
      <c r="AO141" t="s">
        <v>1635</v>
      </c>
      <c r="AP141" s="4" t="s">
        <v>1636</v>
      </c>
      <c r="AQ141" t="s">
        <v>1619</v>
      </c>
      <c r="AR141" t="s">
        <v>1620</v>
      </c>
      <c r="AT141" s="16">
        <f>_xlfn.XLOOKUP(B141,'SWiSH Demand Forecast Sep-26'!D:D,'SWiSH Demand Forecast Sep-26'!G:G,"Not Exist")</f>
        <v>14.621351766513</v>
      </c>
    </row>
    <row r="142" spans="1:46" hidden="1" x14ac:dyDescent="0.3">
      <c r="A142">
        <v>100100078</v>
      </c>
      <c r="B142" t="s">
        <v>1426</v>
      </c>
      <c r="C142" t="s">
        <v>136</v>
      </c>
      <c r="D142" t="s">
        <v>1629</v>
      </c>
      <c r="E142" t="s">
        <v>1677</v>
      </c>
      <c r="F142" t="s">
        <v>1833</v>
      </c>
      <c r="G142" t="s">
        <v>1616</v>
      </c>
      <c r="H142" t="s">
        <v>1877</v>
      </c>
      <c r="I142" t="s">
        <v>1626</v>
      </c>
      <c r="J142" t="s">
        <v>1878</v>
      </c>
      <c r="K142">
        <v>5.0530303099999996</v>
      </c>
      <c r="L142">
        <v>0</v>
      </c>
      <c r="M142" s="1">
        <v>3</v>
      </c>
      <c r="N142">
        <v>0</v>
      </c>
      <c r="O142">
        <v>0</v>
      </c>
      <c r="P142">
        <v>0</v>
      </c>
      <c r="Q142" s="1">
        <v>0</v>
      </c>
      <c r="R142">
        <v>77.5</v>
      </c>
      <c r="S142" s="2">
        <v>46058</v>
      </c>
      <c r="T142" s="2">
        <v>46230</v>
      </c>
      <c r="U142">
        <v>90</v>
      </c>
      <c r="V142">
        <v>15</v>
      </c>
      <c r="W142">
        <v>30</v>
      </c>
      <c r="X142">
        <v>0</v>
      </c>
      <c r="Y142">
        <v>0</v>
      </c>
      <c r="Z142" s="8">
        <v>90</v>
      </c>
      <c r="AA142">
        <v>33.75</v>
      </c>
      <c r="AB142">
        <v>0</v>
      </c>
      <c r="AC142">
        <v>2.6666666666666665</v>
      </c>
      <c r="AD142" s="1">
        <v>0</v>
      </c>
      <c r="AE142" s="2">
        <v>46248</v>
      </c>
      <c r="AF142" s="2">
        <v>46256</v>
      </c>
      <c r="AG142" s="2">
        <v>46263</v>
      </c>
      <c r="AH142">
        <v>0</v>
      </c>
      <c r="AI142" s="3">
        <v>0</v>
      </c>
      <c r="AJ142" s="1" t="s">
        <v>1635</v>
      </c>
      <c r="AK142" s="2" t="s">
        <v>1635</v>
      </c>
      <c r="AL142" s="4" t="s">
        <v>1636</v>
      </c>
      <c r="AM142" s="5" t="s">
        <v>1636</v>
      </c>
      <c r="AN142" s="4">
        <v>0</v>
      </c>
      <c r="AO142" t="s">
        <v>1635</v>
      </c>
      <c r="AP142" s="4" t="s">
        <v>1636</v>
      </c>
      <c r="AQ142" t="s">
        <v>1619</v>
      </c>
      <c r="AR142" t="s">
        <v>1620</v>
      </c>
      <c r="AT142" s="16">
        <f>_xlfn.XLOOKUP(B142,'SWiSH Demand Forecast Sep-26'!D:D,'SWiSH Demand Forecast Sep-26'!G:G,"Not Exist")</f>
        <v>10.413793103448199</v>
      </c>
    </row>
    <row r="143" spans="1:46" hidden="1" x14ac:dyDescent="0.3">
      <c r="A143">
        <v>106200070</v>
      </c>
      <c r="B143" t="s">
        <v>1296</v>
      </c>
      <c r="C143" t="s">
        <v>240</v>
      </c>
      <c r="D143" t="s">
        <v>1629</v>
      </c>
      <c r="E143" t="s">
        <v>1879</v>
      </c>
      <c r="F143" t="s">
        <v>1671</v>
      </c>
      <c r="G143" t="s">
        <v>1616</v>
      </c>
      <c r="H143" t="s">
        <v>1672</v>
      </c>
      <c r="I143" t="s">
        <v>1618</v>
      </c>
      <c r="J143" t="s">
        <v>1880</v>
      </c>
      <c r="K143">
        <v>5.8201058200000002</v>
      </c>
      <c r="L143">
        <v>0</v>
      </c>
      <c r="M143" s="1">
        <v>3</v>
      </c>
      <c r="N143">
        <v>0</v>
      </c>
      <c r="O143">
        <v>0</v>
      </c>
      <c r="P143">
        <v>0</v>
      </c>
      <c r="Q143" s="1">
        <v>0</v>
      </c>
      <c r="R143">
        <v>22</v>
      </c>
      <c r="S143" s="2">
        <v>45930</v>
      </c>
      <c r="T143" s="2">
        <v>46187</v>
      </c>
      <c r="U143">
        <v>0</v>
      </c>
      <c r="V143">
        <v>0</v>
      </c>
      <c r="W143">
        <v>178.13</v>
      </c>
      <c r="X143">
        <v>0</v>
      </c>
      <c r="Y143">
        <v>0</v>
      </c>
      <c r="Z143" s="8">
        <v>178.13</v>
      </c>
      <c r="AA143">
        <v>44.532499999999999</v>
      </c>
      <c r="AB143">
        <v>0</v>
      </c>
      <c r="AC143">
        <v>4</v>
      </c>
      <c r="AD143" s="1">
        <v>0</v>
      </c>
      <c r="AE143" s="2">
        <v>46248</v>
      </c>
      <c r="AF143" s="2">
        <v>46256</v>
      </c>
      <c r="AG143" s="2">
        <v>46263</v>
      </c>
      <c r="AH143">
        <v>0</v>
      </c>
      <c r="AI143" s="3">
        <v>0</v>
      </c>
      <c r="AJ143" s="1" t="s">
        <v>1635</v>
      </c>
      <c r="AK143" s="2" t="s">
        <v>1635</v>
      </c>
      <c r="AL143" s="4" t="s">
        <v>1636</v>
      </c>
      <c r="AM143" s="5" t="s">
        <v>1636</v>
      </c>
      <c r="AN143" s="4">
        <v>0</v>
      </c>
      <c r="AO143" t="s">
        <v>1635</v>
      </c>
      <c r="AP143" s="4" t="s">
        <v>1636</v>
      </c>
      <c r="AQ143" t="s">
        <v>1619</v>
      </c>
      <c r="AR143" t="s">
        <v>1620</v>
      </c>
      <c r="AT143" s="16">
        <f>_xlfn.XLOOKUP(B143,'SWiSH Demand Forecast Sep-26'!D:D,'SWiSH Demand Forecast Sep-26'!G:G,"Not Exist")</f>
        <v>32.7153846153846</v>
      </c>
    </row>
    <row r="144" spans="1:46" x14ac:dyDescent="0.3">
      <c r="A144">
        <v>106200022</v>
      </c>
      <c r="B144" t="s">
        <v>1881</v>
      </c>
      <c r="C144" t="s">
        <v>240</v>
      </c>
      <c r="D144" t="s">
        <v>1629</v>
      </c>
      <c r="E144" t="s">
        <v>1663</v>
      </c>
      <c r="F144" t="s">
        <v>1671</v>
      </c>
      <c r="G144" t="s">
        <v>1616</v>
      </c>
      <c r="H144" t="s">
        <v>1672</v>
      </c>
      <c r="I144" t="s">
        <v>1618</v>
      </c>
      <c r="J144" t="s">
        <v>1882</v>
      </c>
      <c r="K144">
        <v>1.2760416699999999</v>
      </c>
      <c r="L144">
        <v>0</v>
      </c>
      <c r="M144" s="1">
        <v>3</v>
      </c>
      <c r="N144">
        <v>0</v>
      </c>
      <c r="O144">
        <v>0</v>
      </c>
      <c r="P144">
        <v>0</v>
      </c>
      <c r="Q144" s="1">
        <v>0</v>
      </c>
      <c r="R144">
        <v>12.25</v>
      </c>
      <c r="S144" s="2">
        <v>46025</v>
      </c>
      <c r="T144" s="2">
        <v>46216</v>
      </c>
      <c r="U144">
        <v>0</v>
      </c>
      <c r="V144">
        <v>0</v>
      </c>
      <c r="W144">
        <v>76.8</v>
      </c>
      <c r="X144">
        <v>0</v>
      </c>
      <c r="Y144">
        <v>0</v>
      </c>
      <c r="Z144" s="8">
        <v>76.8</v>
      </c>
      <c r="AA144">
        <v>19.2</v>
      </c>
      <c r="AB144">
        <v>0</v>
      </c>
      <c r="AC144">
        <v>4</v>
      </c>
      <c r="AD144" s="1">
        <v>0</v>
      </c>
      <c r="AE144" s="2">
        <v>46248</v>
      </c>
      <c r="AF144" s="2">
        <v>46256</v>
      </c>
      <c r="AG144" s="2">
        <v>46263</v>
      </c>
      <c r="AH144">
        <v>0</v>
      </c>
      <c r="AI144" s="3">
        <v>0</v>
      </c>
      <c r="AJ144" s="1" t="s">
        <v>1635</v>
      </c>
      <c r="AK144" s="2" t="s">
        <v>1635</v>
      </c>
      <c r="AL144" s="4" t="s">
        <v>1636</v>
      </c>
      <c r="AM144" s="5" t="s">
        <v>1636</v>
      </c>
      <c r="AN144" s="4">
        <v>0</v>
      </c>
      <c r="AO144" t="s">
        <v>1635</v>
      </c>
      <c r="AP144" s="4" t="s">
        <v>1636</v>
      </c>
      <c r="AQ144" t="s">
        <v>1619</v>
      </c>
      <c r="AR144" t="s">
        <v>1620</v>
      </c>
      <c r="AT144" s="16" t="str">
        <f>_xlfn.XLOOKUP(B144,'SWiSH Demand Forecast Sep-26'!D:D,'SWiSH Demand Forecast Sep-26'!G:G,"Not Exist")</f>
        <v>Not Exist</v>
      </c>
    </row>
    <row r="145" spans="1:46" x14ac:dyDescent="0.3">
      <c r="A145">
        <v>103700120</v>
      </c>
      <c r="B145" t="s">
        <v>1883</v>
      </c>
      <c r="C145" t="s">
        <v>136</v>
      </c>
      <c r="D145" t="s">
        <v>1789</v>
      </c>
      <c r="E145" t="s">
        <v>1884</v>
      </c>
      <c r="F145" t="s">
        <v>1615</v>
      </c>
      <c r="G145" t="s">
        <v>1686</v>
      </c>
      <c r="H145" t="s">
        <v>1617</v>
      </c>
      <c r="I145" t="s">
        <v>1618</v>
      </c>
      <c r="J145" t="s">
        <v>136</v>
      </c>
      <c r="K145">
        <v>0.95</v>
      </c>
      <c r="L145">
        <v>0</v>
      </c>
      <c r="M145" s="1">
        <v>3</v>
      </c>
      <c r="N145">
        <v>0</v>
      </c>
      <c r="O145">
        <v>0</v>
      </c>
      <c r="P145">
        <v>0</v>
      </c>
      <c r="Q145" s="1">
        <v>0</v>
      </c>
      <c r="R145">
        <v>0.95</v>
      </c>
      <c r="S145" s="2">
        <v>46135</v>
      </c>
      <c r="T145" s="2">
        <v>46221</v>
      </c>
      <c r="U145">
        <v>3</v>
      </c>
      <c r="V145">
        <v>0</v>
      </c>
      <c r="W145">
        <v>0</v>
      </c>
      <c r="X145">
        <v>0</v>
      </c>
      <c r="Y145">
        <v>0</v>
      </c>
      <c r="Z145" s="8">
        <v>3</v>
      </c>
      <c r="AA145">
        <v>0.75</v>
      </c>
      <c r="AB145">
        <v>0</v>
      </c>
      <c r="AC145">
        <v>4</v>
      </c>
      <c r="AD145" s="1">
        <v>0</v>
      </c>
      <c r="AE145" s="2">
        <v>46248</v>
      </c>
      <c r="AF145" s="2">
        <v>46256</v>
      </c>
      <c r="AG145" s="2">
        <v>46263</v>
      </c>
      <c r="AH145">
        <v>0</v>
      </c>
      <c r="AI145" s="3">
        <v>0</v>
      </c>
      <c r="AJ145" s="1" t="s">
        <v>1635</v>
      </c>
      <c r="AK145" s="2" t="s">
        <v>1635</v>
      </c>
      <c r="AL145" s="4" t="s">
        <v>1658</v>
      </c>
      <c r="AM145" s="5" t="s">
        <v>1658</v>
      </c>
      <c r="AN145" s="4">
        <v>0</v>
      </c>
      <c r="AO145" t="s">
        <v>1635</v>
      </c>
      <c r="AP145" s="4" t="s">
        <v>1658</v>
      </c>
      <c r="AQ145" t="s">
        <v>1619</v>
      </c>
      <c r="AR145" t="s">
        <v>1620</v>
      </c>
      <c r="AT145" s="16" t="str">
        <f>_xlfn.XLOOKUP(B145,'SWiSH Demand Forecast Sep-26'!D:D,'SWiSH Demand Forecast Sep-26'!G:G,"Not Exist")</f>
        <v>Not Exist</v>
      </c>
    </row>
    <row r="146" spans="1:46" hidden="1" x14ac:dyDescent="0.3">
      <c r="A146">
        <v>101200058</v>
      </c>
      <c r="B146" t="s">
        <v>1212</v>
      </c>
      <c r="C146" t="s">
        <v>136</v>
      </c>
      <c r="D146" t="s">
        <v>1675</v>
      </c>
      <c r="E146" t="s">
        <v>1732</v>
      </c>
      <c r="F146" t="s">
        <v>1833</v>
      </c>
      <c r="G146" t="s">
        <v>1885</v>
      </c>
      <c r="H146" t="s">
        <v>1625</v>
      </c>
      <c r="I146" t="s">
        <v>1626</v>
      </c>
      <c r="J146" t="s">
        <v>1886</v>
      </c>
      <c r="K146">
        <v>5.0523979600000004</v>
      </c>
      <c r="L146">
        <v>0</v>
      </c>
      <c r="M146" s="1">
        <v>3</v>
      </c>
      <c r="N146">
        <v>0</v>
      </c>
      <c r="O146">
        <v>0</v>
      </c>
      <c r="P146">
        <v>0</v>
      </c>
      <c r="Q146" s="1">
        <v>0</v>
      </c>
      <c r="R146">
        <v>14.5</v>
      </c>
      <c r="S146" s="2">
        <v>46096</v>
      </c>
      <c r="T146" s="2">
        <v>46216</v>
      </c>
      <c r="U146">
        <v>54.428999999999988</v>
      </c>
      <c r="V146">
        <v>89.805999999999997</v>
      </c>
      <c r="W146">
        <v>78.920999999999992</v>
      </c>
      <c r="X146">
        <v>16.32</v>
      </c>
      <c r="Y146">
        <v>16.32</v>
      </c>
      <c r="Z146" s="8">
        <v>89.805999999999997</v>
      </c>
      <c r="AA146">
        <v>59.868999999999993</v>
      </c>
      <c r="AB146">
        <v>0.27259516611267937</v>
      </c>
      <c r="AC146">
        <v>1.5000417578379464</v>
      </c>
      <c r="AD146" s="1">
        <v>0</v>
      </c>
      <c r="AE146" s="2">
        <v>46248</v>
      </c>
      <c r="AF146" s="2">
        <v>46256</v>
      </c>
      <c r="AG146" s="2">
        <v>46263</v>
      </c>
      <c r="AH146">
        <v>0</v>
      </c>
      <c r="AI146" s="3">
        <v>0</v>
      </c>
      <c r="AJ146" s="1" t="s">
        <v>1635</v>
      </c>
      <c r="AK146" s="2" t="s">
        <v>1635</v>
      </c>
      <c r="AL146" s="4">
        <v>30</v>
      </c>
      <c r="AM146" s="5">
        <v>15</v>
      </c>
      <c r="AN146" s="4">
        <v>0</v>
      </c>
      <c r="AO146">
        <v>0</v>
      </c>
      <c r="AP146" s="4">
        <v>1</v>
      </c>
      <c r="AQ146">
        <v>35</v>
      </c>
      <c r="AR146" t="s">
        <v>1887</v>
      </c>
      <c r="AT146" s="16">
        <f>_xlfn.XLOOKUP(B146,'SWiSH Demand Forecast Sep-26'!D:D,'SWiSH Demand Forecast Sep-26'!G:G,"Not Exist")</f>
        <v>52.621124454148401</v>
      </c>
    </row>
    <row r="147" spans="1:46" hidden="1" x14ac:dyDescent="0.3">
      <c r="A147">
        <v>104800007</v>
      </c>
      <c r="B147" t="s">
        <v>1309</v>
      </c>
      <c r="C147" t="s">
        <v>10</v>
      </c>
      <c r="D147" t="s">
        <v>1629</v>
      </c>
      <c r="E147" t="s">
        <v>1638</v>
      </c>
      <c r="F147" t="s">
        <v>1639</v>
      </c>
      <c r="G147" t="s">
        <v>1616</v>
      </c>
      <c r="H147" t="s">
        <v>1687</v>
      </c>
      <c r="I147" t="s">
        <v>1618</v>
      </c>
      <c r="J147" t="s">
        <v>1641</v>
      </c>
      <c r="K147">
        <v>8.2575670000000004E-2</v>
      </c>
      <c r="L147">
        <v>0</v>
      </c>
      <c r="M147" s="1">
        <v>3</v>
      </c>
      <c r="N147">
        <v>0</v>
      </c>
      <c r="O147">
        <v>0</v>
      </c>
      <c r="P147">
        <v>0</v>
      </c>
      <c r="Q147" s="1">
        <v>0</v>
      </c>
      <c r="R147">
        <v>2.4772699999999999</v>
      </c>
      <c r="S147" s="2">
        <v>46214</v>
      </c>
      <c r="T147" s="2">
        <v>46228</v>
      </c>
      <c r="U147">
        <v>60</v>
      </c>
      <c r="V147">
        <v>90</v>
      </c>
      <c r="W147">
        <v>300</v>
      </c>
      <c r="X147">
        <v>360</v>
      </c>
      <c r="Y147">
        <v>60</v>
      </c>
      <c r="Z147" s="8">
        <v>360</v>
      </c>
      <c r="AA147">
        <v>202.5</v>
      </c>
      <c r="AB147">
        <v>0.29629629629629628</v>
      </c>
      <c r="AC147">
        <v>1.7777777777777777</v>
      </c>
      <c r="AD147" s="1">
        <v>0</v>
      </c>
      <c r="AE147" s="2">
        <v>46248</v>
      </c>
      <c r="AF147" s="2">
        <v>46256</v>
      </c>
      <c r="AG147" s="2">
        <v>46263</v>
      </c>
      <c r="AH147">
        <v>0</v>
      </c>
      <c r="AI147" s="3">
        <v>0</v>
      </c>
      <c r="AJ147" s="1" t="s">
        <v>1635</v>
      </c>
      <c r="AK147" s="2" t="s">
        <v>1635</v>
      </c>
      <c r="AL147" s="4" t="s">
        <v>1636</v>
      </c>
      <c r="AM147" s="5" t="s">
        <v>1636</v>
      </c>
      <c r="AN147" s="4">
        <v>0</v>
      </c>
      <c r="AO147" t="s">
        <v>1635</v>
      </c>
      <c r="AP147" s="4" t="s">
        <v>1636</v>
      </c>
      <c r="AQ147" t="s">
        <v>1619</v>
      </c>
      <c r="AR147" t="s">
        <v>1620</v>
      </c>
      <c r="AT147" s="16">
        <f>_xlfn.XLOOKUP(B147,'SWiSH Demand Forecast Sep-26'!D:D,'SWiSH Demand Forecast Sep-26'!G:G,"Not Exist")</f>
        <v>30</v>
      </c>
    </row>
    <row r="148" spans="1:46" x14ac:dyDescent="0.3">
      <c r="A148">
        <v>101000014</v>
      </c>
      <c r="B148" t="s">
        <v>1888</v>
      </c>
      <c r="C148" t="s">
        <v>240</v>
      </c>
      <c r="D148" t="s">
        <v>1613</v>
      </c>
      <c r="E148" t="s">
        <v>1655</v>
      </c>
      <c r="F148" t="s">
        <v>1639</v>
      </c>
      <c r="G148" t="s">
        <v>1616</v>
      </c>
      <c r="H148" t="s">
        <v>1889</v>
      </c>
      <c r="I148" t="s">
        <v>1618</v>
      </c>
      <c r="J148" t="s">
        <v>240</v>
      </c>
      <c r="K148">
        <v>3.4166666700000001</v>
      </c>
      <c r="L148">
        <v>0</v>
      </c>
      <c r="M148" s="1">
        <v>3</v>
      </c>
      <c r="N148">
        <v>0</v>
      </c>
      <c r="O148">
        <v>0</v>
      </c>
      <c r="P148">
        <v>0</v>
      </c>
      <c r="Q148" s="1">
        <v>0</v>
      </c>
      <c r="R148">
        <v>20.5</v>
      </c>
      <c r="S148" s="2">
        <v>46223</v>
      </c>
      <c r="T148" s="2">
        <v>46252</v>
      </c>
      <c r="U148">
        <v>0</v>
      </c>
      <c r="V148">
        <v>0</v>
      </c>
      <c r="W148">
        <v>0</v>
      </c>
      <c r="X148">
        <v>42</v>
      </c>
      <c r="Y148">
        <v>0</v>
      </c>
      <c r="Z148" s="8">
        <v>42</v>
      </c>
      <c r="AA148">
        <v>10.5</v>
      </c>
      <c r="AB148">
        <v>0</v>
      </c>
      <c r="AC148">
        <v>4</v>
      </c>
      <c r="AD148" s="1">
        <v>0</v>
      </c>
      <c r="AE148" s="2">
        <v>46248</v>
      </c>
      <c r="AF148" s="2">
        <v>46256</v>
      </c>
      <c r="AG148" s="2">
        <v>46263</v>
      </c>
      <c r="AH148">
        <v>0</v>
      </c>
      <c r="AI148" s="3">
        <v>0</v>
      </c>
      <c r="AJ148" s="1" t="s">
        <v>1635</v>
      </c>
      <c r="AK148" s="2" t="s">
        <v>1635</v>
      </c>
      <c r="AL148" s="4">
        <v>30</v>
      </c>
      <c r="AM148" s="5">
        <v>15</v>
      </c>
      <c r="AN148" s="4">
        <v>0</v>
      </c>
      <c r="AO148">
        <v>0</v>
      </c>
      <c r="AP148" s="4">
        <v>1</v>
      </c>
      <c r="AQ148" t="s">
        <v>1619</v>
      </c>
      <c r="AR148" t="s">
        <v>1620</v>
      </c>
      <c r="AT148" s="16" t="str">
        <f>_xlfn.XLOOKUP(B148,'SWiSH Demand Forecast Sep-26'!D:D,'SWiSH Demand Forecast Sep-26'!G:G,"Not Exist")</f>
        <v>Not Exist</v>
      </c>
    </row>
    <row r="149" spans="1:46" x14ac:dyDescent="0.3">
      <c r="A149">
        <v>107200003</v>
      </c>
      <c r="B149" t="s">
        <v>1890</v>
      </c>
      <c r="C149" t="s">
        <v>10</v>
      </c>
      <c r="D149" t="s">
        <v>1613</v>
      </c>
      <c r="E149" t="s">
        <v>1745</v>
      </c>
      <c r="F149" t="s">
        <v>1656</v>
      </c>
      <c r="G149" t="s">
        <v>1624</v>
      </c>
      <c r="H149" t="s">
        <v>1657</v>
      </c>
      <c r="I149" t="s">
        <v>1634</v>
      </c>
      <c r="J149" t="s">
        <v>10</v>
      </c>
      <c r="K149">
        <v>3.25</v>
      </c>
      <c r="L149">
        <v>0</v>
      </c>
      <c r="M149" s="1">
        <v>15</v>
      </c>
      <c r="N149">
        <v>0</v>
      </c>
      <c r="O149">
        <v>0</v>
      </c>
      <c r="P149">
        <v>0</v>
      </c>
      <c r="Q149" s="1">
        <v>0</v>
      </c>
      <c r="R149">
        <v>3.25</v>
      </c>
      <c r="S149" s="2">
        <v>45792</v>
      </c>
      <c r="T149" s="2">
        <v>46212</v>
      </c>
      <c r="U149">
        <v>0</v>
      </c>
      <c r="V149">
        <v>0</v>
      </c>
      <c r="W149">
        <v>0</v>
      </c>
      <c r="X149">
        <v>3</v>
      </c>
      <c r="Y149">
        <v>0</v>
      </c>
      <c r="Z149" s="8">
        <v>3</v>
      </c>
      <c r="AA149">
        <v>0.75</v>
      </c>
      <c r="AB149">
        <v>0</v>
      </c>
      <c r="AC149">
        <v>4</v>
      </c>
      <c r="AD149" s="1">
        <v>0</v>
      </c>
      <c r="AE149" s="2">
        <v>46248</v>
      </c>
      <c r="AF149" s="2">
        <v>46256</v>
      </c>
      <c r="AG149" s="2">
        <v>46263</v>
      </c>
      <c r="AH149">
        <v>0</v>
      </c>
      <c r="AI149" s="3">
        <v>0</v>
      </c>
      <c r="AJ149" s="1" t="s">
        <v>1635</v>
      </c>
      <c r="AK149" s="2" t="s">
        <v>1635</v>
      </c>
      <c r="AL149" s="4" t="s">
        <v>1658</v>
      </c>
      <c r="AM149" s="5" t="s">
        <v>1658</v>
      </c>
      <c r="AN149" s="4">
        <v>0</v>
      </c>
      <c r="AO149" t="s">
        <v>1635</v>
      </c>
      <c r="AP149" s="4" t="s">
        <v>1658</v>
      </c>
      <c r="AQ149" t="s">
        <v>1619</v>
      </c>
      <c r="AR149" t="s">
        <v>1620</v>
      </c>
      <c r="AT149" s="16" t="str">
        <f>_xlfn.XLOOKUP(B149,'SWiSH Demand Forecast Sep-26'!D:D,'SWiSH Demand Forecast Sep-26'!G:G,"Not Exist")</f>
        <v>Not Exist</v>
      </c>
    </row>
    <row r="150" spans="1:46" x14ac:dyDescent="0.3">
      <c r="A150">
        <v>106200021</v>
      </c>
      <c r="B150" t="s">
        <v>1891</v>
      </c>
      <c r="C150" t="s">
        <v>240</v>
      </c>
      <c r="D150" t="s">
        <v>1675</v>
      </c>
      <c r="E150" t="s">
        <v>1832</v>
      </c>
      <c r="F150" t="s">
        <v>1671</v>
      </c>
      <c r="G150" t="s">
        <v>1686</v>
      </c>
      <c r="H150" t="s">
        <v>1672</v>
      </c>
      <c r="I150" t="s">
        <v>1618</v>
      </c>
      <c r="J150" t="s">
        <v>1882</v>
      </c>
      <c r="K150">
        <v>1.27631714</v>
      </c>
      <c r="L150">
        <v>0</v>
      </c>
      <c r="M150" s="1">
        <v>3</v>
      </c>
      <c r="N150">
        <v>0</v>
      </c>
      <c r="O150">
        <v>0</v>
      </c>
      <c r="P150">
        <v>0</v>
      </c>
      <c r="Q150" s="1">
        <v>0</v>
      </c>
      <c r="R150">
        <v>12.25</v>
      </c>
      <c r="S150" s="2">
        <v>45987</v>
      </c>
      <c r="T150" s="2">
        <v>46209</v>
      </c>
      <c r="U150">
        <v>0</v>
      </c>
      <c r="V150">
        <v>9.6</v>
      </c>
      <c r="W150">
        <v>0</v>
      </c>
      <c r="X150">
        <v>9.6</v>
      </c>
      <c r="Y150">
        <v>0</v>
      </c>
      <c r="Z150" s="8">
        <v>9.6</v>
      </c>
      <c r="AA150">
        <v>4.8</v>
      </c>
      <c r="AB150">
        <v>0</v>
      </c>
      <c r="AC150">
        <v>2</v>
      </c>
      <c r="AD150" s="1">
        <v>0</v>
      </c>
      <c r="AE150" s="2">
        <v>46248</v>
      </c>
      <c r="AF150" s="2">
        <v>46256</v>
      </c>
      <c r="AG150" s="2">
        <v>46263</v>
      </c>
      <c r="AH150">
        <v>0</v>
      </c>
      <c r="AI150" s="3">
        <v>0</v>
      </c>
      <c r="AJ150" s="1" t="s">
        <v>1635</v>
      </c>
      <c r="AK150" s="2" t="s">
        <v>1635</v>
      </c>
      <c r="AL150" s="4" t="s">
        <v>1658</v>
      </c>
      <c r="AM150" s="5" t="s">
        <v>1658</v>
      </c>
      <c r="AN150" s="4">
        <v>0</v>
      </c>
      <c r="AO150" t="s">
        <v>1635</v>
      </c>
      <c r="AP150" s="4" t="s">
        <v>1658</v>
      </c>
      <c r="AQ150" t="s">
        <v>1619</v>
      </c>
      <c r="AR150" t="s">
        <v>1620</v>
      </c>
      <c r="AT150" s="16" t="str">
        <f>_xlfn.XLOOKUP(B150,'SWiSH Demand Forecast Sep-26'!D:D,'SWiSH Demand Forecast Sep-26'!G:G,"Not Exist")</f>
        <v>Not Exist</v>
      </c>
    </row>
    <row r="151" spans="1:46" x14ac:dyDescent="0.3">
      <c r="A151">
        <v>101000016</v>
      </c>
      <c r="B151" t="s">
        <v>1892</v>
      </c>
      <c r="C151" t="s">
        <v>240</v>
      </c>
      <c r="D151" t="s">
        <v>1613</v>
      </c>
      <c r="E151" t="s">
        <v>1655</v>
      </c>
      <c r="F151" t="s">
        <v>1639</v>
      </c>
      <c r="G151" t="s">
        <v>1616</v>
      </c>
      <c r="H151" t="s">
        <v>1889</v>
      </c>
      <c r="I151" t="s">
        <v>1618</v>
      </c>
      <c r="J151" t="s">
        <v>240</v>
      </c>
      <c r="K151">
        <v>4.4433199999999999</v>
      </c>
      <c r="L151">
        <v>0</v>
      </c>
      <c r="M151" s="1">
        <v>3</v>
      </c>
      <c r="N151">
        <v>0</v>
      </c>
      <c r="O151">
        <v>0</v>
      </c>
      <c r="P151">
        <v>0</v>
      </c>
      <c r="Q151" s="1">
        <v>0</v>
      </c>
      <c r="R151">
        <v>39.96</v>
      </c>
      <c r="S151" s="2">
        <v>46217</v>
      </c>
      <c r="T151" s="2">
        <v>46252</v>
      </c>
      <c r="U151">
        <v>0</v>
      </c>
      <c r="V151">
        <v>0</v>
      </c>
      <c r="W151">
        <v>0</v>
      </c>
      <c r="X151">
        <v>34.75</v>
      </c>
      <c r="Y151">
        <v>0</v>
      </c>
      <c r="Z151" s="8">
        <v>34.75</v>
      </c>
      <c r="AA151">
        <v>8.6875</v>
      </c>
      <c r="AB151">
        <v>0</v>
      </c>
      <c r="AC151">
        <v>4</v>
      </c>
      <c r="AD151" s="1">
        <v>0</v>
      </c>
      <c r="AE151" s="2">
        <v>46248</v>
      </c>
      <c r="AF151" s="2">
        <v>46256</v>
      </c>
      <c r="AG151" s="2">
        <v>46263</v>
      </c>
      <c r="AH151">
        <v>0</v>
      </c>
      <c r="AI151" s="3">
        <v>0</v>
      </c>
      <c r="AJ151" s="1" t="s">
        <v>1635</v>
      </c>
      <c r="AK151" s="2" t="s">
        <v>1635</v>
      </c>
      <c r="AL151" s="4">
        <v>30</v>
      </c>
      <c r="AM151" s="5">
        <v>15</v>
      </c>
      <c r="AN151" s="4">
        <v>0</v>
      </c>
      <c r="AO151">
        <v>0</v>
      </c>
      <c r="AP151" s="4">
        <v>1</v>
      </c>
      <c r="AQ151" t="s">
        <v>1619</v>
      </c>
      <c r="AR151" t="s">
        <v>1620</v>
      </c>
      <c r="AT151" s="16" t="str">
        <f>_xlfn.XLOOKUP(B151,'SWiSH Demand Forecast Sep-26'!D:D,'SWiSH Demand Forecast Sep-26'!G:G,"Not Exist")</f>
        <v>Not Exist</v>
      </c>
    </row>
    <row r="152" spans="1:46" x14ac:dyDescent="0.3">
      <c r="A152">
        <v>100400016</v>
      </c>
      <c r="B152" t="s">
        <v>1893</v>
      </c>
      <c r="C152" t="s">
        <v>10</v>
      </c>
      <c r="D152" t="s">
        <v>1675</v>
      </c>
      <c r="E152" t="s">
        <v>1732</v>
      </c>
      <c r="F152" t="s">
        <v>1631</v>
      </c>
      <c r="G152" t="s">
        <v>1704</v>
      </c>
      <c r="H152" t="s">
        <v>1810</v>
      </c>
      <c r="I152" t="s">
        <v>1634</v>
      </c>
      <c r="J152" t="s">
        <v>10</v>
      </c>
      <c r="K152">
        <v>0.25</v>
      </c>
      <c r="L152">
        <v>0</v>
      </c>
      <c r="M152" s="1">
        <v>15</v>
      </c>
      <c r="N152">
        <v>0</v>
      </c>
      <c r="O152">
        <v>0</v>
      </c>
      <c r="P152">
        <v>0</v>
      </c>
      <c r="Q152" s="1">
        <v>0</v>
      </c>
      <c r="R152">
        <v>0.25</v>
      </c>
      <c r="S152" s="2">
        <v>46124</v>
      </c>
      <c r="T152" s="2">
        <v>46132</v>
      </c>
      <c r="U152">
        <v>65</v>
      </c>
      <c r="V152">
        <v>0</v>
      </c>
      <c r="W152">
        <v>0</v>
      </c>
      <c r="X152">
        <v>0</v>
      </c>
      <c r="Y152">
        <v>0</v>
      </c>
      <c r="Z152" s="8">
        <v>65</v>
      </c>
      <c r="AA152">
        <v>16.25</v>
      </c>
      <c r="AB152">
        <v>0</v>
      </c>
      <c r="AC152">
        <v>4</v>
      </c>
      <c r="AD152" s="1">
        <v>0</v>
      </c>
      <c r="AE152" s="2">
        <v>46248</v>
      </c>
      <c r="AF152" s="2">
        <v>46256</v>
      </c>
      <c r="AG152" s="2">
        <v>46263</v>
      </c>
      <c r="AH152">
        <v>0</v>
      </c>
      <c r="AI152" s="3">
        <v>0</v>
      </c>
      <c r="AJ152" s="1" t="s">
        <v>1635</v>
      </c>
      <c r="AK152" s="2" t="s">
        <v>1635</v>
      </c>
      <c r="AL152" s="4" t="s">
        <v>1658</v>
      </c>
      <c r="AM152" s="5" t="s">
        <v>1658</v>
      </c>
      <c r="AN152" s="4">
        <v>0</v>
      </c>
      <c r="AO152" t="s">
        <v>1635</v>
      </c>
      <c r="AP152" s="4" t="s">
        <v>1658</v>
      </c>
      <c r="AQ152" t="s">
        <v>1619</v>
      </c>
      <c r="AR152" t="s">
        <v>1620</v>
      </c>
      <c r="AT152" s="16" t="str">
        <f>_xlfn.XLOOKUP(B152,'SWiSH Demand Forecast Sep-26'!D:D,'SWiSH Demand Forecast Sep-26'!G:G,"Not Exist")</f>
        <v>Not Exist</v>
      </c>
    </row>
    <row r="153" spans="1:46" x14ac:dyDescent="0.3">
      <c r="A153">
        <v>106200158</v>
      </c>
      <c r="B153" t="s">
        <v>1894</v>
      </c>
      <c r="C153" t="s">
        <v>240</v>
      </c>
      <c r="D153" t="s">
        <v>1613</v>
      </c>
      <c r="E153" t="s">
        <v>1732</v>
      </c>
      <c r="F153" t="s">
        <v>1671</v>
      </c>
      <c r="G153" t="s">
        <v>1616</v>
      </c>
      <c r="H153" t="s">
        <v>1672</v>
      </c>
      <c r="I153" t="s">
        <v>1618</v>
      </c>
      <c r="J153" t="s">
        <v>240</v>
      </c>
      <c r="K153">
        <v>0.82671958000000001</v>
      </c>
      <c r="L153">
        <v>0</v>
      </c>
      <c r="M153" s="1">
        <v>3</v>
      </c>
      <c r="N153">
        <v>0</v>
      </c>
      <c r="O153">
        <v>0</v>
      </c>
      <c r="P153">
        <v>0</v>
      </c>
      <c r="Q153" s="1">
        <v>0</v>
      </c>
      <c r="R153">
        <v>12.5</v>
      </c>
      <c r="S153" s="2">
        <v>46144</v>
      </c>
      <c r="T153" s="2">
        <v>46241</v>
      </c>
      <c r="U153">
        <v>3477.6</v>
      </c>
      <c r="V153">
        <v>0</v>
      </c>
      <c r="W153">
        <v>0</v>
      </c>
      <c r="X153">
        <v>2509.92</v>
      </c>
      <c r="Y153">
        <v>0</v>
      </c>
      <c r="Z153" s="8">
        <v>3477.6</v>
      </c>
      <c r="AA153">
        <v>1496.88</v>
      </c>
      <c r="AB153">
        <v>0</v>
      </c>
      <c r="AC153">
        <v>2.3232323232323231</v>
      </c>
      <c r="AD153" s="1">
        <v>0</v>
      </c>
      <c r="AE153" s="2">
        <v>46248</v>
      </c>
      <c r="AF153" s="2">
        <v>46256</v>
      </c>
      <c r="AG153" s="2">
        <v>46263</v>
      </c>
      <c r="AH153">
        <v>1043.28</v>
      </c>
      <c r="AI153" s="3">
        <v>0.31034482758620691</v>
      </c>
      <c r="AJ153" s="1">
        <v>0</v>
      </c>
      <c r="AK153" s="2">
        <v>46263</v>
      </c>
      <c r="AL153" s="4">
        <v>5</v>
      </c>
      <c r="AM153" s="5">
        <v>3</v>
      </c>
      <c r="AN153" s="4">
        <v>0</v>
      </c>
      <c r="AO153">
        <v>179.87586206896552</v>
      </c>
      <c r="AP153" s="4">
        <v>8</v>
      </c>
      <c r="AQ153" t="s">
        <v>1619</v>
      </c>
      <c r="AR153" t="s">
        <v>1620</v>
      </c>
      <c r="AS153" t="s">
        <v>1666</v>
      </c>
      <c r="AT153" s="16" t="str">
        <f>_xlfn.XLOOKUP(B153,'SWiSH Demand Forecast Sep-26'!D:D,'SWiSH Demand Forecast Sep-26'!G:G,"Not Exist")</f>
        <v>Not Exist</v>
      </c>
    </row>
    <row r="154" spans="1:46" x14ac:dyDescent="0.3">
      <c r="A154">
        <v>107200214</v>
      </c>
      <c r="B154" t="s">
        <v>1895</v>
      </c>
      <c r="C154" t="s">
        <v>10</v>
      </c>
      <c r="D154" t="s">
        <v>1613</v>
      </c>
      <c r="E154" t="s">
        <v>1663</v>
      </c>
      <c r="F154" t="s">
        <v>1656</v>
      </c>
      <c r="G154" t="s">
        <v>1624</v>
      </c>
      <c r="H154" t="s">
        <v>1657</v>
      </c>
      <c r="I154" t="s">
        <v>1634</v>
      </c>
      <c r="J154" t="s">
        <v>10</v>
      </c>
      <c r="K154">
        <v>4.5</v>
      </c>
      <c r="L154">
        <v>0</v>
      </c>
      <c r="M154" s="1">
        <v>7</v>
      </c>
      <c r="N154">
        <v>0</v>
      </c>
      <c r="O154">
        <v>0</v>
      </c>
      <c r="P154">
        <v>0</v>
      </c>
      <c r="Q154" s="1">
        <v>0</v>
      </c>
      <c r="R154">
        <v>4.5</v>
      </c>
      <c r="S154" s="2">
        <v>46209</v>
      </c>
      <c r="T154" s="2">
        <v>46220</v>
      </c>
      <c r="U154">
        <v>0</v>
      </c>
      <c r="V154">
        <v>0</v>
      </c>
      <c r="W154">
        <v>0</v>
      </c>
      <c r="X154">
        <v>96</v>
      </c>
      <c r="Y154">
        <v>0</v>
      </c>
      <c r="Z154" s="8">
        <v>96</v>
      </c>
      <c r="AA154">
        <v>24</v>
      </c>
      <c r="AB154">
        <v>0</v>
      </c>
      <c r="AC154">
        <v>4</v>
      </c>
      <c r="AD154" s="1">
        <v>0</v>
      </c>
      <c r="AE154" s="2">
        <v>46248</v>
      </c>
      <c r="AF154" s="2">
        <v>46256</v>
      </c>
      <c r="AG154" s="2">
        <v>46263</v>
      </c>
      <c r="AH154">
        <v>0</v>
      </c>
      <c r="AI154" s="3">
        <v>0</v>
      </c>
      <c r="AJ154" s="1" t="s">
        <v>1635</v>
      </c>
      <c r="AK154" s="2" t="s">
        <v>1635</v>
      </c>
      <c r="AL154" s="4" t="s">
        <v>1658</v>
      </c>
      <c r="AM154" s="5" t="s">
        <v>1658</v>
      </c>
      <c r="AN154" s="4">
        <v>0</v>
      </c>
      <c r="AO154" t="s">
        <v>1635</v>
      </c>
      <c r="AP154" s="4" t="s">
        <v>1658</v>
      </c>
      <c r="AQ154" t="s">
        <v>1619</v>
      </c>
      <c r="AR154" t="s">
        <v>1620</v>
      </c>
      <c r="AT154" s="16" t="str">
        <f>_xlfn.XLOOKUP(B154,'SWiSH Demand Forecast Sep-26'!D:D,'SWiSH Demand Forecast Sep-26'!G:G,"Not Exist")</f>
        <v>Not Exist</v>
      </c>
    </row>
    <row r="155" spans="1:46" x14ac:dyDescent="0.3">
      <c r="A155">
        <v>107200217</v>
      </c>
      <c r="B155" t="s">
        <v>1896</v>
      </c>
      <c r="C155" t="s">
        <v>10</v>
      </c>
      <c r="D155" t="s">
        <v>1613</v>
      </c>
      <c r="E155" t="s">
        <v>1732</v>
      </c>
      <c r="F155" t="s">
        <v>1656</v>
      </c>
      <c r="G155" t="s">
        <v>1624</v>
      </c>
      <c r="H155" t="s">
        <v>1657</v>
      </c>
      <c r="I155" t="s">
        <v>1634</v>
      </c>
      <c r="J155" t="s">
        <v>10</v>
      </c>
      <c r="K155">
        <v>3.5</v>
      </c>
      <c r="L155">
        <v>0</v>
      </c>
      <c r="M155" s="1">
        <v>7</v>
      </c>
      <c r="N155">
        <v>0</v>
      </c>
      <c r="O155">
        <v>0</v>
      </c>
      <c r="P155">
        <v>0</v>
      </c>
      <c r="Q155" s="1">
        <v>0</v>
      </c>
      <c r="R155">
        <v>3.5</v>
      </c>
      <c r="S155" s="2">
        <v>46209</v>
      </c>
      <c r="T155" s="2">
        <v>46222</v>
      </c>
      <c r="U155">
        <v>0</v>
      </c>
      <c r="V155">
        <v>0</v>
      </c>
      <c r="W155">
        <v>0</v>
      </c>
      <c r="X155">
        <v>21</v>
      </c>
      <c r="Y155">
        <v>0</v>
      </c>
      <c r="Z155" s="8">
        <v>21</v>
      </c>
      <c r="AA155">
        <v>5.25</v>
      </c>
      <c r="AB155">
        <v>0</v>
      </c>
      <c r="AC155">
        <v>4</v>
      </c>
      <c r="AD155" s="1">
        <v>0</v>
      </c>
      <c r="AE155" s="2">
        <v>46248</v>
      </c>
      <c r="AF155" s="2">
        <v>46256</v>
      </c>
      <c r="AG155" s="2">
        <v>46263</v>
      </c>
      <c r="AH155">
        <v>0</v>
      </c>
      <c r="AI155" s="3">
        <v>0</v>
      </c>
      <c r="AJ155" s="1" t="s">
        <v>1635</v>
      </c>
      <c r="AK155" s="2" t="s">
        <v>1635</v>
      </c>
      <c r="AL155" s="4" t="s">
        <v>1658</v>
      </c>
      <c r="AM155" s="5" t="s">
        <v>1658</v>
      </c>
      <c r="AN155" s="4">
        <v>0</v>
      </c>
      <c r="AO155" t="s">
        <v>1635</v>
      </c>
      <c r="AP155" s="4" t="s">
        <v>1658</v>
      </c>
      <c r="AQ155" t="s">
        <v>1619</v>
      </c>
      <c r="AR155" t="s">
        <v>1620</v>
      </c>
      <c r="AT155" s="16" t="str">
        <f>_xlfn.XLOOKUP(B155,'SWiSH Demand Forecast Sep-26'!D:D,'SWiSH Demand Forecast Sep-26'!G:G,"Not Exist")</f>
        <v>Not Exist</v>
      </c>
    </row>
    <row r="156" spans="1:46" hidden="1" x14ac:dyDescent="0.3">
      <c r="A156">
        <v>100900001</v>
      </c>
      <c r="B156" t="s">
        <v>595</v>
      </c>
      <c r="C156" t="s">
        <v>10</v>
      </c>
      <c r="D156" t="s">
        <v>1629</v>
      </c>
      <c r="E156" t="s">
        <v>1638</v>
      </c>
      <c r="F156" t="s">
        <v>1639</v>
      </c>
      <c r="G156" t="s">
        <v>1616</v>
      </c>
      <c r="H156" t="s">
        <v>1640</v>
      </c>
      <c r="I156" t="s">
        <v>1618</v>
      </c>
      <c r="J156" t="s">
        <v>1641</v>
      </c>
      <c r="K156">
        <v>6.6060670000000002E-2</v>
      </c>
      <c r="L156">
        <v>0</v>
      </c>
      <c r="M156" s="1">
        <v>3</v>
      </c>
      <c r="N156">
        <v>0</v>
      </c>
      <c r="O156">
        <v>0</v>
      </c>
      <c r="P156">
        <v>0</v>
      </c>
      <c r="Q156" s="1">
        <v>0</v>
      </c>
      <c r="R156">
        <v>1.9818199999999999</v>
      </c>
      <c r="S156" s="2">
        <v>46224</v>
      </c>
      <c r="T156" s="2">
        <v>46256</v>
      </c>
      <c r="U156">
        <v>1140</v>
      </c>
      <c r="V156">
        <v>840</v>
      </c>
      <c r="W156">
        <v>1470</v>
      </c>
      <c r="X156">
        <v>1170</v>
      </c>
      <c r="Y156">
        <v>840</v>
      </c>
      <c r="Z156" s="8">
        <v>1470</v>
      </c>
      <c r="AA156">
        <v>1155</v>
      </c>
      <c r="AB156">
        <v>0.72727272727272729</v>
      </c>
      <c r="AC156">
        <v>1.2727272727272727</v>
      </c>
      <c r="AD156" s="1">
        <v>0</v>
      </c>
      <c r="AE156" s="2">
        <v>46248</v>
      </c>
      <c r="AF156" s="2">
        <v>46256</v>
      </c>
      <c r="AG156" s="2">
        <v>46263</v>
      </c>
      <c r="AH156">
        <v>0</v>
      </c>
      <c r="AI156" s="3">
        <v>0</v>
      </c>
      <c r="AJ156" s="1" t="s">
        <v>1635</v>
      </c>
      <c r="AK156" s="2" t="s">
        <v>1635</v>
      </c>
      <c r="AL156" s="4" t="s">
        <v>1636</v>
      </c>
      <c r="AM156" s="5" t="s">
        <v>1636</v>
      </c>
      <c r="AN156" s="4">
        <v>0</v>
      </c>
      <c r="AO156" t="s">
        <v>1635</v>
      </c>
      <c r="AP156" s="4" t="s">
        <v>1636</v>
      </c>
      <c r="AQ156" t="s">
        <v>1619</v>
      </c>
      <c r="AR156" t="s">
        <v>1620</v>
      </c>
      <c r="AT156" s="16">
        <f>_xlfn.XLOOKUP(B156,'SWiSH Demand Forecast Sep-26'!D:D,'SWiSH Demand Forecast Sep-26'!G:G,"Not Exist")</f>
        <v>1048</v>
      </c>
    </row>
    <row r="157" spans="1:46" x14ac:dyDescent="0.3">
      <c r="A157">
        <v>107200174</v>
      </c>
      <c r="B157" t="s">
        <v>1897</v>
      </c>
      <c r="C157" t="s">
        <v>10</v>
      </c>
      <c r="D157" t="s">
        <v>1613</v>
      </c>
      <c r="E157" t="s">
        <v>1701</v>
      </c>
      <c r="F157" t="s">
        <v>1656</v>
      </c>
      <c r="G157" t="s">
        <v>1616</v>
      </c>
      <c r="H157" t="s">
        <v>1657</v>
      </c>
      <c r="I157" t="s">
        <v>1634</v>
      </c>
      <c r="J157" t="s">
        <v>10</v>
      </c>
      <c r="K157">
        <v>3.5</v>
      </c>
      <c r="L157">
        <v>0</v>
      </c>
      <c r="M157" s="1">
        <v>7</v>
      </c>
      <c r="N157">
        <v>0</v>
      </c>
      <c r="O157">
        <v>0</v>
      </c>
      <c r="P157">
        <v>0</v>
      </c>
      <c r="Q157" s="1">
        <v>0</v>
      </c>
      <c r="R157">
        <v>3.5</v>
      </c>
      <c r="S157" s="2">
        <v>46222</v>
      </c>
      <c r="T157" s="2">
        <v>46225</v>
      </c>
      <c r="U157">
        <v>0</v>
      </c>
      <c r="V157">
        <v>0</v>
      </c>
      <c r="W157">
        <v>0</v>
      </c>
      <c r="X157">
        <v>11</v>
      </c>
      <c r="Y157">
        <v>0</v>
      </c>
      <c r="Z157" s="8">
        <v>11</v>
      </c>
      <c r="AA157">
        <v>2.75</v>
      </c>
      <c r="AB157">
        <v>0</v>
      </c>
      <c r="AC157">
        <v>4</v>
      </c>
      <c r="AD157" s="1">
        <v>0</v>
      </c>
      <c r="AE157" s="2">
        <v>46248</v>
      </c>
      <c r="AF157" s="2">
        <v>46256</v>
      </c>
      <c r="AG157" s="2">
        <v>46263</v>
      </c>
      <c r="AH157">
        <v>0</v>
      </c>
      <c r="AI157" s="3">
        <v>0</v>
      </c>
      <c r="AJ157" s="1" t="s">
        <v>1635</v>
      </c>
      <c r="AK157" s="2" t="s">
        <v>1635</v>
      </c>
      <c r="AL157" s="4" t="s">
        <v>1658</v>
      </c>
      <c r="AM157" s="5" t="s">
        <v>1658</v>
      </c>
      <c r="AN157" s="4">
        <v>0</v>
      </c>
      <c r="AO157" t="s">
        <v>1635</v>
      </c>
      <c r="AP157" s="4" t="s">
        <v>1658</v>
      </c>
      <c r="AQ157">
        <v>5</v>
      </c>
      <c r="AR157" t="s">
        <v>1702</v>
      </c>
      <c r="AT157" s="16" t="str">
        <f>_xlfn.XLOOKUP(B157,'SWiSH Demand Forecast Sep-26'!D:D,'SWiSH Demand Forecast Sep-26'!G:G,"Not Exist")</f>
        <v>Not Exist</v>
      </c>
    </row>
    <row r="158" spans="1:46" x14ac:dyDescent="0.3">
      <c r="A158">
        <v>107200220</v>
      </c>
      <c r="B158" t="s">
        <v>1898</v>
      </c>
      <c r="C158" t="s">
        <v>10</v>
      </c>
      <c r="D158" t="s">
        <v>1613</v>
      </c>
      <c r="E158" t="s">
        <v>1732</v>
      </c>
      <c r="F158" t="s">
        <v>1656</v>
      </c>
      <c r="G158" t="s">
        <v>1616</v>
      </c>
      <c r="H158" t="s">
        <v>1657</v>
      </c>
      <c r="I158" t="s">
        <v>1634</v>
      </c>
      <c r="J158" t="s">
        <v>10</v>
      </c>
      <c r="K158">
        <v>3.75</v>
      </c>
      <c r="L158">
        <v>0</v>
      </c>
      <c r="M158" s="1">
        <v>7</v>
      </c>
      <c r="N158">
        <v>0</v>
      </c>
      <c r="O158">
        <v>0</v>
      </c>
      <c r="P158">
        <v>0</v>
      </c>
      <c r="Q158" s="1">
        <v>0</v>
      </c>
      <c r="R158">
        <v>3.75</v>
      </c>
      <c r="S158" s="2">
        <v>46221</v>
      </c>
      <c r="T158" s="2">
        <v>46231</v>
      </c>
      <c r="U158">
        <v>0</v>
      </c>
      <c r="V158">
        <v>0</v>
      </c>
      <c r="W158">
        <v>0</v>
      </c>
      <c r="X158">
        <v>96</v>
      </c>
      <c r="Y158">
        <v>0</v>
      </c>
      <c r="Z158" s="8">
        <v>96</v>
      </c>
      <c r="AA158">
        <v>24</v>
      </c>
      <c r="AB158">
        <v>0</v>
      </c>
      <c r="AC158">
        <v>4</v>
      </c>
      <c r="AD158" s="1">
        <v>0</v>
      </c>
      <c r="AE158" s="2">
        <v>46248</v>
      </c>
      <c r="AF158" s="2">
        <v>46256</v>
      </c>
      <c r="AG158" s="2">
        <v>46263</v>
      </c>
      <c r="AH158">
        <v>0</v>
      </c>
      <c r="AI158" s="3">
        <v>0</v>
      </c>
      <c r="AJ158" s="1" t="s">
        <v>1635</v>
      </c>
      <c r="AK158" s="2" t="s">
        <v>1635</v>
      </c>
      <c r="AL158" s="4" t="s">
        <v>1658</v>
      </c>
      <c r="AM158" s="5" t="s">
        <v>1658</v>
      </c>
      <c r="AN158" s="4">
        <v>0</v>
      </c>
      <c r="AO158" t="s">
        <v>1635</v>
      </c>
      <c r="AP158" s="4" t="s">
        <v>1658</v>
      </c>
      <c r="AQ158" t="s">
        <v>1619</v>
      </c>
      <c r="AR158" t="s">
        <v>1620</v>
      </c>
      <c r="AT158" s="16" t="str">
        <f>_xlfn.XLOOKUP(B158,'SWiSH Demand Forecast Sep-26'!D:D,'SWiSH Demand Forecast Sep-26'!G:G,"Not Exist")</f>
        <v>Not Exist</v>
      </c>
    </row>
    <row r="159" spans="1:46" x14ac:dyDescent="0.3">
      <c r="B159" t="s">
        <v>1899</v>
      </c>
      <c r="C159" t="s">
        <v>10</v>
      </c>
      <c r="D159" t="s">
        <v>1613</v>
      </c>
      <c r="E159" t="s">
        <v>1638</v>
      </c>
      <c r="F159" t="s">
        <v>1656</v>
      </c>
      <c r="G159" t="s">
        <v>1624</v>
      </c>
      <c r="H159" t="s">
        <v>1657</v>
      </c>
      <c r="I159" t="s">
        <v>1634</v>
      </c>
      <c r="J159" t="s">
        <v>10</v>
      </c>
      <c r="K159">
        <v>7</v>
      </c>
      <c r="L159">
        <v>0</v>
      </c>
      <c r="M159" s="1">
        <v>3</v>
      </c>
      <c r="N159">
        <v>0</v>
      </c>
      <c r="O159">
        <v>0</v>
      </c>
      <c r="P159">
        <v>0</v>
      </c>
      <c r="Q159" s="1">
        <v>0</v>
      </c>
      <c r="R159">
        <v>6</v>
      </c>
      <c r="S159" s="2">
        <v>46223</v>
      </c>
      <c r="T159" s="2">
        <v>46230</v>
      </c>
      <c r="U159">
        <v>0</v>
      </c>
      <c r="V159">
        <v>0</v>
      </c>
      <c r="W159">
        <v>0</v>
      </c>
      <c r="X159">
        <v>336</v>
      </c>
      <c r="Y159">
        <v>0</v>
      </c>
      <c r="Z159" s="8">
        <v>336</v>
      </c>
      <c r="AA159">
        <v>84</v>
      </c>
      <c r="AB159">
        <v>0</v>
      </c>
      <c r="AC159">
        <v>4</v>
      </c>
      <c r="AD159" s="1">
        <v>0</v>
      </c>
      <c r="AE159" s="2">
        <v>46248</v>
      </c>
      <c r="AF159" s="2">
        <v>46256</v>
      </c>
      <c r="AG159" s="2">
        <v>46263</v>
      </c>
      <c r="AH159">
        <v>0</v>
      </c>
      <c r="AI159" s="3">
        <v>0</v>
      </c>
      <c r="AJ159" s="1" t="s">
        <v>1635</v>
      </c>
      <c r="AK159" s="2" t="s">
        <v>1635</v>
      </c>
      <c r="AL159" s="4" t="s">
        <v>1658</v>
      </c>
      <c r="AM159" s="5" t="s">
        <v>1658</v>
      </c>
      <c r="AN159" s="4">
        <v>0</v>
      </c>
      <c r="AO159" t="s">
        <v>1635</v>
      </c>
      <c r="AP159" s="4" t="s">
        <v>1658</v>
      </c>
      <c r="AQ159" t="s">
        <v>1619</v>
      </c>
      <c r="AR159" t="s">
        <v>1620</v>
      </c>
      <c r="AT159" s="16" t="str">
        <f>_xlfn.XLOOKUP(B159,'SWiSH Demand Forecast Sep-26'!D:D,'SWiSH Demand Forecast Sep-26'!G:G,"Not Exist")</f>
        <v>Not Exist</v>
      </c>
    </row>
    <row r="160" spans="1:46" x14ac:dyDescent="0.3">
      <c r="A160">
        <v>100400122</v>
      </c>
      <c r="B160" t="s">
        <v>1900</v>
      </c>
      <c r="C160" t="s">
        <v>10</v>
      </c>
      <c r="D160" t="s">
        <v>1629</v>
      </c>
      <c r="E160" t="s">
        <v>1663</v>
      </c>
      <c r="F160" t="s">
        <v>1664</v>
      </c>
      <c r="G160" t="s">
        <v>1624</v>
      </c>
      <c r="H160" t="s">
        <v>1810</v>
      </c>
      <c r="I160" t="s">
        <v>1634</v>
      </c>
      <c r="J160" t="s">
        <v>10</v>
      </c>
      <c r="K160">
        <v>0.11500054</v>
      </c>
      <c r="L160">
        <v>0</v>
      </c>
      <c r="M160" s="1">
        <v>30</v>
      </c>
      <c r="N160">
        <v>0</v>
      </c>
      <c r="O160">
        <v>0</v>
      </c>
      <c r="P160">
        <v>0</v>
      </c>
      <c r="Q160" s="1">
        <v>0</v>
      </c>
      <c r="R160">
        <v>0.115</v>
      </c>
      <c r="S160" s="2">
        <v>46002</v>
      </c>
      <c r="T160" s="2">
        <v>46233</v>
      </c>
      <c r="U160">
        <v>500</v>
      </c>
      <c r="V160">
        <v>200</v>
      </c>
      <c r="W160">
        <v>0</v>
      </c>
      <c r="X160">
        <v>10500</v>
      </c>
      <c r="Y160">
        <v>0</v>
      </c>
      <c r="Z160" s="8">
        <v>10500</v>
      </c>
      <c r="AA160">
        <v>2800</v>
      </c>
      <c r="AB160">
        <v>0</v>
      </c>
      <c r="AC160">
        <v>3.75</v>
      </c>
      <c r="AD160" s="1">
        <v>0</v>
      </c>
      <c r="AE160" s="2">
        <v>46248</v>
      </c>
      <c r="AF160" s="2">
        <v>46256</v>
      </c>
      <c r="AG160" s="2">
        <v>46263</v>
      </c>
      <c r="AH160">
        <v>1000</v>
      </c>
      <c r="AI160" s="3">
        <v>9.852216748768472E-2</v>
      </c>
      <c r="AJ160" s="1">
        <v>0</v>
      </c>
      <c r="AK160" s="2">
        <v>46263</v>
      </c>
      <c r="AL160" s="4" t="s">
        <v>1636</v>
      </c>
      <c r="AM160" s="5" t="s">
        <v>1636</v>
      </c>
      <c r="AN160" s="4">
        <v>0</v>
      </c>
      <c r="AO160" t="s">
        <v>1635</v>
      </c>
      <c r="AP160" s="4" t="s">
        <v>1636</v>
      </c>
      <c r="AQ160" t="s">
        <v>1619</v>
      </c>
      <c r="AR160" t="s">
        <v>1620</v>
      </c>
      <c r="AT160" s="16" t="str">
        <f>_xlfn.XLOOKUP(B160,'SWiSH Demand Forecast Sep-26'!D:D,'SWiSH Demand Forecast Sep-26'!G:G,"Not Exist")</f>
        <v>Not Exist</v>
      </c>
    </row>
    <row r="161" spans="1:46" x14ac:dyDescent="0.3">
      <c r="A161">
        <v>106401365</v>
      </c>
      <c r="B161" t="s">
        <v>1901</v>
      </c>
      <c r="C161" t="s">
        <v>10</v>
      </c>
      <c r="D161" t="s">
        <v>1613</v>
      </c>
      <c r="E161" t="s">
        <v>1902</v>
      </c>
      <c r="F161" t="s">
        <v>1812</v>
      </c>
      <c r="G161" t="s">
        <v>1616</v>
      </c>
      <c r="H161" t="s">
        <v>1764</v>
      </c>
      <c r="I161" t="s">
        <v>1618</v>
      </c>
      <c r="J161" t="s">
        <v>10</v>
      </c>
      <c r="K161">
        <v>4.4782599999999997</v>
      </c>
      <c r="L161">
        <v>0</v>
      </c>
      <c r="M161" s="1">
        <v>3</v>
      </c>
      <c r="N161">
        <v>0</v>
      </c>
      <c r="O161">
        <v>0</v>
      </c>
      <c r="P161">
        <v>0</v>
      </c>
      <c r="Q161" s="1">
        <v>0</v>
      </c>
      <c r="R161">
        <v>0</v>
      </c>
      <c r="S161" s="2">
        <v>0</v>
      </c>
      <c r="T161" s="2">
        <v>46241</v>
      </c>
      <c r="U161">
        <v>0</v>
      </c>
      <c r="V161">
        <v>0</v>
      </c>
      <c r="W161">
        <v>6</v>
      </c>
      <c r="X161">
        <v>48</v>
      </c>
      <c r="Y161">
        <v>0</v>
      </c>
      <c r="Z161" s="8">
        <v>48</v>
      </c>
      <c r="AA161">
        <v>13.5</v>
      </c>
      <c r="AB161">
        <v>0</v>
      </c>
      <c r="AC161">
        <v>3.5555555555555554</v>
      </c>
      <c r="AD161" s="1">
        <v>0</v>
      </c>
      <c r="AE161" s="2">
        <v>46248</v>
      </c>
      <c r="AF161" s="2">
        <v>46256</v>
      </c>
      <c r="AG161" s="2">
        <v>46263</v>
      </c>
      <c r="AH161">
        <v>6</v>
      </c>
      <c r="AI161" s="3">
        <v>0.12931034482758622</v>
      </c>
      <c r="AJ161" s="1">
        <v>0</v>
      </c>
      <c r="AK161" s="2">
        <v>46263</v>
      </c>
      <c r="AL161" s="4" t="s">
        <v>1658</v>
      </c>
      <c r="AM161" s="5" t="s">
        <v>1658</v>
      </c>
      <c r="AN161" s="4">
        <v>0</v>
      </c>
      <c r="AO161" t="s">
        <v>1635</v>
      </c>
      <c r="AP161" s="4" t="s">
        <v>1658</v>
      </c>
      <c r="AQ161" t="s">
        <v>1619</v>
      </c>
      <c r="AR161" t="s">
        <v>1620</v>
      </c>
      <c r="AT161" s="16" t="str">
        <f>_xlfn.XLOOKUP(B161,'SWiSH Demand Forecast Sep-26'!D:D,'SWiSH Demand Forecast Sep-26'!G:G,"Not Exist")</f>
        <v>Not Exist</v>
      </c>
    </row>
    <row r="162" spans="1:46" x14ac:dyDescent="0.3">
      <c r="A162">
        <v>105400003</v>
      </c>
      <c r="B162" t="s">
        <v>1903</v>
      </c>
      <c r="C162" t="s">
        <v>10</v>
      </c>
      <c r="D162" t="s">
        <v>1629</v>
      </c>
      <c r="E162" t="s">
        <v>1643</v>
      </c>
      <c r="F162" t="s">
        <v>1631</v>
      </c>
      <c r="G162" t="s">
        <v>1624</v>
      </c>
      <c r="H162" t="s">
        <v>1904</v>
      </c>
      <c r="I162" t="s">
        <v>1634</v>
      </c>
      <c r="J162" t="s">
        <v>1905</v>
      </c>
      <c r="K162">
        <v>4.5845800000000004E-3</v>
      </c>
      <c r="L162">
        <v>0</v>
      </c>
      <c r="M162" s="1">
        <v>7</v>
      </c>
      <c r="N162">
        <v>0</v>
      </c>
      <c r="O162">
        <v>0</v>
      </c>
      <c r="P162">
        <v>0</v>
      </c>
      <c r="Q162" s="1">
        <v>0</v>
      </c>
      <c r="R162">
        <v>0.45833000000000002</v>
      </c>
      <c r="S162" s="2">
        <v>45777</v>
      </c>
      <c r="T162" s="2">
        <v>46224</v>
      </c>
      <c r="U162">
        <v>0</v>
      </c>
      <c r="V162">
        <v>0</v>
      </c>
      <c r="W162">
        <v>0</v>
      </c>
      <c r="X162">
        <v>1200</v>
      </c>
      <c r="Y162">
        <v>0</v>
      </c>
      <c r="Z162" s="8">
        <v>1200</v>
      </c>
      <c r="AA162">
        <v>300</v>
      </c>
      <c r="AB162">
        <v>0</v>
      </c>
      <c r="AC162">
        <v>4</v>
      </c>
      <c r="AD162" s="1">
        <v>0</v>
      </c>
      <c r="AE162" s="2">
        <v>46248</v>
      </c>
      <c r="AF162" s="2">
        <v>46256</v>
      </c>
      <c r="AG162" s="2">
        <v>46263</v>
      </c>
      <c r="AH162">
        <v>0</v>
      </c>
      <c r="AI162" s="3">
        <v>0</v>
      </c>
      <c r="AJ162" s="1" t="s">
        <v>1635</v>
      </c>
      <c r="AK162" s="2" t="s">
        <v>1635</v>
      </c>
      <c r="AL162" s="4" t="s">
        <v>1636</v>
      </c>
      <c r="AM162" s="5" t="s">
        <v>1636</v>
      </c>
      <c r="AN162" s="4">
        <v>0</v>
      </c>
      <c r="AO162" t="s">
        <v>1635</v>
      </c>
      <c r="AP162" s="4" t="s">
        <v>1636</v>
      </c>
      <c r="AQ162" t="s">
        <v>1619</v>
      </c>
      <c r="AR162" t="s">
        <v>1620</v>
      </c>
      <c r="AT162" s="16" t="str">
        <f>_xlfn.XLOOKUP(B162,'SWiSH Demand Forecast Sep-26'!D:D,'SWiSH Demand Forecast Sep-26'!G:G,"Not Exist")</f>
        <v>Not Exist</v>
      </c>
    </row>
    <row r="163" spans="1:46" x14ac:dyDescent="0.3">
      <c r="A163">
        <v>103200003</v>
      </c>
      <c r="B163" t="s">
        <v>1906</v>
      </c>
      <c r="C163" t="s">
        <v>136</v>
      </c>
      <c r="D163" t="s">
        <v>1629</v>
      </c>
      <c r="E163" t="s">
        <v>1663</v>
      </c>
      <c r="F163" t="s">
        <v>1752</v>
      </c>
      <c r="G163" t="s">
        <v>1616</v>
      </c>
      <c r="H163" t="s">
        <v>1753</v>
      </c>
      <c r="I163" t="s">
        <v>1754</v>
      </c>
      <c r="J163" t="s">
        <v>1907</v>
      </c>
      <c r="K163">
        <v>1.0625</v>
      </c>
      <c r="L163">
        <v>0</v>
      </c>
      <c r="M163" s="1">
        <v>3</v>
      </c>
      <c r="N163">
        <v>0</v>
      </c>
      <c r="O163">
        <v>0</v>
      </c>
      <c r="P163">
        <v>0</v>
      </c>
      <c r="Q163" s="1">
        <v>0</v>
      </c>
      <c r="R163">
        <v>17</v>
      </c>
      <c r="S163" s="2">
        <v>46025</v>
      </c>
      <c r="T163" s="2">
        <v>46201</v>
      </c>
      <c r="U163">
        <v>0</v>
      </c>
      <c r="V163">
        <v>0</v>
      </c>
      <c r="W163">
        <v>400</v>
      </c>
      <c r="X163">
        <v>0</v>
      </c>
      <c r="Y163">
        <v>0</v>
      </c>
      <c r="Z163" s="8">
        <v>400</v>
      </c>
      <c r="AA163">
        <v>100</v>
      </c>
      <c r="AB163">
        <v>0</v>
      </c>
      <c r="AC163">
        <v>4</v>
      </c>
      <c r="AD163" s="1">
        <v>0</v>
      </c>
      <c r="AE163" s="2">
        <v>46248</v>
      </c>
      <c r="AF163" s="2">
        <v>46256</v>
      </c>
      <c r="AG163" s="2">
        <v>46263</v>
      </c>
      <c r="AH163">
        <v>0</v>
      </c>
      <c r="AI163" s="3">
        <v>0</v>
      </c>
      <c r="AJ163" s="1" t="s">
        <v>1635</v>
      </c>
      <c r="AK163" s="2" t="s">
        <v>1635</v>
      </c>
      <c r="AL163" s="4" t="s">
        <v>1636</v>
      </c>
      <c r="AM163" s="5" t="s">
        <v>1636</v>
      </c>
      <c r="AN163" s="4">
        <v>0</v>
      </c>
      <c r="AO163" t="s">
        <v>1635</v>
      </c>
      <c r="AP163" s="4" t="s">
        <v>1636</v>
      </c>
      <c r="AQ163" t="s">
        <v>1619</v>
      </c>
      <c r="AR163" t="s">
        <v>1908</v>
      </c>
      <c r="AT163" s="16" t="str">
        <f>_xlfn.XLOOKUP(B163,'SWiSH Demand Forecast Sep-26'!D:D,'SWiSH Demand Forecast Sep-26'!G:G,"Not Exist")</f>
        <v>Not Exist</v>
      </c>
    </row>
    <row r="164" spans="1:46" hidden="1" x14ac:dyDescent="0.3">
      <c r="A164">
        <v>103100007</v>
      </c>
      <c r="B164" t="s">
        <v>144</v>
      </c>
      <c r="C164" t="s">
        <v>10</v>
      </c>
      <c r="D164" t="s">
        <v>1613</v>
      </c>
      <c r="E164" t="s">
        <v>1638</v>
      </c>
      <c r="F164" t="s">
        <v>1623</v>
      </c>
      <c r="G164" t="s">
        <v>1616</v>
      </c>
      <c r="H164" t="s">
        <v>1869</v>
      </c>
      <c r="I164" t="s">
        <v>1754</v>
      </c>
      <c r="J164" t="s">
        <v>1909</v>
      </c>
      <c r="K164">
        <v>6.9062499999999999E-2</v>
      </c>
      <c r="L164">
        <v>82.875</v>
      </c>
      <c r="M164" s="1">
        <v>3</v>
      </c>
      <c r="N164">
        <v>0</v>
      </c>
      <c r="O164">
        <v>640</v>
      </c>
      <c r="P164">
        <v>1200</v>
      </c>
      <c r="Q164" s="1">
        <v>560</v>
      </c>
      <c r="R164">
        <v>5.5250000000000004</v>
      </c>
      <c r="S164" s="2">
        <v>46159</v>
      </c>
      <c r="T164" s="2">
        <v>46263</v>
      </c>
      <c r="U164">
        <v>55460</v>
      </c>
      <c r="V164">
        <v>31360</v>
      </c>
      <c r="W164">
        <v>28480</v>
      </c>
      <c r="X164">
        <v>29520</v>
      </c>
      <c r="Y164">
        <v>28480</v>
      </c>
      <c r="Z164" s="8">
        <v>55460</v>
      </c>
      <c r="AA164">
        <v>36205</v>
      </c>
      <c r="AB164">
        <v>0.78663168070708467</v>
      </c>
      <c r="AC164">
        <v>1.5318326198038945</v>
      </c>
      <c r="AD164" s="1">
        <v>0</v>
      </c>
      <c r="AE164" s="2">
        <v>46248</v>
      </c>
      <c r="AF164" s="2">
        <v>46256</v>
      </c>
      <c r="AG164" s="2">
        <v>46263</v>
      </c>
      <c r="AH164">
        <v>24080</v>
      </c>
      <c r="AI164" s="3">
        <v>0.44915875996368926</v>
      </c>
      <c r="AJ164" s="1">
        <v>0</v>
      </c>
      <c r="AK164" s="2">
        <v>46263</v>
      </c>
      <c r="AL164" s="4" t="s">
        <v>1658</v>
      </c>
      <c r="AM164" s="5" t="s">
        <v>1658</v>
      </c>
      <c r="AN164" s="4">
        <v>0</v>
      </c>
      <c r="AO164" t="s">
        <v>1635</v>
      </c>
      <c r="AP164" s="4" t="s">
        <v>1658</v>
      </c>
      <c r="AQ164" t="s">
        <v>1619</v>
      </c>
      <c r="AR164" t="s">
        <v>1910</v>
      </c>
      <c r="AS164" t="s">
        <v>1666</v>
      </c>
      <c r="AT164" s="16">
        <f>_xlfn.XLOOKUP(B164,'SWiSH Demand Forecast Sep-26'!D:D,'SWiSH Demand Forecast Sep-26'!G:G,"Not Exist")</f>
        <v>13220</v>
      </c>
    </row>
    <row r="165" spans="1:46" x14ac:dyDescent="0.3">
      <c r="A165">
        <v>100100036</v>
      </c>
      <c r="B165" t="s">
        <v>1911</v>
      </c>
      <c r="C165" t="s">
        <v>136</v>
      </c>
      <c r="D165" t="s">
        <v>1629</v>
      </c>
      <c r="E165" t="s">
        <v>1796</v>
      </c>
      <c r="F165" t="s">
        <v>1615</v>
      </c>
      <c r="G165" t="s">
        <v>1681</v>
      </c>
      <c r="H165" t="s">
        <v>1877</v>
      </c>
      <c r="I165" t="s">
        <v>1618</v>
      </c>
      <c r="J165" t="s">
        <v>136</v>
      </c>
      <c r="K165">
        <v>1.24</v>
      </c>
      <c r="L165">
        <v>0</v>
      </c>
      <c r="M165" s="1">
        <v>3</v>
      </c>
      <c r="N165">
        <v>0</v>
      </c>
      <c r="O165">
        <v>0</v>
      </c>
      <c r="P165">
        <v>0</v>
      </c>
      <c r="Q165" s="1">
        <v>0</v>
      </c>
      <c r="R165">
        <v>21</v>
      </c>
      <c r="S165" s="2">
        <v>46193</v>
      </c>
      <c r="T165" s="2">
        <v>46241</v>
      </c>
      <c r="U165">
        <v>120</v>
      </c>
      <c r="V165">
        <v>0</v>
      </c>
      <c r="W165">
        <v>12</v>
      </c>
      <c r="X165">
        <v>0</v>
      </c>
      <c r="Y165">
        <v>0</v>
      </c>
      <c r="Z165" s="8">
        <v>120</v>
      </c>
      <c r="AA165">
        <v>33</v>
      </c>
      <c r="AB165">
        <v>0</v>
      </c>
      <c r="AC165">
        <v>3.6363636363636362</v>
      </c>
      <c r="AD165" s="1">
        <v>0</v>
      </c>
      <c r="AE165" s="2">
        <v>46248</v>
      </c>
      <c r="AF165" s="2">
        <v>46256</v>
      </c>
      <c r="AG165" s="2">
        <v>46263</v>
      </c>
      <c r="AH165">
        <v>0</v>
      </c>
      <c r="AI165" s="3">
        <v>0</v>
      </c>
      <c r="AJ165" s="1" t="s">
        <v>1635</v>
      </c>
      <c r="AK165" s="2" t="s">
        <v>1635</v>
      </c>
      <c r="AL165" s="4" t="s">
        <v>1636</v>
      </c>
      <c r="AM165" s="5" t="s">
        <v>1636</v>
      </c>
      <c r="AN165" s="4">
        <v>0</v>
      </c>
      <c r="AO165" t="s">
        <v>1635</v>
      </c>
      <c r="AP165" s="4" t="s">
        <v>1636</v>
      </c>
      <c r="AQ165" t="s">
        <v>1619</v>
      </c>
      <c r="AR165" t="s">
        <v>1620</v>
      </c>
      <c r="AS165" t="s">
        <v>1666</v>
      </c>
      <c r="AT165" s="16" t="str">
        <f>_xlfn.XLOOKUP(B165,'SWiSH Demand Forecast Sep-26'!D:D,'SWiSH Demand Forecast Sep-26'!G:G,"Not Exist")</f>
        <v>Not Exist</v>
      </c>
    </row>
    <row r="166" spans="1:46" hidden="1" x14ac:dyDescent="0.3">
      <c r="A166">
        <v>104000003</v>
      </c>
      <c r="B166" t="s">
        <v>619</v>
      </c>
      <c r="C166" t="s">
        <v>10</v>
      </c>
      <c r="D166" t="s">
        <v>1629</v>
      </c>
      <c r="E166" t="s">
        <v>1775</v>
      </c>
      <c r="F166" t="s">
        <v>1833</v>
      </c>
      <c r="G166" t="s">
        <v>1616</v>
      </c>
      <c r="H166" t="s">
        <v>1850</v>
      </c>
      <c r="I166" t="s">
        <v>1626</v>
      </c>
      <c r="J166" t="s">
        <v>1851</v>
      </c>
      <c r="K166">
        <v>0.14578541</v>
      </c>
      <c r="L166">
        <v>0</v>
      </c>
      <c r="M166" s="1">
        <v>3</v>
      </c>
      <c r="N166">
        <v>0</v>
      </c>
      <c r="O166">
        <v>0</v>
      </c>
      <c r="P166">
        <v>0</v>
      </c>
      <c r="Q166" s="1">
        <v>0</v>
      </c>
      <c r="R166">
        <v>1.5</v>
      </c>
      <c r="S166" s="2">
        <v>46120</v>
      </c>
      <c r="T166" s="2">
        <v>46142</v>
      </c>
      <c r="U166">
        <v>220</v>
      </c>
      <c r="V166">
        <v>5</v>
      </c>
      <c r="W166">
        <v>0</v>
      </c>
      <c r="X166">
        <v>0</v>
      </c>
      <c r="Y166">
        <v>0</v>
      </c>
      <c r="Z166" s="8">
        <v>220</v>
      </c>
      <c r="AA166">
        <v>56.25</v>
      </c>
      <c r="AB166">
        <v>0</v>
      </c>
      <c r="AC166">
        <v>3.911111111111111</v>
      </c>
      <c r="AD166" s="1">
        <v>0</v>
      </c>
      <c r="AE166" s="2">
        <v>46248</v>
      </c>
      <c r="AF166" s="2">
        <v>46256</v>
      </c>
      <c r="AG166" s="2">
        <v>46263</v>
      </c>
      <c r="AH166">
        <v>0</v>
      </c>
      <c r="AI166" s="3">
        <v>0</v>
      </c>
      <c r="AJ166" s="1" t="s">
        <v>1635</v>
      </c>
      <c r="AK166" s="2" t="s">
        <v>1635</v>
      </c>
      <c r="AL166" s="4" t="s">
        <v>1636</v>
      </c>
      <c r="AM166" s="5" t="s">
        <v>1636</v>
      </c>
      <c r="AN166" s="4">
        <v>0</v>
      </c>
      <c r="AO166" t="s">
        <v>1635</v>
      </c>
      <c r="AP166" s="4" t="s">
        <v>1636</v>
      </c>
      <c r="AQ166" t="s">
        <v>1619</v>
      </c>
      <c r="AR166" t="s">
        <v>1620</v>
      </c>
      <c r="AT166" s="16">
        <f>_xlfn.XLOOKUP(B166,'SWiSH Demand Forecast Sep-26'!D:D,'SWiSH Demand Forecast Sep-26'!G:G,"Not Exist")</f>
        <v>930</v>
      </c>
    </row>
    <row r="167" spans="1:46" x14ac:dyDescent="0.3">
      <c r="A167">
        <v>100800018</v>
      </c>
      <c r="B167" t="s">
        <v>1912</v>
      </c>
      <c r="C167" t="s">
        <v>10</v>
      </c>
      <c r="D167" t="s">
        <v>1629</v>
      </c>
      <c r="E167" t="s">
        <v>1913</v>
      </c>
      <c r="F167" t="s">
        <v>1639</v>
      </c>
      <c r="G167" t="s">
        <v>1616</v>
      </c>
      <c r="H167" t="s">
        <v>1914</v>
      </c>
      <c r="I167" t="s">
        <v>1618</v>
      </c>
      <c r="J167" t="s">
        <v>1781</v>
      </c>
      <c r="K167">
        <v>0.10303</v>
      </c>
      <c r="L167">
        <v>0</v>
      </c>
      <c r="M167" s="1">
        <v>3</v>
      </c>
      <c r="N167">
        <v>0</v>
      </c>
      <c r="O167">
        <v>0</v>
      </c>
      <c r="P167">
        <v>0</v>
      </c>
      <c r="Q167" s="1">
        <v>0</v>
      </c>
      <c r="R167">
        <v>0.10303</v>
      </c>
      <c r="S167" s="2">
        <v>46125</v>
      </c>
      <c r="T167" s="2">
        <v>46124</v>
      </c>
      <c r="U167">
        <v>120</v>
      </c>
      <c r="V167">
        <v>0</v>
      </c>
      <c r="W167">
        <v>0</v>
      </c>
      <c r="X167">
        <v>0</v>
      </c>
      <c r="Y167">
        <v>0</v>
      </c>
      <c r="Z167" s="8">
        <v>120</v>
      </c>
      <c r="AA167">
        <v>30</v>
      </c>
      <c r="AB167">
        <v>0</v>
      </c>
      <c r="AC167">
        <v>4</v>
      </c>
      <c r="AD167" s="1">
        <v>0</v>
      </c>
      <c r="AE167" s="2">
        <v>46248</v>
      </c>
      <c r="AF167" s="2">
        <v>46256</v>
      </c>
      <c r="AG167" s="2">
        <v>46263</v>
      </c>
      <c r="AH167">
        <v>0</v>
      </c>
      <c r="AI167" s="3">
        <v>0</v>
      </c>
      <c r="AJ167" s="1" t="s">
        <v>1635</v>
      </c>
      <c r="AK167" s="2" t="s">
        <v>1635</v>
      </c>
      <c r="AL167" s="4" t="s">
        <v>1636</v>
      </c>
      <c r="AM167" s="5" t="s">
        <v>1636</v>
      </c>
      <c r="AN167" s="4">
        <v>0</v>
      </c>
      <c r="AO167" t="s">
        <v>1635</v>
      </c>
      <c r="AP167" s="4" t="s">
        <v>1636</v>
      </c>
      <c r="AQ167" t="s">
        <v>1619</v>
      </c>
      <c r="AR167" t="s">
        <v>1620</v>
      </c>
      <c r="AT167" s="16" t="str">
        <f>_xlfn.XLOOKUP(B167,'SWiSH Demand Forecast Sep-26'!D:D,'SWiSH Demand Forecast Sep-26'!G:G,"Not Exist")</f>
        <v>Not Exist</v>
      </c>
    </row>
    <row r="168" spans="1:46" x14ac:dyDescent="0.3">
      <c r="A168">
        <v>100100143</v>
      </c>
      <c r="B168" t="s">
        <v>1915</v>
      </c>
      <c r="C168" t="s">
        <v>240</v>
      </c>
      <c r="D168" t="s">
        <v>1629</v>
      </c>
      <c r="E168" t="s">
        <v>1677</v>
      </c>
      <c r="F168" t="s">
        <v>1615</v>
      </c>
      <c r="G168" t="s">
        <v>1616</v>
      </c>
      <c r="H168" t="s">
        <v>1877</v>
      </c>
      <c r="I168" t="s">
        <v>1618</v>
      </c>
      <c r="J168" t="s">
        <v>240</v>
      </c>
      <c r="K168">
        <v>5</v>
      </c>
      <c r="L168">
        <v>0</v>
      </c>
      <c r="M168" s="1">
        <v>3</v>
      </c>
      <c r="N168">
        <v>0</v>
      </c>
      <c r="O168">
        <v>0</v>
      </c>
      <c r="P168">
        <v>0</v>
      </c>
      <c r="Q168" s="1">
        <v>0</v>
      </c>
      <c r="R168">
        <v>5</v>
      </c>
      <c r="S168" s="2">
        <v>46025</v>
      </c>
      <c r="T168" s="2">
        <v>46135</v>
      </c>
      <c r="U168">
        <v>9</v>
      </c>
      <c r="V168">
        <v>0</v>
      </c>
      <c r="W168">
        <v>0</v>
      </c>
      <c r="X168">
        <v>0</v>
      </c>
      <c r="Y168">
        <v>0</v>
      </c>
      <c r="Z168" s="8">
        <v>9</v>
      </c>
      <c r="AA168">
        <v>2.25</v>
      </c>
      <c r="AB168">
        <v>0</v>
      </c>
      <c r="AC168">
        <v>4</v>
      </c>
      <c r="AD168" s="1">
        <v>0</v>
      </c>
      <c r="AE168" s="2">
        <v>46248</v>
      </c>
      <c r="AF168" s="2">
        <v>46256</v>
      </c>
      <c r="AG168" s="2">
        <v>46263</v>
      </c>
      <c r="AH168">
        <v>0</v>
      </c>
      <c r="AI168" s="3">
        <v>0</v>
      </c>
      <c r="AJ168" s="1" t="s">
        <v>1635</v>
      </c>
      <c r="AK168" s="2" t="s">
        <v>1635</v>
      </c>
      <c r="AL168" s="4" t="s">
        <v>1636</v>
      </c>
      <c r="AM168" s="5" t="s">
        <v>1636</v>
      </c>
      <c r="AN168" s="4">
        <v>0</v>
      </c>
      <c r="AO168" t="s">
        <v>1635</v>
      </c>
      <c r="AP168" s="4" t="s">
        <v>1636</v>
      </c>
      <c r="AQ168" t="s">
        <v>1619</v>
      </c>
      <c r="AR168" t="s">
        <v>1620</v>
      </c>
      <c r="AT168" s="16" t="str">
        <f>_xlfn.XLOOKUP(B168,'SWiSH Demand Forecast Sep-26'!D:D,'SWiSH Demand Forecast Sep-26'!G:G,"Not Exist")</f>
        <v>Not Exist</v>
      </c>
    </row>
    <row r="169" spans="1:46" x14ac:dyDescent="0.3">
      <c r="A169">
        <v>100700035</v>
      </c>
      <c r="B169" t="s">
        <v>1916</v>
      </c>
      <c r="C169" t="s">
        <v>136</v>
      </c>
      <c r="D169" t="s">
        <v>1629</v>
      </c>
      <c r="E169" t="s">
        <v>1917</v>
      </c>
      <c r="F169" t="s">
        <v>1875</v>
      </c>
      <c r="G169" t="s">
        <v>1704</v>
      </c>
      <c r="H169" t="s">
        <v>1867</v>
      </c>
      <c r="I169" t="s">
        <v>1618</v>
      </c>
      <c r="J169" t="s">
        <v>136</v>
      </c>
      <c r="K169">
        <v>0.45</v>
      </c>
      <c r="L169">
        <v>0</v>
      </c>
      <c r="M169" s="1">
        <v>3</v>
      </c>
      <c r="N169">
        <v>0</v>
      </c>
      <c r="O169">
        <v>0</v>
      </c>
      <c r="P169">
        <v>0</v>
      </c>
      <c r="Q169" s="1">
        <v>0</v>
      </c>
      <c r="R169">
        <v>6.75</v>
      </c>
      <c r="S169" s="2">
        <v>45928</v>
      </c>
      <c r="T169" s="2">
        <v>46139</v>
      </c>
      <c r="U169">
        <v>180</v>
      </c>
      <c r="V169">
        <v>0</v>
      </c>
      <c r="W169">
        <v>0</v>
      </c>
      <c r="X169">
        <v>0</v>
      </c>
      <c r="Y169">
        <v>0</v>
      </c>
      <c r="Z169" s="8">
        <v>180</v>
      </c>
      <c r="AA169">
        <v>45</v>
      </c>
      <c r="AB169">
        <v>0</v>
      </c>
      <c r="AC169">
        <v>4</v>
      </c>
      <c r="AD169" s="1">
        <v>0</v>
      </c>
      <c r="AE169" s="2">
        <v>46248</v>
      </c>
      <c r="AF169" s="2">
        <v>46256</v>
      </c>
      <c r="AG169" s="2">
        <v>46263</v>
      </c>
      <c r="AH169">
        <v>0</v>
      </c>
      <c r="AI169" s="3">
        <v>0</v>
      </c>
      <c r="AJ169" s="1" t="s">
        <v>1635</v>
      </c>
      <c r="AK169" s="2" t="s">
        <v>1635</v>
      </c>
      <c r="AL169" s="4" t="s">
        <v>1636</v>
      </c>
      <c r="AM169" s="5" t="s">
        <v>1636</v>
      </c>
      <c r="AN169" s="4">
        <v>0</v>
      </c>
      <c r="AO169" t="s">
        <v>1635</v>
      </c>
      <c r="AP169" s="4" t="s">
        <v>1636</v>
      </c>
      <c r="AQ169" t="s">
        <v>1619</v>
      </c>
      <c r="AR169" t="s">
        <v>1620</v>
      </c>
      <c r="AT169" s="16" t="str">
        <f>_xlfn.XLOOKUP(B169,'SWiSH Demand Forecast Sep-26'!D:D,'SWiSH Demand Forecast Sep-26'!G:G,"Not Exist")</f>
        <v>Not Exist</v>
      </c>
    </row>
    <row r="170" spans="1:46" x14ac:dyDescent="0.3">
      <c r="A170">
        <v>100700028</v>
      </c>
      <c r="B170" t="s">
        <v>1918</v>
      </c>
      <c r="C170" t="s">
        <v>136</v>
      </c>
      <c r="D170" t="s">
        <v>1675</v>
      </c>
      <c r="E170" t="s">
        <v>1732</v>
      </c>
      <c r="F170" t="s">
        <v>1875</v>
      </c>
      <c r="G170" t="s">
        <v>1616</v>
      </c>
      <c r="H170" t="s">
        <v>1867</v>
      </c>
      <c r="I170" t="s">
        <v>1618</v>
      </c>
      <c r="J170" t="s">
        <v>1919</v>
      </c>
      <c r="K170">
        <v>2.5641025599999998</v>
      </c>
      <c r="L170">
        <v>0</v>
      </c>
      <c r="M170" s="1">
        <v>3</v>
      </c>
      <c r="N170">
        <v>0</v>
      </c>
      <c r="O170">
        <v>0</v>
      </c>
      <c r="P170">
        <v>0</v>
      </c>
      <c r="Q170" s="1">
        <v>0</v>
      </c>
      <c r="R170">
        <v>13</v>
      </c>
      <c r="S170" s="2">
        <v>45690</v>
      </c>
      <c r="T170" s="2">
        <v>46158</v>
      </c>
      <c r="U170">
        <v>21.84</v>
      </c>
      <c r="V170">
        <v>0</v>
      </c>
      <c r="W170">
        <v>0</v>
      </c>
      <c r="X170">
        <v>0</v>
      </c>
      <c r="Y170">
        <v>0</v>
      </c>
      <c r="Z170" s="8">
        <v>21.84</v>
      </c>
      <c r="AA170">
        <v>5.46</v>
      </c>
      <c r="AB170">
        <v>0</v>
      </c>
      <c r="AC170">
        <v>4</v>
      </c>
      <c r="AD170" s="1">
        <v>0</v>
      </c>
      <c r="AE170" s="2">
        <v>46248</v>
      </c>
      <c r="AF170" s="2">
        <v>46256</v>
      </c>
      <c r="AG170" s="2">
        <v>46263</v>
      </c>
      <c r="AH170">
        <v>0</v>
      </c>
      <c r="AI170" s="3">
        <v>0</v>
      </c>
      <c r="AJ170" s="1" t="s">
        <v>1635</v>
      </c>
      <c r="AK170" s="2" t="s">
        <v>1635</v>
      </c>
      <c r="AL170" s="4" t="s">
        <v>1658</v>
      </c>
      <c r="AM170" s="5" t="s">
        <v>1658</v>
      </c>
      <c r="AN170" s="4">
        <v>0</v>
      </c>
      <c r="AO170" t="s">
        <v>1635</v>
      </c>
      <c r="AP170" s="4" t="s">
        <v>1658</v>
      </c>
      <c r="AQ170" t="s">
        <v>1619</v>
      </c>
      <c r="AR170" t="s">
        <v>1620</v>
      </c>
      <c r="AT170" s="16" t="str">
        <f>_xlfn.XLOOKUP(B170,'SWiSH Demand Forecast Sep-26'!D:D,'SWiSH Demand Forecast Sep-26'!G:G,"Not Exist")</f>
        <v>Not Exist</v>
      </c>
    </row>
    <row r="171" spans="1:46" x14ac:dyDescent="0.3">
      <c r="A171">
        <v>106200054</v>
      </c>
      <c r="B171" t="s">
        <v>1920</v>
      </c>
      <c r="C171" t="s">
        <v>136</v>
      </c>
      <c r="D171" t="s">
        <v>1629</v>
      </c>
      <c r="E171" t="s">
        <v>1921</v>
      </c>
      <c r="F171" t="s">
        <v>1671</v>
      </c>
      <c r="G171" t="s">
        <v>1678</v>
      </c>
      <c r="H171" t="s">
        <v>1672</v>
      </c>
      <c r="I171" t="s">
        <v>1618</v>
      </c>
      <c r="J171" t="s">
        <v>136</v>
      </c>
      <c r="K171">
        <v>0.63461537999999995</v>
      </c>
      <c r="L171">
        <v>0</v>
      </c>
      <c r="M171" s="1">
        <v>3</v>
      </c>
      <c r="N171">
        <v>0</v>
      </c>
      <c r="O171">
        <v>0</v>
      </c>
      <c r="P171">
        <v>0</v>
      </c>
      <c r="Q171" s="1">
        <v>0</v>
      </c>
      <c r="R171">
        <v>8.25</v>
      </c>
      <c r="S171" s="2">
        <v>45935</v>
      </c>
      <c r="T171" s="2">
        <v>45981</v>
      </c>
      <c r="U171">
        <v>13</v>
      </c>
      <c r="V171">
        <v>0</v>
      </c>
      <c r="W171">
        <v>0</v>
      </c>
      <c r="X171">
        <v>0</v>
      </c>
      <c r="Y171">
        <v>0</v>
      </c>
      <c r="Z171" s="8">
        <v>13</v>
      </c>
      <c r="AA171">
        <v>3.25</v>
      </c>
      <c r="AB171">
        <v>0</v>
      </c>
      <c r="AC171">
        <v>4</v>
      </c>
      <c r="AD171" s="1">
        <v>0</v>
      </c>
      <c r="AE171" s="2">
        <v>46248</v>
      </c>
      <c r="AF171" s="2">
        <v>46256</v>
      </c>
      <c r="AG171" s="2">
        <v>46263</v>
      </c>
      <c r="AH171">
        <v>0</v>
      </c>
      <c r="AI171" s="3">
        <v>0</v>
      </c>
      <c r="AJ171" s="1" t="s">
        <v>1635</v>
      </c>
      <c r="AK171" s="2" t="s">
        <v>1635</v>
      </c>
      <c r="AL171" s="4" t="s">
        <v>1636</v>
      </c>
      <c r="AM171" s="5" t="s">
        <v>1636</v>
      </c>
      <c r="AN171" s="4">
        <v>0</v>
      </c>
      <c r="AO171" t="s">
        <v>1635</v>
      </c>
      <c r="AP171" s="4" t="s">
        <v>1636</v>
      </c>
      <c r="AQ171" t="s">
        <v>1619</v>
      </c>
      <c r="AR171" t="s">
        <v>1620</v>
      </c>
      <c r="AT171" s="16" t="str">
        <f>_xlfn.XLOOKUP(B171,'SWiSH Demand Forecast Sep-26'!D:D,'SWiSH Demand Forecast Sep-26'!G:G,"Not Exist")</f>
        <v>Not Exist</v>
      </c>
    </row>
    <row r="172" spans="1:46" x14ac:dyDescent="0.3">
      <c r="A172">
        <v>100700036</v>
      </c>
      <c r="B172" t="s">
        <v>1922</v>
      </c>
      <c r="C172" t="s">
        <v>136</v>
      </c>
      <c r="D172" t="s">
        <v>1675</v>
      </c>
      <c r="E172" t="s">
        <v>1819</v>
      </c>
      <c r="F172" t="s">
        <v>1840</v>
      </c>
      <c r="G172" t="s">
        <v>1616</v>
      </c>
      <c r="H172" t="s">
        <v>1867</v>
      </c>
      <c r="I172" t="s">
        <v>1618</v>
      </c>
      <c r="J172" t="s">
        <v>136</v>
      </c>
      <c r="K172">
        <v>0.53591</v>
      </c>
      <c r="L172">
        <v>0</v>
      </c>
      <c r="M172" s="1">
        <v>3</v>
      </c>
      <c r="N172">
        <v>0</v>
      </c>
      <c r="O172">
        <v>0</v>
      </c>
      <c r="P172">
        <v>0</v>
      </c>
      <c r="Q172" s="1">
        <v>0</v>
      </c>
      <c r="R172">
        <v>0.53600000000000003</v>
      </c>
      <c r="S172" s="2">
        <v>45879</v>
      </c>
      <c r="T172" s="2">
        <v>46132</v>
      </c>
      <c r="U172">
        <v>50.4</v>
      </c>
      <c r="V172">
        <v>0</v>
      </c>
      <c r="W172">
        <v>0</v>
      </c>
      <c r="X172">
        <v>0</v>
      </c>
      <c r="Y172">
        <v>0</v>
      </c>
      <c r="Z172" s="8">
        <v>50.4</v>
      </c>
      <c r="AA172">
        <v>12.6</v>
      </c>
      <c r="AB172">
        <v>0</v>
      </c>
      <c r="AC172">
        <v>4</v>
      </c>
      <c r="AD172" s="1">
        <v>0</v>
      </c>
      <c r="AE172" s="2">
        <v>46248</v>
      </c>
      <c r="AF172" s="2">
        <v>46256</v>
      </c>
      <c r="AG172" s="2">
        <v>46263</v>
      </c>
      <c r="AH172">
        <v>0</v>
      </c>
      <c r="AI172" s="3">
        <v>0</v>
      </c>
      <c r="AJ172" s="1" t="s">
        <v>1635</v>
      </c>
      <c r="AK172" s="2" t="s">
        <v>1635</v>
      </c>
      <c r="AL172" s="4" t="s">
        <v>1658</v>
      </c>
      <c r="AM172" s="5" t="s">
        <v>1658</v>
      </c>
      <c r="AN172" s="4">
        <v>0</v>
      </c>
      <c r="AO172" t="s">
        <v>1635</v>
      </c>
      <c r="AP172" s="4" t="s">
        <v>1658</v>
      </c>
      <c r="AQ172" t="s">
        <v>1619</v>
      </c>
      <c r="AR172" t="s">
        <v>1620</v>
      </c>
      <c r="AT172" s="16" t="str">
        <f>_xlfn.XLOOKUP(B172,'SWiSH Demand Forecast Sep-26'!D:D,'SWiSH Demand Forecast Sep-26'!G:G,"Not Exist")</f>
        <v>Not Exist</v>
      </c>
    </row>
    <row r="173" spans="1:46" x14ac:dyDescent="0.3">
      <c r="A173">
        <v>103700025</v>
      </c>
      <c r="B173" t="s">
        <v>1923</v>
      </c>
      <c r="C173" t="s">
        <v>136</v>
      </c>
      <c r="D173" t="s">
        <v>1629</v>
      </c>
      <c r="E173" t="e">
        <v>#N/A</v>
      </c>
      <c r="F173" t="s">
        <v>1615</v>
      </c>
      <c r="G173" t="s">
        <v>1704</v>
      </c>
      <c r="H173" t="s">
        <v>1617</v>
      </c>
      <c r="I173" t="s">
        <v>1618</v>
      </c>
      <c r="J173" t="s">
        <v>136</v>
      </c>
      <c r="K173">
        <v>4.5140000000000002</v>
      </c>
      <c r="L173">
        <v>0</v>
      </c>
      <c r="M173" s="1">
        <v>3</v>
      </c>
      <c r="N173">
        <v>0</v>
      </c>
      <c r="O173">
        <v>0</v>
      </c>
      <c r="P173">
        <v>0</v>
      </c>
      <c r="Q173" s="1">
        <v>0</v>
      </c>
      <c r="R173">
        <v>0</v>
      </c>
      <c r="S173" s="2">
        <v>45873</v>
      </c>
      <c r="T173" s="2">
        <v>46120</v>
      </c>
      <c r="U173">
        <v>5</v>
      </c>
      <c r="V173">
        <v>0</v>
      </c>
      <c r="W173">
        <v>0</v>
      </c>
      <c r="X173">
        <v>0</v>
      </c>
      <c r="Y173">
        <v>0</v>
      </c>
      <c r="Z173" s="8">
        <v>5</v>
      </c>
      <c r="AA173">
        <v>1.25</v>
      </c>
      <c r="AB173">
        <v>0</v>
      </c>
      <c r="AC173">
        <v>4</v>
      </c>
      <c r="AD173" s="1">
        <v>0</v>
      </c>
      <c r="AE173" s="2">
        <v>46248</v>
      </c>
      <c r="AF173" s="2">
        <v>46256</v>
      </c>
      <c r="AG173" s="2">
        <v>46263</v>
      </c>
      <c r="AH173">
        <v>0</v>
      </c>
      <c r="AI173" s="3">
        <v>0</v>
      </c>
      <c r="AJ173" s="1" t="s">
        <v>1635</v>
      </c>
      <c r="AK173" s="2" t="s">
        <v>1635</v>
      </c>
      <c r="AL173" s="4" t="s">
        <v>1636</v>
      </c>
      <c r="AM173" s="5" t="s">
        <v>1636</v>
      </c>
      <c r="AN173" s="4">
        <v>0</v>
      </c>
      <c r="AO173" t="s">
        <v>1635</v>
      </c>
      <c r="AP173" s="4" t="s">
        <v>1636</v>
      </c>
      <c r="AQ173" t="s">
        <v>1619</v>
      </c>
      <c r="AR173" t="s">
        <v>1620</v>
      </c>
      <c r="AT173" s="16" t="str">
        <f>_xlfn.XLOOKUP(B173,'SWiSH Demand Forecast Sep-26'!D:D,'SWiSH Demand Forecast Sep-26'!G:G,"Not Exist")</f>
        <v>Not Exist</v>
      </c>
    </row>
    <row r="174" spans="1:46" x14ac:dyDescent="0.3">
      <c r="A174">
        <v>103700127</v>
      </c>
      <c r="B174" t="s">
        <v>1924</v>
      </c>
      <c r="C174" t="s">
        <v>136</v>
      </c>
      <c r="D174" t="s">
        <v>1629</v>
      </c>
      <c r="E174" t="e">
        <v>#N/A</v>
      </c>
      <c r="F174" t="s">
        <v>1615</v>
      </c>
      <c r="G174" t="s">
        <v>1632</v>
      </c>
      <c r="H174" t="s">
        <v>1617</v>
      </c>
      <c r="I174" t="s">
        <v>1618</v>
      </c>
      <c r="J174" t="s">
        <v>136</v>
      </c>
      <c r="K174">
        <v>5</v>
      </c>
      <c r="L174">
        <v>0</v>
      </c>
      <c r="M174" s="1">
        <v>3</v>
      </c>
      <c r="N174">
        <v>0</v>
      </c>
      <c r="O174">
        <v>0</v>
      </c>
      <c r="P174">
        <v>0</v>
      </c>
      <c r="Q174" s="1">
        <v>0</v>
      </c>
      <c r="R174">
        <v>5</v>
      </c>
      <c r="S174" s="2">
        <v>45873</v>
      </c>
      <c r="T174" s="2">
        <v>46120</v>
      </c>
      <c r="U174">
        <v>5</v>
      </c>
      <c r="V174">
        <v>0</v>
      </c>
      <c r="W174">
        <v>0</v>
      </c>
      <c r="X174">
        <v>0</v>
      </c>
      <c r="Y174">
        <v>0</v>
      </c>
      <c r="Z174" s="8">
        <v>5</v>
      </c>
      <c r="AA174">
        <v>1.25</v>
      </c>
      <c r="AB174">
        <v>0</v>
      </c>
      <c r="AC174">
        <v>4</v>
      </c>
      <c r="AD174" s="1">
        <v>0</v>
      </c>
      <c r="AE174" s="2">
        <v>46248</v>
      </c>
      <c r="AF174" s="2">
        <v>46256</v>
      </c>
      <c r="AG174" s="2">
        <v>46263</v>
      </c>
      <c r="AH174">
        <v>0</v>
      </c>
      <c r="AI174" s="3">
        <v>0</v>
      </c>
      <c r="AJ174" s="1" t="s">
        <v>1635</v>
      </c>
      <c r="AK174" s="2" t="s">
        <v>1635</v>
      </c>
      <c r="AL174" s="4" t="s">
        <v>1636</v>
      </c>
      <c r="AM174" s="5" t="s">
        <v>1636</v>
      </c>
      <c r="AN174" s="4">
        <v>0</v>
      </c>
      <c r="AO174" t="s">
        <v>1635</v>
      </c>
      <c r="AP174" s="4" t="s">
        <v>1636</v>
      </c>
      <c r="AQ174" t="s">
        <v>1619</v>
      </c>
      <c r="AR174" t="s">
        <v>1620</v>
      </c>
      <c r="AT174" s="16" t="str">
        <f>_xlfn.XLOOKUP(B174,'SWiSH Demand Forecast Sep-26'!D:D,'SWiSH Demand Forecast Sep-26'!G:G,"Not Exist")</f>
        <v>Not Exist</v>
      </c>
    </row>
    <row r="175" spans="1:46" x14ac:dyDescent="0.3">
      <c r="A175">
        <v>102500017</v>
      </c>
      <c r="B175" t="s">
        <v>1925</v>
      </c>
      <c r="C175" t="s">
        <v>136</v>
      </c>
      <c r="D175" t="s">
        <v>1629</v>
      </c>
      <c r="E175" t="s">
        <v>1926</v>
      </c>
      <c r="F175" t="s">
        <v>1927</v>
      </c>
      <c r="G175" t="s">
        <v>1616</v>
      </c>
      <c r="H175" t="s">
        <v>1928</v>
      </c>
      <c r="I175" t="s">
        <v>1618</v>
      </c>
      <c r="J175" t="s">
        <v>1929</v>
      </c>
      <c r="K175">
        <v>1.2916666699999999</v>
      </c>
      <c r="L175">
        <v>0</v>
      </c>
      <c r="M175" s="1">
        <v>3</v>
      </c>
      <c r="N175">
        <v>0</v>
      </c>
      <c r="O175">
        <v>0</v>
      </c>
      <c r="P175">
        <v>0</v>
      </c>
      <c r="Q175" s="1">
        <v>0</v>
      </c>
      <c r="R175">
        <v>15.5</v>
      </c>
      <c r="S175" s="2">
        <v>45759</v>
      </c>
      <c r="T175" s="2">
        <v>46140</v>
      </c>
      <c r="U175">
        <v>6</v>
      </c>
      <c r="V175">
        <v>0</v>
      </c>
      <c r="W175">
        <v>0</v>
      </c>
      <c r="X175">
        <v>0</v>
      </c>
      <c r="Y175">
        <v>0</v>
      </c>
      <c r="Z175" s="8">
        <v>6</v>
      </c>
      <c r="AA175">
        <v>1.5</v>
      </c>
      <c r="AB175">
        <v>0</v>
      </c>
      <c r="AC175">
        <v>4</v>
      </c>
      <c r="AD175" s="1">
        <v>0</v>
      </c>
      <c r="AE175" s="2">
        <v>46248</v>
      </c>
      <c r="AF175" s="2">
        <v>46256</v>
      </c>
      <c r="AG175" s="2">
        <v>46263</v>
      </c>
      <c r="AH175">
        <v>0</v>
      </c>
      <c r="AI175" s="3">
        <v>0</v>
      </c>
      <c r="AJ175" s="1" t="s">
        <v>1635</v>
      </c>
      <c r="AK175" s="2" t="s">
        <v>1635</v>
      </c>
      <c r="AL175" s="4" t="s">
        <v>1636</v>
      </c>
      <c r="AM175" s="5" t="s">
        <v>1636</v>
      </c>
      <c r="AN175" s="4">
        <v>0</v>
      </c>
      <c r="AO175" t="s">
        <v>1635</v>
      </c>
      <c r="AP175" s="4" t="s">
        <v>1636</v>
      </c>
      <c r="AQ175" t="s">
        <v>1619</v>
      </c>
      <c r="AR175" t="s">
        <v>1620</v>
      </c>
      <c r="AT175" s="16" t="str">
        <f>_xlfn.XLOOKUP(B175,'SWiSH Demand Forecast Sep-26'!D:D,'SWiSH Demand Forecast Sep-26'!G:G,"Not Exist")</f>
        <v>Not Exist</v>
      </c>
    </row>
    <row r="176" spans="1:46" x14ac:dyDescent="0.3">
      <c r="A176">
        <v>103400037</v>
      </c>
      <c r="B176" t="s">
        <v>1930</v>
      </c>
      <c r="C176" t="s">
        <v>136</v>
      </c>
      <c r="D176" t="s">
        <v>1629</v>
      </c>
      <c r="E176" t="s">
        <v>1732</v>
      </c>
      <c r="F176" t="s">
        <v>1752</v>
      </c>
      <c r="G176" t="s">
        <v>1616</v>
      </c>
      <c r="H176" t="s">
        <v>1931</v>
      </c>
      <c r="I176" t="s">
        <v>1754</v>
      </c>
      <c r="J176" t="s">
        <v>136</v>
      </c>
      <c r="K176">
        <v>1.5</v>
      </c>
      <c r="L176">
        <v>0</v>
      </c>
      <c r="M176" s="1">
        <v>3</v>
      </c>
      <c r="N176">
        <v>0</v>
      </c>
      <c r="O176">
        <v>0</v>
      </c>
      <c r="P176">
        <v>0</v>
      </c>
      <c r="Q176" s="1">
        <v>0</v>
      </c>
      <c r="R176">
        <v>15</v>
      </c>
      <c r="S176" s="2">
        <v>46104</v>
      </c>
      <c r="T176" s="2">
        <v>46122</v>
      </c>
      <c r="U176">
        <v>590</v>
      </c>
      <c r="V176">
        <v>0</v>
      </c>
      <c r="W176">
        <v>0</v>
      </c>
      <c r="X176">
        <v>0</v>
      </c>
      <c r="Y176">
        <v>0</v>
      </c>
      <c r="Z176" s="8">
        <v>590</v>
      </c>
      <c r="AA176">
        <v>147.5</v>
      </c>
      <c r="AB176">
        <v>0</v>
      </c>
      <c r="AC176">
        <v>4</v>
      </c>
      <c r="AD176" s="1">
        <v>0</v>
      </c>
      <c r="AE176" s="2">
        <v>46248</v>
      </c>
      <c r="AF176" s="2">
        <v>46256</v>
      </c>
      <c r="AG176" s="2">
        <v>46263</v>
      </c>
      <c r="AH176">
        <v>0</v>
      </c>
      <c r="AI176" s="3">
        <v>0</v>
      </c>
      <c r="AJ176" s="1" t="s">
        <v>1635</v>
      </c>
      <c r="AK176" s="2" t="s">
        <v>1635</v>
      </c>
      <c r="AL176" s="4" t="s">
        <v>1636</v>
      </c>
      <c r="AM176" s="5" t="s">
        <v>1636</v>
      </c>
      <c r="AN176" s="4">
        <v>0</v>
      </c>
      <c r="AO176" t="s">
        <v>1635</v>
      </c>
      <c r="AP176" s="4" t="s">
        <v>1636</v>
      </c>
      <c r="AQ176" t="s">
        <v>1619</v>
      </c>
      <c r="AR176" t="s">
        <v>1620</v>
      </c>
      <c r="AS176" t="s">
        <v>1666</v>
      </c>
      <c r="AT176" s="16" t="str">
        <f>_xlfn.XLOOKUP(B176,'SWiSH Demand Forecast Sep-26'!D:D,'SWiSH Demand Forecast Sep-26'!G:G,"Not Exist")</f>
        <v>Not Exist</v>
      </c>
    </row>
    <row r="177" spans="1:46" x14ac:dyDescent="0.3">
      <c r="A177">
        <v>101200035</v>
      </c>
      <c r="B177" t="s">
        <v>1932</v>
      </c>
      <c r="C177" t="s">
        <v>136</v>
      </c>
      <c r="D177" t="s">
        <v>1629</v>
      </c>
      <c r="E177" t="s">
        <v>1819</v>
      </c>
      <c r="F177" t="s">
        <v>1833</v>
      </c>
      <c r="G177" t="s">
        <v>1616</v>
      </c>
      <c r="H177" t="s">
        <v>1625</v>
      </c>
      <c r="I177" t="s">
        <v>1626</v>
      </c>
      <c r="J177" t="s">
        <v>136</v>
      </c>
      <c r="K177">
        <v>2.75</v>
      </c>
      <c r="L177">
        <v>0</v>
      </c>
      <c r="M177" s="1">
        <v>3</v>
      </c>
      <c r="N177">
        <v>0</v>
      </c>
      <c r="O177">
        <v>0</v>
      </c>
      <c r="P177">
        <v>0</v>
      </c>
      <c r="Q177" s="1">
        <v>0</v>
      </c>
      <c r="R177">
        <v>2.75</v>
      </c>
      <c r="S177" s="2">
        <v>45880</v>
      </c>
      <c r="T177" s="2">
        <v>46173</v>
      </c>
      <c r="U177">
        <v>0</v>
      </c>
      <c r="V177">
        <v>9.9600000000000009</v>
      </c>
      <c r="W177">
        <v>0</v>
      </c>
      <c r="X177">
        <v>0</v>
      </c>
      <c r="Y177">
        <v>0</v>
      </c>
      <c r="Z177" s="8">
        <v>9.9600000000000009</v>
      </c>
      <c r="AA177">
        <v>2.4900000000000002</v>
      </c>
      <c r="AB177">
        <v>0</v>
      </c>
      <c r="AC177">
        <v>4</v>
      </c>
      <c r="AD177" s="1">
        <v>0</v>
      </c>
      <c r="AE177" s="2">
        <v>46248</v>
      </c>
      <c r="AF177" s="2">
        <v>46256</v>
      </c>
      <c r="AG177" s="2">
        <v>46263</v>
      </c>
      <c r="AH177">
        <v>0</v>
      </c>
      <c r="AI177" s="3">
        <v>0</v>
      </c>
      <c r="AJ177" s="1" t="s">
        <v>1635</v>
      </c>
      <c r="AK177" s="2" t="s">
        <v>1635</v>
      </c>
      <c r="AL177" s="4" t="s">
        <v>1636</v>
      </c>
      <c r="AM177" s="5" t="s">
        <v>1636</v>
      </c>
      <c r="AN177" s="4">
        <v>0</v>
      </c>
      <c r="AO177" t="s">
        <v>1635</v>
      </c>
      <c r="AP177" s="4" t="s">
        <v>1636</v>
      </c>
      <c r="AQ177" t="s">
        <v>1619</v>
      </c>
      <c r="AR177" t="s">
        <v>1620</v>
      </c>
      <c r="AT177" s="16" t="str">
        <f>_xlfn.XLOOKUP(B177,'SWiSH Demand Forecast Sep-26'!D:D,'SWiSH Demand Forecast Sep-26'!G:G,"Not Exist")</f>
        <v>Not Exist</v>
      </c>
    </row>
    <row r="178" spans="1:46" x14ac:dyDescent="0.3">
      <c r="A178">
        <v>103700072</v>
      </c>
      <c r="B178" t="s">
        <v>1933</v>
      </c>
      <c r="C178" t="s">
        <v>136</v>
      </c>
      <c r="D178" t="s">
        <v>1675</v>
      </c>
      <c r="E178" t="s">
        <v>1732</v>
      </c>
      <c r="F178" t="s">
        <v>1615</v>
      </c>
      <c r="G178" t="s">
        <v>1686</v>
      </c>
      <c r="H178" t="s">
        <v>1617</v>
      </c>
      <c r="I178" t="s">
        <v>1618</v>
      </c>
      <c r="J178" t="s">
        <v>1934</v>
      </c>
      <c r="K178">
        <v>5.8334000000000001</v>
      </c>
      <c r="L178">
        <v>0</v>
      </c>
      <c r="M178" s="1">
        <v>3</v>
      </c>
      <c r="N178">
        <v>0</v>
      </c>
      <c r="O178">
        <v>0</v>
      </c>
      <c r="P178">
        <v>0</v>
      </c>
      <c r="Q178" s="1">
        <v>0</v>
      </c>
      <c r="R178">
        <v>2.4</v>
      </c>
      <c r="S178" s="2">
        <v>45895</v>
      </c>
      <c r="T178" s="2">
        <v>46157</v>
      </c>
      <c r="U178">
        <v>0</v>
      </c>
      <c r="V178">
        <v>5.0250000000000004</v>
      </c>
      <c r="W178">
        <v>0</v>
      </c>
      <c r="X178">
        <v>0</v>
      </c>
      <c r="Y178">
        <v>0</v>
      </c>
      <c r="Z178" s="8">
        <v>5.0250000000000004</v>
      </c>
      <c r="AA178">
        <v>1.2562500000000001</v>
      </c>
      <c r="AB178">
        <v>0</v>
      </c>
      <c r="AC178">
        <v>4</v>
      </c>
      <c r="AD178" s="1">
        <v>0</v>
      </c>
      <c r="AE178" s="2">
        <v>46248</v>
      </c>
      <c r="AF178" s="2">
        <v>46256</v>
      </c>
      <c r="AG178" s="2">
        <v>46263</v>
      </c>
      <c r="AH178">
        <v>0</v>
      </c>
      <c r="AI178" s="3">
        <v>0</v>
      </c>
      <c r="AJ178" s="1" t="s">
        <v>1635</v>
      </c>
      <c r="AK178" s="2" t="s">
        <v>1635</v>
      </c>
      <c r="AL178" s="4" t="s">
        <v>1658</v>
      </c>
      <c r="AM178" s="5" t="s">
        <v>1658</v>
      </c>
      <c r="AN178" s="4">
        <v>0</v>
      </c>
      <c r="AO178" t="s">
        <v>1635</v>
      </c>
      <c r="AP178" s="4" t="s">
        <v>1658</v>
      </c>
      <c r="AQ178" t="s">
        <v>1619</v>
      </c>
      <c r="AR178" t="s">
        <v>1620</v>
      </c>
      <c r="AT178" s="16" t="str">
        <f>_xlfn.XLOOKUP(B178,'SWiSH Demand Forecast Sep-26'!D:D,'SWiSH Demand Forecast Sep-26'!G:G,"Not Exist")</f>
        <v>Not Exist</v>
      </c>
    </row>
    <row r="179" spans="1:46" x14ac:dyDescent="0.3">
      <c r="A179">
        <v>106200156</v>
      </c>
      <c r="B179" t="s">
        <v>1935</v>
      </c>
      <c r="C179" t="s">
        <v>240</v>
      </c>
      <c r="D179" t="s">
        <v>1789</v>
      </c>
      <c r="E179" t="s">
        <v>1832</v>
      </c>
      <c r="F179" t="s">
        <v>1840</v>
      </c>
      <c r="G179" t="s">
        <v>1686</v>
      </c>
      <c r="H179" t="s">
        <v>1672</v>
      </c>
      <c r="I179" t="s">
        <v>1618</v>
      </c>
      <c r="J179" t="s">
        <v>1936</v>
      </c>
      <c r="K179">
        <v>4.9603174599999997</v>
      </c>
      <c r="L179">
        <v>0</v>
      </c>
      <c r="M179" s="1">
        <v>3</v>
      </c>
      <c r="N179">
        <v>0</v>
      </c>
      <c r="O179">
        <v>0</v>
      </c>
      <c r="P179">
        <v>0</v>
      </c>
      <c r="Q179" s="1">
        <v>0</v>
      </c>
      <c r="R179">
        <v>18.75</v>
      </c>
      <c r="S179" s="2">
        <v>45990</v>
      </c>
      <c r="T179" s="2">
        <v>46161</v>
      </c>
      <c r="U179">
        <v>0</v>
      </c>
      <c r="V179">
        <v>7.58</v>
      </c>
      <c r="W179">
        <v>0</v>
      </c>
      <c r="X179">
        <v>0</v>
      </c>
      <c r="Y179">
        <v>0</v>
      </c>
      <c r="Z179" s="8">
        <v>7.58</v>
      </c>
      <c r="AA179">
        <v>1.895</v>
      </c>
      <c r="AB179">
        <v>0</v>
      </c>
      <c r="AC179">
        <v>4</v>
      </c>
      <c r="AD179" s="1">
        <v>0</v>
      </c>
      <c r="AE179" s="2">
        <v>46248</v>
      </c>
      <c r="AF179" s="2">
        <v>46256</v>
      </c>
      <c r="AG179" s="2">
        <v>46263</v>
      </c>
      <c r="AH179">
        <v>0</v>
      </c>
      <c r="AI179" s="3">
        <v>0</v>
      </c>
      <c r="AJ179" s="1" t="s">
        <v>1635</v>
      </c>
      <c r="AK179" s="2" t="s">
        <v>1635</v>
      </c>
      <c r="AL179" s="4" t="s">
        <v>1658</v>
      </c>
      <c r="AM179" s="5" t="s">
        <v>1658</v>
      </c>
      <c r="AN179" s="4">
        <v>0</v>
      </c>
      <c r="AO179" t="s">
        <v>1635</v>
      </c>
      <c r="AP179" s="4" t="s">
        <v>1658</v>
      </c>
      <c r="AQ179" t="s">
        <v>1619</v>
      </c>
      <c r="AR179" t="s">
        <v>1620</v>
      </c>
      <c r="AT179" s="16" t="str">
        <f>_xlfn.XLOOKUP(B179,'SWiSH Demand Forecast Sep-26'!D:D,'SWiSH Demand Forecast Sep-26'!G:G,"Not Exist")</f>
        <v>Not Exist</v>
      </c>
    </row>
    <row r="180" spans="1:46" x14ac:dyDescent="0.3">
      <c r="A180">
        <v>103400039</v>
      </c>
      <c r="B180" t="s">
        <v>1937</v>
      </c>
      <c r="C180" t="s">
        <v>136</v>
      </c>
      <c r="D180" t="s">
        <v>1629</v>
      </c>
      <c r="E180" t="s">
        <v>1663</v>
      </c>
      <c r="F180" t="s">
        <v>1752</v>
      </c>
      <c r="G180" t="s">
        <v>1616</v>
      </c>
      <c r="H180" t="s">
        <v>1931</v>
      </c>
      <c r="I180" t="s">
        <v>1754</v>
      </c>
      <c r="J180" t="s">
        <v>136</v>
      </c>
      <c r="K180">
        <v>0.8</v>
      </c>
      <c r="L180">
        <v>0</v>
      </c>
      <c r="M180" s="1">
        <v>3</v>
      </c>
      <c r="N180">
        <v>0</v>
      </c>
      <c r="O180">
        <v>0</v>
      </c>
      <c r="P180">
        <v>0</v>
      </c>
      <c r="Q180" s="1">
        <v>0</v>
      </c>
      <c r="R180">
        <v>8</v>
      </c>
      <c r="S180" s="2">
        <v>46112</v>
      </c>
      <c r="T180" s="2">
        <v>46138</v>
      </c>
      <c r="U180">
        <v>150</v>
      </c>
      <c r="V180">
        <v>0</v>
      </c>
      <c r="W180">
        <v>0</v>
      </c>
      <c r="X180">
        <v>0</v>
      </c>
      <c r="Y180">
        <v>0</v>
      </c>
      <c r="Z180" s="8">
        <v>150</v>
      </c>
      <c r="AA180">
        <v>37.5</v>
      </c>
      <c r="AB180">
        <v>0</v>
      </c>
      <c r="AC180">
        <v>4</v>
      </c>
      <c r="AD180" s="1">
        <v>0</v>
      </c>
      <c r="AE180" s="2">
        <v>46248</v>
      </c>
      <c r="AF180" s="2">
        <v>46256</v>
      </c>
      <c r="AG180" s="2">
        <v>46263</v>
      </c>
      <c r="AH180">
        <v>0</v>
      </c>
      <c r="AI180" s="3">
        <v>0</v>
      </c>
      <c r="AJ180" s="1" t="s">
        <v>1635</v>
      </c>
      <c r="AK180" s="2" t="s">
        <v>1635</v>
      </c>
      <c r="AL180" s="4" t="s">
        <v>1636</v>
      </c>
      <c r="AM180" s="5" t="s">
        <v>1636</v>
      </c>
      <c r="AN180" s="4">
        <v>0</v>
      </c>
      <c r="AO180" t="s">
        <v>1635</v>
      </c>
      <c r="AP180" s="4" t="s">
        <v>1636</v>
      </c>
      <c r="AQ180" t="s">
        <v>1619</v>
      </c>
      <c r="AR180" t="s">
        <v>1620</v>
      </c>
      <c r="AS180" t="s">
        <v>1666</v>
      </c>
      <c r="AT180" s="16" t="str">
        <f>_xlfn.XLOOKUP(B180,'SWiSH Demand Forecast Sep-26'!D:D,'SWiSH Demand Forecast Sep-26'!G:G,"Not Exist")</f>
        <v>Not Exist</v>
      </c>
    </row>
    <row r="181" spans="1:46" x14ac:dyDescent="0.3">
      <c r="A181">
        <v>102100002</v>
      </c>
      <c r="B181" t="s">
        <v>1938</v>
      </c>
      <c r="C181" t="s">
        <v>136</v>
      </c>
      <c r="D181" t="s">
        <v>1629</v>
      </c>
      <c r="E181" t="s">
        <v>1732</v>
      </c>
      <c r="F181" t="s">
        <v>1752</v>
      </c>
      <c r="G181" t="s">
        <v>1624</v>
      </c>
      <c r="H181" t="s">
        <v>1939</v>
      </c>
      <c r="I181" t="s">
        <v>1754</v>
      </c>
      <c r="J181" t="s">
        <v>1929</v>
      </c>
      <c r="K181">
        <v>2.4155000000000002</v>
      </c>
      <c r="L181">
        <v>0</v>
      </c>
      <c r="M181" s="1">
        <v>3</v>
      </c>
      <c r="N181">
        <v>0</v>
      </c>
      <c r="O181">
        <v>0</v>
      </c>
      <c r="P181">
        <v>0</v>
      </c>
      <c r="Q181" s="1">
        <v>0</v>
      </c>
      <c r="R181">
        <v>38</v>
      </c>
      <c r="S181" s="2">
        <v>46134</v>
      </c>
      <c r="T181" s="2">
        <v>46221</v>
      </c>
      <c r="U181">
        <v>12</v>
      </c>
      <c r="V181">
        <v>0</v>
      </c>
      <c r="W181">
        <v>12</v>
      </c>
      <c r="X181">
        <v>36</v>
      </c>
      <c r="Y181">
        <v>0</v>
      </c>
      <c r="Z181" s="8">
        <v>36</v>
      </c>
      <c r="AA181">
        <v>15</v>
      </c>
      <c r="AB181">
        <v>0</v>
      </c>
      <c r="AC181">
        <v>2.4</v>
      </c>
      <c r="AD181" s="1">
        <v>0</v>
      </c>
      <c r="AE181" s="2">
        <v>46248</v>
      </c>
      <c r="AF181" s="2">
        <v>46256</v>
      </c>
      <c r="AG181" s="2">
        <v>46263</v>
      </c>
      <c r="AH181">
        <v>0</v>
      </c>
      <c r="AI181" s="3">
        <v>0</v>
      </c>
      <c r="AJ181" s="1" t="s">
        <v>1635</v>
      </c>
      <c r="AK181" s="2" t="s">
        <v>1635</v>
      </c>
      <c r="AL181" s="4" t="s">
        <v>1636</v>
      </c>
      <c r="AM181" s="5" t="s">
        <v>1636</v>
      </c>
      <c r="AN181" s="4">
        <v>0</v>
      </c>
      <c r="AO181" t="s">
        <v>1635</v>
      </c>
      <c r="AP181" s="4" t="s">
        <v>1636</v>
      </c>
      <c r="AQ181" t="s">
        <v>1619</v>
      </c>
      <c r="AR181" t="s">
        <v>1620</v>
      </c>
      <c r="AT181" s="16" t="str">
        <f>_xlfn.XLOOKUP(B181,'SWiSH Demand Forecast Sep-26'!D:D,'SWiSH Demand Forecast Sep-26'!G:G,"Not Exist")</f>
        <v>Not Exist</v>
      </c>
    </row>
    <row r="182" spans="1:46" hidden="1" x14ac:dyDescent="0.3">
      <c r="A182">
        <v>100100155</v>
      </c>
      <c r="B182" t="s">
        <v>1503</v>
      </c>
      <c r="C182" t="s">
        <v>136</v>
      </c>
      <c r="D182" t="s">
        <v>1629</v>
      </c>
      <c r="E182" t="s">
        <v>1940</v>
      </c>
      <c r="F182" t="s">
        <v>1941</v>
      </c>
      <c r="G182" t="s">
        <v>1616</v>
      </c>
      <c r="H182" t="s">
        <v>1877</v>
      </c>
      <c r="I182" t="s">
        <v>1618</v>
      </c>
      <c r="J182" t="s">
        <v>1942</v>
      </c>
      <c r="K182">
        <v>1.5714300000000001</v>
      </c>
      <c r="L182">
        <v>0</v>
      </c>
      <c r="M182" s="1">
        <v>3</v>
      </c>
      <c r="N182">
        <v>0</v>
      </c>
      <c r="O182">
        <v>0</v>
      </c>
      <c r="P182">
        <v>0</v>
      </c>
      <c r="Q182" s="1">
        <v>0</v>
      </c>
      <c r="R182">
        <v>17</v>
      </c>
      <c r="S182" s="2">
        <v>46099</v>
      </c>
      <c r="T182" s="2">
        <v>46170</v>
      </c>
      <c r="U182">
        <v>0</v>
      </c>
      <c r="V182">
        <v>80</v>
      </c>
      <c r="W182">
        <v>0</v>
      </c>
      <c r="X182">
        <v>0</v>
      </c>
      <c r="Y182">
        <v>0</v>
      </c>
      <c r="Z182" s="8">
        <v>80</v>
      </c>
      <c r="AA182">
        <v>20</v>
      </c>
      <c r="AB182">
        <v>0</v>
      </c>
      <c r="AC182">
        <v>4</v>
      </c>
      <c r="AD182" s="1">
        <v>0</v>
      </c>
      <c r="AE182" s="2">
        <v>46248</v>
      </c>
      <c r="AF182" s="2">
        <v>46256</v>
      </c>
      <c r="AG182" s="2">
        <v>46263</v>
      </c>
      <c r="AH182">
        <v>0</v>
      </c>
      <c r="AI182" s="3">
        <v>0</v>
      </c>
      <c r="AJ182" s="1" t="s">
        <v>1635</v>
      </c>
      <c r="AK182" s="2" t="s">
        <v>1635</v>
      </c>
      <c r="AL182" s="4" t="s">
        <v>1658</v>
      </c>
      <c r="AM182" s="5" t="s">
        <v>1658</v>
      </c>
      <c r="AN182" s="4">
        <v>0</v>
      </c>
      <c r="AO182" t="s">
        <v>1635</v>
      </c>
      <c r="AP182" s="4" t="s">
        <v>1658</v>
      </c>
      <c r="AQ182" t="s">
        <v>1619</v>
      </c>
      <c r="AR182" t="s">
        <v>1620</v>
      </c>
      <c r="AT182" s="16">
        <f>_xlfn.XLOOKUP(B182,'SWiSH Demand Forecast Sep-26'!D:D,'SWiSH Demand Forecast Sep-26'!G:G,"Not Exist")</f>
        <v>3.2916923076922999</v>
      </c>
    </row>
    <row r="183" spans="1:46" x14ac:dyDescent="0.3">
      <c r="A183">
        <v>107200183</v>
      </c>
      <c r="B183" t="s">
        <v>1943</v>
      </c>
      <c r="C183" t="s">
        <v>10</v>
      </c>
      <c r="D183" t="s">
        <v>1675</v>
      </c>
      <c r="E183" t="s">
        <v>1685</v>
      </c>
      <c r="F183" t="s">
        <v>1656</v>
      </c>
      <c r="G183" t="s">
        <v>1690</v>
      </c>
      <c r="H183" t="s">
        <v>1657</v>
      </c>
      <c r="I183" t="s">
        <v>1634</v>
      </c>
      <c r="J183" t="e">
        <v>#N/A</v>
      </c>
      <c r="K183">
        <v>0</v>
      </c>
      <c r="L183">
        <v>0</v>
      </c>
      <c r="M183" s="1">
        <v>7</v>
      </c>
      <c r="N183">
        <v>0</v>
      </c>
      <c r="O183">
        <v>0</v>
      </c>
      <c r="P183">
        <v>0</v>
      </c>
      <c r="Q183" s="1">
        <v>0</v>
      </c>
      <c r="R183">
        <v>3</v>
      </c>
      <c r="S183" s="2">
        <v>46186</v>
      </c>
      <c r="T183" s="2">
        <v>46188</v>
      </c>
      <c r="U183">
        <v>0</v>
      </c>
      <c r="V183">
        <v>0</v>
      </c>
      <c r="W183">
        <v>18</v>
      </c>
      <c r="X183">
        <v>0</v>
      </c>
      <c r="Y183">
        <v>0</v>
      </c>
      <c r="Z183" s="8">
        <v>18</v>
      </c>
      <c r="AA183">
        <v>4.5</v>
      </c>
      <c r="AB183">
        <v>0</v>
      </c>
      <c r="AC183">
        <v>4</v>
      </c>
      <c r="AD183" s="1">
        <v>0</v>
      </c>
      <c r="AE183" s="2">
        <v>46248</v>
      </c>
      <c r="AF183" s="2">
        <v>46256</v>
      </c>
      <c r="AG183" s="2">
        <v>46263</v>
      </c>
      <c r="AH183">
        <v>0</v>
      </c>
      <c r="AI183" s="3">
        <v>0</v>
      </c>
      <c r="AJ183" s="1" t="s">
        <v>1635</v>
      </c>
      <c r="AK183" s="2" t="s">
        <v>1635</v>
      </c>
      <c r="AL183" s="4" t="s">
        <v>1658</v>
      </c>
      <c r="AM183" s="5" t="s">
        <v>1658</v>
      </c>
      <c r="AN183" s="4">
        <v>0</v>
      </c>
      <c r="AO183" t="s">
        <v>1635</v>
      </c>
      <c r="AP183" s="4" t="s">
        <v>1658</v>
      </c>
      <c r="AQ183" t="s">
        <v>1619</v>
      </c>
      <c r="AR183" t="s">
        <v>1620</v>
      </c>
      <c r="AT183" s="16" t="str">
        <f>_xlfn.XLOOKUP(B183,'SWiSH Demand Forecast Sep-26'!D:D,'SWiSH Demand Forecast Sep-26'!G:G,"Not Exist")</f>
        <v>Not Exist</v>
      </c>
    </row>
    <row r="184" spans="1:46" x14ac:dyDescent="0.3">
      <c r="A184">
        <v>104600141</v>
      </c>
      <c r="B184" t="s">
        <v>1944</v>
      </c>
      <c r="C184" t="s">
        <v>10</v>
      </c>
      <c r="D184" t="s">
        <v>1675</v>
      </c>
      <c r="E184" t="s">
        <v>1945</v>
      </c>
      <c r="F184" t="s">
        <v>1946</v>
      </c>
      <c r="G184" t="s">
        <v>1704</v>
      </c>
      <c r="H184" t="s">
        <v>1945</v>
      </c>
      <c r="I184" t="s">
        <v>1634</v>
      </c>
      <c r="J184" t="e">
        <v>#N/A</v>
      </c>
      <c r="K184">
        <v>0.51375000000000004</v>
      </c>
      <c r="L184">
        <v>0</v>
      </c>
      <c r="M184" s="1">
        <v>15</v>
      </c>
      <c r="N184">
        <v>0</v>
      </c>
      <c r="O184">
        <v>0</v>
      </c>
      <c r="P184">
        <v>0</v>
      </c>
      <c r="Q184" s="1">
        <v>0</v>
      </c>
      <c r="R184">
        <v>0</v>
      </c>
      <c r="S184" s="2">
        <v>0</v>
      </c>
      <c r="T184" s="2">
        <v>46212</v>
      </c>
      <c r="U184">
        <v>0</v>
      </c>
      <c r="V184">
        <v>0</v>
      </c>
      <c r="W184">
        <v>0</v>
      </c>
      <c r="X184">
        <v>236</v>
      </c>
      <c r="Y184">
        <v>0</v>
      </c>
      <c r="Z184" s="8">
        <v>236</v>
      </c>
      <c r="AA184">
        <v>59</v>
      </c>
      <c r="AB184">
        <v>0</v>
      </c>
      <c r="AC184">
        <v>4</v>
      </c>
      <c r="AD184" s="1">
        <v>0</v>
      </c>
      <c r="AE184" s="2">
        <v>46248</v>
      </c>
      <c r="AF184" s="2">
        <v>46256</v>
      </c>
      <c r="AG184" s="2">
        <v>46263</v>
      </c>
      <c r="AH184">
        <v>0</v>
      </c>
      <c r="AI184" s="3">
        <v>0</v>
      </c>
      <c r="AJ184" s="1" t="s">
        <v>1635</v>
      </c>
      <c r="AK184" s="2" t="s">
        <v>1635</v>
      </c>
      <c r="AL184" s="4" t="s">
        <v>1658</v>
      </c>
      <c r="AM184" s="5" t="s">
        <v>1658</v>
      </c>
      <c r="AN184" s="4">
        <v>0</v>
      </c>
      <c r="AO184" t="s">
        <v>1635</v>
      </c>
      <c r="AP184" s="4" t="s">
        <v>1658</v>
      </c>
      <c r="AQ184" t="s">
        <v>1619</v>
      </c>
      <c r="AR184" t="s">
        <v>1620</v>
      </c>
      <c r="AT184" s="16" t="str">
        <f>_xlfn.XLOOKUP(B184,'SWiSH Demand Forecast Sep-26'!D:D,'SWiSH Demand Forecast Sep-26'!G:G,"Not Exist")</f>
        <v>Not Exist</v>
      </c>
    </row>
    <row r="185" spans="1:46" x14ac:dyDescent="0.3">
      <c r="A185">
        <v>104600143</v>
      </c>
      <c r="B185" t="s">
        <v>1947</v>
      </c>
      <c r="C185" t="s">
        <v>10</v>
      </c>
      <c r="D185" t="s">
        <v>1675</v>
      </c>
      <c r="E185" t="s">
        <v>1945</v>
      </c>
      <c r="F185" t="s">
        <v>1946</v>
      </c>
      <c r="G185" t="s">
        <v>1704</v>
      </c>
      <c r="H185" t="s">
        <v>1945</v>
      </c>
      <c r="I185" t="s">
        <v>1634</v>
      </c>
      <c r="J185" t="e">
        <v>#N/A</v>
      </c>
      <c r="K185">
        <v>0.76473000000000002</v>
      </c>
      <c r="L185">
        <v>0</v>
      </c>
      <c r="M185" s="1">
        <v>15</v>
      </c>
      <c r="N185">
        <v>0</v>
      </c>
      <c r="O185">
        <v>0</v>
      </c>
      <c r="P185">
        <v>0</v>
      </c>
      <c r="Q185" s="1">
        <v>0</v>
      </c>
      <c r="R185">
        <v>0</v>
      </c>
      <c r="S185" s="2">
        <v>0</v>
      </c>
      <c r="T185" s="2">
        <v>46212</v>
      </c>
      <c r="U185">
        <v>0</v>
      </c>
      <c r="V185">
        <v>0</v>
      </c>
      <c r="W185">
        <v>0</v>
      </c>
      <c r="X185">
        <v>235</v>
      </c>
      <c r="Y185">
        <v>0</v>
      </c>
      <c r="Z185" s="8">
        <v>235</v>
      </c>
      <c r="AA185">
        <v>58.75</v>
      </c>
      <c r="AB185">
        <v>0</v>
      </c>
      <c r="AC185">
        <v>4</v>
      </c>
      <c r="AD185" s="1">
        <v>0</v>
      </c>
      <c r="AE185" s="2">
        <v>46248</v>
      </c>
      <c r="AF185" s="2">
        <v>46256</v>
      </c>
      <c r="AG185" s="2">
        <v>46263</v>
      </c>
      <c r="AH185">
        <v>0</v>
      </c>
      <c r="AI185" s="3">
        <v>0</v>
      </c>
      <c r="AJ185" s="1" t="s">
        <v>1635</v>
      </c>
      <c r="AK185" s="2" t="s">
        <v>1635</v>
      </c>
      <c r="AL185" s="4" t="s">
        <v>1658</v>
      </c>
      <c r="AM185" s="5" t="s">
        <v>1658</v>
      </c>
      <c r="AN185" s="4">
        <v>0</v>
      </c>
      <c r="AO185" t="s">
        <v>1635</v>
      </c>
      <c r="AP185" s="4" t="s">
        <v>1658</v>
      </c>
      <c r="AQ185" t="s">
        <v>1619</v>
      </c>
      <c r="AR185" t="s">
        <v>1620</v>
      </c>
      <c r="AT185" s="16" t="str">
        <f>_xlfn.XLOOKUP(B185,'SWiSH Demand Forecast Sep-26'!D:D,'SWiSH Demand Forecast Sep-26'!G:G,"Not Exist")</f>
        <v>Not Exist</v>
      </c>
    </row>
    <row r="186" spans="1:46" x14ac:dyDescent="0.3">
      <c r="A186">
        <v>104600157</v>
      </c>
      <c r="B186" t="s">
        <v>1948</v>
      </c>
      <c r="C186" t="s">
        <v>10</v>
      </c>
      <c r="D186" t="s">
        <v>1675</v>
      </c>
      <c r="E186" t="s">
        <v>1949</v>
      </c>
      <c r="F186" t="s">
        <v>1631</v>
      </c>
      <c r="G186" t="s">
        <v>1704</v>
      </c>
      <c r="H186" t="s">
        <v>1945</v>
      </c>
      <c r="I186" t="s">
        <v>1634</v>
      </c>
      <c r="J186" t="e">
        <v>#N/A</v>
      </c>
      <c r="K186">
        <v>0.83438000000000001</v>
      </c>
      <c r="L186">
        <v>0</v>
      </c>
      <c r="M186" s="1">
        <v>7</v>
      </c>
      <c r="N186">
        <v>0</v>
      </c>
      <c r="O186">
        <v>0</v>
      </c>
      <c r="P186">
        <v>0</v>
      </c>
      <c r="Q186" s="1">
        <v>0</v>
      </c>
      <c r="R186">
        <v>0.83438000000000001</v>
      </c>
      <c r="S186" s="2">
        <v>45389</v>
      </c>
      <c r="T186" s="2">
        <v>46212</v>
      </c>
      <c r="U186">
        <v>0</v>
      </c>
      <c r="V186">
        <v>0</v>
      </c>
      <c r="W186">
        <v>0</v>
      </c>
      <c r="X186">
        <v>1170</v>
      </c>
      <c r="Y186">
        <v>0</v>
      </c>
      <c r="Z186" s="8">
        <v>1170</v>
      </c>
      <c r="AA186">
        <v>292.5</v>
      </c>
      <c r="AB186">
        <v>0</v>
      </c>
      <c r="AC186">
        <v>4</v>
      </c>
      <c r="AD186" s="1">
        <v>0</v>
      </c>
      <c r="AE186" s="2">
        <v>46248</v>
      </c>
      <c r="AF186" s="2">
        <v>46256</v>
      </c>
      <c r="AG186" s="2">
        <v>46263</v>
      </c>
      <c r="AH186">
        <v>0</v>
      </c>
      <c r="AI186" s="3">
        <v>0</v>
      </c>
      <c r="AJ186" s="1" t="s">
        <v>1635</v>
      </c>
      <c r="AK186" s="2" t="s">
        <v>1635</v>
      </c>
      <c r="AL186" s="4" t="s">
        <v>1658</v>
      </c>
      <c r="AM186" s="5" t="s">
        <v>1658</v>
      </c>
      <c r="AN186" s="4">
        <v>0</v>
      </c>
      <c r="AO186" t="s">
        <v>1635</v>
      </c>
      <c r="AP186" s="4" t="s">
        <v>1658</v>
      </c>
      <c r="AQ186" t="s">
        <v>1619</v>
      </c>
      <c r="AR186" t="s">
        <v>1620</v>
      </c>
      <c r="AT186" s="16" t="str">
        <f>_xlfn.XLOOKUP(B186,'SWiSH Demand Forecast Sep-26'!D:D,'SWiSH Demand Forecast Sep-26'!G:G,"Not Exist")</f>
        <v>Not Exist</v>
      </c>
    </row>
    <row r="187" spans="1:46" x14ac:dyDescent="0.3">
      <c r="A187">
        <v>107200132</v>
      </c>
      <c r="B187" t="s">
        <v>1950</v>
      </c>
      <c r="C187" t="s">
        <v>10</v>
      </c>
      <c r="D187" t="s">
        <v>1675</v>
      </c>
      <c r="E187" t="s">
        <v>1683</v>
      </c>
      <c r="F187" t="s">
        <v>1656</v>
      </c>
      <c r="G187" t="s">
        <v>1632</v>
      </c>
      <c r="H187" t="s">
        <v>1657</v>
      </c>
      <c r="I187" t="s">
        <v>1634</v>
      </c>
      <c r="J187" t="s">
        <v>10</v>
      </c>
      <c r="K187">
        <v>3.25</v>
      </c>
      <c r="L187">
        <v>0</v>
      </c>
      <c r="M187" s="1">
        <v>15</v>
      </c>
      <c r="N187">
        <v>0</v>
      </c>
      <c r="O187">
        <v>0</v>
      </c>
      <c r="P187">
        <v>0</v>
      </c>
      <c r="Q187" s="1">
        <v>0</v>
      </c>
      <c r="R187">
        <v>3.5</v>
      </c>
      <c r="S187" s="2">
        <v>46217</v>
      </c>
      <c r="T187" s="2">
        <v>46217</v>
      </c>
      <c r="U187">
        <v>0</v>
      </c>
      <c r="V187">
        <v>0</v>
      </c>
      <c r="W187">
        <v>0</v>
      </c>
      <c r="X187">
        <v>8</v>
      </c>
      <c r="Y187">
        <v>0</v>
      </c>
      <c r="Z187" s="8">
        <v>8</v>
      </c>
      <c r="AA187">
        <v>2</v>
      </c>
      <c r="AB187">
        <v>0</v>
      </c>
      <c r="AC187">
        <v>4</v>
      </c>
      <c r="AD187" s="1">
        <v>0</v>
      </c>
      <c r="AE187" s="2">
        <v>46248</v>
      </c>
      <c r="AF187" s="2">
        <v>46256</v>
      </c>
      <c r="AG187" s="2">
        <v>46263</v>
      </c>
      <c r="AH187">
        <v>0</v>
      </c>
      <c r="AI187" s="3">
        <v>0</v>
      </c>
      <c r="AJ187" s="1" t="s">
        <v>1635</v>
      </c>
      <c r="AK187" s="2" t="s">
        <v>1635</v>
      </c>
      <c r="AL187" s="4" t="s">
        <v>1658</v>
      </c>
      <c r="AM187" s="5" t="s">
        <v>1658</v>
      </c>
      <c r="AN187" s="4">
        <v>0</v>
      </c>
      <c r="AO187" t="s">
        <v>1635</v>
      </c>
      <c r="AP187" s="4" t="s">
        <v>1658</v>
      </c>
      <c r="AQ187" t="s">
        <v>1619</v>
      </c>
      <c r="AR187" t="s">
        <v>1620</v>
      </c>
      <c r="AT187" s="16" t="str">
        <f>_xlfn.XLOOKUP(B187,'SWiSH Demand Forecast Sep-26'!D:D,'SWiSH Demand Forecast Sep-26'!G:G,"Not Exist")</f>
        <v>Not Exist</v>
      </c>
    </row>
    <row r="188" spans="1:46" x14ac:dyDescent="0.3">
      <c r="A188">
        <v>106700087</v>
      </c>
      <c r="B188" t="s">
        <v>1951</v>
      </c>
      <c r="C188" t="s">
        <v>10</v>
      </c>
      <c r="D188" t="s">
        <v>1629</v>
      </c>
      <c r="E188" t="s">
        <v>1638</v>
      </c>
      <c r="F188" t="s">
        <v>1650</v>
      </c>
      <c r="G188" t="s">
        <v>1632</v>
      </c>
      <c r="H188" t="s">
        <v>1651</v>
      </c>
      <c r="I188" t="s">
        <v>1634</v>
      </c>
      <c r="J188" t="e">
        <v>#N/A</v>
      </c>
      <c r="K188">
        <v>1.75</v>
      </c>
      <c r="L188">
        <v>0</v>
      </c>
      <c r="M188" s="1">
        <v>3</v>
      </c>
      <c r="N188">
        <v>0</v>
      </c>
      <c r="O188">
        <v>0</v>
      </c>
      <c r="P188">
        <v>0</v>
      </c>
      <c r="Q188" s="1">
        <v>0</v>
      </c>
      <c r="R188">
        <v>1.75</v>
      </c>
      <c r="S188" s="2">
        <v>45990</v>
      </c>
      <c r="T188" s="2">
        <v>46183</v>
      </c>
      <c r="U188">
        <v>0</v>
      </c>
      <c r="V188">
        <v>0</v>
      </c>
      <c r="W188">
        <v>3</v>
      </c>
      <c r="X188">
        <v>0</v>
      </c>
      <c r="Y188">
        <v>0</v>
      </c>
      <c r="Z188" s="8">
        <v>3</v>
      </c>
      <c r="AA188">
        <v>0.75</v>
      </c>
      <c r="AB188">
        <v>0</v>
      </c>
      <c r="AC188">
        <v>4</v>
      </c>
      <c r="AD188" s="1">
        <v>0</v>
      </c>
      <c r="AE188" s="2">
        <v>46248</v>
      </c>
      <c r="AF188" s="2">
        <v>46256</v>
      </c>
      <c r="AG188" s="2">
        <v>46263</v>
      </c>
      <c r="AH188">
        <v>0</v>
      </c>
      <c r="AI188" s="3">
        <v>0</v>
      </c>
      <c r="AJ188" s="1" t="s">
        <v>1635</v>
      </c>
      <c r="AK188" s="2" t="s">
        <v>1635</v>
      </c>
      <c r="AL188" s="4" t="s">
        <v>1636</v>
      </c>
      <c r="AM188" s="5" t="s">
        <v>1636</v>
      </c>
      <c r="AN188" s="4">
        <v>0</v>
      </c>
      <c r="AO188" t="s">
        <v>1635</v>
      </c>
      <c r="AP188" s="4" t="s">
        <v>1636</v>
      </c>
      <c r="AQ188" t="s">
        <v>1619</v>
      </c>
      <c r="AR188" t="s">
        <v>1620</v>
      </c>
      <c r="AT188" s="16" t="str">
        <f>_xlfn.XLOOKUP(B188,'SWiSH Demand Forecast Sep-26'!D:D,'SWiSH Demand Forecast Sep-26'!G:G,"Not Exist")</f>
        <v>Not Exist</v>
      </c>
    </row>
    <row r="189" spans="1:46" x14ac:dyDescent="0.3">
      <c r="A189">
        <v>101100054</v>
      </c>
      <c r="B189" t="s">
        <v>1952</v>
      </c>
      <c r="C189" t="s">
        <v>10</v>
      </c>
      <c r="D189" t="s">
        <v>1675</v>
      </c>
      <c r="E189" t="s">
        <v>1732</v>
      </c>
      <c r="F189" t="s">
        <v>1650</v>
      </c>
      <c r="G189" t="s">
        <v>1632</v>
      </c>
      <c r="H189" t="s">
        <v>1953</v>
      </c>
      <c r="I189" t="s">
        <v>1634</v>
      </c>
      <c r="J189" t="s">
        <v>10</v>
      </c>
      <c r="K189">
        <v>48</v>
      </c>
      <c r="L189">
        <v>0</v>
      </c>
      <c r="M189" s="1">
        <v>3</v>
      </c>
      <c r="N189">
        <v>0</v>
      </c>
      <c r="O189">
        <v>0</v>
      </c>
      <c r="P189">
        <v>0</v>
      </c>
      <c r="Q189" s="1">
        <v>0</v>
      </c>
      <c r="R189">
        <v>64</v>
      </c>
      <c r="S189" s="2">
        <v>46174</v>
      </c>
      <c r="T189" s="2">
        <v>46175</v>
      </c>
      <c r="U189">
        <v>0</v>
      </c>
      <c r="V189">
        <v>0</v>
      </c>
      <c r="W189">
        <v>2</v>
      </c>
      <c r="X189">
        <v>0</v>
      </c>
      <c r="Y189">
        <v>0</v>
      </c>
      <c r="Z189" s="8">
        <v>2</v>
      </c>
      <c r="AA189">
        <v>0.5</v>
      </c>
      <c r="AB189">
        <v>0</v>
      </c>
      <c r="AC189">
        <v>4</v>
      </c>
      <c r="AD189" s="1">
        <v>0</v>
      </c>
      <c r="AE189" s="2">
        <v>46248</v>
      </c>
      <c r="AF189" s="2">
        <v>46256</v>
      </c>
      <c r="AG189" s="2">
        <v>46263</v>
      </c>
      <c r="AH189">
        <v>0</v>
      </c>
      <c r="AI189" s="3">
        <v>0</v>
      </c>
      <c r="AJ189" s="1" t="s">
        <v>1635</v>
      </c>
      <c r="AK189" s="2" t="s">
        <v>1635</v>
      </c>
      <c r="AL189" s="4" t="s">
        <v>1658</v>
      </c>
      <c r="AM189" s="5" t="s">
        <v>1658</v>
      </c>
      <c r="AN189" s="4">
        <v>0</v>
      </c>
      <c r="AO189" t="s">
        <v>1635</v>
      </c>
      <c r="AP189" s="4" t="s">
        <v>1658</v>
      </c>
      <c r="AQ189" t="s">
        <v>1619</v>
      </c>
      <c r="AR189" t="s">
        <v>1620</v>
      </c>
      <c r="AT189" s="16" t="str">
        <f>_xlfn.XLOOKUP(B189,'SWiSH Demand Forecast Sep-26'!D:D,'SWiSH Demand Forecast Sep-26'!G:G,"Not Exist")</f>
        <v>Not Exist</v>
      </c>
    </row>
    <row r="190" spans="1:46" x14ac:dyDescent="0.3">
      <c r="A190">
        <v>100100018</v>
      </c>
      <c r="B190" t="s">
        <v>1954</v>
      </c>
      <c r="C190" t="s">
        <v>10</v>
      </c>
      <c r="D190" t="s">
        <v>1955</v>
      </c>
      <c r="E190" t="s">
        <v>1685</v>
      </c>
      <c r="F190" t="s">
        <v>1752</v>
      </c>
      <c r="G190" t="s">
        <v>1616</v>
      </c>
      <c r="H190" t="s">
        <v>1877</v>
      </c>
      <c r="I190" t="s">
        <v>1754</v>
      </c>
      <c r="J190" t="s">
        <v>10</v>
      </c>
      <c r="K190">
        <v>0.17419923000000001</v>
      </c>
      <c r="L190">
        <v>0</v>
      </c>
      <c r="M190" s="1">
        <v>3</v>
      </c>
      <c r="N190">
        <v>0</v>
      </c>
      <c r="O190">
        <v>0</v>
      </c>
      <c r="P190">
        <v>0</v>
      </c>
      <c r="Q190" s="1">
        <v>0</v>
      </c>
      <c r="R190">
        <v>0.17499999999999999</v>
      </c>
      <c r="S190" s="2">
        <v>46105</v>
      </c>
      <c r="T190" s="2">
        <v>46172</v>
      </c>
      <c r="U190">
        <v>3570</v>
      </c>
      <c r="V190">
        <v>2460</v>
      </c>
      <c r="W190">
        <v>960</v>
      </c>
      <c r="X190">
        <v>0</v>
      </c>
      <c r="Y190">
        <v>0</v>
      </c>
      <c r="Z190" s="8">
        <v>3570</v>
      </c>
      <c r="AA190">
        <v>1747.5</v>
      </c>
      <c r="AB190">
        <v>0</v>
      </c>
      <c r="AC190">
        <v>2.0429184549356223</v>
      </c>
      <c r="AD190" s="1">
        <v>0</v>
      </c>
      <c r="AE190" s="2">
        <v>46248</v>
      </c>
      <c r="AF190" s="2">
        <v>46256</v>
      </c>
      <c r="AG190" s="2">
        <v>46263</v>
      </c>
      <c r="AH190">
        <v>0</v>
      </c>
      <c r="AI190" s="3">
        <v>0</v>
      </c>
      <c r="AJ190" s="1" t="s">
        <v>1635</v>
      </c>
      <c r="AK190" s="2" t="s">
        <v>1635</v>
      </c>
      <c r="AL190" s="4" t="s">
        <v>1658</v>
      </c>
      <c r="AM190" s="5" t="s">
        <v>1658</v>
      </c>
      <c r="AN190" s="4">
        <v>0</v>
      </c>
      <c r="AO190" t="s">
        <v>1635</v>
      </c>
      <c r="AP190" s="4" t="s">
        <v>1658</v>
      </c>
      <c r="AQ190" t="s">
        <v>1619</v>
      </c>
      <c r="AR190" t="s">
        <v>1956</v>
      </c>
      <c r="AS190" t="s">
        <v>1666</v>
      </c>
      <c r="AT190" s="16" t="str">
        <f>_xlfn.XLOOKUP(B190,'SWiSH Demand Forecast Sep-26'!D:D,'SWiSH Demand Forecast Sep-26'!G:G,"Not Exist")</f>
        <v>Not Exist</v>
      </c>
    </row>
    <row r="191" spans="1:46" x14ac:dyDescent="0.3">
      <c r="A191">
        <v>103400011</v>
      </c>
      <c r="B191" t="s">
        <v>1957</v>
      </c>
      <c r="C191" t="s">
        <v>136</v>
      </c>
      <c r="D191" t="s">
        <v>1675</v>
      </c>
      <c r="E191" t="s">
        <v>1958</v>
      </c>
      <c r="F191" t="s">
        <v>1752</v>
      </c>
      <c r="G191" t="s">
        <v>1616</v>
      </c>
      <c r="H191" t="s">
        <v>1931</v>
      </c>
      <c r="I191" t="s">
        <v>1754</v>
      </c>
      <c r="J191" t="s">
        <v>1959</v>
      </c>
      <c r="K191">
        <v>0.47499999999999998</v>
      </c>
      <c r="L191">
        <v>0</v>
      </c>
      <c r="M191" s="1">
        <v>3</v>
      </c>
      <c r="N191">
        <v>0</v>
      </c>
      <c r="O191">
        <v>0</v>
      </c>
      <c r="P191">
        <v>0</v>
      </c>
      <c r="Q191" s="1">
        <v>0</v>
      </c>
      <c r="R191">
        <v>4.75</v>
      </c>
      <c r="S191" s="2">
        <v>45873</v>
      </c>
      <c r="T191" s="2">
        <v>46170</v>
      </c>
      <c r="U191">
        <v>40</v>
      </c>
      <c r="V191">
        <v>0</v>
      </c>
      <c r="W191">
        <v>0</v>
      </c>
      <c r="X191">
        <v>0</v>
      </c>
      <c r="Y191">
        <v>0</v>
      </c>
      <c r="Z191" s="8">
        <v>40</v>
      </c>
      <c r="AA191">
        <v>10</v>
      </c>
      <c r="AB191">
        <v>0</v>
      </c>
      <c r="AC191">
        <v>4</v>
      </c>
      <c r="AD191" s="1">
        <v>0</v>
      </c>
      <c r="AE191" s="2">
        <v>46248</v>
      </c>
      <c r="AF191" s="2">
        <v>46256</v>
      </c>
      <c r="AG191" s="2">
        <v>46263</v>
      </c>
      <c r="AH191">
        <v>0</v>
      </c>
      <c r="AI191" s="3">
        <v>0</v>
      </c>
      <c r="AJ191" s="1" t="s">
        <v>1635</v>
      </c>
      <c r="AK191" s="2" t="s">
        <v>1635</v>
      </c>
      <c r="AL191" s="4" t="s">
        <v>1658</v>
      </c>
      <c r="AM191" s="5" t="s">
        <v>1658</v>
      </c>
      <c r="AN191" s="4">
        <v>0</v>
      </c>
      <c r="AO191" t="s">
        <v>1635</v>
      </c>
      <c r="AP191" s="4" t="s">
        <v>1658</v>
      </c>
      <c r="AQ191" t="s">
        <v>1619</v>
      </c>
      <c r="AR191" t="s">
        <v>1620</v>
      </c>
      <c r="AT191" s="16" t="str">
        <f>_xlfn.XLOOKUP(B191,'SWiSH Demand Forecast Sep-26'!D:D,'SWiSH Demand Forecast Sep-26'!G:G,"Not Exist")</f>
        <v>Not Exist</v>
      </c>
    </row>
    <row r="192" spans="1:46" x14ac:dyDescent="0.3">
      <c r="A192">
        <v>106700073</v>
      </c>
      <c r="B192" t="s">
        <v>1960</v>
      </c>
      <c r="C192" t="s">
        <v>10</v>
      </c>
      <c r="D192" t="s">
        <v>1675</v>
      </c>
      <c r="E192" t="s">
        <v>1643</v>
      </c>
      <c r="F192" t="s">
        <v>1650</v>
      </c>
      <c r="G192" t="s">
        <v>1624</v>
      </c>
      <c r="H192" t="s">
        <v>1651</v>
      </c>
      <c r="I192" t="s">
        <v>1634</v>
      </c>
      <c r="J192" t="s">
        <v>10</v>
      </c>
      <c r="K192">
        <v>4.1500000000000002E-2</v>
      </c>
      <c r="L192">
        <v>0</v>
      </c>
      <c r="M192" s="1">
        <v>3</v>
      </c>
      <c r="N192">
        <v>0</v>
      </c>
      <c r="O192">
        <v>0</v>
      </c>
      <c r="P192">
        <v>0</v>
      </c>
      <c r="Q192" s="1">
        <v>0</v>
      </c>
      <c r="R192">
        <v>8.3000000000000004E-2</v>
      </c>
      <c r="S192" s="2">
        <v>45811</v>
      </c>
      <c r="T192" s="2">
        <v>46259</v>
      </c>
      <c r="U192">
        <v>0</v>
      </c>
      <c r="V192">
        <v>0</v>
      </c>
      <c r="W192">
        <v>24</v>
      </c>
      <c r="X192">
        <v>0</v>
      </c>
      <c r="Y192">
        <v>0</v>
      </c>
      <c r="Z192" s="8">
        <v>24</v>
      </c>
      <c r="AA192">
        <v>6</v>
      </c>
      <c r="AB192">
        <v>0</v>
      </c>
      <c r="AC192">
        <v>4</v>
      </c>
      <c r="AD192" s="1">
        <v>0</v>
      </c>
      <c r="AE192" s="2">
        <v>46248</v>
      </c>
      <c r="AF192" s="2">
        <v>46256</v>
      </c>
      <c r="AG192" s="2">
        <v>46263</v>
      </c>
      <c r="AH192">
        <v>0</v>
      </c>
      <c r="AI192" s="3">
        <v>0</v>
      </c>
      <c r="AJ192" s="1" t="s">
        <v>1635</v>
      </c>
      <c r="AK192" s="2" t="s">
        <v>1635</v>
      </c>
      <c r="AL192" s="4" t="s">
        <v>1658</v>
      </c>
      <c r="AM192" s="5" t="s">
        <v>1658</v>
      </c>
      <c r="AN192" s="4">
        <v>0</v>
      </c>
      <c r="AO192" t="s">
        <v>1635</v>
      </c>
      <c r="AP192" s="4" t="s">
        <v>1658</v>
      </c>
      <c r="AQ192" t="s">
        <v>1619</v>
      </c>
      <c r="AR192" t="s">
        <v>1620</v>
      </c>
      <c r="AT192" s="16" t="str">
        <f>_xlfn.XLOOKUP(B192,'SWiSH Demand Forecast Sep-26'!D:D,'SWiSH Demand Forecast Sep-26'!G:G,"Not Exist")</f>
        <v>Not Exist</v>
      </c>
    </row>
    <row r="193" spans="1:46" x14ac:dyDescent="0.3">
      <c r="A193">
        <v>100100007</v>
      </c>
      <c r="B193" t="s">
        <v>1961</v>
      </c>
      <c r="C193" t="s">
        <v>10</v>
      </c>
      <c r="D193" t="s">
        <v>1955</v>
      </c>
      <c r="E193" t="s">
        <v>1685</v>
      </c>
      <c r="F193" t="s">
        <v>1752</v>
      </c>
      <c r="G193" t="s">
        <v>1616</v>
      </c>
      <c r="H193" t="s">
        <v>1877</v>
      </c>
      <c r="I193" t="s">
        <v>1754</v>
      </c>
      <c r="J193" t="s">
        <v>10</v>
      </c>
      <c r="K193">
        <v>0.2</v>
      </c>
      <c r="L193">
        <v>0</v>
      </c>
      <c r="M193" s="1">
        <v>3</v>
      </c>
      <c r="N193">
        <v>0</v>
      </c>
      <c r="O193">
        <v>0</v>
      </c>
      <c r="P193">
        <v>0</v>
      </c>
      <c r="Q193" s="1">
        <v>0</v>
      </c>
      <c r="R193">
        <v>0.2</v>
      </c>
      <c r="S193" s="2">
        <v>46100</v>
      </c>
      <c r="T193" s="2">
        <v>46172</v>
      </c>
      <c r="U193">
        <v>1265</v>
      </c>
      <c r="V193">
        <v>966</v>
      </c>
      <c r="W193">
        <v>1081</v>
      </c>
      <c r="X193">
        <v>0</v>
      </c>
      <c r="Y193">
        <v>0</v>
      </c>
      <c r="Z193" s="8">
        <v>1265</v>
      </c>
      <c r="AA193">
        <v>828</v>
      </c>
      <c r="AB193">
        <v>0</v>
      </c>
      <c r="AC193">
        <v>1.5277777777777777</v>
      </c>
      <c r="AD193" s="1">
        <v>0</v>
      </c>
      <c r="AE193" s="2">
        <v>46248</v>
      </c>
      <c r="AF193" s="2">
        <v>46256</v>
      </c>
      <c r="AG193" s="2">
        <v>46263</v>
      </c>
      <c r="AH193">
        <v>0</v>
      </c>
      <c r="AI193" s="3">
        <v>0</v>
      </c>
      <c r="AJ193" s="1" t="s">
        <v>1635</v>
      </c>
      <c r="AK193" s="2" t="s">
        <v>1635</v>
      </c>
      <c r="AL193" s="4" t="s">
        <v>1658</v>
      </c>
      <c r="AM193" s="5" t="s">
        <v>1658</v>
      </c>
      <c r="AN193" s="4">
        <v>0</v>
      </c>
      <c r="AO193" t="s">
        <v>1635</v>
      </c>
      <c r="AP193" s="4" t="s">
        <v>1658</v>
      </c>
      <c r="AQ193" t="s">
        <v>1619</v>
      </c>
      <c r="AR193" t="s">
        <v>1620</v>
      </c>
      <c r="AS193" t="s">
        <v>1666</v>
      </c>
      <c r="AT193" s="16" t="str">
        <f>_xlfn.XLOOKUP(B193,'SWiSH Demand Forecast Sep-26'!D:D,'SWiSH Demand Forecast Sep-26'!G:G,"Not Exist")</f>
        <v>Not Exist</v>
      </c>
    </row>
    <row r="194" spans="1:46" x14ac:dyDescent="0.3">
      <c r="A194">
        <v>100100019</v>
      </c>
      <c r="B194" t="s">
        <v>1962</v>
      </c>
      <c r="C194" t="s">
        <v>10</v>
      </c>
      <c r="D194" t="s">
        <v>1955</v>
      </c>
      <c r="E194" t="s">
        <v>1685</v>
      </c>
      <c r="F194" t="s">
        <v>1752</v>
      </c>
      <c r="G194" t="s">
        <v>1616</v>
      </c>
      <c r="H194" t="s">
        <v>1877</v>
      </c>
      <c r="I194" t="s">
        <v>1754</v>
      </c>
      <c r="J194" t="s">
        <v>10</v>
      </c>
      <c r="K194">
        <v>0.17</v>
      </c>
      <c r="L194">
        <v>0</v>
      </c>
      <c r="M194" s="1">
        <v>3</v>
      </c>
      <c r="N194">
        <v>0</v>
      </c>
      <c r="O194">
        <v>0</v>
      </c>
      <c r="P194">
        <v>0</v>
      </c>
      <c r="Q194" s="1">
        <v>0</v>
      </c>
      <c r="R194">
        <v>0.17</v>
      </c>
      <c r="S194" s="2">
        <v>46100</v>
      </c>
      <c r="T194" s="2">
        <v>46172</v>
      </c>
      <c r="U194">
        <v>943</v>
      </c>
      <c r="V194">
        <v>552</v>
      </c>
      <c r="W194">
        <v>1403</v>
      </c>
      <c r="X194">
        <v>0</v>
      </c>
      <c r="Y194">
        <v>0</v>
      </c>
      <c r="Z194" s="8">
        <v>1403</v>
      </c>
      <c r="AA194">
        <v>724.5</v>
      </c>
      <c r="AB194">
        <v>0</v>
      </c>
      <c r="AC194">
        <v>1.9365079365079365</v>
      </c>
      <c r="AD194" s="1">
        <v>0</v>
      </c>
      <c r="AE194" s="2">
        <v>46248</v>
      </c>
      <c r="AF194" s="2">
        <v>46256</v>
      </c>
      <c r="AG194" s="2">
        <v>46263</v>
      </c>
      <c r="AH194">
        <v>0</v>
      </c>
      <c r="AI194" s="3">
        <v>0</v>
      </c>
      <c r="AJ194" s="1" t="s">
        <v>1635</v>
      </c>
      <c r="AK194" s="2" t="s">
        <v>1635</v>
      </c>
      <c r="AL194" s="4" t="s">
        <v>1658</v>
      </c>
      <c r="AM194" s="5" t="s">
        <v>1658</v>
      </c>
      <c r="AN194" s="4">
        <v>0</v>
      </c>
      <c r="AO194" t="s">
        <v>1635</v>
      </c>
      <c r="AP194" s="4" t="s">
        <v>1658</v>
      </c>
      <c r="AQ194" t="s">
        <v>1619</v>
      </c>
      <c r="AR194" t="s">
        <v>1956</v>
      </c>
      <c r="AS194" t="s">
        <v>1666</v>
      </c>
      <c r="AT194" s="16" t="str">
        <f>_xlfn.XLOOKUP(B194,'SWiSH Demand Forecast Sep-26'!D:D,'SWiSH Demand Forecast Sep-26'!G:G,"Not Exist")</f>
        <v>Not Exist</v>
      </c>
    </row>
    <row r="195" spans="1:46" x14ac:dyDescent="0.3">
      <c r="A195">
        <v>102100000</v>
      </c>
      <c r="B195" t="s">
        <v>1963</v>
      </c>
      <c r="C195" t="s">
        <v>136</v>
      </c>
      <c r="D195" t="s">
        <v>1629</v>
      </c>
      <c r="E195" t="s">
        <v>1964</v>
      </c>
      <c r="F195" t="s">
        <v>1752</v>
      </c>
      <c r="G195" t="s">
        <v>1681</v>
      </c>
      <c r="H195" t="s">
        <v>1939</v>
      </c>
      <c r="I195" t="s">
        <v>1754</v>
      </c>
      <c r="J195" t="s">
        <v>1929</v>
      </c>
      <c r="K195">
        <v>1.4716226699999999</v>
      </c>
      <c r="L195">
        <v>0</v>
      </c>
      <c r="M195" s="1">
        <v>3</v>
      </c>
      <c r="N195">
        <v>0</v>
      </c>
      <c r="O195">
        <v>0</v>
      </c>
      <c r="P195">
        <v>0</v>
      </c>
      <c r="Q195" s="1">
        <v>0</v>
      </c>
      <c r="R195">
        <v>14</v>
      </c>
      <c r="S195" s="2">
        <v>45951</v>
      </c>
      <c r="T195" s="2">
        <v>46236</v>
      </c>
      <c r="U195">
        <v>450</v>
      </c>
      <c r="V195">
        <v>0</v>
      </c>
      <c r="W195">
        <v>0</v>
      </c>
      <c r="X195">
        <v>0</v>
      </c>
      <c r="Y195">
        <v>0</v>
      </c>
      <c r="Z195" s="8">
        <v>450</v>
      </c>
      <c r="AA195">
        <v>112.5</v>
      </c>
      <c r="AB195">
        <v>0</v>
      </c>
      <c r="AC195">
        <v>4</v>
      </c>
      <c r="AD195" s="1">
        <v>0</v>
      </c>
      <c r="AE195" s="2">
        <v>46248</v>
      </c>
      <c r="AF195" s="2">
        <v>46256</v>
      </c>
      <c r="AG195" s="2">
        <v>46263</v>
      </c>
      <c r="AH195">
        <v>0</v>
      </c>
      <c r="AI195" s="3">
        <v>0</v>
      </c>
      <c r="AJ195" s="1" t="s">
        <v>1635</v>
      </c>
      <c r="AK195" s="2" t="s">
        <v>1635</v>
      </c>
      <c r="AL195" s="4" t="s">
        <v>1636</v>
      </c>
      <c r="AM195" s="5" t="s">
        <v>1636</v>
      </c>
      <c r="AN195" s="4">
        <v>0</v>
      </c>
      <c r="AO195" t="s">
        <v>1635</v>
      </c>
      <c r="AP195" s="4" t="s">
        <v>1636</v>
      </c>
      <c r="AQ195" t="s">
        <v>1619</v>
      </c>
      <c r="AR195" t="s">
        <v>1620</v>
      </c>
      <c r="AT195" s="16" t="str">
        <f>_xlfn.XLOOKUP(B195,'SWiSH Demand Forecast Sep-26'!D:D,'SWiSH Demand Forecast Sep-26'!G:G,"Not Exist")</f>
        <v>Not Exist</v>
      </c>
    </row>
    <row r="196" spans="1:46" x14ac:dyDescent="0.3">
      <c r="A196">
        <v>100700039</v>
      </c>
      <c r="B196" t="s">
        <v>1965</v>
      </c>
      <c r="C196" t="s">
        <v>136</v>
      </c>
      <c r="D196" t="s">
        <v>1966</v>
      </c>
      <c r="E196" t="s">
        <v>1821</v>
      </c>
      <c r="F196" t="s">
        <v>1752</v>
      </c>
      <c r="G196" t="s">
        <v>1616</v>
      </c>
      <c r="H196" t="s">
        <v>1867</v>
      </c>
      <c r="I196" t="s">
        <v>1754</v>
      </c>
      <c r="J196" t="s">
        <v>136</v>
      </c>
      <c r="K196">
        <v>0.43160617000000001</v>
      </c>
      <c r="L196">
        <v>0</v>
      </c>
      <c r="M196" s="1">
        <v>3</v>
      </c>
      <c r="N196">
        <v>0</v>
      </c>
      <c r="O196">
        <v>0</v>
      </c>
      <c r="P196">
        <v>0</v>
      </c>
      <c r="Q196" s="1">
        <v>0</v>
      </c>
      <c r="R196">
        <v>7.25</v>
      </c>
      <c r="S196" s="2">
        <v>45917</v>
      </c>
      <c r="T196" s="2">
        <v>46203</v>
      </c>
      <c r="U196">
        <v>246.39999999999998</v>
      </c>
      <c r="V196">
        <v>0</v>
      </c>
      <c r="W196">
        <v>0</v>
      </c>
      <c r="X196">
        <v>0</v>
      </c>
      <c r="Y196">
        <v>0</v>
      </c>
      <c r="Z196" s="8">
        <v>246.39999999999998</v>
      </c>
      <c r="AA196">
        <v>61.599999999999994</v>
      </c>
      <c r="AB196">
        <v>0</v>
      </c>
      <c r="AC196">
        <v>4</v>
      </c>
      <c r="AD196" s="1">
        <v>0</v>
      </c>
      <c r="AE196" s="2">
        <v>46248</v>
      </c>
      <c r="AF196" s="2">
        <v>46256</v>
      </c>
      <c r="AG196" s="2">
        <v>46263</v>
      </c>
      <c r="AH196">
        <v>0</v>
      </c>
      <c r="AI196" s="3">
        <v>0</v>
      </c>
      <c r="AJ196" s="1" t="s">
        <v>1635</v>
      </c>
      <c r="AK196" s="2" t="s">
        <v>1635</v>
      </c>
      <c r="AL196" s="4" t="s">
        <v>1636</v>
      </c>
      <c r="AM196" s="5" t="s">
        <v>1636</v>
      </c>
      <c r="AN196" s="4">
        <v>0</v>
      </c>
      <c r="AO196" t="s">
        <v>1635</v>
      </c>
      <c r="AP196" s="4" t="s">
        <v>1636</v>
      </c>
      <c r="AQ196" t="s">
        <v>1619</v>
      </c>
      <c r="AR196" t="s">
        <v>1620</v>
      </c>
      <c r="AT196" s="16" t="str">
        <f>_xlfn.XLOOKUP(B196,'SWiSH Demand Forecast Sep-26'!D:D,'SWiSH Demand Forecast Sep-26'!G:G,"Not Exist")</f>
        <v>Not Exist</v>
      </c>
    </row>
    <row r="197" spans="1:46" hidden="1" x14ac:dyDescent="0.3">
      <c r="A197">
        <v>103100029</v>
      </c>
      <c r="B197" t="s">
        <v>388</v>
      </c>
      <c r="C197" t="s">
        <v>10</v>
      </c>
      <c r="D197" t="s">
        <v>1629</v>
      </c>
      <c r="E197" t="s">
        <v>1745</v>
      </c>
      <c r="F197" t="s">
        <v>1752</v>
      </c>
      <c r="G197" t="s">
        <v>1616</v>
      </c>
      <c r="H197" t="s">
        <v>1869</v>
      </c>
      <c r="I197" t="s">
        <v>1754</v>
      </c>
      <c r="J197" t="s">
        <v>10</v>
      </c>
      <c r="K197">
        <v>6.25E-2</v>
      </c>
      <c r="L197">
        <v>0</v>
      </c>
      <c r="M197" s="1">
        <v>3</v>
      </c>
      <c r="N197">
        <v>0</v>
      </c>
      <c r="O197">
        <v>0</v>
      </c>
      <c r="P197">
        <v>0</v>
      </c>
      <c r="Q197" s="1">
        <v>0</v>
      </c>
      <c r="R197">
        <v>6.25E-2</v>
      </c>
      <c r="S197" s="2">
        <v>46122</v>
      </c>
      <c r="T197" s="2">
        <v>46262</v>
      </c>
      <c r="U197">
        <v>6680</v>
      </c>
      <c r="V197">
        <v>0</v>
      </c>
      <c r="W197">
        <v>0</v>
      </c>
      <c r="X197">
        <v>0</v>
      </c>
      <c r="Y197">
        <v>0</v>
      </c>
      <c r="Z197" s="8">
        <v>6680</v>
      </c>
      <c r="AA197">
        <v>1670</v>
      </c>
      <c r="AB197">
        <v>0</v>
      </c>
      <c r="AC197">
        <v>4</v>
      </c>
      <c r="AD197" s="1">
        <v>0</v>
      </c>
      <c r="AE197" s="2">
        <v>46248</v>
      </c>
      <c r="AF197" s="2">
        <v>46256</v>
      </c>
      <c r="AG197" s="2">
        <v>46263</v>
      </c>
      <c r="AH197">
        <v>0</v>
      </c>
      <c r="AI197" s="3">
        <v>0</v>
      </c>
      <c r="AJ197" s="1" t="s">
        <v>1635</v>
      </c>
      <c r="AK197" s="2" t="s">
        <v>1635</v>
      </c>
      <c r="AL197" s="4" t="s">
        <v>1636</v>
      </c>
      <c r="AM197" s="5" t="s">
        <v>1636</v>
      </c>
      <c r="AN197" s="4">
        <v>0</v>
      </c>
      <c r="AO197" t="s">
        <v>1635</v>
      </c>
      <c r="AP197" s="4" t="s">
        <v>1636</v>
      </c>
      <c r="AQ197" t="s">
        <v>1619</v>
      </c>
      <c r="AR197" t="s">
        <v>1871</v>
      </c>
      <c r="AT197" s="16">
        <f>_xlfn.XLOOKUP(B197,'SWiSH Demand Forecast Sep-26'!D:D,'SWiSH Demand Forecast Sep-26'!G:G,"Not Exist")</f>
        <v>2870.5</v>
      </c>
    </row>
    <row r="198" spans="1:46" x14ac:dyDescent="0.3">
      <c r="A198">
        <v>106200035</v>
      </c>
      <c r="B198" t="s">
        <v>1967</v>
      </c>
      <c r="C198" t="s">
        <v>240</v>
      </c>
      <c r="D198" t="s">
        <v>1675</v>
      </c>
      <c r="E198" t="s">
        <v>1677</v>
      </c>
      <c r="F198" t="s">
        <v>1875</v>
      </c>
      <c r="G198" t="s">
        <v>1616</v>
      </c>
      <c r="H198" t="s">
        <v>1672</v>
      </c>
      <c r="I198" t="s">
        <v>1618</v>
      </c>
      <c r="J198" t="s">
        <v>1968</v>
      </c>
      <c r="K198">
        <v>2.1702302599999999</v>
      </c>
      <c r="L198">
        <v>0</v>
      </c>
      <c r="M198" s="1">
        <v>3</v>
      </c>
      <c r="N198">
        <v>0</v>
      </c>
      <c r="O198">
        <v>0</v>
      </c>
      <c r="P198">
        <v>0</v>
      </c>
      <c r="Q198" s="1">
        <v>0</v>
      </c>
      <c r="R198">
        <v>11.7</v>
      </c>
      <c r="S198" s="2">
        <v>45966</v>
      </c>
      <c r="T198" s="2">
        <v>46179</v>
      </c>
      <c r="U198">
        <v>0</v>
      </c>
      <c r="V198">
        <v>0</v>
      </c>
      <c r="W198">
        <v>96</v>
      </c>
      <c r="X198">
        <v>0</v>
      </c>
      <c r="Y198">
        <v>0</v>
      </c>
      <c r="Z198" s="8">
        <v>96</v>
      </c>
      <c r="AA198">
        <v>24</v>
      </c>
      <c r="AB198">
        <v>0</v>
      </c>
      <c r="AC198">
        <v>4</v>
      </c>
      <c r="AD198" s="1">
        <v>0</v>
      </c>
      <c r="AE198" s="2">
        <v>46248</v>
      </c>
      <c r="AF198" s="2">
        <v>46256</v>
      </c>
      <c r="AG198" s="2">
        <v>46263</v>
      </c>
      <c r="AH198">
        <v>0</v>
      </c>
      <c r="AI198" s="3">
        <v>0</v>
      </c>
      <c r="AJ198" s="1" t="s">
        <v>1635</v>
      </c>
      <c r="AK198" s="2" t="s">
        <v>1635</v>
      </c>
      <c r="AL198" s="4" t="s">
        <v>1658</v>
      </c>
      <c r="AM198" s="5" t="s">
        <v>1658</v>
      </c>
      <c r="AN198" s="4">
        <v>0</v>
      </c>
      <c r="AO198" t="s">
        <v>1635</v>
      </c>
      <c r="AP198" s="4" t="s">
        <v>1658</v>
      </c>
      <c r="AQ198" t="s">
        <v>1619</v>
      </c>
      <c r="AR198" t="s">
        <v>1620</v>
      </c>
      <c r="AT198" s="16" t="str">
        <f>_xlfn.XLOOKUP(B198,'SWiSH Demand Forecast Sep-26'!D:D,'SWiSH Demand Forecast Sep-26'!G:G,"Not Exist")</f>
        <v>Not Exist</v>
      </c>
    </row>
    <row r="199" spans="1:46" x14ac:dyDescent="0.3">
      <c r="A199">
        <v>107200032</v>
      </c>
      <c r="B199" t="s">
        <v>1969</v>
      </c>
      <c r="C199" t="s">
        <v>10</v>
      </c>
      <c r="D199" t="s">
        <v>1789</v>
      </c>
      <c r="E199" t="s">
        <v>1685</v>
      </c>
      <c r="F199" t="s">
        <v>1656</v>
      </c>
      <c r="G199" t="s">
        <v>1686</v>
      </c>
      <c r="H199" t="s">
        <v>1657</v>
      </c>
      <c r="I199" t="s">
        <v>1634</v>
      </c>
      <c r="J199" t="e">
        <v>#N/A</v>
      </c>
      <c r="K199">
        <v>3.25</v>
      </c>
      <c r="L199">
        <v>0</v>
      </c>
      <c r="M199" s="1">
        <v>15</v>
      </c>
      <c r="N199">
        <v>0</v>
      </c>
      <c r="O199">
        <v>0</v>
      </c>
      <c r="P199">
        <v>0</v>
      </c>
      <c r="Q199" s="1">
        <v>0</v>
      </c>
      <c r="R199">
        <v>3.25</v>
      </c>
      <c r="S199" s="2">
        <v>45615</v>
      </c>
      <c r="T199" s="2">
        <v>46201</v>
      </c>
      <c r="U199">
        <v>0</v>
      </c>
      <c r="V199">
        <v>0</v>
      </c>
      <c r="W199">
        <v>4</v>
      </c>
      <c r="X199">
        <v>0</v>
      </c>
      <c r="Y199">
        <v>0</v>
      </c>
      <c r="Z199" s="8">
        <v>4</v>
      </c>
      <c r="AA199">
        <v>1</v>
      </c>
      <c r="AB199">
        <v>0</v>
      </c>
      <c r="AC199">
        <v>4</v>
      </c>
      <c r="AD199" s="1">
        <v>0</v>
      </c>
      <c r="AE199" s="2">
        <v>46248</v>
      </c>
      <c r="AF199" s="2">
        <v>46256</v>
      </c>
      <c r="AG199" s="2">
        <v>46263</v>
      </c>
      <c r="AH199">
        <v>0</v>
      </c>
      <c r="AI199" s="3">
        <v>0</v>
      </c>
      <c r="AJ199" s="1" t="s">
        <v>1635</v>
      </c>
      <c r="AK199" s="2" t="s">
        <v>1635</v>
      </c>
      <c r="AL199" s="4" t="s">
        <v>1658</v>
      </c>
      <c r="AM199" s="5" t="s">
        <v>1658</v>
      </c>
      <c r="AN199" s="4">
        <v>0</v>
      </c>
      <c r="AO199" t="s">
        <v>1635</v>
      </c>
      <c r="AP199" s="4" t="s">
        <v>1658</v>
      </c>
      <c r="AQ199" t="s">
        <v>1619</v>
      </c>
      <c r="AR199" t="s">
        <v>1620</v>
      </c>
      <c r="AT199" s="16" t="str">
        <f>_xlfn.XLOOKUP(B199,'SWiSH Demand Forecast Sep-26'!D:D,'SWiSH Demand Forecast Sep-26'!G:G,"Not Exist")</f>
        <v>Not Exist</v>
      </c>
    </row>
    <row r="200" spans="1:46" x14ac:dyDescent="0.3">
      <c r="A200">
        <v>106300021</v>
      </c>
      <c r="B200" t="s">
        <v>1970</v>
      </c>
      <c r="C200" t="s">
        <v>10</v>
      </c>
      <c r="D200" t="s">
        <v>1675</v>
      </c>
      <c r="E200" t="s">
        <v>1663</v>
      </c>
      <c r="F200" t="s">
        <v>1615</v>
      </c>
      <c r="G200" t="s">
        <v>1616</v>
      </c>
      <c r="H200" t="s">
        <v>1860</v>
      </c>
      <c r="I200" t="s">
        <v>1618</v>
      </c>
      <c r="J200" t="s">
        <v>1971</v>
      </c>
      <c r="K200">
        <v>7.4999999999999997E-3</v>
      </c>
      <c r="L200">
        <v>0</v>
      </c>
      <c r="M200" s="1">
        <v>3</v>
      </c>
      <c r="N200">
        <v>0</v>
      </c>
      <c r="O200">
        <v>0</v>
      </c>
      <c r="P200">
        <v>0</v>
      </c>
      <c r="Q200" s="1">
        <v>0</v>
      </c>
      <c r="R200">
        <v>18</v>
      </c>
      <c r="S200" s="2">
        <v>45929</v>
      </c>
      <c r="T200" s="2">
        <v>46178</v>
      </c>
      <c r="U200">
        <v>0</v>
      </c>
      <c r="V200">
        <v>0</v>
      </c>
      <c r="W200">
        <v>2400</v>
      </c>
      <c r="X200">
        <v>0</v>
      </c>
      <c r="Y200">
        <v>0</v>
      </c>
      <c r="Z200" s="8">
        <v>2400</v>
      </c>
      <c r="AA200">
        <v>600</v>
      </c>
      <c r="AB200">
        <v>0</v>
      </c>
      <c r="AC200">
        <v>4</v>
      </c>
      <c r="AD200" s="1">
        <v>0</v>
      </c>
      <c r="AE200" s="2">
        <v>46248</v>
      </c>
      <c r="AF200" s="2">
        <v>46256</v>
      </c>
      <c r="AG200" s="2">
        <v>46263</v>
      </c>
      <c r="AH200">
        <v>0</v>
      </c>
      <c r="AI200" s="3">
        <v>0</v>
      </c>
      <c r="AJ200" s="1" t="s">
        <v>1635</v>
      </c>
      <c r="AK200" s="2" t="s">
        <v>1635</v>
      </c>
      <c r="AL200" s="4" t="s">
        <v>1658</v>
      </c>
      <c r="AM200" s="5" t="s">
        <v>1658</v>
      </c>
      <c r="AN200" s="4">
        <v>0</v>
      </c>
      <c r="AO200" t="s">
        <v>1635</v>
      </c>
      <c r="AP200" s="4" t="s">
        <v>1658</v>
      </c>
      <c r="AQ200" t="s">
        <v>1619</v>
      </c>
      <c r="AR200" t="s">
        <v>1620</v>
      </c>
      <c r="AT200" s="16" t="str">
        <f>_xlfn.XLOOKUP(B200,'SWiSH Demand Forecast Sep-26'!D:D,'SWiSH Demand Forecast Sep-26'!G:G,"Not Exist")</f>
        <v>Not Exist</v>
      </c>
    </row>
    <row r="201" spans="1:46" hidden="1" x14ac:dyDescent="0.3">
      <c r="A201">
        <v>100100006</v>
      </c>
      <c r="B201" t="s">
        <v>1565</v>
      </c>
      <c r="C201" t="s">
        <v>136</v>
      </c>
      <c r="D201" t="s">
        <v>1613</v>
      </c>
      <c r="E201" t="s">
        <v>1677</v>
      </c>
      <c r="F201" t="s">
        <v>1615</v>
      </c>
      <c r="G201" t="s">
        <v>1616</v>
      </c>
      <c r="H201" t="s">
        <v>1877</v>
      </c>
      <c r="I201" t="s">
        <v>1618</v>
      </c>
      <c r="J201" t="s">
        <v>136</v>
      </c>
      <c r="K201">
        <v>0.5</v>
      </c>
      <c r="L201">
        <v>0</v>
      </c>
      <c r="M201" s="1">
        <v>3</v>
      </c>
      <c r="N201">
        <v>0</v>
      </c>
      <c r="O201">
        <v>0</v>
      </c>
      <c r="P201">
        <v>0</v>
      </c>
      <c r="Q201" s="1">
        <v>0</v>
      </c>
      <c r="R201">
        <v>0.5</v>
      </c>
      <c r="S201" s="2">
        <v>46225</v>
      </c>
      <c r="T201" s="2">
        <v>46248</v>
      </c>
      <c r="U201">
        <v>28</v>
      </c>
      <c r="V201">
        <v>69</v>
      </c>
      <c r="W201">
        <v>16</v>
      </c>
      <c r="X201">
        <v>70</v>
      </c>
      <c r="Y201">
        <v>16</v>
      </c>
      <c r="Z201" s="8">
        <v>70</v>
      </c>
      <c r="AA201">
        <v>45.75</v>
      </c>
      <c r="AB201">
        <v>0.34972677595628415</v>
      </c>
      <c r="AC201">
        <v>1.5300546448087431</v>
      </c>
      <c r="AD201" s="1">
        <v>0</v>
      </c>
      <c r="AE201" s="2">
        <v>46248</v>
      </c>
      <c r="AF201" s="2">
        <v>46256</v>
      </c>
      <c r="AG201" s="2">
        <v>46263</v>
      </c>
      <c r="AH201">
        <v>11</v>
      </c>
      <c r="AI201" s="3">
        <v>0.1625615763546798</v>
      </c>
      <c r="AJ201" s="1">
        <v>0</v>
      </c>
      <c r="AK201" s="2">
        <v>46263</v>
      </c>
      <c r="AL201" s="4">
        <v>30</v>
      </c>
      <c r="AM201" s="5">
        <v>15</v>
      </c>
      <c r="AN201" s="4">
        <v>0</v>
      </c>
      <c r="AO201">
        <v>11.379310344827585</v>
      </c>
      <c r="AP201" s="4">
        <v>1</v>
      </c>
      <c r="AQ201" t="s">
        <v>1619</v>
      </c>
      <c r="AR201" t="s">
        <v>1972</v>
      </c>
      <c r="AT201" s="16">
        <f>_xlfn.XLOOKUP(B201,'SWiSH Demand Forecast Sep-26'!D:D,'SWiSH Demand Forecast Sep-26'!G:G,"Not Exist")</f>
        <v>3.9822291403184398E-2</v>
      </c>
    </row>
    <row r="202" spans="1:46" x14ac:dyDescent="0.3">
      <c r="A202">
        <v>106500000</v>
      </c>
      <c r="B202" t="s">
        <v>1973</v>
      </c>
      <c r="C202" t="s">
        <v>10</v>
      </c>
      <c r="D202" t="s">
        <v>1629</v>
      </c>
      <c r="E202" t="s">
        <v>1655</v>
      </c>
      <c r="F202" t="s">
        <v>1752</v>
      </c>
      <c r="G202" t="s">
        <v>1704</v>
      </c>
      <c r="H202" t="s">
        <v>1974</v>
      </c>
      <c r="I202" t="s">
        <v>1754</v>
      </c>
      <c r="J202" t="s">
        <v>1975</v>
      </c>
      <c r="K202">
        <v>7.0000000000000007E-2</v>
      </c>
      <c r="L202">
        <v>0</v>
      </c>
      <c r="M202" s="1">
        <v>7</v>
      </c>
      <c r="N202">
        <v>0</v>
      </c>
      <c r="O202">
        <v>0</v>
      </c>
      <c r="P202">
        <v>0</v>
      </c>
      <c r="Q202" s="1">
        <v>0</v>
      </c>
      <c r="R202">
        <v>22.5</v>
      </c>
      <c r="S202" s="2">
        <v>45929</v>
      </c>
      <c r="T202" s="2">
        <v>46224</v>
      </c>
      <c r="U202">
        <v>0</v>
      </c>
      <c r="V202">
        <v>0</v>
      </c>
      <c r="W202">
        <v>640</v>
      </c>
      <c r="X202">
        <v>54552</v>
      </c>
      <c r="Y202">
        <v>0</v>
      </c>
      <c r="Z202" s="8">
        <v>54552</v>
      </c>
      <c r="AA202">
        <v>13798</v>
      </c>
      <c r="AB202">
        <v>0</v>
      </c>
      <c r="AC202">
        <v>3.9536164661545152</v>
      </c>
      <c r="AD202" s="1">
        <v>0</v>
      </c>
      <c r="AE202" s="2">
        <v>46248</v>
      </c>
      <c r="AF202" s="2">
        <v>46256</v>
      </c>
      <c r="AG202" s="2">
        <v>46263</v>
      </c>
      <c r="AH202">
        <v>0</v>
      </c>
      <c r="AI202" s="3">
        <v>0</v>
      </c>
      <c r="AJ202" s="1" t="s">
        <v>1635</v>
      </c>
      <c r="AK202" s="2" t="s">
        <v>1635</v>
      </c>
      <c r="AL202" s="4" t="s">
        <v>1636</v>
      </c>
      <c r="AM202" s="5" t="s">
        <v>1636</v>
      </c>
      <c r="AN202" s="4">
        <v>0</v>
      </c>
      <c r="AO202" t="s">
        <v>1635</v>
      </c>
      <c r="AP202" s="4" t="s">
        <v>1636</v>
      </c>
      <c r="AQ202" t="s">
        <v>1619</v>
      </c>
      <c r="AR202" t="s">
        <v>1620</v>
      </c>
      <c r="AT202" s="16" t="str">
        <f>_xlfn.XLOOKUP(B202,'SWiSH Demand Forecast Sep-26'!D:D,'SWiSH Demand Forecast Sep-26'!G:G,"Not Exist")</f>
        <v>Not Exist</v>
      </c>
    </row>
    <row r="203" spans="1:46" x14ac:dyDescent="0.3">
      <c r="A203">
        <v>107200125</v>
      </c>
      <c r="B203" t="s">
        <v>1976</v>
      </c>
      <c r="C203" t="s">
        <v>10</v>
      </c>
      <c r="D203" t="s">
        <v>1675</v>
      </c>
      <c r="E203" t="s">
        <v>1683</v>
      </c>
      <c r="F203" t="s">
        <v>1656</v>
      </c>
      <c r="G203" t="s">
        <v>1632</v>
      </c>
      <c r="H203" t="s">
        <v>1657</v>
      </c>
      <c r="I203" t="s">
        <v>1634</v>
      </c>
      <c r="J203" t="s">
        <v>10</v>
      </c>
      <c r="K203">
        <v>3.25</v>
      </c>
      <c r="L203">
        <v>0</v>
      </c>
      <c r="M203" s="1">
        <v>15</v>
      </c>
      <c r="N203">
        <v>0</v>
      </c>
      <c r="O203">
        <v>0</v>
      </c>
      <c r="P203">
        <v>0</v>
      </c>
      <c r="Q203" s="1">
        <v>0</v>
      </c>
      <c r="R203">
        <v>3.25</v>
      </c>
      <c r="S203" s="2">
        <v>46261</v>
      </c>
      <c r="T203" s="2">
        <v>46261</v>
      </c>
      <c r="U203">
        <v>0</v>
      </c>
      <c r="V203">
        <v>0</v>
      </c>
      <c r="W203">
        <v>0</v>
      </c>
      <c r="X203">
        <v>42</v>
      </c>
      <c r="Y203">
        <v>0</v>
      </c>
      <c r="Z203" s="8">
        <v>42</v>
      </c>
      <c r="AA203">
        <v>10.5</v>
      </c>
      <c r="AB203">
        <v>0</v>
      </c>
      <c r="AC203">
        <v>4</v>
      </c>
      <c r="AD203" s="1">
        <v>0</v>
      </c>
      <c r="AE203" s="2">
        <v>46248</v>
      </c>
      <c r="AF203" s="2">
        <v>46256</v>
      </c>
      <c r="AG203" s="2">
        <v>46263</v>
      </c>
      <c r="AH203">
        <v>6</v>
      </c>
      <c r="AI203" s="3">
        <v>0.14778325123152708</v>
      </c>
      <c r="AJ203" s="1">
        <v>0</v>
      </c>
      <c r="AK203" s="2">
        <v>46263</v>
      </c>
      <c r="AL203" s="4" t="s">
        <v>1658</v>
      </c>
      <c r="AM203" s="5" t="s">
        <v>1658</v>
      </c>
      <c r="AN203" s="4">
        <v>0</v>
      </c>
      <c r="AO203" t="s">
        <v>1635</v>
      </c>
      <c r="AP203" s="4" t="s">
        <v>1658</v>
      </c>
      <c r="AQ203" t="s">
        <v>1619</v>
      </c>
      <c r="AR203" t="s">
        <v>1620</v>
      </c>
      <c r="AT203" s="16" t="str">
        <f>_xlfn.XLOOKUP(B203,'SWiSH Demand Forecast Sep-26'!D:D,'SWiSH Demand Forecast Sep-26'!G:G,"Not Exist")</f>
        <v>Not Exist</v>
      </c>
    </row>
    <row r="204" spans="1:46" x14ac:dyDescent="0.3">
      <c r="A204">
        <v>105300059</v>
      </c>
      <c r="B204" t="s">
        <v>1977</v>
      </c>
      <c r="C204" t="s">
        <v>10</v>
      </c>
      <c r="D204" t="s">
        <v>1955</v>
      </c>
      <c r="E204" t="s">
        <v>1638</v>
      </c>
      <c r="F204" t="s">
        <v>1664</v>
      </c>
      <c r="G204" t="s">
        <v>1624</v>
      </c>
      <c r="H204" t="s">
        <v>1978</v>
      </c>
      <c r="I204" t="s">
        <v>1634</v>
      </c>
      <c r="J204" t="s">
        <v>10</v>
      </c>
      <c r="K204">
        <v>4.4999999999999998E-2</v>
      </c>
      <c r="L204">
        <v>0</v>
      </c>
      <c r="M204" s="1">
        <v>15</v>
      </c>
      <c r="N204">
        <v>0</v>
      </c>
      <c r="O204">
        <v>0</v>
      </c>
      <c r="P204">
        <v>0</v>
      </c>
      <c r="Q204" s="1">
        <v>0</v>
      </c>
      <c r="R204">
        <v>4.4999999999999998E-2</v>
      </c>
      <c r="S204" s="2">
        <v>46193</v>
      </c>
      <c r="T204" s="2">
        <v>46213</v>
      </c>
      <c r="U204">
        <v>0</v>
      </c>
      <c r="V204">
        <v>0</v>
      </c>
      <c r="W204">
        <v>14000</v>
      </c>
      <c r="X204">
        <v>0</v>
      </c>
      <c r="Y204">
        <v>0</v>
      </c>
      <c r="Z204" s="8">
        <v>14000</v>
      </c>
      <c r="AA204">
        <v>3500</v>
      </c>
      <c r="AB204">
        <v>0</v>
      </c>
      <c r="AC204">
        <v>4</v>
      </c>
      <c r="AD204" s="1">
        <v>0</v>
      </c>
      <c r="AE204" s="2">
        <v>46248</v>
      </c>
      <c r="AF204" s="2">
        <v>46256</v>
      </c>
      <c r="AG204" s="2">
        <v>46263</v>
      </c>
      <c r="AH204">
        <v>0</v>
      </c>
      <c r="AI204" s="3">
        <v>0</v>
      </c>
      <c r="AJ204" s="1" t="s">
        <v>1635</v>
      </c>
      <c r="AK204" s="2" t="s">
        <v>1635</v>
      </c>
      <c r="AL204" s="4" t="s">
        <v>1658</v>
      </c>
      <c r="AM204" s="5" t="s">
        <v>1658</v>
      </c>
      <c r="AN204" s="4">
        <v>0</v>
      </c>
      <c r="AO204" t="s">
        <v>1635</v>
      </c>
      <c r="AP204" s="4" t="s">
        <v>1658</v>
      </c>
      <c r="AQ204" t="s">
        <v>1619</v>
      </c>
      <c r="AR204" t="s">
        <v>1620</v>
      </c>
      <c r="AT204" s="16" t="str">
        <f>_xlfn.XLOOKUP(B204,'SWiSH Demand Forecast Sep-26'!D:D,'SWiSH Demand Forecast Sep-26'!G:G,"Not Exist")</f>
        <v>Not Exist</v>
      </c>
    </row>
    <row r="205" spans="1:46" x14ac:dyDescent="0.3">
      <c r="A205">
        <v>106600155</v>
      </c>
      <c r="B205" t="s">
        <v>1979</v>
      </c>
      <c r="C205" t="s">
        <v>10</v>
      </c>
      <c r="D205" t="s">
        <v>1955</v>
      </c>
      <c r="E205" t="s">
        <v>1638</v>
      </c>
      <c r="F205" t="s">
        <v>1664</v>
      </c>
      <c r="G205" t="s">
        <v>1624</v>
      </c>
      <c r="H205" t="s">
        <v>1723</v>
      </c>
      <c r="I205" t="s">
        <v>1634</v>
      </c>
      <c r="J205" t="s">
        <v>10</v>
      </c>
      <c r="K205">
        <v>1.7309999999999999E-2</v>
      </c>
      <c r="L205">
        <v>0</v>
      </c>
      <c r="M205" s="1">
        <v>30</v>
      </c>
      <c r="N205">
        <v>0</v>
      </c>
      <c r="O205">
        <v>0</v>
      </c>
      <c r="P205">
        <v>0</v>
      </c>
      <c r="Q205" s="1">
        <v>0</v>
      </c>
      <c r="R205">
        <v>1.7309999999999999E-2</v>
      </c>
      <c r="S205" s="2">
        <v>46187</v>
      </c>
      <c r="T205" s="2">
        <v>46220</v>
      </c>
      <c r="U205">
        <v>0</v>
      </c>
      <c r="V205">
        <v>0</v>
      </c>
      <c r="W205">
        <v>17000</v>
      </c>
      <c r="X205">
        <v>9000</v>
      </c>
      <c r="Y205">
        <v>0</v>
      </c>
      <c r="Z205" s="8">
        <v>17000</v>
      </c>
      <c r="AA205">
        <v>6500</v>
      </c>
      <c r="AB205">
        <v>0</v>
      </c>
      <c r="AC205">
        <v>2.6153846153846154</v>
      </c>
      <c r="AD205" s="1">
        <v>0</v>
      </c>
      <c r="AE205" s="2">
        <v>46248</v>
      </c>
      <c r="AF205" s="2">
        <v>46256</v>
      </c>
      <c r="AG205" s="2">
        <v>46263</v>
      </c>
      <c r="AH205">
        <v>0</v>
      </c>
      <c r="AI205" s="3">
        <v>0</v>
      </c>
      <c r="AJ205" s="1" t="s">
        <v>1635</v>
      </c>
      <c r="AK205" s="2" t="s">
        <v>1635</v>
      </c>
      <c r="AL205" s="4" t="s">
        <v>1658</v>
      </c>
      <c r="AM205" s="5" t="s">
        <v>1658</v>
      </c>
      <c r="AN205" s="4">
        <v>0</v>
      </c>
      <c r="AO205" t="s">
        <v>1635</v>
      </c>
      <c r="AP205" s="4" t="s">
        <v>1658</v>
      </c>
      <c r="AQ205" t="s">
        <v>1619</v>
      </c>
      <c r="AR205" t="s">
        <v>1620</v>
      </c>
      <c r="AT205" s="16" t="str">
        <f>_xlfn.XLOOKUP(B205,'SWiSH Demand Forecast Sep-26'!D:D,'SWiSH Demand Forecast Sep-26'!G:G,"Not Exist")</f>
        <v>Not Exist</v>
      </c>
    </row>
    <row r="206" spans="1:46" hidden="1" x14ac:dyDescent="0.3">
      <c r="A206">
        <v>101300033</v>
      </c>
      <c r="B206" t="s">
        <v>981</v>
      </c>
      <c r="C206" t="s">
        <v>136</v>
      </c>
      <c r="D206" t="s">
        <v>1629</v>
      </c>
      <c r="E206" t="s">
        <v>1685</v>
      </c>
      <c r="F206" t="s">
        <v>1752</v>
      </c>
      <c r="G206" t="s">
        <v>1616</v>
      </c>
      <c r="H206" t="s">
        <v>1980</v>
      </c>
      <c r="I206" t="s">
        <v>1754</v>
      </c>
      <c r="J206" t="s">
        <v>136</v>
      </c>
      <c r="K206">
        <v>2.2599999999999998</v>
      </c>
      <c r="L206">
        <v>0</v>
      </c>
      <c r="M206" s="1">
        <v>3</v>
      </c>
      <c r="N206">
        <v>0</v>
      </c>
      <c r="O206">
        <v>0</v>
      </c>
      <c r="P206">
        <v>0</v>
      </c>
      <c r="Q206" s="1">
        <v>0</v>
      </c>
      <c r="R206">
        <v>22.6</v>
      </c>
      <c r="S206" s="2">
        <v>46209</v>
      </c>
      <c r="T206" s="2">
        <v>46262</v>
      </c>
      <c r="U206">
        <v>280</v>
      </c>
      <c r="V206">
        <v>320</v>
      </c>
      <c r="W206">
        <v>400</v>
      </c>
      <c r="X206">
        <v>374</v>
      </c>
      <c r="Y206">
        <v>280</v>
      </c>
      <c r="Z206" s="8">
        <v>400</v>
      </c>
      <c r="AA206">
        <v>343.5</v>
      </c>
      <c r="AB206">
        <v>0.81513828238719066</v>
      </c>
      <c r="AC206">
        <v>1.1644832605531295</v>
      </c>
      <c r="AD206" s="1">
        <v>0</v>
      </c>
      <c r="AE206" s="2">
        <v>46248</v>
      </c>
      <c r="AF206" s="2">
        <v>46256</v>
      </c>
      <c r="AG206" s="2">
        <v>46263</v>
      </c>
      <c r="AH206">
        <v>80</v>
      </c>
      <c r="AI206" s="3">
        <v>0.20689655172413793</v>
      </c>
      <c r="AJ206" s="1">
        <v>0</v>
      </c>
      <c r="AK206" s="2">
        <v>46263</v>
      </c>
      <c r="AL206" s="4" t="s">
        <v>1636</v>
      </c>
      <c r="AM206" s="5" t="s">
        <v>1636</v>
      </c>
      <c r="AN206" s="4">
        <v>0</v>
      </c>
      <c r="AO206" t="s">
        <v>1635</v>
      </c>
      <c r="AP206" s="4" t="s">
        <v>1636</v>
      </c>
      <c r="AQ206" t="s">
        <v>1619</v>
      </c>
      <c r="AR206" t="s">
        <v>1620</v>
      </c>
      <c r="AS206" t="s">
        <v>1666</v>
      </c>
      <c r="AT206" s="16">
        <f>_xlfn.XLOOKUP(B206,'SWiSH Demand Forecast Sep-26'!D:D,'SWiSH Demand Forecast Sep-26'!G:G,"Not Exist")</f>
        <v>163.72</v>
      </c>
    </row>
    <row r="207" spans="1:46" x14ac:dyDescent="0.3">
      <c r="A207">
        <v>102500007</v>
      </c>
      <c r="B207" t="s">
        <v>1981</v>
      </c>
      <c r="C207" t="s">
        <v>136</v>
      </c>
      <c r="D207" t="s">
        <v>1613</v>
      </c>
      <c r="E207" t="s">
        <v>1732</v>
      </c>
      <c r="F207" t="s">
        <v>1927</v>
      </c>
      <c r="G207" t="s">
        <v>1616</v>
      </c>
      <c r="H207" t="s">
        <v>1928</v>
      </c>
      <c r="I207" t="s">
        <v>1618</v>
      </c>
      <c r="J207" t="s">
        <v>1982</v>
      </c>
      <c r="K207">
        <v>1.5555555599999999</v>
      </c>
      <c r="L207">
        <v>0</v>
      </c>
      <c r="M207" s="1">
        <v>3</v>
      </c>
      <c r="N207">
        <v>0</v>
      </c>
      <c r="O207">
        <v>0</v>
      </c>
      <c r="P207">
        <v>0</v>
      </c>
      <c r="Q207" s="1">
        <v>0</v>
      </c>
      <c r="R207">
        <v>11.2</v>
      </c>
      <c r="S207" s="2">
        <v>46135</v>
      </c>
      <c r="T207" s="2">
        <v>46244</v>
      </c>
      <c r="U207">
        <v>0</v>
      </c>
      <c r="V207">
        <v>7.2</v>
      </c>
      <c r="W207">
        <v>7.2</v>
      </c>
      <c r="X207">
        <v>7.2</v>
      </c>
      <c r="Y207">
        <v>0</v>
      </c>
      <c r="Z207" s="8">
        <v>7.2</v>
      </c>
      <c r="AA207">
        <v>5.4</v>
      </c>
      <c r="AB207">
        <v>0</v>
      </c>
      <c r="AC207">
        <v>1.3333333333333333</v>
      </c>
      <c r="AD207" s="1">
        <v>0</v>
      </c>
      <c r="AE207" s="2">
        <v>46248</v>
      </c>
      <c r="AF207" s="2">
        <v>46256</v>
      </c>
      <c r="AG207" s="2">
        <v>46263</v>
      </c>
      <c r="AH207">
        <v>7.2</v>
      </c>
      <c r="AI207" s="3">
        <v>1.0344827586206895</v>
      </c>
      <c r="AJ207" s="1">
        <v>0</v>
      </c>
      <c r="AK207" s="2">
        <v>46263</v>
      </c>
      <c r="AL207" s="4">
        <v>30</v>
      </c>
      <c r="AM207" s="5">
        <v>15</v>
      </c>
      <c r="AN207" s="4">
        <v>0</v>
      </c>
      <c r="AO207">
        <v>7.4482758620689644</v>
      </c>
      <c r="AP207" s="4">
        <v>1</v>
      </c>
      <c r="AQ207" t="s">
        <v>1619</v>
      </c>
      <c r="AR207" t="s">
        <v>1620</v>
      </c>
      <c r="AT207" s="16" t="str">
        <f>_xlfn.XLOOKUP(B207,'SWiSH Demand Forecast Sep-26'!D:D,'SWiSH Demand Forecast Sep-26'!G:G,"Not Exist")</f>
        <v>Not Exist</v>
      </c>
    </row>
    <row r="208" spans="1:46" x14ac:dyDescent="0.3">
      <c r="A208">
        <v>105100000</v>
      </c>
      <c r="B208" t="s">
        <v>1983</v>
      </c>
      <c r="C208" t="s">
        <v>10</v>
      </c>
      <c r="D208" t="s">
        <v>1613</v>
      </c>
      <c r="E208" t="s">
        <v>1984</v>
      </c>
      <c r="F208" t="s">
        <v>1631</v>
      </c>
      <c r="G208" t="s">
        <v>1624</v>
      </c>
      <c r="H208" t="s">
        <v>1985</v>
      </c>
      <c r="I208" t="s">
        <v>1634</v>
      </c>
      <c r="J208" t="s">
        <v>10</v>
      </c>
      <c r="K208">
        <v>1.4897779999999999E-2</v>
      </c>
      <c r="L208">
        <v>0</v>
      </c>
      <c r="M208" s="1">
        <v>30</v>
      </c>
      <c r="N208">
        <v>0</v>
      </c>
      <c r="O208">
        <v>0</v>
      </c>
      <c r="P208">
        <v>0</v>
      </c>
      <c r="Q208" s="1">
        <v>0</v>
      </c>
      <c r="R208">
        <v>1.9154800000000001</v>
      </c>
      <c r="S208" s="2">
        <v>45861</v>
      </c>
      <c r="T208" s="2">
        <v>46262</v>
      </c>
      <c r="U208">
        <v>370</v>
      </c>
      <c r="V208">
        <v>320</v>
      </c>
      <c r="W208">
        <v>516</v>
      </c>
      <c r="X208">
        <v>890</v>
      </c>
      <c r="Y208">
        <v>320</v>
      </c>
      <c r="Z208" s="8">
        <v>890</v>
      </c>
      <c r="AA208">
        <v>524</v>
      </c>
      <c r="AB208">
        <v>0.61068702290076338</v>
      </c>
      <c r="AC208">
        <v>1.6984732824427482</v>
      </c>
      <c r="AD208" s="1">
        <v>0</v>
      </c>
      <c r="AE208" s="2">
        <v>46248</v>
      </c>
      <c r="AF208" s="2">
        <v>46256</v>
      </c>
      <c r="AG208" s="2">
        <v>46263</v>
      </c>
      <c r="AH208">
        <v>0</v>
      </c>
      <c r="AI208" s="3">
        <v>0</v>
      </c>
      <c r="AJ208" s="1" t="s">
        <v>1635</v>
      </c>
      <c r="AK208" s="2" t="s">
        <v>1635</v>
      </c>
      <c r="AL208" s="4">
        <v>120</v>
      </c>
      <c r="AM208" s="5">
        <v>100</v>
      </c>
      <c r="AN208" s="4">
        <v>0</v>
      </c>
      <c r="AO208">
        <v>0</v>
      </c>
      <c r="AP208" s="4">
        <v>1</v>
      </c>
      <c r="AQ208" t="s">
        <v>1619</v>
      </c>
      <c r="AR208" t="s">
        <v>1620</v>
      </c>
      <c r="AT208" s="16" t="str">
        <f>_xlfn.XLOOKUP(B208,'SWiSH Demand Forecast Sep-26'!D:D,'SWiSH Demand Forecast Sep-26'!G:G,"Not Exist")</f>
        <v>Not Exist</v>
      </c>
    </row>
    <row r="209" spans="1:46" x14ac:dyDescent="0.3">
      <c r="A209">
        <v>106800240</v>
      </c>
      <c r="B209" t="s">
        <v>1986</v>
      </c>
      <c r="C209" t="s">
        <v>10</v>
      </c>
      <c r="D209" t="s">
        <v>1629</v>
      </c>
      <c r="E209" t="s">
        <v>1663</v>
      </c>
      <c r="F209" t="s">
        <v>1664</v>
      </c>
      <c r="G209" t="s">
        <v>1624</v>
      </c>
      <c r="H209" t="s">
        <v>1665</v>
      </c>
      <c r="I209" t="s">
        <v>1634</v>
      </c>
      <c r="J209" t="s">
        <v>10</v>
      </c>
      <c r="K209">
        <v>3.0000000000000001E-3</v>
      </c>
      <c r="L209">
        <v>0</v>
      </c>
      <c r="M209" s="1">
        <v>15</v>
      </c>
      <c r="N209">
        <v>0</v>
      </c>
      <c r="O209">
        <v>0</v>
      </c>
      <c r="P209">
        <v>0</v>
      </c>
      <c r="Q209" s="1">
        <v>0</v>
      </c>
      <c r="R209">
        <v>3.0000000000000001E-3</v>
      </c>
      <c r="S209" s="2">
        <v>46149</v>
      </c>
      <c r="T209" s="2">
        <v>46206</v>
      </c>
      <c r="U209">
        <v>5000</v>
      </c>
      <c r="V209">
        <v>0</v>
      </c>
      <c r="W209">
        <v>0</v>
      </c>
      <c r="X209">
        <v>5000</v>
      </c>
      <c r="Y209">
        <v>0</v>
      </c>
      <c r="Z209" s="8">
        <v>5000</v>
      </c>
      <c r="AA209">
        <v>2500</v>
      </c>
      <c r="AB209">
        <v>0</v>
      </c>
      <c r="AC209">
        <v>2</v>
      </c>
      <c r="AD209" s="1">
        <v>0</v>
      </c>
      <c r="AE209" s="2">
        <v>46248</v>
      </c>
      <c r="AF209" s="2">
        <v>46256</v>
      </c>
      <c r="AG209" s="2">
        <v>46263</v>
      </c>
      <c r="AH209">
        <v>0</v>
      </c>
      <c r="AI209" s="3">
        <v>0</v>
      </c>
      <c r="AJ209" s="1" t="s">
        <v>1635</v>
      </c>
      <c r="AK209" s="2" t="s">
        <v>1635</v>
      </c>
      <c r="AL209" s="4">
        <v>30</v>
      </c>
      <c r="AM209" s="5">
        <v>15</v>
      </c>
      <c r="AN209" s="4">
        <v>0</v>
      </c>
      <c r="AO209">
        <v>0</v>
      </c>
      <c r="AP209" s="4">
        <v>1</v>
      </c>
      <c r="AQ209" t="s">
        <v>1619</v>
      </c>
      <c r="AR209" t="s">
        <v>1620</v>
      </c>
      <c r="AT209" s="16" t="str">
        <f>_xlfn.XLOOKUP(B209,'SWiSH Demand Forecast Sep-26'!D:D,'SWiSH Demand Forecast Sep-26'!G:G,"Not Exist")</f>
        <v>Not Exist</v>
      </c>
    </row>
    <row r="210" spans="1:46" x14ac:dyDescent="0.3">
      <c r="A210">
        <v>100200002</v>
      </c>
      <c r="B210" t="s">
        <v>1987</v>
      </c>
      <c r="C210" t="s">
        <v>136</v>
      </c>
      <c r="D210" t="s">
        <v>1629</v>
      </c>
      <c r="E210" t="s">
        <v>1655</v>
      </c>
      <c r="F210" t="s">
        <v>1752</v>
      </c>
      <c r="G210" t="s">
        <v>1616</v>
      </c>
      <c r="H210" t="s">
        <v>1988</v>
      </c>
      <c r="I210" t="s">
        <v>1754</v>
      </c>
      <c r="J210" t="s">
        <v>136</v>
      </c>
      <c r="K210">
        <v>3.9999628299999999</v>
      </c>
      <c r="L210">
        <v>0</v>
      </c>
      <c r="M210" s="1">
        <v>3</v>
      </c>
      <c r="N210">
        <v>0</v>
      </c>
      <c r="O210">
        <v>0</v>
      </c>
      <c r="P210">
        <v>0</v>
      </c>
      <c r="Q210" s="1">
        <v>0</v>
      </c>
      <c r="R210">
        <v>4</v>
      </c>
      <c r="S210" s="2">
        <v>46163</v>
      </c>
      <c r="T210" s="2">
        <v>46239</v>
      </c>
      <c r="U210">
        <v>596</v>
      </c>
      <c r="V210">
        <v>230</v>
      </c>
      <c r="W210">
        <v>9</v>
      </c>
      <c r="X210">
        <v>104</v>
      </c>
      <c r="Y210">
        <v>9</v>
      </c>
      <c r="Z210" s="8">
        <v>596</v>
      </c>
      <c r="AA210">
        <v>234.75</v>
      </c>
      <c r="AB210">
        <v>3.8338658146964855E-2</v>
      </c>
      <c r="AC210">
        <v>2.5388711395101171</v>
      </c>
      <c r="AD210" s="1">
        <v>0</v>
      </c>
      <c r="AE210" s="2">
        <v>46248</v>
      </c>
      <c r="AF210" s="2">
        <v>46256</v>
      </c>
      <c r="AG210" s="2">
        <v>46263</v>
      </c>
      <c r="AH210">
        <v>44</v>
      </c>
      <c r="AI210" s="3">
        <v>7.6371210367970371E-2</v>
      </c>
      <c r="AJ210" s="1">
        <v>0</v>
      </c>
      <c r="AK210" s="2">
        <v>46263</v>
      </c>
      <c r="AL210" s="4" t="s">
        <v>1636</v>
      </c>
      <c r="AM210" s="5" t="s">
        <v>1636</v>
      </c>
      <c r="AN210" s="4">
        <v>0</v>
      </c>
      <c r="AO210" t="s">
        <v>1635</v>
      </c>
      <c r="AP210" s="4" t="s">
        <v>1636</v>
      </c>
      <c r="AQ210" t="s">
        <v>1619</v>
      </c>
      <c r="AR210" t="s">
        <v>1620</v>
      </c>
      <c r="AS210" t="s">
        <v>1666</v>
      </c>
      <c r="AT210" s="16" t="str">
        <f>_xlfn.XLOOKUP(B210,'SWiSH Demand Forecast Sep-26'!D:D,'SWiSH Demand Forecast Sep-26'!G:G,"Not Exist")</f>
        <v>Not Exist</v>
      </c>
    </row>
    <row r="211" spans="1:46" x14ac:dyDescent="0.3">
      <c r="A211">
        <v>100900071</v>
      </c>
      <c r="B211" t="s">
        <v>1989</v>
      </c>
      <c r="C211" t="s">
        <v>10</v>
      </c>
      <c r="D211" t="s">
        <v>1629</v>
      </c>
      <c r="E211" t="s">
        <v>1638</v>
      </c>
      <c r="F211" t="s">
        <v>1639</v>
      </c>
      <c r="G211" t="s">
        <v>1616</v>
      </c>
      <c r="H211" t="s">
        <v>1640</v>
      </c>
      <c r="I211" t="s">
        <v>1618</v>
      </c>
      <c r="J211" t="s">
        <v>1781</v>
      </c>
      <c r="K211">
        <v>8.2575830000000003E-2</v>
      </c>
      <c r="L211">
        <v>-1.98181992</v>
      </c>
      <c r="M211" s="1">
        <v>3</v>
      </c>
      <c r="N211">
        <v>0</v>
      </c>
      <c r="O211">
        <v>0</v>
      </c>
      <c r="P211">
        <v>-24</v>
      </c>
      <c r="Q211" s="1">
        <v>-24</v>
      </c>
      <c r="R211">
        <v>1.9818199999999999</v>
      </c>
      <c r="S211" s="2">
        <v>46215</v>
      </c>
      <c r="T211" s="2">
        <v>46238</v>
      </c>
      <c r="U211">
        <v>1560</v>
      </c>
      <c r="V211">
        <v>1528</v>
      </c>
      <c r="W211">
        <v>2930</v>
      </c>
      <c r="X211">
        <v>2544</v>
      </c>
      <c r="Y211">
        <v>1528</v>
      </c>
      <c r="Z211" s="8">
        <v>2930</v>
      </c>
      <c r="AA211">
        <v>2140.5</v>
      </c>
      <c r="AB211">
        <v>0.71385190376080354</v>
      </c>
      <c r="AC211">
        <v>1.3688390562952581</v>
      </c>
      <c r="AD211" s="1">
        <v>0</v>
      </c>
      <c r="AE211" s="2">
        <v>46248</v>
      </c>
      <c r="AF211" s="2">
        <v>46256</v>
      </c>
      <c r="AG211" s="2">
        <v>46263</v>
      </c>
      <c r="AH211">
        <v>0</v>
      </c>
      <c r="AI211" s="3">
        <v>0</v>
      </c>
      <c r="AJ211" s="1" t="s">
        <v>1635</v>
      </c>
      <c r="AK211" s="2" t="s">
        <v>1635</v>
      </c>
      <c r="AL211" s="4" t="s">
        <v>1636</v>
      </c>
      <c r="AM211" s="5" t="s">
        <v>1636</v>
      </c>
      <c r="AN211" s="4">
        <v>0</v>
      </c>
      <c r="AO211" t="s">
        <v>1635</v>
      </c>
      <c r="AP211" s="4" t="s">
        <v>1636</v>
      </c>
      <c r="AQ211" t="s">
        <v>1619</v>
      </c>
      <c r="AR211" t="s">
        <v>1800</v>
      </c>
      <c r="AT211" s="16" t="str">
        <f>_xlfn.XLOOKUP(B211,'SWiSH Demand Forecast Sep-26'!D:D,'SWiSH Demand Forecast Sep-26'!G:G,"Not Exist")</f>
        <v>Not Exist</v>
      </c>
    </row>
    <row r="212" spans="1:46" hidden="1" x14ac:dyDescent="0.3">
      <c r="A212">
        <v>102700004</v>
      </c>
      <c r="B212" t="s">
        <v>224</v>
      </c>
      <c r="C212" t="s">
        <v>10</v>
      </c>
      <c r="D212" t="s">
        <v>1613</v>
      </c>
      <c r="E212" t="s">
        <v>1990</v>
      </c>
      <c r="F212" t="s">
        <v>1623</v>
      </c>
      <c r="G212" t="s">
        <v>1616</v>
      </c>
      <c r="H212" t="s">
        <v>1865</v>
      </c>
      <c r="I212" t="s">
        <v>1754</v>
      </c>
      <c r="J212" t="s">
        <v>1991</v>
      </c>
      <c r="K212">
        <v>4.8385419999999998E-2</v>
      </c>
      <c r="L212">
        <v>32.515002240000001</v>
      </c>
      <c r="M212" s="1">
        <v>7</v>
      </c>
      <c r="N212">
        <v>0</v>
      </c>
      <c r="O212">
        <v>672</v>
      </c>
      <c r="P212">
        <v>672</v>
      </c>
      <c r="Q212" s="1">
        <v>0</v>
      </c>
      <c r="R212">
        <v>4.6449999999999996</v>
      </c>
      <c r="S212" s="2">
        <v>46209</v>
      </c>
      <c r="T212" s="2">
        <v>46263</v>
      </c>
      <c r="U212">
        <v>23640</v>
      </c>
      <c r="V212">
        <v>20424</v>
      </c>
      <c r="W212">
        <v>26688</v>
      </c>
      <c r="X212">
        <v>32736</v>
      </c>
      <c r="Y212">
        <v>20424</v>
      </c>
      <c r="Z212" s="8">
        <v>32736</v>
      </c>
      <c r="AA212">
        <v>25872</v>
      </c>
      <c r="AB212">
        <v>0.78942486085343233</v>
      </c>
      <c r="AC212">
        <v>1.2653061224489797</v>
      </c>
      <c r="AD212" s="1">
        <v>0</v>
      </c>
      <c r="AE212" s="2">
        <v>46248</v>
      </c>
      <c r="AF212" s="2">
        <v>46256</v>
      </c>
      <c r="AG212" s="2">
        <v>46263</v>
      </c>
      <c r="AH212">
        <v>22896</v>
      </c>
      <c r="AI212" s="3">
        <v>0.72353119627869356</v>
      </c>
      <c r="AJ212" s="1">
        <v>0</v>
      </c>
      <c r="AK212" s="2">
        <v>46263</v>
      </c>
      <c r="AL212" s="4" t="s">
        <v>1658</v>
      </c>
      <c r="AM212" s="5" t="s">
        <v>1658</v>
      </c>
      <c r="AN212" s="4">
        <v>0</v>
      </c>
      <c r="AO212" t="s">
        <v>1635</v>
      </c>
      <c r="AP212" s="4" t="s">
        <v>1658</v>
      </c>
      <c r="AQ212" t="s">
        <v>1619</v>
      </c>
      <c r="AR212" t="s">
        <v>1910</v>
      </c>
      <c r="AT212" s="16">
        <f>_xlfn.XLOOKUP(B212,'SWiSH Demand Forecast Sep-26'!D:D,'SWiSH Demand Forecast Sep-26'!G:G,"Not Exist")</f>
        <v>7602</v>
      </c>
    </row>
    <row r="213" spans="1:46" hidden="1" x14ac:dyDescent="0.3">
      <c r="A213">
        <v>105900042</v>
      </c>
      <c r="B213" t="s">
        <v>140</v>
      </c>
      <c r="C213" t="s">
        <v>10</v>
      </c>
      <c r="D213" t="s">
        <v>1613</v>
      </c>
      <c r="E213" t="s">
        <v>1732</v>
      </c>
      <c r="F213" t="s">
        <v>1664</v>
      </c>
      <c r="G213" t="s">
        <v>1624</v>
      </c>
      <c r="H213" t="s">
        <v>1729</v>
      </c>
      <c r="I213" t="s">
        <v>1634</v>
      </c>
      <c r="J213" t="s">
        <v>1733</v>
      </c>
      <c r="K213">
        <v>4.1440000000000001E-3</v>
      </c>
      <c r="L213">
        <v>0</v>
      </c>
      <c r="M213" s="1">
        <v>90</v>
      </c>
      <c r="N213">
        <v>0</v>
      </c>
      <c r="O213">
        <v>0</v>
      </c>
      <c r="P213">
        <v>0</v>
      </c>
      <c r="Q213" s="1">
        <v>0</v>
      </c>
      <c r="R213">
        <v>4.1440000000000001</v>
      </c>
      <c r="S213" s="2">
        <v>46082</v>
      </c>
      <c r="T213" s="2">
        <v>46254</v>
      </c>
      <c r="U213">
        <v>34800</v>
      </c>
      <c r="V213">
        <v>22100</v>
      </c>
      <c r="W213">
        <v>27200</v>
      </c>
      <c r="X213">
        <v>30600</v>
      </c>
      <c r="Y213">
        <v>22100</v>
      </c>
      <c r="Z213" s="8">
        <v>34800</v>
      </c>
      <c r="AA213">
        <v>28675</v>
      </c>
      <c r="AB213">
        <v>0.77070619006102881</v>
      </c>
      <c r="AC213">
        <v>1.2136006974716653</v>
      </c>
      <c r="AD213" s="1">
        <v>0</v>
      </c>
      <c r="AE213" s="2">
        <v>46248</v>
      </c>
      <c r="AF213" s="2">
        <v>46256</v>
      </c>
      <c r="AG213" s="2">
        <v>46263</v>
      </c>
      <c r="AH213">
        <v>5100</v>
      </c>
      <c r="AI213" s="3">
        <v>0.1516052318668252</v>
      </c>
      <c r="AJ213" s="1">
        <v>0</v>
      </c>
      <c r="AK213" s="2">
        <v>46263</v>
      </c>
      <c r="AL213" s="4">
        <v>120</v>
      </c>
      <c r="AM213" s="5">
        <v>100</v>
      </c>
      <c r="AN213" s="4">
        <v>0</v>
      </c>
      <c r="AO213">
        <v>21103.448275862069</v>
      </c>
      <c r="AP213" s="4">
        <v>1</v>
      </c>
      <c r="AQ213" t="s">
        <v>1619</v>
      </c>
      <c r="AR213" t="s">
        <v>1620</v>
      </c>
      <c r="AT213" s="16">
        <f>_xlfn.XLOOKUP(B213,'SWiSH Demand Forecast Sep-26'!D:D,'SWiSH Demand Forecast Sep-26'!G:G,"Not Exist")</f>
        <v>13460</v>
      </c>
    </row>
    <row r="214" spans="1:46" x14ac:dyDescent="0.3">
      <c r="A214">
        <v>101400004</v>
      </c>
      <c r="B214" t="s">
        <v>1992</v>
      </c>
      <c r="C214" t="s">
        <v>10</v>
      </c>
      <c r="D214" t="s">
        <v>1613</v>
      </c>
      <c r="E214" t="s">
        <v>1677</v>
      </c>
      <c r="F214" t="s">
        <v>1644</v>
      </c>
      <c r="G214" t="s">
        <v>1624</v>
      </c>
      <c r="H214" t="s">
        <v>1693</v>
      </c>
      <c r="I214" t="s">
        <v>1634</v>
      </c>
      <c r="J214" t="s">
        <v>10</v>
      </c>
      <c r="K214">
        <v>2.5731609999999999E-2</v>
      </c>
      <c r="L214">
        <v>0</v>
      </c>
      <c r="M214" s="1">
        <v>3</v>
      </c>
      <c r="N214">
        <v>0</v>
      </c>
      <c r="O214">
        <v>0</v>
      </c>
      <c r="P214">
        <v>0</v>
      </c>
      <c r="Q214" s="1">
        <v>0</v>
      </c>
      <c r="R214">
        <v>5.2</v>
      </c>
      <c r="S214" s="2">
        <v>46223</v>
      </c>
      <c r="T214" s="2">
        <v>46187</v>
      </c>
      <c r="U214">
        <v>0</v>
      </c>
      <c r="V214">
        <v>2000</v>
      </c>
      <c r="W214">
        <v>2400</v>
      </c>
      <c r="X214">
        <v>0</v>
      </c>
      <c r="Y214">
        <v>0</v>
      </c>
      <c r="Z214" s="8">
        <v>2400</v>
      </c>
      <c r="AA214">
        <v>1100</v>
      </c>
      <c r="AB214">
        <v>0</v>
      </c>
      <c r="AC214">
        <v>2.1818181818181817</v>
      </c>
      <c r="AD214" s="1">
        <v>0</v>
      </c>
      <c r="AE214" s="2">
        <v>46248</v>
      </c>
      <c r="AF214" s="2">
        <v>46256</v>
      </c>
      <c r="AG214" s="2">
        <v>46263</v>
      </c>
      <c r="AH214">
        <v>0</v>
      </c>
      <c r="AI214" s="3">
        <v>0</v>
      </c>
      <c r="AJ214" s="1" t="s">
        <v>1635</v>
      </c>
      <c r="AK214" s="2" t="s">
        <v>1635</v>
      </c>
      <c r="AL214" s="4">
        <v>30</v>
      </c>
      <c r="AM214" s="5">
        <v>15</v>
      </c>
      <c r="AN214" s="4">
        <v>0</v>
      </c>
      <c r="AO214">
        <v>0</v>
      </c>
      <c r="AP214" s="4">
        <v>1</v>
      </c>
      <c r="AQ214" t="s">
        <v>1619</v>
      </c>
      <c r="AR214" t="s">
        <v>1620</v>
      </c>
      <c r="AT214" s="16" t="str">
        <f>_xlfn.XLOOKUP(B214,'SWiSH Demand Forecast Sep-26'!D:D,'SWiSH Demand Forecast Sep-26'!G:G,"Not Exist")</f>
        <v>Not Exist</v>
      </c>
    </row>
    <row r="215" spans="1:46" x14ac:dyDescent="0.3">
      <c r="A215">
        <v>100400085</v>
      </c>
      <c r="B215" t="s">
        <v>1993</v>
      </c>
      <c r="C215" t="s">
        <v>10</v>
      </c>
      <c r="D215" t="s">
        <v>1629</v>
      </c>
      <c r="E215" t="s">
        <v>1685</v>
      </c>
      <c r="F215" t="s">
        <v>1664</v>
      </c>
      <c r="G215" t="s">
        <v>1686</v>
      </c>
      <c r="H215" t="s">
        <v>1810</v>
      </c>
      <c r="I215" t="s">
        <v>1634</v>
      </c>
      <c r="J215" t="s">
        <v>10</v>
      </c>
      <c r="K215">
        <v>0.02</v>
      </c>
      <c r="L215">
        <v>0</v>
      </c>
      <c r="M215" s="1">
        <v>30</v>
      </c>
      <c r="N215">
        <v>0</v>
      </c>
      <c r="O215">
        <v>0</v>
      </c>
      <c r="P215">
        <v>0</v>
      </c>
      <c r="Q215" s="1">
        <v>0</v>
      </c>
      <c r="R215">
        <v>0.03</v>
      </c>
      <c r="S215" s="2">
        <v>46211</v>
      </c>
      <c r="T215" s="2">
        <v>46244</v>
      </c>
      <c r="U215">
        <v>12100</v>
      </c>
      <c r="V215">
        <v>9800</v>
      </c>
      <c r="W215">
        <v>8600</v>
      </c>
      <c r="X215">
        <v>3500</v>
      </c>
      <c r="Y215">
        <v>3500</v>
      </c>
      <c r="Z215" s="8">
        <v>12100</v>
      </c>
      <c r="AA215">
        <v>8500</v>
      </c>
      <c r="AB215">
        <v>0.41176470588235292</v>
      </c>
      <c r="AC215">
        <v>1.4235294117647059</v>
      </c>
      <c r="AD215" s="1">
        <v>0</v>
      </c>
      <c r="AE215" s="2">
        <v>46248</v>
      </c>
      <c r="AF215" s="2">
        <v>46256</v>
      </c>
      <c r="AG215" s="2">
        <v>46263</v>
      </c>
      <c r="AH215">
        <v>3400</v>
      </c>
      <c r="AI215" s="3">
        <v>0.29068110572812766</v>
      </c>
      <c r="AJ215" s="1">
        <v>0</v>
      </c>
      <c r="AK215" s="2">
        <v>46263</v>
      </c>
      <c r="AL215" s="4">
        <v>15</v>
      </c>
      <c r="AM215" s="5">
        <v>15</v>
      </c>
      <c r="AN215" s="4">
        <v>0</v>
      </c>
      <c r="AO215">
        <v>1758.6206896551723</v>
      </c>
      <c r="AP215" s="4">
        <v>2</v>
      </c>
      <c r="AQ215" t="s">
        <v>1619</v>
      </c>
      <c r="AR215" t="s">
        <v>1620</v>
      </c>
      <c r="AT215" s="16" t="str">
        <f>_xlfn.XLOOKUP(B215,'SWiSH Demand Forecast Sep-26'!D:D,'SWiSH Demand Forecast Sep-26'!G:G,"Not Exist")</f>
        <v>Not Exist</v>
      </c>
    </row>
    <row r="216" spans="1:46" x14ac:dyDescent="0.3">
      <c r="A216">
        <v>100500002</v>
      </c>
      <c r="B216" t="s">
        <v>1994</v>
      </c>
      <c r="C216" t="s">
        <v>136</v>
      </c>
      <c r="D216" t="s">
        <v>1675</v>
      </c>
      <c r="E216" t="s">
        <v>1995</v>
      </c>
      <c r="F216" t="s">
        <v>1752</v>
      </c>
      <c r="G216" t="s">
        <v>1616</v>
      </c>
      <c r="H216" t="s">
        <v>1996</v>
      </c>
      <c r="I216" t="s">
        <v>1754</v>
      </c>
      <c r="J216" t="s">
        <v>1997</v>
      </c>
      <c r="K216">
        <v>5</v>
      </c>
      <c r="L216">
        <v>0</v>
      </c>
      <c r="M216" s="1">
        <v>3</v>
      </c>
      <c r="N216">
        <v>0</v>
      </c>
      <c r="O216">
        <v>0</v>
      </c>
      <c r="P216">
        <v>0</v>
      </c>
      <c r="Q216" s="1">
        <v>0</v>
      </c>
      <c r="R216">
        <v>48</v>
      </c>
      <c r="S216" s="2">
        <v>46254</v>
      </c>
      <c r="T216" s="2">
        <v>46254</v>
      </c>
      <c r="U216">
        <v>0</v>
      </c>
      <c r="V216">
        <v>0</v>
      </c>
      <c r="W216">
        <v>0</v>
      </c>
      <c r="X216">
        <v>10</v>
      </c>
      <c r="Y216">
        <v>0</v>
      </c>
      <c r="Z216" s="8">
        <v>10</v>
      </c>
      <c r="AA216">
        <v>2.5</v>
      </c>
      <c r="AB216">
        <v>0</v>
      </c>
      <c r="AC216">
        <v>4</v>
      </c>
      <c r="AD216" s="1">
        <v>0</v>
      </c>
      <c r="AE216" s="2">
        <v>46248</v>
      </c>
      <c r="AF216" s="2">
        <v>46256</v>
      </c>
      <c r="AG216" s="2">
        <v>46263</v>
      </c>
      <c r="AH216">
        <v>10</v>
      </c>
      <c r="AI216" s="3">
        <v>1.0344827586206897</v>
      </c>
      <c r="AJ216" s="1">
        <v>0</v>
      </c>
      <c r="AK216" s="2">
        <v>46263</v>
      </c>
      <c r="AL216" s="4" t="s">
        <v>1658</v>
      </c>
      <c r="AM216" s="5" t="s">
        <v>1658</v>
      </c>
      <c r="AN216" s="4">
        <v>0</v>
      </c>
      <c r="AO216" t="s">
        <v>1635</v>
      </c>
      <c r="AP216" s="4" t="s">
        <v>1658</v>
      </c>
      <c r="AQ216" t="s">
        <v>1619</v>
      </c>
      <c r="AR216" t="s">
        <v>1620</v>
      </c>
      <c r="AT216" s="16" t="str">
        <f>_xlfn.XLOOKUP(B216,'SWiSH Demand Forecast Sep-26'!D:D,'SWiSH Demand Forecast Sep-26'!G:G,"Not Exist")</f>
        <v>Not Exist</v>
      </c>
    </row>
    <row r="217" spans="1:46" x14ac:dyDescent="0.3">
      <c r="A217">
        <v>102000006</v>
      </c>
      <c r="B217" t="s">
        <v>1998</v>
      </c>
      <c r="C217" t="s">
        <v>136</v>
      </c>
      <c r="D217" t="s">
        <v>1629</v>
      </c>
      <c r="E217" t="s">
        <v>1701</v>
      </c>
      <c r="F217" t="s">
        <v>1999</v>
      </c>
      <c r="G217" t="s">
        <v>1616</v>
      </c>
      <c r="H217" t="s">
        <v>2000</v>
      </c>
      <c r="I217" t="s">
        <v>1618</v>
      </c>
      <c r="J217" t="s">
        <v>2001</v>
      </c>
      <c r="K217">
        <v>3.5555555600000002</v>
      </c>
      <c r="L217">
        <v>0</v>
      </c>
      <c r="M217" s="1">
        <v>3</v>
      </c>
      <c r="N217">
        <v>0</v>
      </c>
      <c r="O217">
        <v>0</v>
      </c>
      <c r="P217">
        <v>0</v>
      </c>
      <c r="Q217" s="1">
        <v>0</v>
      </c>
      <c r="R217">
        <v>7.68</v>
      </c>
      <c r="S217" s="2">
        <v>46012</v>
      </c>
      <c r="T217" s="2">
        <v>46189</v>
      </c>
      <c r="U217">
        <v>0</v>
      </c>
      <c r="V217">
        <v>0</v>
      </c>
      <c r="W217">
        <v>2.16</v>
      </c>
      <c r="X217">
        <v>0</v>
      </c>
      <c r="Y217">
        <v>0</v>
      </c>
      <c r="Z217" s="8">
        <v>2.16</v>
      </c>
      <c r="AA217">
        <v>0.54</v>
      </c>
      <c r="AB217">
        <v>0</v>
      </c>
      <c r="AC217">
        <v>4</v>
      </c>
      <c r="AD217" s="1">
        <v>0</v>
      </c>
      <c r="AE217" s="2">
        <v>46248</v>
      </c>
      <c r="AF217" s="2">
        <v>46256</v>
      </c>
      <c r="AG217" s="2">
        <v>46263</v>
      </c>
      <c r="AH217">
        <v>0</v>
      </c>
      <c r="AI217" s="3">
        <v>0</v>
      </c>
      <c r="AJ217" s="1" t="s">
        <v>1635</v>
      </c>
      <c r="AK217" s="2" t="s">
        <v>1635</v>
      </c>
      <c r="AL217" s="4" t="s">
        <v>1636</v>
      </c>
      <c r="AM217" s="5" t="s">
        <v>1636</v>
      </c>
      <c r="AN217" s="4">
        <v>0</v>
      </c>
      <c r="AO217" t="s">
        <v>1635</v>
      </c>
      <c r="AP217" s="4" t="s">
        <v>1636</v>
      </c>
      <c r="AQ217" t="s">
        <v>1619</v>
      </c>
      <c r="AR217" t="s">
        <v>1620</v>
      </c>
      <c r="AT217" s="16" t="str">
        <f>_xlfn.XLOOKUP(B217,'SWiSH Demand Forecast Sep-26'!D:D,'SWiSH Demand Forecast Sep-26'!G:G,"Not Exist")</f>
        <v>Not Exist</v>
      </c>
    </row>
    <row r="218" spans="1:46" hidden="1" x14ac:dyDescent="0.3">
      <c r="A218">
        <v>105000004</v>
      </c>
      <c r="B218" t="s">
        <v>1487</v>
      </c>
      <c r="C218" t="s">
        <v>240</v>
      </c>
      <c r="D218" t="s">
        <v>1675</v>
      </c>
      <c r="E218" t="s">
        <v>1832</v>
      </c>
      <c r="F218" t="s">
        <v>1671</v>
      </c>
      <c r="G218" t="s">
        <v>1616</v>
      </c>
      <c r="H218" t="s">
        <v>2002</v>
      </c>
      <c r="I218" t="s">
        <v>1618</v>
      </c>
      <c r="J218" t="s">
        <v>2003</v>
      </c>
      <c r="K218">
        <v>0.91194823000000003</v>
      </c>
      <c r="L218">
        <v>0</v>
      </c>
      <c r="M218" s="1">
        <v>3</v>
      </c>
      <c r="N218">
        <v>0</v>
      </c>
      <c r="O218">
        <v>0</v>
      </c>
      <c r="P218">
        <v>0</v>
      </c>
      <c r="Q218" s="1">
        <v>0</v>
      </c>
      <c r="R218">
        <v>10.3</v>
      </c>
      <c r="S218" s="2">
        <v>46084</v>
      </c>
      <c r="T218" s="2">
        <v>46218</v>
      </c>
      <c r="U218">
        <v>0</v>
      </c>
      <c r="V218">
        <v>0</v>
      </c>
      <c r="W218">
        <v>0</v>
      </c>
      <c r="X218">
        <v>15.9</v>
      </c>
      <c r="Y218">
        <v>0</v>
      </c>
      <c r="Z218" s="8">
        <v>15.9</v>
      </c>
      <c r="AA218">
        <v>3.9750000000000001</v>
      </c>
      <c r="AB218">
        <v>0</v>
      </c>
      <c r="AC218">
        <v>4</v>
      </c>
      <c r="AD218" s="1">
        <v>0</v>
      </c>
      <c r="AE218" s="2">
        <v>46248</v>
      </c>
      <c r="AF218" s="2">
        <v>46256</v>
      </c>
      <c r="AG218" s="2">
        <v>46263</v>
      </c>
      <c r="AH218">
        <v>0</v>
      </c>
      <c r="AI218" s="3">
        <v>0</v>
      </c>
      <c r="AJ218" s="1" t="s">
        <v>1635</v>
      </c>
      <c r="AK218" s="2" t="s">
        <v>1635</v>
      </c>
      <c r="AL218" s="4" t="s">
        <v>1658</v>
      </c>
      <c r="AM218" s="5" t="s">
        <v>1658</v>
      </c>
      <c r="AN218" s="4">
        <v>0</v>
      </c>
      <c r="AO218" t="s">
        <v>1635</v>
      </c>
      <c r="AP218" s="4" t="s">
        <v>1658</v>
      </c>
      <c r="AQ218" t="s">
        <v>1619</v>
      </c>
      <c r="AR218" t="s">
        <v>1620</v>
      </c>
      <c r="AT218" s="16">
        <f>_xlfn.XLOOKUP(B218,'SWiSH Demand Forecast Sep-26'!D:D,'SWiSH Demand Forecast Sep-26'!G:G,"Not Exist")</f>
        <v>4.2995619538547398</v>
      </c>
    </row>
    <row r="219" spans="1:46" hidden="1" x14ac:dyDescent="0.3">
      <c r="A219">
        <v>100900068</v>
      </c>
      <c r="B219" t="s">
        <v>322</v>
      </c>
      <c r="C219" t="s">
        <v>10</v>
      </c>
      <c r="D219" t="s">
        <v>1629</v>
      </c>
      <c r="E219" t="s">
        <v>2004</v>
      </c>
      <c r="F219" t="s">
        <v>1639</v>
      </c>
      <c r="G219" t="s">
        <v>1616</v>
      </c>
      <c r="H219" t="s">
        <v>1640</v>
      </c>
      <c r="I219" t="s">
        <v>1618</v>
      </c>
      <c r="J219" t="s">
        <v>1641</v>
      </c>
      <c r="K219">
        <v>8.2424330000000004E-2</v>
      </c>
      <c r="L219">
        <v>0</v>
      </c>
      <c r="M219" s="1">
        <v>3</v>
      </c>
      <c r="N219">
        <v>0</v>
      </c>
      <c r="O219">
        <v>0</v>
      </c>
      <c r="P219">
        <v>0</v>
      </c>
      <c r="Q219" s="1">
        <v>0</v>
      </c>
      <c r="R219">
        <v>2.4727299999999999</v>
      </c>
      <c r="S219" s="2">
        <v>46215</v>
      </c>
      <c r="T219" s="2">
        <v>46254</v>
      </c>
      <c r="U219">
        <v>11066</v>
      </c>
      <c r="V219">
        <v>13770</v>
      </c>
      <c r="W219">
        <v>11220</v>
      </c>
      <c r="X219">
        <v>11358</v>
      </c>
      <c r="Y219">
        <v>11066</v>
      </c>
      <c r="Z219" s="8">
        <v>13770</v>
      </c>
      <c r="AA219">
        <v>11853.5</v>
      </c>
      <c r="AB219">
        <v>0.93356392626650353</v>
      </c>
      <c r="AC219">
        <v>1.1616822035685663</v>
      </c>
      <c r="AD219" s="1">
        <v>0</v>
      </c>
      <c r="AE219" s="2">
        <v>46248</v>
      </c>
      <c r="AF219" s="2">
        <v>46256</v>
      </c>
      <c r="AG219" s="2">
        <v>46263</v>
      </c>
      <c r="AH219">
        <v>6</v>
      </c>
      <c r="AI219" s="3">
        <v>4.5075501464953799E-4</v>
      </c>
      <c r="AJ219" s="1">
        <v>0</v>
      </c>
      <c r="AK219" s="2">
        <v>46263</v>
      </c>
      <c r="AL219" s="4" t="s">
        <v>1636</v>
      </c>
      <c r="AM219" s="5" t="s">
        <v>1636</v>
      </c>
      <c r="AN219" s="4">
        <v>0</v>
      </c>
      <c r="AO219" t="s">
        <v>1635</v>
      </c>
      <c r="AP219" s="4" t="s">
        <v>1636</v>
      </c>
      <c r="AQ219" t="s">
        <v>1619</v>
      </c>
      <c r="AR219" t="s">
        <v>1620</v>
      </c>
      <c r="AT219" s="16">
        <f>_xlfn.XLOOKUP(B219,'SWiSH Demand Forecast Sep-26'!D:D,'SWiSH Demand Forecast Sep-26'!G:G,"Not Exist")</f>
        <v>4300</v>
      </c>
    </row>
    <row r="220" spans="1:46" hidden="1" x14ac:dyDescent="0.3">
      <c r="A220">
        <v>100900075</v>
      </c>
      <c r="B220" t="s">
        <v>382</v>
      </c>
      <c r="C220" t="s">
        <v>10</v>
      </c>
      <c r="D220" t="s">
        <v>1629</v>
      </c>
      <c r="E220" t="s">
        <v>2005</v>
      </c>
      <c r="F220" t="s">
        <v>1639</v>
      </c>
      <c r="G220" t="s">
        <v>1616</v>
      </c>
      <c r="H220" t="s">
        <v>1640</v>
      </c>
      <c r="I220" t="s">
        <v>1618</v>
      </c>
      <c r="J220" t="s">
        <v>1641</v>
      </c>
      <c r="K220">
        <v>8.2424330000000004E-2</v>
      </c>
      <c r="L220">
        <v>0</v>
      </c>
      <c r="M220" s="1">
        <v>3</v>
      </c>
      <c r="N220">
        <v>0</v>
      </c>
      <c r="O220">
        <v>0</v>
      </c>
      <c r="P220">
        <v>0</v>
      </c>
      <c r="Q220" s="1">
        <v>0</v>
      </c>
      <c r="R220">
        <v>2.4727299999999999</v>
      </c>
      <c r="S220" s="2">
        <v>46224</v>
      </c>
      <c r="T220" s="2">
        <v>46259</v>
      </c>
      <c r="U220">
        <v>5336</v>
      </c>
      <c r="V220">
        <v>5910</v>
      </c>
      <c r="W220">
        <v>4800</v>
      </c>
      <c r="X220">
        <v>5490</v>
      </c>
      <c r="Y220">
        <v>4800</v>
      </c>
      <c r="Z220" s="8">
        <v>5910</v>
      </c>
      <c r="AA220">
        <v>5384</v>
      </c>
      <c r="AB220">
        <v>0.89153046062407137</v>
      </c>
      <c r="AC220">
        <v>1.0976968796433879</v>
      </c>
      <c r="AD220" s="1">
        <v>0</v>
      </c>
      <c r="AE220" s="2">
        <v>46248</v>
      </c>
      <c r="AF220" s="2">
        <v>46256</v>
      </c>
      <c r="AG220" s="2">
        <v>46263</v>
      </c>
      <c r="AH220">
        <v>210</v>
      </c>
      <c r="AI220" s="3">
        <v>3.6758270610887447E-2</v>
      </c>
      <c r="AJ220" s="1">
        <v>0</v>
      </c>
      <c r="AK220" s="2">
        <v>46263</v>
      </c>
      <c r="AL220" s="4" t="s">
        <v>1636</v>
      </c>
      <c r="AM220" s="5" t="s">
        <v>1636</v>
      </c>
      <c r="AN220" s="4">
        <v>0</v>
      </c>
      <c r="AO220" t="s">
        <v>1635</v>
      </c>
      <c r="AP220" s="4" t="s">
        <v>1636</v>
      </c>
      <c r="AQ220" t="s">
        <v>1619</v>
      </c>
      <c r="AR220" t="s">
        <v>1620</v>
      </c>
      <c r="AT220" s="16">
        <f>_xlfn.XLOOKUP(B220,'SWiSH Demand Forecast Sep-26'!D:D,'SWiSH Demand Forecast Sep-26'!G:G,"Not Exist")</f>
        <v>3007</v>
      </c>
    </row>
    <row r="221" spans="1:46" hidden="1" x14ac:dyDescent="0.3">
      <c r="A221">
        <v>100800016</v>
      </c>
      <c r="B221" t="s">
        <v>1061</v>
      </c>
      <c r="C221" t="s">
        <v>10</v>
      </c>
      <c r="D221" t="s">
        <v>1629</v>
      </c>
      <c r="E221" t="s">
        <v>1638</v>
      </c>
      <c r="F221" t="s">
        <v>1639</v>
      </c>
      <c r="G221" t="s">
        <v>1616</v>
      </c>
      <c r="H221" t="s">
        <v>1640</v>
      </c>
      <c r="I221" t="s">
        <v>1618</v>
      </c>
      <c r="J221" t="s">
        <v>1823</v>
      </c>
      <c r="K221">
        <v>0.10303042</v>
      </c>
      <c r="L221">
        <v>0</v>
      </c>
      <c r="M221" s="1">
        <v>3</v>
      </c>
      <c r="N221">
        <v>0</v>
      </c>
      <c r="O221">
        <v>0</v>
      </c>
      <c r="P221">
        <v>0</v>
      </c>
      <c r="Q221" s="1">
        <v>0</v>
      </c>
      <c r="R221">
        <v>2.4727299999999999</v>
      </c>
      <c r="S221" s="2">
        <v>46218</v>
      </c>
      <c r="T221" s="2">
        <v>46258</v>
      </c>
      <c r="U221">
        <v>888</v>
      </c>
      <c r="V221">
        <v>672</v>
      </c>
      <c r="W221">
        <v>1608</v>
      </c>
      <c r="X221">
        <v>1392</v>
      </c>
      <c r="Y221">
        <v>672</v>
      </c>
      <c r="Z221" s="8">
        <v>1608</v>
      </c>
      <c r="AA221">
        <v>1140</v>
      </c>
      <c r="AB221">
        <v>0.58947368421052626</v>
      </c>
      <c r="AC221">
        <v>1.4105263157894736</v>
      </c>
      <c r="AD221" s="1">
        <v>0</v>
      </c>
      <c r="AE221" s="2">
        <v>46248</v>
      </c>
      <c r="AF221" s="2">
        <v>46256</v>
      </c>
      <c r="AG221" s="2">
        <v>46263</v>
      </c>
      <c r="AH221">
        <v>0</v>
      </c>
      <c r="AI221" s="3">
        <v>0</v>
      </c>
      <c r="AJ221" s="1" t="s">
        <v>1635</v>
      </c>
      <c r="AK221" s="2" t="s">
        <v>1635</v>
      </c>
      <c r="AL221" s="4" t="s">
        <v>1636</v>
      </c>
      <c r="AM221" s="5" t="s">
        <v>1636</v>
      </c>
      <c r="AN221" s="4">
        <v>0</v>
      </c>
      <c r="AO221" t="s">
        <v>1635</v>
      </c>
      <c r="AP221" s="4" t="s">
        <v>1636</v>
      </c>
      <c r="AQ221" t="s">
        <v>1619</v>
      </c>
      <c r="AR221" t="s">
        <v>1620</v>
      </c>
      <c r="AT221" s="16">
        <f>_xlfn.XLOOKUP(B221,'SWiSH Demand Forecast Sep-26'!D:D,'SWiSH Demand Forecast Sep-26'!G:G,"Not Exist")</f>
        <v>124</v>
      </c>
    </row>
    <row r="222" spans="1:46" hidden="1" x14ac:dyDescent="0.3">
      <c r="A222">
        <v>103400000</v>
      </c>
      <c r="B222" t="s">
        <v>876</v>
      </c>
      <c r="C222" t="s">
        <v>136</v>
      </c>
      <c r="D222" t="s">
        <v>1629</v>
      </c>
      <c r="E222" t="s">
        <v>2006</v>
      </c>
      <c r="F222" t="s">
        <v>1752</v>
      </c>
      <c r="G222" t="s">
        <v>1616</v>
      </c>
      <c r="H222" t="s">
        <v>1931</v>
      </c>
      <c r="I222" t="s">
        <v>1754</v>
      </c>
      <c r="J222" t="s">
        <v>136</v>
      </c>
      <c r="K222">
        <v>2.3148148100000001</v>
      </c>
      <c r="L222">
        <v>0</v>
      </c>
      <c r="M222" s="1">
        <v>3</v>
      </c>
      <c r="N222">
        <v>0</v>
      </c>
      <c r="O222">
        <v>0</v>
      </c>
      <c r="P222">
        <v>0</v>
      </c>
      <c r="Q222" s="1">
        <v>0</v>
      </c>
      <c r="R222">
        <v>12.5</v>
      </c>
      <c r="S222" s="2">
        <v>46113</v>
      </c>
      <c r="T222" s="2">
        <v>46240</v>
      </c>
      <c r="U222">
        <v>16.200000000000003</v>
      </c>
      <c r="V222">
        <v>0</v>
      </c>
      <c r="W222">
        <v>0</v>
      </c>
      <c r="X222">
        <v>189.00000000000006</v>
      </c>
      <c r="Y222">
        <v>0</v>
      </c>
      <c r="Z222" s="8">
        <v>189.00000000000006</v>
      </c>
      <c r="AA222">
        <v>51.300000000000011</v>
      </c>
      <c r="AB222">
        <v>0</v>
      </c>
      <c r="AC222">
        <v>3.6842105263157898</v>
      </c>
      <c r="AD222" s="1">
        <v>0</v>
      </c>
      <c r="AE222" s="2">
        <v>46248</v>
      </c>
      <c r="AF222" s="2">
        <v>46256</v>
      </c>
      <c r="AG222" s="2">
        <v>46263</v>
      </c>
      <c r="AH222">
        <v>189.00000000000011</v>
      </c>
      <c r="AI222" s="3">
        <v>1.0344827586206899</v>
      </c>
      <c r="AJ222" s="1">
        <v>0</v>
      </c>
      <c r="AK222" s="2">
        <v>46263</v>
      </c>
      <c r="AL222" s="4" t="s">
        <v>1636</v>
      </c>
      <c r="AM222" s="5" t="s">
        <v>1636</v>
      </c>
      <c r="AN222" s="4">
        <v>0</v>
      </c>
      <c r="AO222" t="s">
        <v>1635</v>
      </c>
      <c r="AP222" s="4" t="s">
        <v>1636</v>
      </c>
      <c r="AQ222" t="s">
        <v>1619</v>
      </c>
      <c r="AR222" t="s">
        <v>1620</v>
      </c>
      <c r="AS222" t="s">
        <v>1666</v>
      </c>
      <c r="AT222" s="16">
        <f>_xlfn.XLOOKUP(B222,'SWiSH Demand Forecast Sep-26'!D:D,'SWiSH Demand Forecast Sep-26'!G:G,"Not Exist")</f>
        <v>268.39999999999998</v>
      </c>
    </row>
    <row r="223" spans="1:46" x14ac:dyDescent="0.3">
      <c r="A223">
        <v>103300000</v>
      </c>
      <c r="B223" t="s">
        <v>2007</v>
      </c>
      <c r="C223" t="s">
        <v>136</v>
      </c>
      <c r="D223" t="s">
        <v>1629</v>
      </c>
      <c r="E223" t="s">
        <v>2008</v>
      </c>
      <c r="F223" t="s">
        <v>1833</v>
      </c>
      <c r="G223" t="s">
        <v>1686</v>
      </c>
      <c r="H223" t="s">
        <v>2009</v>
      </c>
      <c r="I223" t="s">
        <v>1626</v>
      </c>
      <c r="J223" t="s">
        <v>136</v>
      </c>
      <c r="K223">
        <v>2.28348</v>
      </c>
      <c r="L223">
        <v>0</v>
      </c>
      <c r="M223" s="1">
        <v>3</v>
      </c>
      <c r="N223">
        <v>0</v>
      </c>
      <c r="O223">
        <v>0</v>
      </c>
      <c r="P223">
        <v>0</v>
      </c>
      <c r="Q223" s="1">
        <v>0</v>
      </c>
      <c r="R223">
        <v>2.15</v>
      </c>
      <c r="S223" s="2">
        <v>46201</v>
      </c>
      <c r="T223" s="2">
        <v>46210</v>
      </c>
      <c r="U223">
        <v>9.75</v>
      </c>
      <c r="V223">
        <v>1</v>
      </c>
      <c r="W223">
        <v>0.75</v>
      </c>
      <c r="X223">
        <v>0</v>
      </c>
      <c r="Y223">
        <v>0</v>
      </c>
      <c r="Z223" s="8">
        <v>9.75</v>
      </c>
      <c r="AA223">
        <v>2.875</v>
      </c>
      <c r="AB223">
        <v>0</v>
      </c>
      <c r="AC223">
        <v>3.3913043478260869</v>
      </c>
      <c r="AD223" s="1">
        <v>0</v>
      </c>
      <c r="AE223" s="2">
        <v>46248</v>
      </c>
      <c r="AF223" s="2">
        <v>46256</v>
      </c>
      <c r="AG223" s="2">
        <v>46263</v>
      </c>
      <c r="AH223">
        <v>0</v>
      </c>
      <c r="AI223" s="3">
        <v>0</v>
      </c>
      <c r="AJ223" s="1" t="s">
        <v>1635</v>
      </c>
      <c r="AK223" s="2" t="s">
        <v>1635</v>
      </c>
      <c r="AL223" s="4" t="s">
        <v>1636</v>
      </c>
      <c r="AM223" s="5" t="s">
        <v>1636</v>
      </c>
      <c r="AN223" s="4">
        <v>0</v>
      </c>
      <c r="AO223" t="s">
        <v>1635</v>
      </c>
      <c r="AP223" s="4" t="s">
        <v>1636</v>
      </c>
      <c r="AQ223" t="s">
        <v>1619</v>
      </c>
      <c r="AR223" t="s">
        <v>1620</v>
      </c>
      <c r="AT223" s="16" t="str">
        <f>_xlfn.XLOOKUP(B223,'SWiSH Demand Forecast Sep-26'!D:D,'SWiSH Demand Forecast Sep-26'!G:G,"Not Exist")</f>
        <v>Not Exist</v>
      </c>
    </row>
    <row r="224" spans="1:46" x14ac:dyDescent="0.3">
      <c r="A224">
        <v>101600054</v>
      </c>
      <c r="B224" t="s">
        <v>2010</v>
      </c>
      <c r="C224" t="s">
        <v>10</v>
      </c>
      <c r="D224" t="s">
        <v>1613</v>
      </c>
      <c r="E224" t="s">
        <v>1685</v>
      </c>
      <c r="F224" t="s">
        <v>1631</v>
      </c>
      <c r="G224" t="s">
        <v>1624</v>
      </c>
      <c r="H224" t="s">
        <v>1768</v>
      </c>
      <c r="I224" t="s">
        <v>1634</v>
      </c>
      <c r="J224" t="s">
        <v>10</v>
      </c>
      <c r="K224">
        <v>7.4999999999999997E-2</v>
      </c>
      <c r="L224">
        <v>0</v>
      </c>
      <c r="M224" s="1">
        <v>7</v>
      </c>
      <c r="N224">
        <v>0</v>
      </c>
      <c r="O224">
        <v>0</v>
      </c>
      <c r="P224">
        <v>0</v>
      </c>
      <c r="Q224" s="1">
        <v>0</v>
      </c>
      <c r="R224">
        <v>59.4</v>
      </c>
      <c r="S224" s="2">
        <v>46200</v>
      </c>
      <c r="T224" s="2">
        <v>46253</v>
      </c>
      <c r="U224">
        <v>11100</v>
      </c>
      <c r="V224">
        <v>7368</v>
      </c>
      <c r="W224">
        <v>8712</v>
      </c>
      <c r="X224">
        <v>6336</v>
      </c>
      <c r="Y224">
        <v>6336</v>
      </c>
      <c r="Z224" s="8">
        <v>11100</v>
      </c>
      <c r="AA224">
        <v>8379</v>
      </c>
      <c r="AB224">
        <v>0.7561761546723953</v>
      </c>
      <c r="AC224">
        <v>1.3247404224847834</v>
      </c>
      <c r="AD224" s="1">
        <v>0</v>
      </c>
      <c r="AE224" s="2">
        <v>46248</v>
      </c>
      <c r="AF224" s="2">
        <v>46256</v>
      </c>
      <c r="AG224" s="2">
        <v>46263</v>
      </c>
      <c r="AH224">
        <v>3168</v>
      </c>
      <c r="AI224" s="3">
        <v>0.29524697110904008</v>
      </c>
      <c r="AJ224" s="1">
        <v>0</v>
      </c>
      <c r="AK224" s="2">
        <v>46263</v>
      </c>
      <c r="AL224" s="4">
        <v>30</v>
      </c>
      <c r="AM224" s="5">
        <v>15</v>
      </c>
      <c r="AN224" s="4">
        <v>0</v>
      </c>
      <c r="AO224">
        <v>3277.2413793103447</v>
      </c>
      <c r="AP224" s="4">
        <v>1</v>
      </c>
      <c r="AQ224" t="s">
        <v>1619</v>
      </c>
      <c r="AR224" t="s">
        <v>2011</v>
      </c>
      <c r="AT224" s="16" t="str">
        <f>_xlfn.XLOOKUP(B224,'SWiSH Demand Forecast Sep-26'!D:D,'SWiSH Demand Forecast Sep-26'!G:G,"Not Exist")</f>
        <v>Not Exist</v>
      </c>
    </row>
    <row r="225" spans="1:46" x14ac:dyDescent="0.3">
      <c r="A225">
        <v>101500012</v>
      </c>
      <c r="B225" t="s">
        <v>2012</v>
      </c>
      <c r="C225" t="s">
        <v>10</v>
      </c>
      <c r="D225" t="s">
        <v>1613</v>
      </c>
      <c r="E225" t="s">
        <v>1638</v>
      </c>
      <c r="F225" t="s">
        <v>1644</v>
      </c>
      <c r="G225" t="s">
        <v>1616</v>
      </c>
      <c r="H225" t="s">
        <v>1647</v>
      </c>
      <c r="I225" t="s">
        <v>1634</v>
      </c>
      <c r="J225" t="s">
        <v>2013</v>
      </c>
      <c r="K225">
        <v>0.92700000000000005</v>
      </c>
      <c r="L225">
        <v>0</v>
      </c>
      <c r="M225" s="1">
        <v>3</v>
      </c>
      <c r="N225">
        <v>0</v>
      </c>
      <c r="O225">
        <v>0</v>
      </c>
      <c r="P225">
        <v>0</v>
      </c>
      <c r="Q225" s="1">
        <v>0</v>
      </c>
      <c r="R225">
        <v>74.16</v>
      </c>
      <c r="S225" s="2">
        <v>46236</v>
      </c>
      <c r="T225" s="2">
        <v>46255</v>
      </c>
      <c r="U225">
        <v>227</v>
      </c>
      <c r="V225">
        <v>284</v>
      </c>
      <c r="W225">
        <v>290</v>
      </c>
      <c r="X225">
        <v>430</v>
      </c>
      <c r="Y225">
        <v>227</v>
      </c>
      <c r="Z225" s="8">
        <v>430</v>
      </c>
      <c r="AA225">
        <v>307.75</v>
      </c>
      <c r="AB225">
        <v>0.73761169780666125</v>
      </c>
      <c r="AC225">
        <v>1.397238017871649</v>
      </c>
      <c r="AD225" s="1">
        <v>0</v>
      </c>
      <c r="AE225" s="2">
        <v>46248</v>
      </c>
      <c r="AF225" s="2">
        <v>46256</v>
      </c>
      <c r="AG225" s="2">
        <v>46263</v>
      </c>
      <c r="AH225">
        <v>160</v>
      </c>
      <c r="AI225" s="3">
        <v>0.38492381716118684</v>
      </c>
      <c r="AJ225" s="1">
        <v>0</v>
      </c>
      <c r="AK225" s="2">
        <v>46263</v>
      </c>
      <c r="AL225" s="4">
        <v>30</v>
      </c>
      <c r="AM225" s="5">
        <v>15</v>
      </c>
      <c r="AN225" s="4">
        <v>0</v>
      </c>
      <c r="AO225">
        <v>165.51724137931035</v>
      </c>
      <c r="AP225" s="4">
        <v>1</v>
      </c>
      <c r="AQ225" t="s">
        <v>1619</v>
      </c>
      <c r="AR225" t="s">
        <v>1620</v>
      </c>
      <c r="AT225" s="16" t="str">
        <f>_xlfn.XLOOKUP(B225,'SWiSH Demand Forecast Sep-26'!D:D,'SWiSH Demand Forecast Sep-26'!G:G,"Not Exist")</f>
        <v>Not Exist</v>
      </c>
    </row>
    <row r="226" spans="1:46" hidden="1" x14ac:dyDescent="0.3">
      <c r="A226">
        <v>100800002</v>
      </c>
      <c r="B226" t="s">
        <v>819</v>
      </c>
      <c r="C226" t="s">
        <v>10</v>
      </c>
      <c r="D226" t="s">
        <v>1629</v>
      </c>
      <c r="E226" t="s">
        <v>1638</v>
      </c>
      <c r="F226" t="s">
        <v>1639</v>
      </c>
      <c r="G226" t="s">
        <v>1616</v>
      </c>
      <c r="H226" t="s">
        <v>1640</v>
      </c>
      <c r="I226" t="s">
        <v>1618</v>
      </c>
      <c r="J226" t="s">
        <v>1823</v>
      </c>
      <c r="K226">
        <v>0.10303042</v>
      </c>
      <c r="L226">
        <v>0</v>
      </c>
      <c r="M226" s="1">
        <v>3</v>
      </c>
      <c r="N226">
        <v>0</v>
      </c>
      <c r="O226">
        <v>0</v>
      </c>
      <c r="P226">
        <v>0</v>
      </c>
      <c r="Q226" s="1">
        <v>0</v>
      </c>
      <c r="R226">
        <v>2.4727299999999999</v>
      </c>
      <c r="S226" s="2">
        <v>46200</v>
      </c>
      <c r="T226" s="2">
        <v>46255</v>
      </c>
      <c r="U226">
        <v>300</v>
      </c>
      <c r="V226">
        <v>576</v>
      </c>
      <c r="W226">
        <v>695</v>
      </c>
      <c r="X226">
        <v>552</v>
      </c>
      <c r="Y226">
        <v>300</v>
      </c>
      <c r="Z226" s="8">
        <v>695</v>
      </c>
      <c r="AA226">
        <v>530.75</v>
      </c>
      <c r="AB226">
        <v>0.56523787093735278</v>
      </c>
      <c r="AC226">
        <v>1.3094677343382006</v>
      </c>
      <c r="AD226" s="1">
        <v>0</v>
      </c>
      <c r="AE226" s="2">
        <v>46248</v>
      </c>
      <c r="AF226" s="2">
        <v>46256</v>
      </c>
      <c r="AG226" s="2">
        <v>46263</v>
      </c>
      <c r="AH226">
        <v>0</v>
      </c>
      <c r="AI226" s="3">
        <v>0</v>
      </c>
      <c r="AJ226" s="1" t="s">
        <v>1635</v>
      </c>
      <c r="AK226" s="2" t="s">
        <v>1635</v>
      </c>
      <c r="AL226" s="4" t="s">
        <v>1636</v>
      </c>
      <c r="AM226" s="5" t="s">
        <v>1636</v>
      </c>
      <c r="AN226" s="4">
        <v>0</v>
      </c>
      <c r="AO226" t="s">
        <v>1635</v>
      </c>
      <c r="AP226" s="4" t="s">
        <v>1636</v>
      </c>
      <c r="AQ226" t="s">
        <v>1619</v>
      </c>
      <c r="AR226" t="s">
        <v>1620</v>
      </c>
      <c r="AT226" s="16">
        <f>_xlfn.XLOOKUP(B226,'SWiSH Demand Forecast Sep-26'!D:D,'SWiSH Demand Forecast Sep-26'!G:G,"Not Exist")</f>
        <v>367</v>
      </c>
    </row>
    <row r="227" spans="1:46" x14ac:dyDescent="0.3">
      <c r="A227">
        <v>106200016</v>
      </c>
      <c r="B227" t="s">
        <v>2014</v>
      </c>
      <c r="C227" t="s">
        <v>136</v>
      </c>
      <c r="D227" t="s">
        <v>1789</v>
      </c>
      <c r="E227" t="s">
        <v>1685</v>
      </c>
      <c r="F227" t="s">
        <v>1833</v>
      </c>
      <c r="G227" t="s">
        <v>1616</v>
      </c>
      <c r="H227" t="s">
        <v>1672</v>
      </c>
      <c r="I227" t="s">
        <v>1626</v>
      </c>
      <c r="J227" t="s">
        <v>136</v>
      </c>
      <c r="K227">
        <v>1.0555600000000001</v>
      </c>
      <c r="L227">
        <v>0</v>
      </c>
      <c r="M227" s="1">
        <v>3</v>
      </c>
      <c r="N227">
        <v>0</v>
      </c>
      <c r="O227">
        <v>0</v>
      </c>
      <c r="P227">
        <v>0</v>
      </c>
      <c r="Q227" s="1">
        <v>0</v>
      </c>
      <c r="R227">
        <v>19</v>
      </c>
      <c r="S227" s="2">
        <v>46014</v>
      </c>
      <c r="T227" s="2">
        <v>46181</v>
      </c>
      <c r="U227">
        <v>0</v>
      </c>
      <c r="V227">
        <v>0</v>
      </c>
      <c r="W227">
        <v>3</v>
      </c>
      <c r="X227">
        <v>0</v>
      </c>
      <c r="Y227">
        <v>0</v>
      </c>
      <c r="Z227" s="8">
        <v>3</v>
      </c>
      <c r="AA227">
        <v>0.75</v>
      </c>
      <c r="AB227">
        <v>0</v>
      </c>
      <c r="AC227">
        <v>4</v>
      </c>
      <c r="AD227" s="1">
        <v>0</v>
      </c>
      <c r="AE227" s="2">
        <v>46248</v>
      </c>
      <c r="AF227" s="2">
        <v>46256</v>
      </c>
      <c r="AG227" s="2">
        <v>46263</v>
      </c>
      <c r="AH227">
        <v>0</v>
      </c>
      <c r="AI227" s="3">
        <v>0</v>
      </c>
      <c r="AJ227" s="1" t="s">
        <v>1635</v>
      </c>
      <c r="AK227" s="2" t="s">
        <v>1635</v>
      </c>
      <c r="AL227" s="4" t="s">
        <v>1658</v>
      </c>
      <c r="AM227" s="5" t="s">
        <v>1658</v>
      </c>
      <c r="AN227" s="4">
        <v>0</v>
      </c>
      <c r="AO227" t="s">
        <v>1635</v>
      </c>
      <c r="AP227" s="4" t="s">
        <v>1658</v>
      </c>
      <c r="AQ227" t="s">
        <v>1619</v>
      </c>
      <c r="AR227" t="s">
        <v>1620</v>
      </c>
      <c r="AT227" s="16" t="str">
        <f>_xlfn.XLOOKUP(B227,'SWiSH Demand Forecast Sep-26'!D:D,'SWiSH Demand Forecast Sep-26'!G:G,"Not Exist")</f>
        <v>Not Exist</v>
      </c>
    </row>
    <row r="228" spans="1:46" x14ac:dyDescent="0.3">
      <c r="A228">
        <v>107400096</v>
      </c>
      <c r="B228" t="s">
        <v>2015</v>
      </c>
      <c r="C228" t="s">
        <v>10</v>
      </c>
      <c r="D228" t="s">
        <v>1629</v>
      </c>
      <c r="E228" t="s">
        <v>1719</v>
      </c>
      <c r="F228" t="s">
        <v>1664</v>
      </c>
      <c r="G228" t="s">
        <v>1624</v>
      </c>
      <c r="H228" t="s">
        <v>2016</v>
      </c>
      <c r="I228" t="s">
        <v>1634</v>
      </c>
      <c r="J228" t="s">
        <v>10</v>
      </c>
      <c r="K228">
        <v>1.2999999999999999E-2</v>
      </c>
      <c r="L228">
        <v>0</v>
      </c>
      <c r="M228" s="1">
        <v>15</v>
      </c>
      <c r="N228">
        <v>0</v>
      </c>
      <c r="O228">
        <v>0</v>
      </c>
      <c r="P228">
        <v>0</v>
      </c>
      <c r="Q228" s="1">
        <v>0</v>
      </c>
      <c r="R228">
        <v>1.2999999999999999E-2</v>
      </c>
      <c r="S228" s="2">
        <v>46151</v>
      </c>
      <c r="T228" s="2">
        <v>46201</v>
      </c>
      <c r="U228">
        <v>48500</v>
      </c>
      <c r="V228">
        <v>12000</v>
      </c>
      <c r="W228">
        <v>500</v>
      </c>
      <c r="X228">
        <v>0</v>
      </c>
      <c r="Y228">
        <v>0</v>
      </c>
      <c r="Z228" s="8">
        <v>48500</v>
      </c>
      <c r="AA228">
        <v>15250</v>
      </c>
      <c r="AB228">
        <v>0</v>
      </c>
      <c r="AC228">
        <v>3.180327868852459</v>
      </c>
      <c r="AD228" s="1">
        <v>0</v>
      </c>
      <c r="AE228" s="2">
        <v>46248</v>
      </c>
      <c r="AF228" s="2">
        <v>46256</v>
      </c>
      <c r="AG228" s="2">
        <v>46263</v>
      </c>
      <c r="AH228">
        <v>0</v>
      </c>
      <c r="AI228" s="3">
        <v>0</v>
      </c>
      <c r="AJ228" s="1" t="s">
        <v>1635</v>
      </c>
      <c r="AK228" s="2" t="s">
        <v>1635</v>
      </c>
      <c r="AL228" s="4" t="s">
        <v>1636</v>
      </c>
      <c r="AM228" s="5" t="s">
        <v>1636</v>
      </c>
      <c r="AN228" s="4">
        <v>0</v>
      </c>
      <c r="AO228" t="s">
        <v>1635</v>
      </c>
      <c r="AP228" s="4" t="s">
        <v>1636</v>
      </c>
      <c r="AQ228" t="s">
        <v>1619</v>
      </c>
      <c r="AR228" t="s">
        <v>1620</v>
      </c>
      <c r="AS228" t="s">
        <v>1666</v>
      </c>
      <c r="AT228" s="16" t="str">
        <f>_xlfn.XLOOKUP(B228,'SWiSH Demand Forecast Sep-26'!D:D,'SWiSH Demand Forecast Sep-26'!G:G,"Not Exist")</f>
        <v>Not Exist</v>
      </c>
    </row>
    <row r="229" spans="1:46" x14ac:dyDescent="0.3">
      <c r="A229">
        <v>100300021</v>
      </c>
      <c r="B229" t="s">
        <v>2017</v>
      </c>
      <c r="C229" t="s">
        <v>136</v>
      </c>
      <c r="D229" t="s">
        <v>1629</v>
      </c>
      <c r="E229" t="s">
        <v>1655</v>
      </c>
      <c r="F229" t="s">
        <v>1752</v>
      </c>
      <c r="G229" t="s">
        <v>1616</v>
      </c>
      <c r="H229" t="s">
        <v>2018</v>
      </c>
      <c r="I229" t="s">
        <v>1618</v>
      </c>
      <c r="J229" t="e">
        <v>#N/A</v>
      </c>
      <c r="K229">
        <v>3.7037037499999999</v>
      </c>
      <c r="L229">
        <v>0</v>
      </c>
      <c r="M229" s="1">
        <v>3</v>
      </c>
      <c r="N229">
        <v>0</v>
      </c>
      <c r="O229">
        <v>0</v>
      </c>
      <c r="P229">
        <v>0</v>
      </c>
      <c r="Q229" s="1">
        <v>0</v>
      </c>
      <c r="R229">
        <v>40</v>
      </c>
      <c r="S229" s="2">
        <v>46086</v>
      </c>
      <c r="T229" s="2">
        <v>46243</v>
      </c>
      <c r="U229">
        <v>0</v>
      </c>
      <c r="V229">
        <v>0</v>
      </c>
      <c r="W229">
        <v>0</v>
      </c>
      <c r="X229">
        <v>43.2</v>
      </c>
      <c r="Y229">
        <v>0</v>
      </c>
      <c r="Z229" s="8">
        <v>43.2</v>
      </c>
      <c r="AA229">
        <v>10.8</v>
      </c>
      <c r="AB229">
        <v>0</v>
      </c>
      <c r="AC229">
        <v>4</v>
      </c>
      <c r="AD229" s="1">
        <v>0</v>
      </c>
      <c r="AE229" s="2">
        <v>46248</v>
      </c>
      <c r="AF229" s="2">
        <v>46256</v>
      </c>
      <c r="AG229" s="2">
        <v>46263</v>
      </c>
      <c r="AH229">
        <v>0</v>
      </c>
      <c r="AI229" s="3">
        <v>0</v>
      </c>
      <c r="AJ229" s="1" t="s">
        <v>1635</v>
      </c>
      <c r="AK229" s="2" t="s">
        <v>1635</v>
      </c>
      <c r="AL229" s="4" t="s">
        <v>1636</v>
      </c>
      <c r="AM229" s="5" t="s">
        <v>1636</v>
      </c>
      <c r="AN229" s="4">
        <v>0</v>
      </c>
      <c r="AO229" t="s">
        <v>1635</v>
      </c>
      <c r="AP229" s="4" t="s">
        <v>1636</v>
      </c>
      <c r="AQ229" t="s">
        <v>1619</v>
      </c>
      <c r="AR229" t="s">
        <v>2019</v>
      </c>
      <c r="AT229" s="16" t="str">
        <f>_xlfn.XLOOKUP(B229,'SWiSH Demand Forecast Sep-26'!D:D,'SWiSH Demand Forecast Sep-26'!G:G,"Not Exist")</f>
        <v>Not Exist</v>
      </c>
    </row>
    <row r="230" spans="1:46" x14ac:dyDescent="0.3">
      <c r="A230">
        <v>106800227</v>
      </c>
      <c r="B230" t="s">
        <v>2020</v>
      </c>
      <c r="C230" t="s">
        <v>10</v>
      </c>
      <c r="D230" t="s">
        <v>1629</v>
      </c>
      <c r="E230" t="s">
        <v>1663</v>
      </c>
      <c r="F230" t="s">
        <v>1664</v>
      </c>
      <c r="G230" t="s">
        <v>1624</v>
      </c>
      <c r="H230" t="s">
        <v>1665</v>
      </c>
      <c r="I230" t="s">
        <v>1634</v>
      </c>
      <c r="J230" t="s">
        <v>10</v>
      </c>
      <c r="K230">
        <v>3.0000000000000001E-3</v>
      </c>
      <c r="L230">
        <v>0</v>
      </c>
      <c r="M230" s="1">
        <v>15</v>
      </c>
      <c r="N230">
        <v>0</v>
      </c>
      <c r="O230">
        <v>0</v>
      </c>
      <c r="P230">
        <v>0</v>
      </c>
      <c r="Q230" s="1">
        <v>0</v>
      </c>
      <c r="R230">
        <v>3.0000000000000001E-3</v>
      </c>
      <c r="S230" s="2">
        <v>46160</v>
      </c>
      <c r="T230" s="2">
        <v>46114</v>
      </c>
      <c r="U230">
        <v>5000</v>
      </c>
      <c r="V230">
        <v>0</v>
      </c>
      <c r="W230">
        <v>0</v>
      </c>
      <c r="X230">
        <v>0</v>
      </c>
      <c r="Y230">
        <v>0</v>
      </c>
      <c r="Z230" s="8">
        <v>5000</v>
      </c>
      <c r="AA230">
        <v>1250</v>
      </c>
      <c r="AB230">
        <v>0</v>
      </c>
      <c r="AC230">
        <v>4</v>
      </c>
      <c r="AD230" s="1">
        <v>0</v>
      </c>
      <c r="AE230" s="2">
        <v>46248</v>
      </c>
      <c r="AF230" s="2">
        <v>46256</v>
      </c>
      <c r="AG230" s="2">
        <v>46263</v>
      </c>
      <c r="AH230">
        <v>0</v>
      </c>
      <c r="AI230" s="3">
        <v>0</v>
      </c>
      <c r="AJ230" s="1" t="s">
        <v>1635</v>
      </c>
      <c r="AK230" s="2" t="s">
        <v>1635</v>
      </c>
      <c r="AL230" s="4" t="s">
        <v>1658</v>
      </c>
      <c r="AM230" s="5" t="s">
        <v>1658</v>
      </c>
      <c r="AN230" s="4">
        <v>0</v>
      </c>
      <c r="AO230" t="s">
        <v>1635</v>
      </c>
      <c r="AP230" s="4" t="s">
        <v>1658</v>
      </c>
      <c r="AQ230" t="s">
        <v>1619</v>
      </c>
      <c r="AR230" t="s">
        <v>1620</v>
      </c>
      <c r="AT230" s="16" t="str">
        <f>_xlfn.XLOOKUP(B230,'SWiSH Demand Forecast Sep-26'!D:D,'SWiSH Demand Forecast Sep-26'!G:G,"Not Exist")</f>
        <v>Not Exist</v>
      </c>
    </row>
    <row r="231" spans="1:46" x14ac:dyDescent="0.3">
      <c r="A231">
        <v>100400087</v>
      </c>
      <c r="B231" t="s">
        <v>2021</v>
      </c>
      <c r="C231" t="s">
        <v>10</v>
      </c>
      <c r="D231" t="s">
        <v>1629</v>
      </c>
      <c r="E231" t="s">
        <v>1685</v>
      </c>
      <c r="F231" t="s">
        <v>1664</v>
      </c>
      <c r="G231" t="s">
        <v>1624</v>
      </c>
      <c r="H231" t="s">
        <v>1810</v>
      </c>
      <c r="I231" t="s">
        <v>1634</v>
      </c>
      <c r="J231" t="s">
        <v>10</v>
      </c>
      <c r="K231">
        <v>3.5999999999999997E-2</v>
      </c>
      <c r="L231">
        <v>0</v>
      </c>
      <c r="M231" s="1">
        <v>30</v>
      </c>
      <c r="N231">
        <v>0</v>
      </c>
      <c r="O231">
        <v>0</v>
      </c>
      <c r="P231">
        <v>0</v>
      </c>
      <c r="Q231" s="1">
        <v>0</v>
      </c>
      <c r="R231">
        <v>3.4000000000000002E-2</v>
      </c>
      <c r="S231" s="2">
        <v>46105</v>
      </c>
      <c r="T231" s="2">
        <v>46141</v>
      </c>
      <c r="U231">
        <v>750</v>
      </c>
      <c r="V231">
        <v>0</v>
      </c>
      <c r="W231">
        <v>0</v>
      </c>
      <c r="X231">
        <v>0</v>
      </c>
      <c r="Y231">
        <v>0</v>
      </c>
      <c r="Z231" s="8">
        <v>750</v>
      </c>
      <c r="AA231">
        <v>187.5</v>
      </c>
      <c r="AB231">
        <v>0</v>
      </c>
      <c r="AC231">
        <v>4</v>
      </c>
      <c r="AD231" s="1">
        <v>0</v>
      </c>
      <c r="AE231" s="2">
        <v>46248</v>
      </c>
      <c r="AF231" s="2">
        <v>46256</v>
      </c>
      <c r="AG231" s="2">
        <v>46263</v>
      </c>
      <c r="AH231">
        <v>0</v>
      </c>
      <c r="AI231" s="3">
        <v>0</v>
      </c>
      <c r="AJ231" s="1" t="s">
        <v>1635</v>
      </c>
      <c r="AK231" s="2" t="s">
        <v>1635</v>
      </c>
      <c r="AL231" s="4" t="s">
        <v>1658</v>
      </c>
      <c r="AM231" s="5" t="s">
        <v>1658</v>
      </c>
      <c r="AN231" s="4">
        <v>0</v>
      </c>
      <c r="AO231" t="s">
        <v>1635</v>
      </c>
      <c r="AP231" s="4" t="s">
        <v>1658</v>
      </c>
      <c r="AQ231" t="s">
        <v>1619</v>
      </c>
      <c r="AR231" t="s">
        <v>1620</v>
      </c>
      <c r="AT231" s="16" t="str">
        <f>_xlfn.XLOOKUP(B231,'SWiSH Demand Forecast Sep-26'!D:D,'SWiSH Demand Forecast Sep-26'!G:G,"Not Exist")</f>
        <v>Not Exist</v>
      </c>
    </row>
    <row r="232" spans="1:46" hidden="1" x14ac:dyDescent="0.3">
      <c r="A232">
        <v>106600117</v>
      </c>
      <c r="B232" t="s">
        <v>474</v>
      </c>
      <c r="C232" t="s">
        <v>10</v>
      </c>
      <c r="D232" t="s">
        <v>1629</v>
      </c>
      <c r="E232" t="s">
        <v>1663</v>
      </c>
      <c r="F232" t="s">
        <v>1664</v>
      </c>
      <c r="G232" t="s">
        <v>1624</v>
      </c>
      <c r="H232" t="s">
        <v>1723</v>
      </c>
      <c r="I232" t="s">
        <v>1634</v>
      </c>
      <c r="J232" t="s">
        <v>10</v>
      </c>
      <c r="K232">
        <v>3.0000000000000001E-3</v>
      </c>
      <c r="L232">
        <v>0</v>
      </c>
      <c r="M232" s="1">
        <v>30</v>
      </c>
      <c r="N232">
        <v>0</v>
      </c>
      <c r="O232">
        <v>0</v>
      </c>
      <c r="P232">
        <v>0</v>
      </c>
      <c r="Q232" s="1">
        <v>0</v>
      </c>
      <c r="R232">
        <v>3.0000000000000001E-3</v>
      </c>
      <c r="S232" s="2">
        <v>45700</v>
      </c>
      <c r="T232" s="2">
        <v>46234</v>
      </c>
      <c r="U232">
        <v>4000</v>
      </c>
      <c r="V232">
        <v>0</v>
      </c>
      <c r="W232">
        <v>0</v>
      </c>
      <c r="X232">
        <v>0</v>
      </c>
      <c r="Y232">
        <v>0</v>
      </c>
      <c r="Z232" s="8">
        <v>4000</v>
      </c>
      <c r="AA232">
        <v>1000</v>
      </c>
      <c r="AB232">
        <v>0</v>
      </c>
      <c r="AC232">
        <v>4</v>
      </c>
      <c r="AD232" s="1">
        <v>0</v>
      </c>
      <c r="AE232" s="2">
        <v>46248</v>
      </c>
      <c r="AF232" s="2">
        <v>46256</v>
      </c>
      <c r="AG232" s="2">
        <v>46263</v>
      </c>
      <c r="AH232">
        <v>0</v>
      </c>
      <c r="AI232" s="3">
        <v>0</v>
      </c>
      <c r="AJ232" s="1" t="s">
        <v>1635</v>
      </c>
      <c r="AK232" s="2" t="s">
        <v>1635</v>
      </c>
      <c r="AL232" s="4" t="s">
        <v>1658</v>
      </c>
      <c r="AM232" s="5" t="s">
        <v>1658</v>
      </c>
      <c r="AN232" s="4">
        <v>0</v>
      </c>
      <c r="AO232" t="s">
        <v>1635</v>
      </c>
      <c r="AP232" s="4" t="s">
        <v>1658</v>
      </c>
      <c r="AQ232" t="s">
        <v>1619</v>
      </c>
      <c r="AR232" t="s">
        <v>1620</v>
      </c>
      <c r="AT232" s="16">
        <f>_xlfn.XLOOKUP(B232,'SWiSH Demand Forecast Sep-26'!D:D,'SWiSH Demand Forecast Sep-26'!G:G,"Not Exist")</f>
        <v>1754</v>
      </c>
    </row>
    <row r="233" spans="1:46" hidden="1" x14ac:dyDescent="0.3">
      <c r="A233">
        <v>106800235</v>
      </c>
      <c r="B233" t="s">
        <v>259</v>
      </c>
      <c r="C233" t="s">
        <v>10</v>
      </c>
      <c r="D233" t="s">
        <v>1629</v>
      </c>
      <c r="E233" t="s">
        <v>1663</v>
      </c>
      <c r="F233" t="s">
        <v>1664</v>
      </c>
      <c r="G233" t="s">
        <v>1624</v>
      </c>
      <c r="H233" t="s">
        <v>1665</v>
      </c>
      <c r="I233" t="s">
        <v>1634</v>
      </c>
      <c r="J233" t="s">
        <v>10</v>
      </c>
      <c r="K233">
        <v>4.3499999999999997E-3</v>
      </c>
      <c r="L233">
        <v>0</v>
      </c>
      <c r="M233" s="1">
        <v>7</v>
      </c>
      <c r="N233">
        <v>0</v>
      </c>
      <c r="O233">
        <v>0</v>
      </c>
      <c r="P233">
        <v>0</v>
      </c>
      <c r="Q233" s="1">
        <v>0</v>
      </c>
      <c r="R233">
        <v>4.3499999999999997E-3</v>
      </c>
      <c r="S233" s="2">
        <v>45844</v>
      </c>
      <c r="T233" s="2">
        <v>46234</v>
      </c>
      <c r="U233">
        <v>2000</v>
      </c>
      <c r="V233">
        <v>0</v>
      </c>
      <c r="W233">
        <v>2000</v>
      </c>
      <c r="X233">
        <v>0</v>
      </c>
      <c r="Y233">
        <v>0</v>
      </c>
      <c r="Z233" s="8">
        <v>2000</v>
      </c>
      <c r="AA233">
        <v>1000</v>
      </c>
      <c r="AB233">
        <v>0</v>
      </c>
      <c r="AC233">
        <v>2</v>
      </c>
      <c r="AD233" s="1">
        <v>0</v>
      </c>
      <c r="AE233" s="2">
        <v>46248</v>
      </c>
      <c r="AF233" s="2">
        <v>46256</v>
      </c>
      <c r="AG233" s="2">
        <v>46263</v>
      </c>
      <c r="AH233">
        <v>0</v>
      </c>
      <c r="AI233" s="3">
        <v>0</v>
      </c>
      <c r="AJ233" s="1" t="s">
        <v>1635</v>
      </c>
      <c r="AK233" s="2" t="s">
        <v>1635</v>
      </c>
      <c r="AL233" s="4" t="s">
        <v>1636</v>
      </c>
      <c r="AM233" s="5" t="s">
        <v>1636</v>
      </c>
      <c r="AN233" s="4">
        <v>0</v>
      </c>
      <c r="AO233" t="s">
        <v>1635</v>
      </c>
      <c r="AP233" s="4" t="s">
        <v>1636</v>
      </c>
      <c r="AQ233" t="s">
        <v>1619</v>
      </c>
      <c r="AR233" t="s">
        <v>1620</v>
      </c>
      <c r="AT233" s="16">
        <f>_xlfn.XLOOKUP(B233,'SWiSH Demand Forecast Sep-26'!D:D,'SWiSH Demand Forecast Sep-26'!G:G,"Not Exist")</f>
        <v>6116</v>
      </c>
    </row>
    <row r="234" spans="1:46" x14ac:dyDescent="0.3">
      <c r="A234">
        <v>107400083</v>
      </c>
      <c r="B234" t="s">
        <v>2022</v>
      </c>
      <c r="C234" t="s">
        <v>10</v>
      </c>
      <c r="D234" t="s">
        <v>1629</v>
      </c>
      <c r="E234" t="s">
        <v>1663</v>
      </c>
      <c r="F234" t="s">
        <v>1664</v>
      </c>
      <c r="G234" t="s">
        <v>1624</v>
      </c>
      <c r="H234" t="s">
        <v>2016</v>
      </c>
      <c r="I234" t="s">
        <v>1634</v>
      </c>
      <c r="J234" t="s">
        <v>10</v>
      </c>
      <c r="K234">
        <v>5.0000000000000001E-3</v>
      </c>
      <c r="L234">
        <v>0</v>
      </c>
      <c r="M234" s="1">
        <v>15</v>
      </c>
      <c r="N234">
        <v>0</v>
      </c>
      <c r="O234">
        <v>0</v>
      </c>
      <c r="P234">
        <v>0</v>
      </c>
      <c r="Q234" s="1">
        <v>0</v>
      </c>
      <c r="R234">
        <v>5.0000000000000001E-3</v>
      </c>
      <c r="S234" s="2">
        <v>46056</v>
      </c>
      <c r="T234" s="2">
        <v>46178</v>
      </c>
      <c r="U234">
        <v>0</v>
      </c>
      <c r="V234">
        <v>0</v>
      </c>
      <c r="W234">
        <v>2000</v>
      </c>
      <c r="X234">
        <v>0</v>
      </c>
      <c r="Y234">
        <v>0</v>
      </c>
      <c r="Z234" s="8">
        <v>2000</v>
      </c>
      <c r="AA234">
        <v>500</v>
      </c>
      <c r="AB234">
        <v>0</v>
      </c>
      <c r="AC234">
        <v>4</v>
      </c>
      <c r="AD234" s="1">
        <v>0</v>
      </c>
      <c r="AE234" s="2">
        <v>46248</v>
      </c>
      <c r="AF234" s="2">
        <v>46256</v>
      </c>
      <c r="AG234" s="2">
        <v>46263</v>
      </c>
      <c r="AH234">
        <v>0</v>
      </c>
      <c r="AI234" s="3">
        <v>0</v>
      </c>
      <c r="AJ234" s="1" t="s">
        <v>1635</v>
      </c>
      <c r="AK234" s="2" t="s">
        <v>1635</v>
      </c>
      <c r="AL234" s="4" t="s">
        <v>1636</v>
      </c>
      <c r="AM234" s="5" t="s">
        <v>1636</v>
      </c>
      <c r="AN234" s="4">
        <v>0</v>
      </c>
      <c r="AO234" t="s">
        <v>1635</v>
      </c>
      <c r="AP234" s="4" t="s">
        <v>1636</v>
      </c>
      <c r="AQ234" t="s">
        <v>1619</v>
      </c>
      <c r="AR234" t="s">
        <v>1620</v>
      </c>
      <c r="AT234" s="16" t="str">
        <f>_xlfn.XLOOKUP(B234,'SWiSH Demand Forecast Sep-26'!D:D,'SWiSH Demand Forecast Sep-26'!G:G,"Not Exist")</f>
        <v>Not Exist</v>
      </c>
    </row>
    <row r="235" spans="1:46" x14ac:dyDescent="0.3">
      <c r="A235">
        <v>105200028</v>
      </c>
      <c r="B235" t="s">
        <v>2023</v>
      </c>
      <c r="C235" t="s">
        <v>10</v>
      </c>
      <c r="D235" t="s">
        <v>1629</v>
      </c>
      <c r="E235" t="s">
        <v>1663</v>
      </c>
      <c r="F235" t="s">
        <v>1664</v>
      </c>
      <c r="G235" t="s">
        <v>1624</v>
      </c>
      <c r="H235" t="s">
        <v>1779</v>
      </c>
      <c r="I235" t="s">
        <v>1634</v>
      </c>
      <c r="J235" t="s">
        <v>10</v>
      </c>
      <c r="K235">
        <v>8.9999999999999993E-3</v>
      </c>
      <c r="L235">
        <v>0</v>
      </c>
      <c r="M235" s="1">
        <v>30</v>
      </c>
      <c r="N235">
        <v>0</v>
      </c>
      <c r="O235">
        <v>0</v>
      </c>
      <c r="P235">
        <v>0</v>
      </c>
      <c r="Q235" s="1">
        <v>0</v>
      </c>
      <c r="R235">
        <v>8.9999999999999993E-3</v>
      </c>
      <c r="S235" s="2">
        <v>46082</v>
      </c>
      <c r="T235" s="2">
        <v>46184</v>
      </c>
      <c r="U235">
        <v>0</v>
      </c>
      <c r="V235">
        <v>0</v>
      </c>
      <c r="W235">
        <v>1000</v>
      </c>
      <c r="X235">
        <v>0</v>
      </c>
      <c r="Y235">
        <v>0</v>
      </c>
      <c r="Z235" s="8">
        <v>1000</v>
      </c>
      <c r="AA235">
        <v>250</v>
      </c>
      <c r="AB235">
        <v>0</v>
      </c>
      <c r="AC235">
        <v>4</v>
      </c>
      <c r="AD235" s="1">
        <v>0</v>
      </c>
      <c r="AE235" s="2">
        <v>46248</v>
      </c>
      <c r="AF235" s="2">
        <v>46256</v>
      </c>
      <c r="AG235" s="2">
        <v>46263</v>
      </c>
      <c r="AH235">
        <v>0</v>
      </c>
      <c r="AI235" s="3">
        <v>0</v>
      </c>
      <c r="AJ235" s="1" t="s">
        <v>1635</v>
      </c>
      <c r="AK235" s="2" t="s">
        <v>1635</v>
      </c>
      <c r="AL235" s="4" t="s">
        <v>1636</v>
      </c>
      <c r="AM235" s="5" t="s">
        <v>1636</v>
      </c>
      <c r="AN235" s="4">
        <v>0</v>
      </c>
      <c r="AO235" t="s">
        <v>1635</v>
      </c>
      <c r="AP235" s="4" t="s">
        <v>1636</v>
      </c>
      <c r="AQ235" t="s">
        <v>1619</v>
      </c>
      <c r="AR235" t="s">
        <v>1620</v>
      </c>
      <c r="AT235" s="16" t="str">
        <f>_xlfn.XLOOKUP(B235,'SWiSH Demand Forecast Sep-26'!D:D,'SWiSH Demand Forecast Sep-26'!G:G,"Not Exist")</f>
        <v>Not Exist</v>
      </c>
    </row>
    <row r="236" spans="1:46" hidden="1" x14ac:dyDescent="0.3">
      <c r="A236">
        <v>100900070</v>
      </c>
      <c r="B236" t="s">
        <v>607</v>
      </c>
      <c r="C236" t="s">
        <v>10</v>
      </c>
      <c r="D236" t="s">
        <v>1629</v>
      </c>
      <c r="E236" t="s">
        <v>1638</v>
      </c>
      <c r="F236" t="s">
        <v>1639</v>
      </c>
      <c r="G236" t="s">
        <v>1616</v>
      </c>
      <c r="H236" t="s">
        <v>1640</v>
      </c>
      <c r="I236" t="s">
        <v>1618</v>
      </c>
      <c r="J236" t="s">
        <v>1641</v>
      </c>
      <c r="K236">
        <v>6.6060670000000002E-2</v>
      </c>
      <c r="L236">
        <v>0</v>
      </c>
      <c r="M236" s="1">
        <v>3</v>
      </c>
      <c r="N236">
        <v>0</v>
      </c>
      <c r="O236">
        <v>0</v>
      </c>
      <c r="P236">
        <v>0</v>
      </c>
      <c r="Q236" s="1">
        <v>0</v>
      </c>
      <c r="R236">
        <v>1.9818199999999999</v>
      </c>
      <c r="S236" s="2">
        <v>46204</v>
      </c>
      <c r="T236" s="2">
        <v>46258</v>
      </c>
      <c r="U236">
        <v>1050</v>
      </c>
      <c r="V236">
        <v>1380</v>
      </c>
      <c r="W236">
        <v>1860</v>
      </c>
      <c r="X236">
        <v>1650</v>
      </c>
      <c r="Y236">
        <v>1050</v>
      </c>
      <c r="Z236" s="8">
        <v>1860</v>
      </c>
      <c r="AA236">
        <v>1485</v>
      </c>
      <c r="AB236">
        <v>0.70707070707070707</v>
      </c>
      <c r="AC236">
        <v>1.2525252525252526</v>
      </c>
      <c r="AD236" s="1">
        <v>0</v>
      </c>
      <c r="AE236" s="2">
        <v>46248</v>
      </c>
      <c r="AF236" s="2">
        <v>46256</v>
      </c>
      <c r="AG236" s="2">
        <v>46263</v>
      </c>
      <c r="AH236">
        <v>360</v>
      </c>
      <c r="AI236" s="3">
        <v>0.20022246941045604</v>
      </c>
      <c r="AJ236" s="1">
        <v>0</v>
      </c>
      <c r="AK236" s="2">
        <v>46263</v>
      </c>
      <c r="AL236" s="4" t="s">
        <v>1636</v>
      </c>
      <c r="AM236" s="5" t="s">
        <v>1636</v>
      </c>
      <c r="AN236" s="4">
        <v>0</v>
      </c>
      <c r="AO236" t="s">
        <v>1635</v>
      </c>
      <c r="AP236" s="4" t="s">
        <v>1636</v>
      </c>
      <c r="AQ236" t="s">
        <v>1619</v>
      </c>
      <c r="AR236" t="s">
        <v>1620</v>
      </c>
      <c r="AT236" s="16">
        <f>_xlfn.XLOOKUP(B236,'SWiSH Demand Forecast Sep-26'!D:D,'SWiSH Demand Forecast Sep-26'!G:G,"Not Exist")</f>
        <v>988</v>
      </c>
    </row>
    <row r="237" spans="1:46" hidden="1" x14ac:dyDescent="0.3">
      <c r="A237">
        <v>100800010</v>
      </c>
      <c r="B237" t="s">
        <v>1289</v>
      </c>
      <c r="C237" t="s">
        <v>10</v>
      </c>
      <c r="D237" t="s">
        <v>1629</v>
      </c>
      <c r="E237" t="s">
        <v>1638</v>
      </c>
      <c r="F237" t="s">
        <v>1639</v>
      </c>
      <c r="G237" t="s">
        <v>1616</v>
      </c>
      <c r="H237" t="s">
        <v>1640</v>
      </c>
      <c r="I237" t="s">
        <v>1618</v>
      </c>
      <c r="J237" t="s">
        <v>1823</v>
      </c>
      <c r="K237">
        <v>0.10303042</v>
      </c>
      <c r="L237">
        <v>0</v>
      </c>
      <c r="M237" s="1">
        <v>3</v>
      </c>
      <c r="N237">
        <v>0</v>
      </c>
      <c r="O237">
        <v>0</v>
      </c>
      <c r="P237">
        <v>0</v>
      </c>
      <c r="Q237" s="1">
        <v>0</v>
      </c>
      <c r="R237">
        <v>2.4727299999999999</v>
      </c>
      <c r="S237" s="2">
        <v>46212</v>
      </c>
      <c r="T237" s="2">
        <v>46251</v>
      </c>
      <c r="U237">
        <v>144</v>
      </c>
      <c r="V237">
        <v>132</v>
      </c>
      <c r="W237">
        <v>1488</v>
      </c>
      <c r="X237">
        <v>324</v>
      </c>
      <c r="Y237">
        <v>132</v>
      </c>
      <c r="Z237" s="8">
        <v>1488</v>
      </c>
      <c r="AA237">
        <v>522</v>
      </c>
      <c r="AB237">
        <v>0.25287356321839083</v>
      </c>
      <c r="AC237">
        <v>2.8505747126436782</v>
      </c>
      <c r="AD237" s="1">
        <v>0</v>
      </c>
      <c r="AE237" s="2">
        <v>46248</v>
      </c>
      <c r="AF237" s="2">
        <v>46256</v>
      </c>
      <c r="AG237" s="2">
        <v>46263</v>
      </c>
      <c r="AH237">
        <v>324</v>
      </c>
      <c r="AI237" s="3">
        <v>0.22525027808676307</v>
      </c>
      <c r="AJ237" s="1">
        <v>0</v>
      </c>
      <c r="AK237" s="2">
        <v>46263</v>
      </c>
      <c r="AL237" s="4" t="s">
        <v>1636</v>
      </c>
      <c r="AM237" s="5" t="s">
        <v>1636</v>
      </c>
      <c r="AN237" s="4">
        <v>0</v>
      </c>
      <c r="AO237" t="s">
        <v>1635</v>
      </c>
      <c r="AP237" s="4" t="s">
        <v>1636</v>
      </c>
      <c r="AQ237" t="s">
        <v>1619</v>
      </c>
      <c r="AR237" t="s">
        <v>1620</v>
      </c>
      <c r="AT237" s="16">
        <f>_xlfn.XLOOKUP(B237,'SWiSH Demand Forecast Sep-26'!D:D,'SWiSH Demand Forecast Sep-26'!G:G,"Not Exist")</f>
        <v>34</v>
      </c>
    </row>
    <row r="238" spans="1:46" x14ac:dyDescent="0.3">
      <c r="A238">
        <v>104700010</v>
      </c>
      <c r="B238" t="s">
        <v>2024</v>
      </c>
      <c r="C238" t="s">
        <v>240</v>
      </c>
      <c r="D238" t="s">
        <v>1613</v>
      </c>
      <c r="E238" t="s">
        <v>1622</v>
      </c>
      <c r="F238" t="s">
        <v>1833</v>
      </c>
      <c r="G238" t="s">
        <v>1681</v>
      </c>
      <c r="H238" t="s">
        <v>2025</v>
      </c>
      <c r="I238" t="s">
        <v>1626</v>
      </c>
      <c r="J238" t="s">
        <v>240</v>
      </c>
      <c r="K238">
        <v>0.43361111000000002</v>
      </c>
      <c r="L238">
        <v>0</v>
      </c>
      <c r="M238" s="1">
        <v>3</v>
      </c>
      <c r="N238">
        <v>0</v>
      </c>
      <c r="O238">
        <v>0</v>
      </c>
      <c r="P238">
        <v>0</v>
      </c>
      <c r="Q238" s="1">
        <v>0</v>
      </c>
      <c r="R238">
        <v>5.1749999999999998</v>
      </c>
      <c r="S238" s="2">
        <v>46188</v>
      </c>
      <c r="T238" s="2">
        <v>46249</v>
      </c>
      <c r="U238">
        <v>0</v>
      </c>
      <c r="V238">
        <v>72</v>
      </c>
      <c r="W238">
        <v>60</v>
      </c>
      <c r="X238">
        <v>24</v>
      </c>
      <c r="Y238">
        <v>0</v>
      </c>
      <c r="Z238" s="8">
        <v>72</v>
      </c>
      <c r="AA238">
        <v>39</v>
      </c>
      <c r="AB238">
        <v>0</v>
      </c>
      <c r="AC238">
        <v>1.8461538461538463</v>
      </c>
      <c r="AD238" s="1">
        <v>0</v>
      </c>
      <c r="AE238" s="2">
        <v>46248</v>
      </c>
      <c r="AF238" s="2">
        <v>46256</v>
      </c>
      <c r="AG238" s="2">
        <v>46263</v>
      </c>
      <c r="AH238">
        <v>84</v>
      </c>
      <c r="AI238" s="3">
        <v>1.2068965517241379</v>
      </c>
      <c r="AJ238" s="1">
        <v>0</v>
      </c>
      <c r="AK238" s="2">
        <v>46263</v>
      </c>
      <c r="AL238" s="4">
        <v>30</v>
      </c>
      <c r="AM238" s="5">
        <v>15</v>
      </c>
      <c r="AN238" s="4">
        <v>0</v>
      </c>
      <c r="AO238">
        <v>86.896551724137936</v>
      </c>
      <c r="AP238" s="4">
        <v>1</v>
      </c>
      <c r="AQ238" t="s">
        <v>1619</v>
      </c>
      <c r="AR238" t="s">
        <v>1620</v>
      </c>
      <c r="AT238" s="16" t="str">
        <f>_xlfn.XLOOKUP(B238,'SWiSH Demand Forecast Sep-26'!D:D,'SWiSH Demand Forecast Sep-26'!G:G,"Not Exist")</f>
        <v>Not Exist</v>
      </c>
    </row>
    <row r="239" spans="1:46" hidden="1" x14ac:dyDescent="0.3">
      <c r="A239">
        <v>100500007</v>
      </c>
      <c r="B239" t="s">
        <v>768</v>
      </c>
      <c r="C239" t="s">
        <v>136</v>
      </c>
      <c r="D239" t="s">
        <v>1629</v>
      </c>
      <c r="E239" t="s">
        <v>1677</v>
      </c>
      <c r="F239" t="s">
        <v>1752</v>
      </c>
      <c r="G239" t="s">
        <v>1616</v>
      </c>
      <c r="H239" t="s">
        <v>1996</v>
      </c>
      <c r="I239" t="s">
        <v>1754</v>
      </c>
      <c r="J239" t="s">
        <v>136</v>
      </c>
      <c r="K239">
        <v>0.99979059999999997</v>
      </c>
      <c r="L239">
        <v>0</v>
      </c>
      <c r="M239" s="1">
        <v>3</v>
      </c>
      <c r="N239">
        <v>0</v>
      </c>
      <c r="O239">
        <v>0</v>
      </c>
      <c r="P239">
        <v>0</v>
      </c>
      <c r="Q239" s="1">
        <v>0</v>
      </c>
      <c r="R239">
        <v>25</v>
      </c>
      <c r="S239" s="2">
        <v>46190</v>
      </c>
      <c r="T239" s="2">
        <v>46263</v>
      </c>
      <c r="U239">
        <v>1250</v>
      </c>
      <c r="V239">
        <v>1600</v>
      </c>
      <c r="W239">
        <v>1525</v>
      </c>
      <c r="X239">
        <v>1275</v>
      </c>
      <c r="Y239">
        <v>1250</v>
      </c>
      <c r="Z239" s="8">
        <v>1600</v>
      </c>
      <c r="AA239">
        <v>1412.5</v>
      </c>
      <c r="AB239">
        <v>0.88495575221238942</v>
      </c>
      <c r="AC239">
        <v>1.1327433628318584</v>
      </c>
      <c r="AD239" s="1">
        <v>0</v>
      </c>
      <c r="AE239" s="2">
        <v>46248</v>
      </c>
      <c r="AF239" s="2">
        <v>46256</v>
      </c>
      <c r="AG239" s="2">
        <v>46263</v>
      </c>
      <c r="AH239">
        <v>0</v>
      </c>
      <c r="AI239" s="3">
        <v>0</v>
      </c>
      <c r="AJ239" s="1" t="s">
        <v>1635</v>
      </c>
      <c r="AK239" s="2" t="s">
        <v>1635</v>
      </c>
      <c r="AL239" s="4" t="s">
        <v>1636</v>
      </c>
      <c r="AM239" s="5" t="s">
        <v>1636</v>
      </c>
      <c r="AN239" s="4">
        <v>0</v>
      </c>
      <c r="AO239" t="s">
        <v>1635</v>
      </c>
      <c r="AP239" s="4" t="s">
        <v>1636</v>
      </c>
      <c r="AQ239" t="s">
        <v>1619</v>
      </c>
      <c r="AR239" t="s">
        <v>1620</v>
      </c>
      <c r="AT239" s="16">
        <f>_xlfn.XLOOKUP(B239,'SWiSH Demand Forecast Sep-26'!D:D,'SWiSH Demand Forecast Sep-26'!G:G,"Not Exist")</f>
        <v>453.03158803711801</v>
      </c>
    </row>
    <row r="240" spans="1:46" hidden="1" x14ac:dyDescent="0.3">
      <c r="A240">
        <v>106200073</v>
      </c>
      <c r="B240" t="s">
        <v>610</v>
      </c>
      <c r="C240" t="s">
        <v>240</v>
      </c>
      <c r="D240" t="s">
        <v>1613</v>
      </c>
      <c r="E240" t="s">
        <v>1732</v>
      </c>
      <c r="F240" t="s">
        <v>1671</v>
      </c>
      <c r="G240" t="s">
        <v>1616</v>
      </c>
      <c r="H240" t="s">
        <v>1672</v>
      </c>
      <c r="I240" t="s">
        <v>1618</v>
      </c>
      <c r="J240" t="s">
        <v>1673</v>
      </c>
      <c r="K240">
        <v>0.45897698999999997</v>
      </c>
      <c r="L240">
        <v>0</v>
      </c>
      <c r="M240" s="1">
        <v>3</v>
      </c>
      <c r="N240">
        <v>0</v>
      </c>
      <c r="O240">
        <v>0</v>
      </c>
      <c r="P240">
        <v>0</v>
      </c>
      <c r="Q240" s="1">
        <v>0</v>
      </c>
      <c r="R240">
        <v>7</v>
      </c>
      <c r="S240" s="2">
        <v>46183</v>
      </c>
      <c r="T240" s="2">
        <v>46252</v>
      </c>
      <c r="U240">
        <v>2661.12</v>
      </c>
      <c r="V240">
        <v>1209.5999999999999</v>
      </c>
      <c r="W240">
        <v>907.19999999999993</v>
      </c>
      <c r="X240">
        <v>4082.3999999999996</v>
      </c>
      <c r="Y240">
        <v>907.19999999999993</v>
      </c>
      <c r="Z240" s="8">
        <v>4082.3999999999996</v>
      </c>
      <c r="AA240">
        <v>2215.08</v>
      </c>
      <c r="AB240">
        <v>0.40955631399317405</v>
      </c>
      <c r="AC240">
        <v>1.8430034129692832</v>
      </c>
      <c r="AD240" s="1">
        <v>0</v>
      </c>
      <c r="AE240" s="2">
        <v>46248</v>
      </c>
      <c r="AF240" s="2">
        <v>46256</v>
      </c>
      <c r="AG240" s="2">
        <v>46263</v>
      </c>
      <c r="AH240">
        <v>4687.2000000000007</v>
      </c>
      <c r="AI240" s="3">
        <v>1.187739463601533</v>
      </c>
      <c r="AJ240" s="1">
        <v>0</v>
      </c>
      <c r="AK240" s="2">
        <v>46263</v>
      </c>
      <c r="AL240" s="4">
        <v>5</v>
      </c>
      <c r="AM240" s="5">
        <v>3</v>
      </c>
      <c r="AN240" s="4">
        <v>0</v>
      </c>
      <c r="AO240">
        <v>808.1379310344829</v>
      </c>
      <c r="AP240" s="4">
        <v>8</v>
      </c>
      <c r="AQ240" t="s">
        <v>1619</v>
      </c>
      <c r="AR240" t="s">
        <v>1620</v>
      </c>
      <c r="AT240" s="16">
        <f>_xlfn.XLOOKUP(B240,'SWiSH Demand Forecast Sep-26'!D:D,'SWiSH Demand Forecast Sep-26'!G:G,"Not Exist")</f>
        <v>974.78650138781404</v>
      </c>
    </row>
    <row r="241" spans="1:46" x14ac:dyDescent="0.3">
      <c r="A241">
        <v>104900012</v>
      </c>
      <c r="B241" t="s">
        <v>2026</v>
      </c>
      <c r="C241" t="s">
        <v>10</v>
      </c>
      <c r="D241" t="s">
        <v>1613</v>
      </c>
      <c r="E241" t="s">
        <v>1638</v>
      </c>
      <c r="F241" t="s">
        <v>1664</v>
      </c>
      <c r="G241" t="s">
        <v>1624</v>
      </c>
      <c r="H241" t="s">
        <v>1759</v>
      </c>
      <c r="I241" t="s">
        <v>1634</v>
      </c>
      <c r="J241" t="s">
        <v>2027</v>
      </c>
      <c r="K241">
        <v>2.15E-3</v>
      </c>
      <c r="L241">
        <v>0</v>
      </c>
      <c r="M241" s="1">
        <v>15</v>
      </c>
      <c r="N241">
        <v>0</v>
      </c>
      <c r="O241">
        <v>0</v>
      </c>
      <c r="P241">
        <v>0</v>
      </c>
      <c r="Q241" s="1">
        <v>0</v>
      </c>
      <c r="R241">
        <v>8.6</v>
      </c>
      <c r="S241" s="2">
        <v>46244</v>
      </c>
      <c r="T241" s="2">
        <v>46253</v>
      </c>
      <c r="U241">
        <v>528000</v>
      </c>
      <c r="V241">
        <v>576000</v>
      </c>
      <c r="W241">
        <v>376000</v>
      </c>
      <c r="X241">
        <v>396000</v>
      </c>
      <c r="Y241">
        <v>376000</v>
      </c>
      <c r="Z241" s="8">
        <v>576000</v>
      </c>
      <c r="AA241">
        <v>469000</v>
      </c>
      <c r="AB241">
        <v>0.80170575692963753</v>
      </c>
      <c r="AC241">
        <v>1.2281449893390193</v>
      </c>
      <c r="AD241" s="1">
        <v>0</v>
      </c>
      <c r="AE241" s="2">
        <v>46248</v>
      </c>
      <c r="AF241" s="2">
        <v>46256</v>
      </c>
      <c r="AG241" s="2">
        <v>46263</v>
      </c>
      <c r="AH241">
        <v>160000</v>
      </c>
      <c r="AI241" s="3">
        <v>0.28735632183908044</v>
      </c>
      <c r="AJ241" s="1">
        <v>0</v>
      </c>
      <c r="AK241" s="2">
        <v>46263</v>
      </c>
      <c r="AL241" s="4">
        <v>10</v>
      </c>
      <c r="AM241" s="5">
        <v>10</v>
      </c>
      <c r="AN241" s="4">
        <v>0</v>
      </c>
      <c r="AO241">
        <v>55172.413793103442</v>
      </c>
      <c r="AP241" s="4">
        <v>3</v>
      </c>
      <c r="AQ241">
        <v>345</v>
      </c>
      <c r="AR241" t="s">
        <v>2028</v>
      </c>
      <c r="AT241" s="16" t="str">
        <f>_xlfn.XLOOKUP(B241,'SWiSH Demand Forecast Sep-26'!D:D,'SWiSH Demand Forecast Sep-26'!G:G,"Not Exist")</f>
        <v>Not Exist</v>
      </c>
    </row>
    <row r="242" spans="1:46" x14ac:dyDescent="0.3">
      <c r="A242">
        <v>107500015</v>
      </c>
      <c r="B242" t="s">
        <v>2029</v>
      </c>
      <c r="C242" t="s">
        <v>136</v>
      </c>
      <c r="D242" t="s">
        <v>1629</v>
      </c>
      <c r="E242" t="e">
        <v>#N/A</v>
      </c>
      <c r="F242" t="s">
        <v>1833</v>
      </c>
      <c r="G242" t="s">
        <v>1616</v>
      </c>
      <c r="H242" t="s">
        <v>2030</v>
      </c>
      <c r="I242" t="s">
        <v>1626</v>
      </c>
      <c r="J242" t="s">
        <v>2031</v>
      </c>
      <c r="K242">
        <v>2.48</v>
      </c>
      <c r="L242">
        <v>0</v>
      </c>
      <c r="M242" s="1">
        <v>3</v>
      </c>
      <c r="N242">
        <v>0</v>
      </c>
      <c r="O242">
        <v>0</v>
      </c>
      <c r="P242">
        <v>0</v>
      </c>
      <c r="Q242" s="1">
        <v>0</v>
      </c>
      <c r="R242">
        <v>17.856000000000002</v>
      </c>
      <c r="S242" s="2">
        <v>45950</v>
      </c>
      <c r="T242" s="2">
        <v>46156</v>
      </c>
      <c r="U242">
        <v>0</v>
      </c>
      <c r="V242">
        <v>10.199999999999999</v>
      </c>
      <c r="W242">
        <v>0</v>
      </c>
      <c r="X242">
        <v>0</v>
      </c>
      <c r="Y242">
        <v>0</v>
      </c>
      <c r="Z242" s="8">
        <v>10.199999999999999</v>
      </c>
      <c r="AA242">
        <v>2.5499999999999998</v>
      </c>
      <c r="AB242">
        <v>0</v>
      </c>
      <c r="AC242">
        <v>4</v>
      </c>
      <c r="AD242" s="1">
        <v>0</v>
      </c>
      <c r="AE242" s="2">
        <v>46248</v>
      </c>
      <c r="AF242" s="2">
        <v>46256</v>
      </c>
      <c r="AG242" s="2">
        <v>46263</v>
      </c>
      <c r="AH242">
        <v>0</v>
      </c>
      <c r="AI242" s="3">
        <v>0</v>
      </c>
      <c r="AJ242" s="1" t="s">
        <v>1635</v>
      </c>
      <c r="AK242" s="2" t="s">
        <v>1635</v>
      </c>
      <c r="AL242" s="4" t="s">
        <v>1636</v>
      </c>
      <c r="AM242" s="5" t="s">
        <v>1636</v>
      </c>
      <c r="AN242" s="4">
        <v>0</v>
      </c>
      <c r="AO242" t="s">
        <v>1635</v>
      </c>
      <c r="AP242" s="4" t="s">
        <v>1636</v>
      </c>
      <c r="AQ242" t="s">
        <v>1619</v>
      </c>
      <c r="AR242" t="s">
        <v>1620</v>
      </c>
      <c r="AT242" s="16" t="str">
        <f>_xlfn.XLOOKUP(B242,'SWiSH Demand Forecast Sep-26'!D:D,'SWiSH Demand Forecast Sep-26'!G:G,"Not Exist")</f>
        <v>Not Exist</v>
      </c>
    </row>
    <row r="243" spans="1:46" hidden="1" x14ac:dyDescent="0.3">
      <c r="A243">
        <v>106600115</v>
      </c>
      <c r="B243" t="s">
        <v>80</v>
      </c>
      <c r="C243" t="s">
        <v>10</v>
      </c>
      <c r="D243" t="s">
        <v>1613</v>
      </c>
      <c r="E243" t="s">
        <v>1663</v>
      </c>
      <c r="F243" t="s">
        <v>1664</v>
      </c>
      <c r="G243" t="s">
        <v>1624</v>
      </c>
      <c r="H243" t="s">
        <v>1723</v>
      </c>
      <c r="I243" t="s">
        <v>1634</v>
      </c>
      <c r="J243" t="s">
        <v>10</v>
      </c>
      <c r="K243">
        <v>5.0000000000000001E-3</v>
      </c>
      <c r="L243">
        <v>0</v>
      </c>
      <c r="M243" s="1">
        <v>30</v>
      </c>
      <c r="N243">
        <v>0</v>
      </c>
      <c r="O243">
        <v>0</v>
      </c>
      <c r="P243">
        <v>0</v>
      </c>
      <c r="Q243" s="1">
        <v>0</v>
      </c>
      <c r="R243">
        <v>5.0000000000000001E-3</v>
      </c>
      <c r="S243" s="2">
        <v>46238</v>
      </c>
      <c r="T243" s="2">
        <v>46263</v>
      </c>
      <c r="U243">
        <v>20000</v>
      </c>
      <c r="V243">
        <v>32000</v>
      </c>
      <c r="W243">
        <v>32000</v>
      </c>
      <c r="X243">
        <v>12000</v>
      </c>
      <c r="Y243">
        <v>12000</v>
      </c>
      <c r="Z243" s="8">
        <v>32000</v>
      </c>
      <c r="AA243">
        <v>24000</v>
      </c>
      <c r="AB243">
        <v>0.5</v>
      </c>
      <c r="AC243">
        <v>1.3333333333333333</v>
      </c>
      <c r="AD243" s="1">
        <v>0</v>
      </c>
      <c r="AE243" s="2">
        <v>46248</v>
      </c>
      <c r="AF243" s="2">
        <v>46256</v>
      </c>
      <c r="AG243" s="2">
        <v>46263</v>
      </c>
      <c r="AH243">
        <v>59000</v>
      </c>
      <c r="AI243" s="3">
        <v>1.9073275862068966</v>
      </c>
      <c r="AJ243" s="1">
        <v>0</v>
      </c>
      <c r="AK243" s="2">
        <v>46263</v>
      </c>
      <c r="AL243" s="4">
        <v>30</v>
      </c>
      <c r="AM243" s="5">
        <v>15</v>
      </c>
      <c r="AN243" s="4">
        <v>0</v>
      </c>
      <c r="AO243">
        <v>61034.482758620696</v>
      </c>
      <c r="AP243" s="4">
        <v>1</v>
      </c>
      <c r="AQ243">
        <v>111000</v>
      </c>
      <c r="AR243" t="s">
        <v>2032</v>
      </c>
      <c r="AT243" s="16">
        <f>_xlfn.XLOOKUP(B243,'SWiSH Demand Forecast Sep-26'!D:D,'SWiSH Demand Forecast Sep-26'!G:G,"Not Exist")</f>
        <v>27669</v>
      </c>
    </row>
    <row r="244" spans="1:46" x14ac:dyDescent="0.3">
      <c r="A244">
        <v>106600156</v>
      </c>
      <c r="B244" t="s">
        <v>2033</v>
      </c>
      <c r="C244" t="s">
        <v>10</v>
      </c>
      <c r="D244" t="s">
        <v>1613</v>
      </c>
      <c r="E244" t="s">
        <v>1701</v>
      </c>
      <c r="F244" t="s">
        <v>1664</v>
      </c>
      <c r="G244" t="s">
        <v>1624</v>
      </c>
      <c r="H244" t="s">
        <v>1723</v>
      </c>
      <c r="I244" t="s">
        <v>1634</v>
      </c>
      <c r="J244" t="s">
        <v>10</v>
      </c>
      <c r="K244">
        <v>5.4000000000000003E-3</v>
      </c>
      <c r="L244">
        <v>0</v>
      </c>
      <c r="M244" s="1">
        <v>30</v>
      </c>
      <c r="N244">
        <v>0</v>
      </c>
      <c r="O244">
        <v>0</v>
      </c>
      <c r="P244">
        <v>0</v>
      </c>
      <c r="Q244" s="1">
        <v>0</v>
      </c>
      <c r="R244">
        <v>5.4000000000000003E-3</v>
      </c>
      <c r="S244" s="2">
        <v>46237</v>
      </c>
      <c r="T244" s="2">
        <v>46253</v>
      </c>
      <c r="U244">
        <v>0</v>
      </c>
      <c r="V244">
        <v>0</v>
      </c>
      <c r="W244">
        <v>0</v>
      </c>
      <c r="X244">
        <v>5000</v>
      </c>
      <c r="Y244">
        <v>0</v>
      </c>
      <c r="Z244" s="8">
        <v>5000</v>
      </c>
      <c r="AA244">
        <v>1250</v>
      </c>
      <c r="AB244">
        <v>0</v>
      </c>
      <c r="AC244">
        <v>4</v>
      </c>
      <c r="AD244" s="1">
        <v>0</v>
      </c>
      <c r="AE244" s="2">
        <v>46248</v>
      </c>
      <c r="AF244" s="2">
        <v>46256</v>
      </c>
      <c r="AG244" s="2">
        <v>46263</v>
      </c>
      <c r="AH244">
        <v>48200</v>
      </c>
      <c r="AI244" s="3">
        <v>9.9724137931034473</v>
      </c>
      <c r="AJ244" s="1">
        <v>0</v>
      </c>
      <c r="AK244" s="2">
        <v>46263</v>
      </c>
      <c r="AL244" s="4">
        <v>30</v>
      </c>
      <c r="AM244" s="5">
        <v>15</v>
      </c>
      <c r="AN244" s="4">
        <v>0</v>
      </c>
      <c r="AO244">
        <v>49862.068965517239</v>
      </c>
      <c r="AP244" s="4">
        <v>1</v>
      </c>
      <c r="AQ244">
        <v>50000</v>
      </c>
      <c r="AR244" t="s">
        <v>2034</v>
      </c>
      <c r="AS244" t="s">
        <v>1666</v>
      </c>
      <c r="AT244" s="16" t="str">
        <f>_xlfn.XLOOKUP(B244,'SWiSH Demand Forecast Sep-26'!D:D,'SWiSH Demand Forecast Sep-26'!G:G,"Not Exist")</f>
        <v>Not Exist</v>
      </c>
    </row>
    <row r="245" spans="1:46" hidden="1" x14ac:dyDescent="0.3">
      <c r="A245">
        <v>106400034</v>
      </c>
      <c r="B245" t="s">
        <v>323</v>
      </c>
      <c r="C245" t="s">
        <v>136</v>
      </c>
      <c r="D245" t="s">
        <v>1613</v>
      </c>
      <c r="E245" t="s">
        <v>1638</v>
      </c>
      <c r="F245" t="s">
        <v>1812</v>
      </c>
      <c r="G245" t="s">
        <v>1624</v>
      </c>
      <c r="H245" t="s">
        <v>1764</v>
      </c>
      <c r="I245" t="s">
        <v>1618</v>
      </c>
      <c r="J245" t="s">
        <v>136</v>
      </c>
      <c r="K245">
        <v>0.25194852000000001</v>
      </c>
      <c r="L245">
        <v>30.233822400000001</v>
      </c>
      <c r="M245" s="1">
        <v>3</v>
      </c>
      <c r="N245">
        <v>0</v>
      </c>
      <c r="O245">
        <v>110</v>
      </c>
      <c r="P245">
        <v>120</v>
      </c>
      <c r="Q245" s="1">
        <v>10</v>
      </c>
      <c r="R245">
        <v>0</v>
      </c>
      <c r="S245" s="2">
        <v>0</v>
      </c>
      <c r="T245" s="2">
        <v>46263</v>
      </c>
      <c r="U245">
        <v>0</v>
      </c>
      <c r="V245">
        <v>0</v>
      </c>
      <c r="W245">
        <v>3915</v>
      </c>
      <c r="X245">
        <v>11360</v>
      </c>
      <c r="Y245">
        <v>0</v>
      </c>
      <c r="Z245" s="8">
        <v>11360</v>
      </c>
      <c r="AA245">
        <v>3818.75</v>
      </c>
      <c r="AB245">
        <v>0</v>
      </c>
      <c r="AC245">
        <v>2.9747954173486089</v>
      </c>
      <c r="AD245" s="1">
        <v>0</v>
      </c>
      <c r="AE245" s="2">
        <v>46248</v>
      </c>
      <c r="AF245" s="2">
        <v>46256</v>
      </c>
      <c r="AG245" s="2">
        <v>46263</v>
      </c>
      <c r="AH245">
        <v>12155</v>
      </c>
      <c r="AI245" s="3">
        <v>1.1068783389995143</v>
      </c>
      <c r="AJ245" s="1">
        <v>0</v>
      </c>
      <c r="AK245" s="2">
        <v>46263</v>
      </c>
      <c r="AL245" s="4" t="s">
        <v>1658</v>
      </c>
      <c r="AM245" s="5" t="s">
        <v>1658</v>
      </c>
      <c r="AN245" s="4">
        <v>0</v>
      </c>
      <c r="AO245" t="s">
        <v>1635</v>
      </c>
      <c r="AP245" s="4" t="s">
        <v>1658</v>
      </c>
      <c r="AQ245" t="s">
        <v>1619</v>
      </c>
      <c r="AR245" t="s">
        <v>1620</v>
      </c>
      <c r="AT245" s="16">
        <f>_xlfn.XLOOKUP(B245,'SWiSH Demand Forecast Sep-26'!D:D,'SWiSH Demand Forecast Sep-26'!G:G,"Not Exist")</f>
        <v>4288.4430000000002</v>
      </c>
    </row>
    <row r="246" spans="1:46" x14ac:dyDescent="0.3">
      <c r="A246">
        <v>105000026</v>
      </c>
      <c r="B246" t="s">
        <v>2035</v>
      </c>
      <c r="C246" t="s">
        <v>240</v>
      </c>
      <c r="D246" t="s">
        <v>1613</v>
      </c>
      <c r="E246" t="s">
        <v>2036</v>
      </c>
      <c r="F246" t="s">
        <v>1671</v>
      </c>
      <c r="G246" t="s">
        <v>1616</v>
      </c>
      <c r="H246" t="s">
        <v>2002</v>
      </c>
      <c r="I246" t="s">
        <v>1618</v>
      </c>
      <c r="J246" t="s">
        <v>1697</v>
      </c>
      <c r="K246">
        <v>0.71599999999999997</v>
      </c>
      <c r="L246">
        <v>0</v>
      </c>
      <c r="M246" s="1">
        <v>3</v>
      </c>
      <c r="N246">
        <v>0</v>
      </c>
      <c r="O246">
        <v>0</v>
      </c>
      <c r="P246">
        <v>0</v>
      </c>
      <c r="Q246" s="1">
        <v>0</v>
      </c>
      <c r="R246">
        <v>7.16</v>
      </c>
      <c r="S246" s="2">
        <v>46256</v>
      </c>
      <c r="T246" s="2">
        <v>46260</v>
      </c>
      <c r="U246">
        <v>2070</v>
      </c>
      <c r="V246">
        <v>2300</v>
      </c>
      <c r="W246">
        <v>1390</v>
      </c>
      <c r="X246">
        <v>1660</v>
      </c>
      <c r="Y246">
        <v>1390</v>
      </c>
      <c r="Z246" s="8">
        <v>2300</v>
      </c>
      <c r="AA246">
        <v>1855</v>
      </c>
      <c r="AB246">
        <v>0.74932614555256061</v>
      </c>
      <c r="AC246">
        <v>1.2398921832884098</v>
      </c>
      <c r="AD246" s="1">
        <v>0</v>
      </c>
      <c r="AE246" s="2">
        <v>46248</v>
      </c>
      <c r="AF246" s="2">
        <v>46256</v>
      </c>
      <c r="AG246" s="2">
        <v>46263</v>
      </c>
      <c r="AH246">
        <v>750</v>
      </c>
      <c r="AI246" s="3">
        <v>0.33733133433283358</v>
      </c>
      <c r="AJ246" s="1">
        <v>0</v>
      </c>
      <c r="AK246" s="2">
        <v>46263</v>
      </c>
      <c r="AL246" s="4">
        <v>10</v>
      </c>
      <c r="AM246" s="5">
        <v>10</v>
      </c>
      <c r="AN246" s="4">
        <v>0</v>
      </c>
      <c r="AO246">
        <v>258.62068965517244</v>
      </c>
      <c r="AP246" s="4">
        <v>3</v>
      </c>
      <c r="AQ246" t="s">
        <v>1619</v>
      </c>
      <c r="AR246" t="s">
        <v>1849</v>
      </c>
      <c r="AT246" s="16" t="str">
        <f>_xlfn.XLOOKUP(B246,'SWiSH Demand Forecast Sep-26'!D:D,'SWiSH Demand Forecast Sep-26'!G:G,"Not Exist")</f>
        <v>Not Exist</v>
      </c>
    </row>
    <row r="247" spans="1:46" hidden="1" x14ac:dyDescent="0.3">
      <c r="A247">
        <v>100900072</v>
      </c>
      <c r="B247" t="s">
        <v>594</v>
      </c>
      <c r="C247" t="s">
        <v>10</v>
      </c>
      <c r="D247" t="s">
        <v>1629</v>
      </c>
      <c r="E247" t="s">
        <v>1638</v>
      </c>
      <c r="F247" t="s">
        <v>1639</v>
      </c>
      <c r="G247" t="s">
        <v>1616</v>
      </c>
      <c r="H247" t="s">
        <v>1640</v>
      </c>
      <c r="I247" t="s">
        <v>1618</v>
      </c>
      <c r="J247" t="s">
        <v>1641</v>
      </c>
      <c r="K247">
        <v>6.6060670000000002E-2</v>
      </c>
      <c r="L247">
        <v>1.3872740700000001</v>
      </c>
      <c r="M247" s="1">
        <v>3</v>
      </c>
      <c r="N247">
        <v>0</v>
      </c>
      <c r="O247">
        <v>0</v>
      </c>
      <c r="P247">
        <v>21</v>
      </c>
      <c r="Q247" s="1">
        <v>21</v>
      </c>
      <c r="R247">
        <v>1.9818199999999999</v>
      </c>
      <c r="S247" s="2">
        <v>46189</v>
      </c>
      <c r="T247" s="2">
        <v>46258</v>
      </c>
      <c r="U247">
        <v>600</v>
      </c>
      <c r="V247">
        <v>630</v>
      </c>
      <c r="W247">
        <v>780</v>
      </c>
      <c r="X247">
        <v>570</v>
      </c>
      <c r="Y247">
        <v>570</v>
      </c>
      <c r="Z247" s="8">
        <v>780</v>
      </c>
      <c r="AA247">
        <v>645</v>
      </c>
      <c r="AB247">
        <v>0.88372093023255816</v>
      </c>
      <c r="AC247">
        <v>1.2093023255813953</v>
      </c>
      <c r="AD247" s="1">
        <v>0</v>
      </c>
      <c r="AE247" s="2">
        <v>46248</v>
      </c>
      <c r="AF247" s="2">
        <v>46256</v>
      </c>
      <c r="AG247" s="2">
        <v>46263</v>
      </c>
      <c r="AH247">
        <v>7</v>
      </c>
      <c r="AI247" s="3">
        <v>9.2838196286472146E-3</v>
      </c>
      <c r="AJ247" s="1">
        <v>87</v>
      </c>
      <c r="AK247" s="2">
        <v>46350</v>
      </c>
      <c r="AL247" s="4" t="s">
        <v>1636</v>
      </c>
      <c r="AM247" s="5" t="s">
        <v>1636</v>
      </c>
      <c r="AN247" s="4">
        <v>0</v>
      </c>
      <c r="AO247" t="s">
        <v>1635</v>
      </c>
      <c r="AP247" s="4" t="s">
        <v>1636</v>
      </c>
      <c r="AQ247" t="s">
        <v>1619</v>
      </c>
      <c r="AR247" t="s">
        <v>1620</v>
      </c>
      <c r="AT247" s="16">
        <f>_xlfn.XLOOKUP(B247,'SWiSH Demand Forecast Sep-26'!D:D,'SWiSH Demand Forecast Sep-26'!G:G,"Not Exist")</f>
        <v>1049</v>
      </c>
    </row>
    <row r="248" spans="1:46" x14ac:dyDescent="0.3">
      <c r="A248">
        <v>101400044</v>
      </c>
      <c r="B248" t="s">
        <v>2037</v>
      </c>
      <c r="C248" t="s">
        <v>240</v>
      </c>
      <c r="D248" t="s">
        <v>1613</v>
      </c>
      <c r="E248" t="s">
        <v>2038</v>
      </c>
      <c r="F248" t="s">
        <v>1644</v>
      </c>
      <c r="G248" t="s">
        <v>1624</v>
      </c>
      <c r="H248" t="s">
        <v>1693</v>
      </c>
      <c r="I248" t="s">
        <v>1634</v>
      </c>
      <c r="J248" t="s">
        <v>2039</v>
      </c>
      <c r="K248">
        <v>0.84</v>
      </c>
      <c r="L248">
        <v>16.8</v>
      </c>
      <c r="M248" s="1">
        <v>3</v>
      </c>
      <c r="N248">
        <v>0</v>
      </c>
      <c r="O248">
        <v>0</v>
      </c>
      <c r="P248">
        <v>20</v>
      </c>
      <c r="Q248" s="1">
        <v>20</v>
      </c>
      <c r="R248">
        <v>16.8</v>
      </c>
      <c r="S248" s="2">
        <v>46257</v>
      </c>
      <c r="T248" s="2">
        <v>46263</v>
      </c>
      <c r="U248">
        <v>1010</v>
      </c>
      <c r="V248">
        <v>910</v>
      </c>
      <c r="W248">
        <v>2200</v>
      </c>
      <c r="X248">
        <v>2625</v>
      </c>
      <c r="Y248">
        <v>910</v>
      </c>
      <c r="Z248" s="8">
        <v>2625</v>
      </c>
      <c r="AA248">
        <v>1686.25</v>
      </c>
      <c r="AB248">
        <v>0.5396590066716086</v>
      </c>
      <c r="AC248">
        <v>1.5567086730911786</v>
      </c>
      <c r="AD248" s="1">
        <v>0</v>
      </c>
      <c r="AE248" s="2">
        <v>46248</v>
      </c>
      <c r="AF248" s="2">
        <v>46256</v>
      </c>
      <c r="AG248" s="2">
        <v>46263</v>
      </c>
      <c r="AH248">
        <v>2565</v>
      </c>
      <c r="AI248" s="3">
        <v>1.0108374384236454</v>
      </c>
      <c r="AJ248" s="1">
        <v>0</v>
      </c>
      <c r="AK248" s="2">
        <v>46263</v>
      </c>
      <c r="AL248" s="4">
        <v>10</v>
      </c>
      <c r="AM248" s="5">
        <v>10</v>
      </c>
      <c r="AN248" s="4">
        <v>0</v>
      </c>
      <c r="AO248">
        <v>884.48275862068965</v>
      </c>
      <c r="AP248" s="4">
        <v>3</v>
      </c>
      <c r="AQ248">
        <v>15</v>
      </c>
      <c r="AR248" t="s">
        <v>2040</v>
      </c>
      <c r="AT248" s="16" t="str">
        <f>_xlfn.XLOOKUP(B248,'SWiSH Demand Forecast Sep-26'!D:D,'SWiSH Demand Forecast Sep-26'!G:G,"Not Exist")</f>
        <v>Not Exist</v>
      </c>
    </row>
    <row r="249" spans="1:46" x14ac:dyDescent="0.3">
      <c r="A249">
        <v>100900043</v>
      </c>
      <c r="B249" t="s">
        <v>2041</v>
      </c>
      <c r="C249" t="s">
        <v>10</v>
      </c>
      <c r="D249" t="s">
        <v>1613</v>
      </c>
      <c r="E249" t="s">
        <v>1638</v>
      </c>
      <c r="F249" t="s">
        <v>1639</v>
      </c>
      <c r="G249" t="s">
        <v>1616</v>
      </c>
      <c r="H249" t="s">
        <v>1640</v>
      </c>
      <c r="I249" t="s">
        <v>1618</v>
      </c>
      <c r="J249" t="s">
        <v>1781</v>
      </c>
      <c r="K249">
        <v>7.2916670000000003E-2</v>
      </c>
      <c r="L249">
        <v>0</v>
      </c>
      <c r="M249" s="1">
        <v>3</v>
      </c>
      <c r="N249">
        <v>0</v>
      </c>
      <c r="O249">
        <v>0</v>
      </c>
      <c r="P249">
        <v>0</v>
      </c>
      <c r="Q249" s="1">
        <v>0</v>
      </c>
      <c r="R249">
        <v>1.75</v>
      </c>
      <c r="S249" s="2">
        <v>46186</v>
      </c>
      <c r="T249" s="2">
        <v>46256</v>
      </c>
      <c r="U249">
        <v>240</v>
      </c>
      <c r="V249">
        <v>192</v>
      </c>
      <c r="W249">
        <v>792</v>
      </c>
      <c r="X249">
        <v>384</v>
      </c>
      <c r="Y249">
        <v>192</v>
      </c>
      <c r="Z249" s="8">
        <v>792</v>
      </c>
      <c r="AA249">
        <v>402</v>
      </c>
      <c r="AB249">
        <v>0.47761194029850745</v>
      </c>
      <c r="AC249">
        <v>1.9701492537313432</v>
      </c>
      <c r="AD249" s="1">
        <v>0</v>
      </c>
      <c r="AE249" s="2">
        <v>46248</v>
      </c>
      <c r="AF249" s="2">
        <v>46256</v>
      </c>
      <c r="AG249" s="2">
        <v>46263</v>
      </c>
      <c r="AH249">
        <v>217</v>
      </c>
      <c r="AI249" s="3">
        <v>0.28343782654127481</v>
      </c>
      <c r="AJ249" s="1">
        <v>0</v>
      </c>
      <c r="AK249" s="2">
        <v>46263</v>
      </c>
      <c r="AL249" s="4">
        <v>10</v>
      </c>
      <c r="AM249" s="5">
        <v>10</v>
      </c>
      <c r="AN249" s="4">
        <v>0</v>
      </c>
      <c r="AO249">
        <v>74.827586206896555</v>
      </c>
      <c r="AP249" s="4">
        <v>3</v>
      </c>
      <c r="AQ249" t="s">
        <v>1619</v>
      </c>
      <c r="AR249" t="s">
        <v>1620</v>
      </c>
      <c r="AT249" s="16" t="str">
        <f>_xlfn.XLOOKUP(B249,'SWiSH Demand Forecast Sep-26'!D:D,'SWiSH Demand Forecast Sep-26'!G:G,"Not Exist")</f>
        <v>Not Exist</v>
      </c>
    </row>
    <row r="250" spans="1:46" hidden="1" x14ac:dyDescent="0.3">
      <c r="A250">
        <v>105000007</v>
      </c>
      <c r="B250" t="s">
        <v>1542</v>
      </c>
      <c r="C250" t="s">
        <v>240</v>
      </c>
      <c r="D250" t="s">
        <v>1613</v>
      </c>
      <c r="E250" t="s">
        <v>1732</v>
      </c>
      <c r="F250" t="s">
        <v>1671</v>
      </c>
      <c r="G250" t="s">
        <v>1616</v>
      </c>
      <c r="H250" t="s">
        <v>2002</v>
      </c>
      <c r="I250" t="s">
        <v>1618</v>
      </c>
      <c r="J250" t="s">
        <v>2042</v>
      </c>
      <c r="K250">
        <v>9.9767108800000006</v>
      </c>
      <c r="L250">
        <v>0</v>
      </c>
      <c r="M250" s="1">
        <v>3</v>
      </c>
      <c r="N250">
        <v>0</v>
      </c>
      <c r="O250">
        <v>0</v>
      </c>
      <c r="P250">
        <v>0</v>
      </c>
      <c r="Q250" s="1">
        <v>0</v>
      </c>
      <c r="R250">
        <v>2</v>
      </c>
      <c r="S250" s="2">
        <v>46163</v>
      </c>
      <c r="T250" s="2">
        <v>46260</v>
      </c>
      <c r="U250">
        <v>7.2</v>
      </c>
      <c r="V250">
        <v>9</v>
      </c>
      <c r="W250">
        <v>5.4</v>
      </c>
      <c r="X250">
        <v>9.9359999999999999</v>
      </c>
      <c r="Y250">
        <v>5.4</v>
      </c>
      <c r="Z250" s="8">
        <v>9.9359999999999999</v>
      </c>
      <c r="AA250">
        <v>7.8840000000000003</v>
      </c>
      <c r="AB250">
        <v>0.68493150684931503</v>
      </c>
      <c r="AC250">
        <v>1.2602739726027397</v>
      </c>
      <c r="AD250" s="1">
        <v>0</v>
      </c>
      <c r="AE250" s="2">
        <v>46248</v>
      </c>
      <c r="AF250" s="2">
        <v>46256</v>
      </c>
      <c r="AG250" s="2">
        <v>46263</v>
      </c>
      <c r="AH250">
        <v>7.452</v>
      </c>
      <c r="AI250" s="3">
        <v>0.77586206896551724</v>
      </c>
      <c r="AJ250" s="1">
        <v>0</v>
      </c>
      <c r="AK250" s="2">
        <v>46263</v>
      </c>
      <c r="AL250" s="4">
        <v>30</v>
      </c>
      <c r="AM250" s="5">
        <v>15</v>
      </c>
      <c r="AN250" s="4">
        <v>0</v>
      </c>
      <c r="AO250">
        <v>7.7089655172413796</v>
      </c>
      <c r="AP250" s="4">
        <v>1</v>
      </c>
      <c r="AQ250" t="s">
        <v>1619</v>
      </c>
      <c r="AR250" t="s">
        <v>1620</v>
      </c>
      <c r="AT250" s="16">
        <f>_xlfn.XLOOKUP(B250,'SWiSH Demand Forecast Sep-26'!D:D,'SWiSH Demand Forecast Sep-26'!G:G,"Not Exist")</f>
        <v>0.73146769861956296</v>
      </c>
    </row>
    <row r="251" spans="1:46" hidden="1" x14ac:dyDescent="0.3">
      <c r="A251">
        <v>101200019</v>
      </c>
      <c r="B251" t="s">
        <v>297</v>
      </c>
      <c r="C251" t="s">
        <v>136</v>
      </c>
      <c r="D251" t="s">
        <v>1613</v>
      </c>
      <c r="E251" t="s">
        <v>2043</v>
      </c>
      <c r="F251" t="s">
        <v>1752</v>
      </c>
      <c r="G251" t="s">
        <v>1616</v>
      </c>
      <c r="H251" t="s">
        <v>1625</v>
      </c>
      <c r="I251" t="s">
        <v>1754</v>
      </c>
      <c r="J251" t="s">
        <v>136</v>
      </c>
      <c r="K251">
        <v>2.5</v>
      </c>
      <c r="L251">
        <v>3200</v>
      </c>
      <c r="M251" s="1">
        <v>3</v>
      </c>
      <c r="N251">
        <v>0</v>
      </c>
      <c r="O251">
        <v>1190</v>
      </c>
      <c r="P251">
        <v>1280</v>
      </c>
      <c r="Q251" s="1">
        <v>90</v>
      </c>
      <c r="R251">
        <v>25</v>
      </c>
      <c r="S251" s="2">
        <v>46258</v>
      </c>
      <c r="T251" s="2">
        <v>46263</v>
      </c>
      <c r="U251">
        <v>9390</v>
      </c>
      <c r="V251">
        <v>13240</v>
      </c>
      <c r="W251">
        <v>15280</v>
      </c>
      <c r="X251">
        <v>13622.5</v>
      </c>
      <c r="Y251">
        <v>9390</v>
      </c>
      <c r="Z251" s="8">
        <v>15280</v>
      </c>
      <c r="AA251">
        <v>12883.125</v>
      </c>
      <c r="AB251">
        <v>0.72886042788531513</v>
      </c>
      <c r="AC251">
        <v>1.1860476398389366</v>
      </c>
      <c r="AD251" s="1">
        <v>0</v>
      </c>
      <c r="AE251" s="2">
        <v>46248</v>
      </c>
      <c r="AF251" s="2">
        <v>46256</v>
      </c>
      <c r="AG251" s="2">
        <v>46263</v>
      </c>
      <c r="AH251">
        <v>18047.5</v>
      </c>
      <c r="AI251" s="3">
        <v>1.2218473551182523</v>
      </c>
      <c r="AJ251" s="1">
        <v>0</v>
      </c>
      <c r="AK251" s="2">
        <v>46263</v>
      </c>
      <c r="AL251" s="4">
        <v>5</v>
      </c>
      <c r="AM251" s="5">
        <v>3</v>
      </c>
      <c r="AN251" s="4">
        <v>0</v>
      </c>
      <c r="AO251">
        <v>3111.6379310344823</v>
      </c>
      <c r="AP251" s="4">
        <v>8</v>
      </c>
      <c r="AQ251">
        <v>200</v>
      </c>
      <c r="AR251" t="s">
        <v>2044</v>
      </c>
      <c r="AT251" s="16">
        <f>_xlfn.XLOOKUP(B251,'SWiSH Demand Forecast Sep-26'!D:D,'SWiSH Demand Forecast Sep-26'!G:G,"Not Exist")</f>
        <v>5064.9359999999897</v>
      </c>
    </row>
    <row r="252" spans="1:46" hidden="1" x14ac:dyDescent="0.3">
      <c r="A252">
        <v>105000017</v>
      </c>
      <c r="B252" t="s">
        <v>919</v>
      </c>
      <c r="C252" t="s">
        <v>240</v>
      </c>
      <c r="D252" t="s">
        <v>1613</v>
      </c>
      <c r="E252" t="s">
        <v>2045</v>
      </c>
      <c r="F252" t="s">
        <v>1671</v>
      </c>
      <c r="G252" t="s">
        <v>1616</v>
      </c>
      <c r="H252" t="s">
        <v>2002</v>
      </c>
      <c r="I252" t="s">
        <v>1618</v>
      </c>
      <c r="J252" t="s">
        <v>2046</v>
      </c>
      <c r="K252">
        <v>2.0475646900000002</v>
      </c>
      <c r="L252">
        <v>45.046423180000005</v>
      </c>
      <c r="M252" s="1">
        <v>3</v>
      </c>
      <c r="N252">
        <v>0</v>
      </c>
      <c r="O252">
        <v>0</v>
      </c>
      <c r="P252">
        <v>22</v>
      </c>
      <c r="Q252" s="1">
        <v>22</v>
      </c>
      <c r="R252">
        <v>19.500139999999998</v>
      </c>
      <c r="S252" s="2">
        <v>46247</v>
      </c>
      <c r="T252" s="2">
        <v>46263</v>
      </c>
      <c r="U252">
        <v>1170</v>
      </c>
      <c r="V252">
        <v>950</v>
      </c>
      <c r="W252">
        <v>860</v>
      </c>
      <c r="X252">
        <v>950</v>
      </c>
      <c r="Y252">
        <v>860</v>
      </c>
      <c r="Z252" s="8">
        <v>1170</v>
      </c>
      <c r="AA252">
        <v>982.5</v>
      </c>
      <c r="AB252">
        <v>0.87531806615776087</v>
      </c>
      <c r="AC252">
        <v>1.1908396946564885</v>
      </c>
      <c r="AD252" s="1">
        <v>0</v>
      </c>
      <c r="AE252" s="2">
        <v>46248</v>
      </c>
      <c r="AF252" s="2">
        <v>46256</v>
      </c>
      <c r="AG252" s="2">
        <v>46263</v>
      </c>
      <c r="AH252">
        <v>738</v>
      </c>
      <c r="AI252" s="3">
        <v>0.65251989389920428</v>
      </c>
      <c r="AJ252" s="1">
        <v>0</v>
      </c>
      <c r="AK252" s="2">
        <v>46263</v>
      </c>
      <c r="AL252" s="4">
        <v>30</v>
      </c>
      <c r="AM252" s="5">
        <v>15</v>
      </c>
      <c r="AN252" s="4">
        <v>0</v>
      </c>
      <c r="AO252">
        <v>763.44827586206907</v>
      </c>
      <c r="AP252" s="4">
        <v>1</v>
      </c>
      <c r="AQ252">
        <v>120</v>
      </c>
      <c r="AR252" t="s">
        <v>2047</v>
      </c>
      <c r="AT252" s="16">
        <f>_xlfn.XLOOKUP(B252,'SWiSH Demand Forecast Sep-26'!D:D,'SWiSH Demand Forecast Sep-26'!G:G,"Not Exist")</f>
        <v>223.890521514977</v>
      </c>
    </row>
    <row r="253" spans="1:46" x14ac:dyDescent="0.3">
      <c r="A253">
        <v>105200063</v>
      </c>
      <c r="B253" t="s">
        <v>2048</v>
      </c>
      <c r="C253" t="s">
        <v>10</v>
      </c>
      <c r="D253" t="s">
        <v>1613</v>
      </c>
      <c r="E253" t="s">
        <v>1685</v>
      </c>
      <c r="F253" t="s">
        <v>1664</v>
      </c>
      <c r="G253" t="s">
        <v>1686</v>
      </c>
      <c r="H253" t="s">
        <v>1779</v>
      </c>
      <c r="I253" t="s">
        <v>1634</v>
      </c>
      <c r="J253" t="s">
        <v>10</v>
      </c>
      <c r="K253">
        <v>2.1999999999999999E-2</v>
      </c>
      <c r="L253">
        <v>0</v>
      </c>
      <c r="M253" s="1">
        <v>30</v>
      </c>
      <c r="N253">
        <v>0</v>
      </c>
      <c r="O253">
        <v>0</v>
      </c>
      <c r="P253">
        <v>0</v>
      </c>
      <c r="Q253" s="1">
        <v>0</v>
      </c>
      <c r="R253">
        <v>2.7E-2</v>
      </c>
      <c r="S253" s="2">
        <v>46250</v>
      </c>
      <c r="T253" s="2">
        <v>46263</v>
      </c>
      <c r="U253">
        <v>51800</v>
      </c>
      <c r="V253">
        <v>22500</v>
      </c>
      <c r="W253">
        <v>29420</v>
      </c>
      <c r="X253">
        <v>31400</v>
      </c>
      <c r="Y253">
        <v>22500</v>
      </c>
      <c r="Z253" s="8">
        <v>51800</v>
      </c>
      <c r="AA253">
        <v>33780</v>
      </c>
      <c r="AB253">
        <v>0.6660746003552398</v>
      </c>
      <c r="AC253">
        <v>1.5334517465956188</v>
      </c>
      <c r="AD253" s="1">
        <v>0</v>
      </c>
      <c r="AE253" s="2">
        <v>46248</v>
      </c>
      <c r="AF253" s="2">
        <v>46256</v>
      </c>
      <c r="AG253" s="2">
        <v>46263</v>
      </c>
      <c r="AH253">
        <v>28000</v>
      </c>
      <c r="AI253" s="3">
        <v>0.55917986952469712</v>
      </c>
      <c r="AJ253" s="1">
        <v>0</v>
      </c>
      <c r="AK253" s="2">
        <v>46263</v>
      </c>
      <c r="AL253" s="4">
        <v>15</v>
      </c>
      <c r="AM253" s="5">
        <v>15</v>
      </c>
      <c r="AN253" s="4">
        <v>0</v>
      </c>
      <c r="AO253">
        <v>14482.758620689656</v>
      </c>
      <c r="AP253" s="4">
        <v>2</v>
      </c>
      <c r="AQ253">
        <v>101180</v>
      </c>
      <c r="AR253" t="s">
        <v>2034</v>
      </c>
      <c r="AT253" s="16" t="str">
        <f>_xlfn.XLOOKUP(B253,'SWiSH Demand Forecast Sep-26'!D:D,'SWiSH Demand Forecast Sep-26'!G:G,"Not Exist")</f>
        <v>Not Exist</v>
      </c>
    </row>
    <row r="254" spans="1:46" hidden="1" x14ac:dyDescent="0.3">
      <c r="A254">
        <v>102700017</v>
      </c>
      <c r="B254" t="s">
        <v>196</v>
      </c>
      <c r="C254" t="s">
        <v>10</v>
      </c>
      <c r="D254" t="s">
        <v>1613</v>
      </c>
      <c r="E254" t="s">
        <v>1655</v>
      </c>
      <c r="F254" t="s">
        <v>1623</v>
      </c>
      <c r="G254" t="s">
        <v>1616</v>
      </c>
      <c r="H254" t="s">
        <v>1865</v>
      </c>
      <c r="I254" t="s">
        <v>1754</v>
      </c>
      <c r="J254" t="s">
        <v>10</v>
      </c>
      <c r="K254">
        <v>3.7499999999999999E-2</v>
      </c>
      <c r="L254">
        <v>32.8125</v>
      </c>
      <c r="M254" s="1">
        <v>3</v>
      </c>
      <c r="N254">
        <v>0</v>
      </c>
      <c r="O254">
        <v>620</v>
      </c>
      <c r="P254">
        <v>875</v>
      </c>
      <c r="Q254" s="1">
        <v>255</v>
      </c>
      <c r="R254">
        <v>3.7499999999999999E-2</v>
      </c>
      <c r="S254" s="2">
        <v>46263</v>
      </c>
      <c r="T254" s="2">
        <v>46263</v>
      </c>
      <c r="U254">
        <v>9045</v>
      </c>
      <c r="V254">
        <v>8385</v>
      </c>
      <c r="W254">
        <v>9430</v>
      </c>
      <c r="X254">
        <v>8460</v>
      </c>
      <c r="Y254">
        <v>8385</v>
      </c>
      <c r="Z254" s="8">
        <v>9430</v>
      </c>
      <c r="AA254">
        <v>8830</v>
      </c>
      <c r="AB254">
        <v>0.94960362400906007</v>
      </c>
      <c r="AC254">
        <v>1.0679501698754248</v>
      </c>
      <c r="AD254" s="1">
        <v>0</v>
      </c>
      <c r="AE254" s="2">
        <v>46248</v>
      </c>
      <c r="AF254" s="2">
        <v>46256</v>
      </c>
      <c r="AG254" s="2">
        <v>46263</v>
      </c>
      <c r="AH254">
        <v>7185</v>
      </c>
      <c r="AI254" s="3">
        <v>0.78820345924598678</v>
      </c>
      <c r="AJ254" s="1">
        <v>1</v>
      </c>
      <c r="AK254" s="2">
        <v>46264</v>
      </c>
      <c r="AL254" s="4">
        <v>3</v>
      </c>
      <c r="AM254" s="5">
        <v>3</v>
      </c>
      <c r="AN254" s="4">
        <v>0</v>
      </c>
      <c r="AO254">
        <v>743.27586206896558</v>
      </c>
      <c r="AP254" s="4">
        <v>10</v>
      </c>
      <c r="AQ254" t="s">
        <v>1619</v>
      </c>
      <c r="AR254" t="s">
        <v>1620</v>
      </c>
      <c r="AT254" s="16">
        <f>_xlfn.XLOOKUP(B254,'SWiSH Demand Forecast Sep-26'!D:D,'SWiSH Demand Forecast Sep-26'!G:G,"Not Exist")</f>
        <v>8854</v>
      </c>
    </row>
    <row r="255" spans="1:46" hidden="1" x14ac:dyDescent="0.3">
      <c r="A255">
        <v>107400049</v>
      </c>
      <c r="B255" t="s">
        <v>48</v>
      </c>
      <c r="C255" t="s">
        <v>10</v>
      </c>
      <c r="D255" t="s">
        <v>1613</v>
      </c>
      <c r="E255" t="s">
        <v>2049</v>
      </c>
      <c r="F255" t="s">
        <v>1664</v>
      </c>
      <c r="G255" t="s">
        <v>1624</v>
      </c>
      <c r="H255" t="s">
        <v>2016</v>
      </c>
      <c r="I255" t="s">
        <v>1634</v>
      </c>
      <c r="J255" t="s">
        <v>10</v>
      </c>
      <c r="K255">
        <v>7.0000000000000001E-3</v>
      </c>
      <c r="L255">
        <v>0</v>
      </c>
      <c r="M255" s="1">
        <v>15</v>
      </c>
      <c r="N255">
        <v>0</v>
      </c>
      <c r="O255">
        <v>0</v>
      </c>
      <c r="P255">
        <v>0</v>
      </c>
      <c r="Q255" s="1">
        <v>0</v>
      </c>
      <c r="R255">
        <v>7.0000000000000001E-3</v>
      </c>
      <c r="S255" s="2">
        <v>46251</v>
      </c>
      <c r="T255" s="2">
        <v>46263</v>
      </c>
      <c r="U255">
        <v>53500</v>
      </c>
      <c r="V255">
        <v>62000</v>
      </c>
      <c r="W255">
        <v>45500</v>
      </c>
      <c r="X255">
        <v>51000</v>
      </c>
      <c r="Y255">
        <v>45500</v>
      </c>
      <c r="Z255" s="8">
        <v>62000</v>
      </c>
      <c r="AA255">
        <v>53000</v>
      </c>
      <c r="AB255">
        <v>0.85849056603773588</v>
      </c>
      <c r="AC255">
        <v>1.1698113207547169</v>
      </c>
      <c r="AD255" s="1">
        <v>0</v>
      </c>
      <c r="AE255" s="2">
        <v>46248</v>
      </c>
      <c r="AF255" s="2">
        <v>46256</v>
      </c>
      <c r="AG255" s="2">
        <v>46263</v>
      </c>
      <c r="AH255">
        <v>40500</v>
      </c>
      <c r="AI255" s="3">
        <v>0.67575083426028915</v>
      </c>
      <c r="AJ255" s="1">
        <v>0</v>
      </c>
      <c r="AK255" s="2">
        <v>46263</v>
      </c>
      <c r="AL255" s="4">
        <v>30</v>
      </c>
      <c r="AM255" s="5">
        <v>15</v>
      </c>
      <c r="AN255" s="4">
        <v>0</v>
      </c>
      <c r="AO255">
        <v>41896.55172413792</v>
      </c>
      <c r="AP255" s="4">
        <v>1</v>
      </c>
      <c r="AQ255">
        <v>191000</v>
      </c>
      <c r="AR255" t="s">
        <v>2032</v>
      </c>
      <c r="AT255" s="16">
        <f>_xlfn.XLOOKUP(B255,'SWiSH Demand Forecast Sep-26'!D:D,'SWiSH Demand Forecast Sep-26'!G:G,"Not Exist")</f>
        <v>47801</v>
      </c>
    </row>
    <row r="256" spans="1:46" x14ac:dyDescent="0.3">
      <c r="A256">
        <v>101600062</v>
      </c>
      <c r="B256" t="s">
        <v>2050</v>
      </c>
      <c r="C256" t="s">
        <v>10</v>
      </c>
      <c r="D256" t="s">
        <v>1613</v>
      </c>
      <c r="E256" t="s">
        <v>1685</v>
      </c>
      <c r="F256" t="s">
        <v>1631</v>
      </c>
      <c r="G256" t="s">
        <v>1624</v>
      </c>
      <c r="H256" t="s">
        <v>1768</v>
      </c>
      <c r="I256" t="s">
        <v>1634</v>
      </c>
      <c r="J256" t="s">
        <v>10</v>
      </c>
      <c r="K256">
        <v>4.2000000000000003E-2</v>
      </c>
      <c r="L256">
        <v>10.5</v>
      </c>
      <c r="M256" s="1">
        <v>3</v>
      </c>
      <c r="N256">
        <v>0</v>
      </c>
      <c r="O256">
        <v>0</v>
      </c>
      <c r="P256">
        <v>250</v>
      </c>
      <c r="Q256" s="1">
        <v>250</v>
      </c>
      <c r="R256">
        <v>42</v>
      </c>
      <c r="S256" s="2">
        <v>46181</v>
      </c>
      <c r="T256" s="2">
        <v>46263</v>
      </c>
      <c r="U256">
        <v>8200</v>
      </c>
      <c r="V256">
        <v>6100</v>
      </c>
      <c r="W256">
        <v>4700</v>
      </c>
      <c r="X256">
        <v>3900</v>
      </c>
      <c r="Y256">
        <v>3900</v>
      </c>
      <c r="Z256" s="8">
        <v>8200</v>
      </c>
      <c r="AA256">
        <v>5725</v>
      </c>
      <c r="AB256">
        <v>0.68122270742358082</v>
      </c>
      <c r="AC256">
        <v>1.4323144104803494</v>
      </c>
      <c r="AD256" s="1">
        <v>0</v>
      </c>
      <c r="AE256" s="2">
        <v>46248</v>
      </c>
      <c r="AF256" s="2">
        <v>46256</v>
      </c>
      <c r="AG256" s="2">
        <v>46263</v>
      </c>
      <c r="AH256">
        <v>3500</v>
      </c>
      <c r="AI256" s="3">
        <v>0.44154751892346511</v>
      </c>
      <c r="AJ256" s="1">
        <v>2</v>
      </c>
      <c r="AK256" s="2">
        <v>46265</v>
      </c>
      <c r="AL256" s="4">
        <v>30</v>
      </c>
      <c r="AM256" s="5">
        <v>15</v>
      </c>
      <c r="AN256" s="4">
        <v>0</v>
      </c>
      <c r="AO256">
        <v>3620.6896551724139</v>
      </c>
      <c r="AP256" s="4">
        <v>1</v>
      </c>
      <c r="AQ256">
        <v>6</v>
      </c>
      <c r="AR256" t="s">
        <v>2051</v>
      </c>
      <c r="AT256" s="16" t="str">
        <f>_xlfn.XLOOKUP(B256,'SWiSH Demand Forecast Sep-26'!D:D,'SWiSH Demand Forecast Sep-26'!G:G,"Not Exist")</f>
        <v>Not Exist</v>
      </c>
    </row>
    <row r="257" spans="1:46" x14ac:dyDescent="0.3">
      <c r="A257">
        <v>106700014</v>
      </c>
      <c r="B257" t="s">
        <v>2052</v>
      </c>
      <c r="C257" t="s">
        <v>10</v>
      </c>
      <c r="D257" t="s">
        <v>1613</v>
      </c>
      <c r="E257" t="s">
        <v>1655</v>
      </c>
      <c r="F257" t="s">
        <v>1650</v>
      </c>
      <c r="G257" t="s">
        <v>1624</v>
      </c>
      <c r="H257" t="s">
        <v>1651</v>
      </c>
      <c r="I257" t="s">
        <v>1634</v>
      </c>
      <c r="J257" t="s">
        <v>2053</v>
      </c>
      <c r="K257">
        <v>1.5</v>
      </c>
      <c r="L257">
        <v>1.5</v>
      </c>
      <c r="M257" s="1">
        <v>3</v>
      </c>
      <c r="N257">
        <v>0</v>
      </c>
      <c r="O257">
        <v>0</v>
      </c>
      <c r="P257">
        <v>1</v>
      </c>
      <c r="Q257" s="1">
        <v>1</v>
      </c>
      <c r="R257">
        <v>1.5</v>
      </c>
      <c r="S257" s="2">
        <v>46237</v>
      </c>
      <c r="T257" s="2">
        <v>46257</v>
      </c>
      <c r="U257">
        <v>435</v>
      </c>
      <c r="V257">
        <v>45</v>
      </c>
      <c r="W257">
        <v>360</v>
      </c>
      <c r="X257">
        <v>160</v>
      </c>
      <c r="Y257">
        <v>45</v>
      </c>
      <c r="Z257" s="8">
        <v>435</v>
      </c>
      <c r="AA257">
        <v>250</v>
      </c>
      <c r="AB257">
        <v>0.18</v>
      </c>
      <c r="AC257">
        <v>1.74</v>
      </c>
      <c r="AD257" s="1">
        <v>0</v>
      </c>
      <c r="AE257" s="2">
        <v>46248</v>
      </c>
      <c r="AF257" s="2">
        <v>46256</v>
      </c>
      <c r="AG257" s="2">
        <v>46263</v>
      </c>
      <c r="AH257">
        <v>199</v>
      </c>
      <c r="AI257" s="3">
        <v>0.47324613555291317</v>
      </c>
      <c r="AJ257" s="1">
        <v>0</v>
      </c>
      <c r="AK257" s="2">
        <v>46263</v>
      </c>
      <c r="AL257" s="4">
        <v>30</v>
      </c>
      <c r="AM257" s="5">
        <v>15</v>
      </c>
      <c r="AN257" s="4">
        <v>0</v>
      </c>
      <c r="AO257">
        <v>205.86206896551724</v>
      </c>
      <c r="AP257" s="4">
        <v>1</v>
      </c>
      <c r="AQ257" t="s">
        <v>1619</v>
      </c>
      <c r="AR257" t="s">
        <v>1620</v>
      </c>
      <c r="AS257" t="s">
        <v>1666</v>
      </c>
      <c r="AT257" s="16" t="str">
        <f>_xlfn.XLOOKUP(B257,'SWiSH Demand Forecast Sep-26'!D:D,'SWiSH Demand Forecast Sep-26'!G:G,"Not Exist")</f>
        <v>Not Exist</v>
      </c>
    </row>
    <row r="258" spans="1:46" hidden="1" x14ac:dyDescent="0.3">
      <c r="A258">
        <v>100900082</v>
      </c>
      <c r="B258" t="s">
        <v>1129</v>
      </c>
      <c r="C258" t="s">
        <v>10</v>
      </c>
      <c r="D258" t="s">
        <v>1629</v>
      </c>
      <c r="E258" t="s">
        <v>2054</v>
      </c>
      <c r="F258" t="s">
        <v>1639</v>
      </c>
      <c r="G258" t="s">
        <v>1616</v>
      </c>
      <c r="H258" t="s">
        <v>1640</v>
      </c>
      <c r="I258" t="s">
        <v>1618</v>
      </c>
      <c r="J258" t="s">
        <v>10</v>
      </c>
      <c r="K258">
        <v>0.11590899</v>
      </c>
      <c r="L258">
        <v>2.7818157600000002</v>
      </c>
      <c r="M258" s="1">
        <v>3</v>
      </c>
      <c r="N258">
        <v>0</v>
      </c>
      <c r="O258">
        <v>24</v>
      </c>
      <c r="P258">
        <v>24</v>
      </c>
      <c r="Q258" s="1">
        <v>0</v>
      </c>
      <c r="R258">
        <v>2.73333</v>
      </c>
      <c r="S258" s="2">
        <v>46214</v>
      </c>
      <c r="T258" s="2">
        <v>46258</v>
      </c>
      <c r="U258">
        <v>198</v>
      </c>
      <c r="V258">
        <v>120</v>
      </c>
      <c r="W258">
        <v>288</v>
      </c>
      <c r="X258">
        <v>1401</v>
      </c>
      <c r="Y258">
        <v>120</v>
      </c>
      <c r="Z258" s="8">
        <v>1401</v>
      </c>
      <c r="AA258">
        <v>501.75</v>
      </c>
      <c r="AB258">
        <v>0.23916292974588937</v>
      </c>
      <c r="AC258">
        <v>2.7922272047832588</v>
      </c>
      <c r="AD258" s="1">
        <v>0</v>
      </c>
      <c r="AE258" s="2">
        <v>46248</v>
      </c>
      <c r="AF258" s="2">
        <v>46256</v>
      </c>
      <c r="AG258" s="2">
        <v>46263</v>
      </c>
      <c r="AH258">
        <v>216</v>
      </c>
      <c r="AI258" s="3">
        <v>0.15949198848113416</v>
      </c>
      <c r="AJ258" s="1">
        <v>0</v>
      </c>
      <c r="AK258" s="2">
        <v>46263</v>
      </c>
      <c r="AL258" s="4" t="s">
        <v>1636</v>
      </c>
      <c r="AM258" s="5" t="s">
        <v>1636</v>
      </c>
      <c r="AN258" s="4">
        <v>0</v>
      </c>
      <c r="AO258" t="s">
        <v>1635</v>
      </c>
      <c r="AP258" s="4" t="s">
        <v>1636</v>
      </c>
      <c r="AQ258" t="s">
        <v>1619</v>
      </c>
      <c r="AR258" t="s">
        <v>1620</v>
      </c>
      <c r="AT258" s="16">
        <f>_xlfn.XLOOKUP(B258,'SWiSH Demand Forecast Sep-26'!D:D,'SWiSH Demand Forecast Sep-26'!G:G,"Not Exist")</f>
        <v>94</v>
      </c>
    </row>
    <row r="259" spans="1:46" hidden="1" x14ac:dyDescent="0.3">
      <c r="A259">
        <v>102500009</v>
      </c>
      <c r="B259" t="s">
        <v>305</v>
      </c>
      <c r="C259" t="s">
        <v>136</v>
      </c>
      <c r="D259" t="s">
        <v>1613</v>
      </c>
      <c r="E259" t="s">
        <v>2055</v>
      </c>
      <c r="F259" t="s">
        <v>1927</v>
      </c>
      <c r="G259" t="s">
        <v>1616</v>
      </c>
      <c r="H259" t="s">
        <v>1928</v>
      </c>
      <c r="I259" t="s">
        <v>1618</v>
      </c>
      <c r="J259" t="s">
        <v>2056</v>
      </c>
      <c r="K259">
        <v>9.1999999999999998E-2</v>
      </c>
      <c r="L259">
        <v>32.200000000000003</v>
      </c>
      <c r="M259" s="1">
        <v>3</v>
      </c>
      <c r="N259">
        <v>0</v>
      </c>
      <c r="O259">
        <v>300</v>
      </c>
      <c r="P259">
        <v>350</v>
      </c>
      <c r="Q259" s="1">
        <v>50</v>
      </c>
      <c r="R259">
        <v>4.5999999999999996</v>
      </c>
      <c r="S259" s="2">
        <v>46263</v>
      </c>
      <c r="T259" s="2">
        <v>46263</v>
      </c>
      <c r="U259">
        <v>10750</v>
      </c>
      <c r="V259">
        <v>10350</v>
      </c>
      <c r="W259">
        <v>10400</v>
      </c>
      <c r="X259">
        <v>10000</v>
      </c>
      <c r="Y259">
        <v>10000</v>
      </c>
      <c r="Z259" s="8">
        <v>10750</v>
      </c>
      <c r="AA259">
        <v>10375</v>
      </c>
      <c r="AB259">
        <v>0.96385542168674698</v>
      </c>
      <c r="AC259">
        <v>1.036144578313253</v>
      </c>
      <c r="AD259" s="1">
        <v>0</v>
      </c>
      <c r="AE259" s="2">
        <v>46248</v>
      </c>
      <c r="AF259" s="2">
        <v>46256</v>
      </c>
      <c r="AG259" s="2">
        <v>46263</v>
      </c>
      <c r="AH259">
        <v>10500</v>
      </c>
      <c r="AI259" s="3">
        <v>1.0104250200481155</v>
      </c>
      <c r="AJ259" s="1">
        <v>0</v>
      </c>
      <c r="AK259" s="2">
        <v>46263</v>
      </c>
      <c r="AL259" s="4">
        <v>5</v>
      </c>
      <c r="AM259" s="5">
        <v>3</v>
      </c>
      <c r="AN259" s="4">
        <v>0</v>
      </c>
      <c r="AO259">
        <v>1810.3448275862067</v>
      </c>
      <c r="AP259" s="4">
        <v>8</v>
      </c>
      <c r="AQ259">
        <v>155</v>
      </c>
      <c r="AR259" t="s">
        <v>2057</v>
      </c>
      <c r="AT259" s="16">
        <f>_xlfn.XLOOKUP(B259,'SWiSH Demand Forecast Sep-26'!D:D,'SWiSH Demand Forecast Sep-26'!G:G,"Not Exist")</f>
        <v>4837.2127246666596</v>
      </c>
    </row>
    <row r="260" spans="1:46" hidden="1" x14ac:dyDescent="0.3">
      <c r="A260">
        <v>100900060</v>
      </c>
      <c r="B260" t="s">
        <v>469</v>
      </c>
      <c r="C260" t="s">
        <v>10</v>
      </c>
      <c r="D260" t="s">
        <v>1629</v>
      </c>
      <c r="E260" t="s">
        <v>2058</v>
      </c>
      <c r="F260" t="s">
        <v>1639</v>
      </c>
      <c r="G260" t="s">
        <v>1616</v>
      </c>
      <c r="H260" t="s">
        <v>1640</v>
      </c>
      <c r="I260" t="s">
        <v>1618</v>
      </c>
      <c r="J260" t="s">
        <v>1641</v>
      </c>
      <c r="K260">
        <v>8.2424330000000004E-2</v>
      </c>
      <c r="L260">
        <v>0</v>
      </c>
      <c r="M260" s="1">
        <v>3</v>
      </c>
      <c r="N260">
        <v>0</v>
      </c>
      <c r="O260">
        <v>0</v>
      </c>
      <c r="P260">
        <v>0</v>
      </c>
      <c r="Q260" s="1">
        <v>0</v>
      </c>
      <c r="R260">
        <v>2.4727299999999999</v>
      </c>
      <c r="S260" s="2">
        <v>46223</v>
      </c>
      <c r="T260" s="2">
        <v>46259</v>
      </c>
      <c r="U260">
        <v>9306</v>
      </c>
      <c r="V260">
        <v>9270</v>
      </c>
      <c r="W260">
        <v>8610</v>
      </c>
      <c r="X260">
        <v>10017</v>
      </c>
      <c r="Y260">
        <v>8610</v>
      </c>
      <c r="Z260" s="8">
        <v>10017</v>
      </c>
      <c r="AA260">
        <v>9300.75</v>
      </c>
      <c r="AB260">
        <v>0.92573179582291754</v>
      </c>
      <c r="AC260">
        <v>1.0770099185549553</v>
      </c>
      <c r="AD260" s="1">
        <v>0</v>
      </c>
      <c r="AE260" s="2">
        <v>46248</v>
      </c>
      <c r="AF260" s="2">
        <v>46256</v>
      </c>
      <c r="AG260" s="2">
        <v>46263</v>
      </c>
      <c r="AH260">
        <v>2820</v>
      </c>
      <c r="AI260" s="3">
        <v>0.29122904854850201</v>
      </c>
      <c r="AJ260" s="1">
        <v>0</v>
      </c>
      <c r="AK260" s="2">
        <v>46263</v>
      </c>
      <c r="AL260" s="4" t="s">
        <v>1636</v>
      </c>
      <c r="AM260" s="5" t="s">
        <v>1636</v>
      </c>
      <c r="AN260" s="4">
        <v>0</v>
      </c>
      <c r="AO260" t="s">
        <v>1635</v>
      </c>
      <c r="AP260" s="4" t="s">
        <v>1636</v>
      </c>
      <c r="AQ260" t="s">
        <v>1619</v>
      </c>
      <c r="AR260" t="s">
        <v>1794</v>
      </c>
      <c r="AT260" s="16">
        <f>_xlfn.XLOOKUP(B260,'SWiSH Demand Forecast Sep-26'!D:D,'SWiSH Demand Forecast Sep-26'!G:G,"Not Exist")</f>
        <v>1824</v>
      </c>
    </row>
    <row r="261" spans="1:46" hidden="1" x14ac:dyDescent="0.3">
      <c r="A261">
        <v>102100003</v>
      </c>
      <c r="B261" t="s">
        <v>272</v>
      </c>
      <c r="C261" t="s">
        <v>10</v>
      </c>
      <c r="D261" t="s">
        <v>1613</v>
      </c>
      <c r="E261" t="s">
        <v>2059</v>
      </c>
      <c r="F261" t="s">
        <v>1833</v>
      </c>
      <c r="G261" t="s">
        <v>1616</v>
      </c>
      <c r="H261" t="s">
        <v>1939</v>
      </c>
      <c r="I261" t="s">
        <v>1626</v>
      </c>
      <c r="J261" t="s">
        <v>2060</v>
      </c>
      <c r="K261">
        <v>3.5037550000000001E-2</v>
      </c>
      <c r="L261">
        <v>-8.2688617999999998</v>
      </c>
      <c r="M261" s="1">
        <v>3</v>
      </c>
      <c r="N261">
        <v>0</v>
      </c>
      <c r="O261">
        <v>780</v>
      </c>
      <c r="P261">
        <v>-236</v>
      </c>
      <c r="Q261" s="1">
        <v>-1016</v>
      </c>
      <c r="R261">
        <v>12.5</v>
      </c>
      <c r="S261" s="2">
        <v>46260</v>
      </c>
      <c r="T261" s="2">
        <v>46263</v>
      </c>
      <c r="U261">
        <v>38280</v>
      </c>
      <c r="V261">
        <v>35640</v>
      </c>
      <c r="W261">
        <v>33570</v>
      </c>
      <c r="X261">
        <v>34860</v>
      </c>
      <c r="Y261">
        <v>33570</v>
      </c>
      <c r="Z261" s="8">
        <v>38280</v>
      </c>
      <c r="AA261">
        <v>35587.5</v>
      </c>
      <c r="AB261">
        <v>0.94330874604847204</v>
      </c>
      <c r="AC261">
        <v>1.075658587987355</v>
      </c>
      <c r="AD261" s="1">
        <v>0</v>
      </c>
      <c r="AE261" s="2">
        <v>46248</v>
      </c>
      <c r="AF261" s="2">
        <v>46256</v>
      </c>
      <c r="AG261" s="2">
        <v>46263</v>
      </c>
      <c r="AH261">
        <v>30600</v>
      </c>
      <c r="AI261" s="3">
        <v>0.82693762836450113</v>
      </c>
      <c r="AJ261" s="1">
        <v>0</v>
      </c>
      <c r="AK261" s="2">
        <v>46263</v>
      </c>
      <c r="AL261" s="4">
        <v>8</v>
      </c>
      <c r="AM261" s="5">
        <v>5</v>
      </c>
      <c r="AN261" s="4">
        <v>0</v>
      </c>
      <c r="AO261">
        <v>8441.3793103448279</v>
      </c>
      <c r="AP261" s="4">
        <v>4</v>
      </c>
      <c r="AQ261">
        <v>10</v>
      </c>
      <c r="AR261" t="s">
        <v>2061</v>
      </c>
      <c r="AT261" s="16">
        <f>_xlfn.XLOOKUP(B261,'SWiSH Demand Forecast Sep-26'!D:D,'SWiSH Demand Forecast Sep-26'!G:G,"Not Exist")</f>
        <v>5798.6894736842096</v>
      </c>
    </row>
    <row r="262" spans="1:46" x14ac:dyDescent="0.3">
      <c r="A262">
        <v>103900006</v>
      </c>
      <c r="B262" t="s">
        <v>2062</v>
      </c>
      <c r="C262" t="s">
        <v>10</v>
      </c>
      <c r="D262" t="s">
        <v>1613</v>
      </c>
      <c r="E262" t="s">
        <v>1643</v>
      </c>
      <c r="F262" t="s">
        <v>1840</v>
      </c>
      <c r="G262" t="s">
        <v>1616</v>
      </c>
      <c r="H262" t="s">
        <v>2063</v>
      </c>
      <c r="I262" t="s">
        <v>1618</v>
      </c>
      <c r="J262" t="s">
        <v>2064</v>
      </c>
      <c r="K262">
        <v>4.5999999999999999E-2</v>
      </c>
      <c r="L262">
        <v>0</v>
      </c>
      <c r="M262" s="1">
        <v>3</v>
      </c>
      <c r="N262">
        <v>0</v>
      </c>
      <c r="O262">
        <v>0</v>
      </c>
      <c r="P262">
        <v>0</v>
      </c>
      <c r="Q262" s="1">
        <v>0</v>
      </c>
      <c r="R262">
        <v>0.92</v>
      </c>
      <c r="S262" s="2">
        <v>46207</v>
      </c>
      <c r="T262" s="2">
        <v>46257</v>
      </c>
      <c r="U262">
        <v>80</v>
      </c>
      <c r="V262">
        <v>100</v>
      </c>
      <c r="W262">
        <v>120</v>
      </c>
      <c r="X262">
        <v>60</v>
      </c>
      <c r="Y262">
        <v>60</v>
      </c>
      <c r="Z262" s="8">
        <v>120</v>
      </c>
      <c r="AA262">
        <v>90</v>
      </c>
      <c r="AB262">
        <v>0.66666666666666663</v>
      </c>
      <c r="AC262">
        <v>1.3333333333333333</v>
      </c>
      <c r="AD262" s="1">
        <v>0</v>
      </c>
      <c r="AE262" s="2">
        <v>46248</v>
      </c>
      <c r="AF262" s="2">
        <v>46256</v>
      </c>
      <c r="AG262" s="2">
        <v>46263</v>
      </c>
      <c r="AH262">
        <v>100</v>
      </c>
      <c r="AI262" s="3">
        <v>0.86206896551724144</v>
      </c>
      <c r="AJ262" s="1">
        <v>0</v>
      </c>
      <c r="AK262" s="2">
        <v>46263</v>
      </c>
      <c r="AL262" s="4">
        <v>30</v>
      </c>
      <c r="AM262" s="5">
        <v>15</v>
      </c>
      <c r="AN262" s="4">
        <v>0</v>
      </c>
      <c r="AO262">
        <v>103.44827586206897</v>
      </c>
      <c r="AP262" s="4">
        <v>1</v>
      </c>
      <c r="AQ262" t="s">
        <v>1619</v>
      </c>
      <c r="AR262" t="s">
        <v>1620</v>
      </c>
      <c r="AT262" s="16" t="str">
        <f>_xlfn.XLOOKUP(B262,'SWiSH Demand Forecast Sep-26'!D:D,'SWiSH Demand Forecast Sep-26'!G:G,"Not Exist")</f>
        <v>Not Exist</v>
      </c>
    </row>
    <row r="263" spans="1:46" x14ac:dyDescent="0.3">
      <c r="A263">
        <v>102500008</v>
      </c>
      <c r="B263" t="s">
        <v>2065</v>
      </c>
      <c r="C263" t="s">
        <v>136</v>
      </c>
      <c r="D263" t="s">
        <v>1613</v>
      </c>
      <c r="E263" t="s">
        <v>2066</v>
      </c>
      <c r="F263" t="s">
        <v>1927</v>
      </c>
      <c r="G263" t="s">
        <v>1616</v>
      </c>
      <c r="H263" t="s">
        <v>1928</v>
      </c>
      <c r="I263" t="s">
        <v>1618</v>
      </c>
      <c r="J263" t="s">
        <v>2067</v>
      </c>
      <c r="K263">
        <v>0.12</v>
      </c>
      <c r="L263">
        <v>0</v>
      </c>
      <c r="M263" s="1">
        <v>3</v>
      </c>
      <c r="N263">
        <v>0</v>
      </c>
      <c r="O263">
        <v>0</v>
      </c>
      <c r="P263">
        <v>0</v>
      </c>
      <c r="Q263" s="1">
        <v>0</v>
      </c>
      <c r="R263">
        <v>3.5</v>
      </c>
      <c r="S263" s="2">
        <v>46260</v>
      </c>
      <c r="T263" s="2">
        <v>46260</v>
      </c>
      <c r="U263">
        <v>200</v>
      </c>
      <c r="V263">
        <v>250</v>
      </c>
      <c r="W263">
        <v>250</v>
      </c>
      <c r="X263">
        <v>375</v>
      </c>
      <c r="Y263">
        <v>200</v>
      </c>
      <c r="Z263" s="8">
        <v>375</v>
      </c>
      <c r="AA263">
        <v>268.75</v>
      </c>
      <c r="AB263">
        <v>0.7441860465116279</v>
      </c>
      <c r="AC263">
        <v>1.3953488372093024</v>
      </c>
      <c r="AD263" s="1">
        <v>0</v>
      </c>
      <c r="AE263" s="2">
        <v>46248</v>
      </c>
      <c r="AF263" s="2">
        <v>46256</v>
      </c>
      <c r="AG263" s="2">
        <v>46263</v>
      </c>
      <c r="AH263">
        <v>375</v>
      </c>
      <c r="AI263" s="3">
        <v>1.0344827586206897</v>
      </c>
      <c r="AJ263" s="1">
        <v>0</v>
      </c>
      <c r="AK263" s="2">
        <v>46263</v>
      </c>
      <c r="AL263" s="4">
        <v>15</v>
      </c>
      <c r="AM263" s="5">
        <v>15</v>
      </c>
      <c r="AN263" s="4">
        <v>0</v>
      </c>
      <c r="AO263">
        <v>193.96551724137933</v>
      </c>
      <c r="AP263" s="4">
        <v>2</v>
      </c>
      <c r="AQ263" t="s">
        <v>1619</v>
      </c>
      <c r="AR263" t="s">
        <v>1620</v>
      </c>
      <c r="AT263" s="16" t="str">
        <f>_xlfn.XLOOKUP(B263,'SWiSH Demand Forecast Sep-26'!D:D,'SWiSH Demand Forecast Sep-26'!G:G,"Not Exist")</f>
        <v>Not Exist</v>
      </c>
    </row>
    <row r="264" spans="1:46" x14ac:dyDescent="0.3">
      <c r="A264">
        <v>103200001</v>
      </c>
      <c r="B264" t="s">
        <v>2068</v>
      </c>
      <c r="C264" t="s">
        <v>136</v>
      </c>
      <c r="D264" t="s">
        <v>1613</v>
      </c>
      <c r="E264" t="s">
        <v>1832</v>
      </c>
      <c r="F264" t="s">
        <v>1752</v>
      </c>
      <c r="G264" t="s">
        <v>1686</v>
      </c>
      <c r="H264" t="s">
        <v>1753</v>
      </c>
      <c r="I264" t="s">
        <v>1754</v>
      </c>
      <c r="J264" t="s">
        <v>2069</v>
      </c>
      <c r="K264">
        <v>3.3333333299999999</v>
      </c>
      <c r="L264">
        <v>0</v>
      </c>
      <c r="M264" s="1">
        <v>3</v>
      </c>
      <c r="N264">
        <v>0</v>
      </c>
      <c r="O264">
        <v>0</v>
      </c>
      <c r="P264">
        <v>0</v>
      </c>
      <c r="Q264" s="1">
        <v>0</v>
      </c>
      <c r="R264">
        <v>3.4</v>
      </c>
      <c r="S264" s="2">
        <v>46179</v>
      </c>
      <c r="T264" s="2">
        <v>46261</v>
      </c>
      <c r="U264">
        <v>5</v>
      </c>
      <c r="V264">
        <v>5</v>
      </c>
      <c r="W264">
        <v>3</v>
      </c>
      <c r="X264">
        <v>10</v>
      </c>
      <c r="Y264">
        <v>3</v>
      </c>
      <c r="Z264" s="8">
        <v>10</v>
      </c>
      <c r="AA264">
        <v>5.75</v>
      </c>
      <c r="AB264">
        <v>0.52173913043478259</v>
      </c>
      <c r="AC264">
        <v>1.7391304347826086</v>
      </c>
      <c r="AD264" s="1">
        <v>0</v>
      </c>
      <c r="AE264" s="2">
        <v>46248</v>
      </c>
      <c r="AF264" s="2">
        <v>46256</v>
      </c>
      <c r="AG264" s="2">
        <v>46263</v>
      </c>
      <c r="AH264">
        <v>4</v>
      </c>
      <c r="AI264" s="3">
        <v>0.41379310344827591</v>
      </c>
      <c r="AJ264" s="1">
        <v>0</v>
      </c>
      <c r="AK264" s="2">
        <v>46263</v>
      </c>
      <c r="AL264" s="4">
        <v>30</v>
      </c>
      <c r="AM264" s="5">
        <v>15</v>
      </c>
      <c r="AN264" s="4">
        <v>0</v>
      </c>
      <c r="AO264">
        <v>4.1379310344827589</v>
      </c>
      <c r="AP264" s="4">
        <v>1</v>
      </c>
      <c r="AQ264" t="s">
        <v>1619</v>
      </c>
      <c r="AR264" t="s">
        <v>1620</v>
      </c>
      <c r="AT264" s="16" t="str">
        <f>_xlfn.XLOOKUP(B264,'SWiSH Demand Forecast Sep-26'!D:D,'SWiSH Demand Forecast Sep-26'!G:G,"Not Exist")</f>
        <v>Not Exist</v>
      </c>
    </row>
    <row r="265" spans="1:46" x14ac:dyDescent="0.3">
      <c r="A265">
        <v>104200072</v>
      </c>
      <c r="B265" t="s">
        <v>2070</v>
      </c>
      <c r="C265" t="s">
        <v>10</v>
      </c>
      <c r="D265" t="s">
        <v>1613</v>
      </c>
      <c r="E265" t="s">
        <v>2071</v>
      </c>
      <c r="F265" t="s">
        <v>1631</v>
      </c>
      <c r="G265" t="s">
        <v>1624</v>
      </c>
      <c r="H265" t="s">
        <v>1633</v>
      </c>
      <c r="I265" t="s">
        <v>1634</v>
      </c>
      <c r="J265" t="e">
        <v>#N/A</v>
      </c>
      <c r="K265">
        <v>8.9053339499999993</v>
      </c>
      <c r="L265">
        <v>0</v>
      </c>
      <c r="M265" s="1">
        <v>30</v>
      </c>
      <c r="N265">
        <v>0</v>
      </c>
      <c r="O265">
        <v>0</v>
      </c>
      <c r="P265">
        <v>0</v>
      </c>
      <c r="Q265" s="1">
        <v>0</v>
      </c>
      <c r="R265">
        <v>5.12</v>
      </c>
      <c r="S265" s="2">
        <v>44803</v>
      </c>
      <c r="T265" s="2">
        <v>46260</v>
      </c>
      <c r="U265">
        <v>51</v>
      </c>
      <c r="V265">
        <v>27</v>
      </c>
      <c r="W265">
        <v>53</v>
      </c>
      <c r="X265">
        <v>60</v>
      </c>
      <c r="Y265">
        <v>27</v>
      </c>
      <c r="Z265" s="8">
        <v>60</v>
      </c>
      <c r="AA265">
        <v>47.75</v>
      </c>
      <c r="AB265">
        <v>0.56544502617801051</v>
      </c>
      <c r="AC265">
        <v>1.256544502617801</v>
      </c>
      <c r="AD265" s="1">
        <v>0</v>
      </c>
      <c r="AE265" s="2">
        <v>46248</v>
      </c>
      <c r="AF265" s="2">
        <v>46256</v>
      </c>
      <c r="AG265" s="2">
        <v>46263</v>
      </c>
      <c r="AH265">
        <v>62</v>
      </c>
      <c r="AI265" s="3">
        <v>1.0689655172413794</v>
      </c>
      <c r="AJ265" s="1">
        <v>0</v>
      </c>
      <c r="AK265" s="2">
        <v>46263</v>
      </c>
      <c r="AL265" s="4">
        <v>30</v>
      </c>
      <c r="AM265" s="5">
        <v>15</v>
      </c>
      <c r="AN265" s="4">
        <v>0</v>
      </c>
      <c r="AO265">
        <v>64.137931034482762</v>
      </c>
      <c r="AP265" s="4">
        <v>1</v>
      </c>
      <c r="AQ265" t="s">
        <v>1619</v>
      </c>
      <c r="AR265" t="s">
        <v>1620</v>
      </c>
      <c r="AT265" s="16" t="str">
        <f>_xlfn.XLOOKUP(B265,'SWiSH Demand Forecast Sep-26'!D:D,'SWiSH Demand Forecast Sep-26'!G:G,"Not Exist")</f>
        <v>Not Exist</v>
      </c>
    </row>
    <row r="266" spans="1:46" x14ac:dyDescent="0.3">
      <c r="A266">
        <v>101100021</v>
      </c>
      <c r="B266" t="s">
        <v>2072</v>
      </c>
      <c r="C266" t="s">
        <v>10</v>
      </c>
      <c r="D266" t="s">
        <v>1613</v>
      </c>
      <c r="E266" t="s">
        <v>1643</v>
      </c>
      <c r="F266" t="s">
        <v>1650</v>
      </c>
      <c r="G266" t="s">
        <v>1616</v>
      </c>
      <c r="H266" t="s">
        <v>1953</v>
      </c>
      <c r="I266" t="s">
        <v>1634</v>
      </c>
      <c r="J266" t="s">
        <v>10</v>
      </c>
      <c r="K266">
        <v>32.5</v>
      </c>
      <c r="L266">
        <v>0</v>
      </c>
      <c r="M266" s="1">
        <v>3</v>
      </c>
      <c r="N266">
        <v>0</v>
      </c>
      <c r="O266">
        <v>0</v>
      </c>
      <c r="P266">
        <v>0</v>
      </c>
      <c r="Q266" s="1">
        <v>0</v>
      </c>
      <c r="R266">
        <v>32.5</v>
      </c>
      <c r="S266" s="2">
        <v>46243</v>
      </c>
      <c r="T266" s="2">
        <v>46260</v>
      </c>
      <c r="U266">
        <v>3</v>
      </c>
      <c r="V266">
        <v>1</v>
      </c>
      <c r="W266">
        <v>0</v>
      </c>
      <c r="X266">
        <v>5</v>
      </c>
      <c r="Y266">
        <v>0</v>
      </c>
      <c r="Z266" s="8">
        <v>5</v>
      </c>
      <c r="AA266">
        <v>2.25</v>
      </c>
      <c r="AB266">
        <v>0</v>
      </c>
      <c r="AC266">
        <v>2.2222222222222223</v>
      </c>
      <c r="AD266" s="1">
        <v>0</v>
      </c>
      <c r="AE266" s="2">
        <v>46248</v>
      </c>
      <c r="AF266" s="2">
        <v>46256</v>
      </c>
      <c r="AG266" s="2">
        <v>46263</v>
      </c>
      <c r="AH266">
        <v>5</v>
      </c>
      <c r="AI266" s="3">
        <v>1.0344827586206897</v>
      </c>
      <c r="AJ266" s="1">
        <v>0</v>
      </c>
      <c r="AK266" s="2">
        <v>46263</v>
      </c>
      <c r="AL266" s="4">
        <v>30</v>
      </c>
      <c r="AM266" s="5">
        <v>15</v>
      </c>
      <c r="AN266" s="4">
        <v>0</v>
      </c>
      <c r="AO266">
        <v>5.1724137931034484</v>
      </c>
      <c r="AP266" s="4">
        <v>1</v>
      </c>
      <c r="AQ266" t="s">
        <v>1619</v>
      </c>
      <c r="AR266" t="s">
        <v>1620</v>
      </c>
      <c r="AT266" s="16" t="str">
        <f>_xlfn.XLOOKUP(B266,'SWiSH Demand Forecast Sep-26'!D:D,'SWiSH Demand Forecast Sep-26'!G:G,"Not Exist")</f>
        <v>Not Exist</v>
      </c>
    </row>
    <row r="267" spans="1:46" x14ac:dyDescent="0.3">
      <c r="A267">
        <v>101100022</v>
      </c>
      <c r="B267" t="s">
        <v>2073</v>
      </c>
      <c r="C267" t="s">
        <v>10</v>
      </c>
      <c r="D267" t="s">
        <v>1613</v>
      </c>
      <c r="E267" t="s">
        <v>1643</v>
      </c>
      <c r="F267" t="s">
        <v>1650</v>
      </c>
      <c r="G267" t="s">
        <v>1624</v>
      </c>
      <c r="H267" t="s">
        <v>1953</v>
      </c>
      <c r="I267" t="s">
        <v>1634</v>
      </c>
      <c r="J267" t="s">
        <v>10</v>
      </c>
      <c r="K267">
        <v>32.5</v>
      </c>
      <c r="L267">
        <v>32.5</v>
      </c>
      <c r="M267" s="1">
        <v>3</v>
      </c>
      <c r="N267">
        <v>0</v>
      </c>
      <c r="O267">
        <v>1</v>
      </c>
      <c r="P267">
        <v>1</v>
      </c>
      <c r="Q267" s="1">
        <v>0</v>
      </c>
      <c r="R267">
        <v>33.75</v>
      </c>
      <c r="S267" s="2">
        <v>46237</v>
      </c>
      <c r="T267" s="2">
        <v>46260</v>
      </c>
      <c r="U267">
        <v>3</v>
      </c>
      <c r="V267">
        <v>3</v>
      </c>
      <c r="W267">
        <v>0</v>
      </c>
      <c r="X267">
        <v>5</v>
      </c>
      <c r="Y267">
        <v>0</v>
      </c>
      <c r="Z267" s="8">
        <v>5</v>
      </c>
      <c r="AA267">
        <v>2.75</v>
      </c>
      <c r="AB267">
        <v>0</v>
      </c>
      <c r="AC267">
        <v>1.8181818181818181</v>
      </c>
      <c r="AD267" s="1">
        <v>0</v>
      </c>
      <c r="AE267" s="2">
        <v>46248</v>
      </c>
      <c r="AF267" s="2">
        <v>46256</v>
      </c>
      <c r="AG267" s="2">
        <v>46263</v>
      </c>
      <c r="AH267">
        <v>3</v>
      </c>
      <c r="AI267" s="3">
        <v>0.62068965517241381</v>
      </c>
      <c r="AJ267" s="1">
        <v>0</v>
      </c>
      <c r="AK267" s="2">
        <v>46263</v>
      </c>
      <c r="AL267" s="4">
        <v>30</v>
      </c>
      <c r="AM267" s="5">
        <v>15</v>
      </c>
      <c r="AN267" s="4">
        <v>0</v>
      </c>
      <c r="AO267">
        <v>3.103448275862069</v>
      </c>
      <c r="AP267" s="4">
        <v>1</v>
      </c>
      <c r="AQ267" t="s">
        <v>1619</v>
      </c>
      <c r="AR267" t="s">
        <v>1620</v>
      </c>
      <c r="AT267" s="16" t="str">
        <f>_xlfn.XLOOKUP(B267,'SWiSH Demand Forecast Sep-26'!D:D,'SWiSH Demand Forecast Sep-26'!G:G,"Not Exist")</f>
        <v>Not Exist</v>
      </c>
    </row>
    <row r="268" spans="1:46" x14ac:dyDescent="0.3">
      <c r="A268">
        <v>100400160</v>
      </c>
      <c r="B268" t="s">
        <v>2074</v>
      </c>
      <c r="C268" t="s">
        <v>10</v>
      </c>
      <c r="D268" t="s">
        <v>1613</v>
      </c>
      <c r="E268" t="s">
        <v>2075</v>
      </c>
      <c r="F268" t="s">
        <v>1664</v>
      </c>
      <c r="G268" t="s">
        <v>1624</v>
      </c>
      <c r="H268" t="s">
        <v>1810</v>
      </c>
      <c r="I268" t="s">
        <v>1634</v>
      </c>
      <c r="J268" t="s">
        <v>10</v>
      </c>
      <c r="K268">
        <v>7.0000000000000007E-2</v>
      </c>
      <c r="L268">
        <v>0</v>
      </c>
      <c r="M268" s="1">
        <v>30</v>
      </c>
      <c r="N268">
        <v>0</v>
      </c>
      <c r="O268">
        <v>0</v>
      </c>
      <c r="P268">
        <v>0</v>
      </c>
      <c r="Q268" s="1">
        <v>0</v>
      </c>
      <c r="R268">
        <v>7.0000000000000007E-2</v>
      </c>
      <c r="S268" s="2">
        <v>46238</v>
      </c>
      <c r="T268" s="2">
        <v>46261</v>
      </c>
      <c r="U268">
        <v>3200</v>
      </c>
      <c r="V268">
        <v>5625</v>
      </c>
      <c r="W268">
        <v>5670</v>
      </c>
      <c r="X268">
        <v>6075</v>
      </c>
      <c r="Y268">
        <v>3200</v>
      </c>
      <c r="Z268" s="8">
        <v>6075</v>
      </c>
      <c r="AA268">
        <v>5142.5</v>
      </c>
      <c r="AB268">
        <v>0.6222654350996597</v>
      </c>
      <c r="AC268">
        <v>1.1813320369470102</v>
      </c>
      <c r="AD268" s="1">
        <v>0</v>
      </c>
      <c r="AE268" s="2">
        <v>46248</v>
      </c>
      <c r="AF268" s="2">
        <v>46256</v>
      </c>
      <c r="AG268" s="2">
        <v>46263</v>
      </c>
      <c r="AH268">
        <v>5000</v>
      </c>
      <c r="AI268" s="3">
        <v>0.85142613878246065</v>
      </c>
      <c r="AJ268" s="1">
        <v>0</v>
      </c>
      <c r="AK268" s="2">
        <v>46263</v>
      </c>
      <c r="AL268" s="4">
        <v>30</v>
      </c>
      <c r="AM268" s="5">
        <v>15</v>
      </c>
      <c r="AN268" s="4">
        <v>0</v>
      </c>
      <c r="AO268">
        <v>5172.4137931034484</v>
      </c>
      <c r="AP268" s="4">
        <v>1</v>
      </c>
      <c r="AQ268">
        <v>15000</v>
      </c>
      <c r="AR268" t="s">
        <v>2076</v>
      </c>
      <c r="AT268" s="16" t="str">
        <f>_xlfn.XLOOKUP(B268,'SWiSH Demand Forecast Sep-26'!D:D,'SWiSH Demand Forecast Sep-26'!G:G,"Not Exist")</f>
        <v>Not Exist</v>
      </c>
    </row>
    <row r="269" spans="1:46" x14ac:dyDescent="0.3">
      <c r="A269">
        <v>100100121</v>
      </c>
      <c r="B269" t="s">
        <v>2077</v>
      </c>
      <c r="C269" t="s">
        <v>10</v>
      </c>
      <c r="D269" t="s">
        <v>1613</v>
      </c>
      <c r="E269" t="s">
        <v>1685</v>
      </c>
      <c r="F269" t="s">
        <v>1999</v>
      </c>
      <c r="G269" t="s">
        <v>1616</v>
      </c>
      <c r="H269" t="s">
        <v>1877</v>
      </c>
      <c r="I269" t="s">
        <v>1618</v>
      </c>
      <c r="J269" t="s">
        <v>10</v>
      </c>
      <c r="K269">
        <v>0.42</v>
      </c>
      <c r="L269">
        <v>0</v>
      </c>
      <c r="M269" s="1">
        <v>3</v>
      </c>
      <c r="N269">
        <v>0</v>
      </c>
      <c r="O269">
        <v>0</v>
      </c>
      <c r="P269">
        <v>0</v>
      </c>
      <c r="Q269" s="1">
        <v>0</v>
      </c>
      <c r="R269">
        <v>8.4</v>
      </c>
      <c r="S269" s="2">
        <v>46177</v>
      </c>
      <c r="T269" s="2">
        <v>46246</v>
      </c>
      <c r="U269">
        <v>100</v>
      </c>
      <c r="V269">
        <v>321</v>
      </c>
      <c r="W269">
        <v>100</v>
      </c>
      <c r="X269">
        <v>80</v>
      </c>
      <c r="Y269">
        <v>80</v>
      </c>
      <c r="Z269" s="8">
        <v>321</v>
      </c>
      <c r="AA269">
        <v>150.25</v>
      </c>
      <c r="AB269">
        <v>0.53244592346089847</v>
      </c>
      <c r="AC269">
        <v>2.1364392678868551</v>
      </c>
      <c r="AD269" s="1">
        <v>0</v>
      </c>
      <c r="AE269" s="2">
        <v>46248</v>
      </c>
      <c r="AF269" s="2">
        <v>46256</v>
      </c>
      <c r="AG269" s="2">
        <v>46263</v>
      </c>
      <c r="AH269">
        <v>40</v>
      </c>
      <c r="AI269" s="3">
        <v>0.12890750886239125</v>
      </c>
      <c r="AJ269" s="1">
        <v>0</v>
      </c>
      <c r="AK269" s="2">
        <v>46263</v>
      </c>
      <c r="AL269" s="4">
        <v>30</v>
      </c>
      <c r="AM269" s="5">
        <v>15</v>
      </c>
      <c r="AN269" s="4">
        <v>0</v>
      </c>
      <c r="AO269">
        <v>41.379310344827587</v>
      </c>
      <c r="AP269" s="4">
        <v>1</v>
      </c>
      <c r="AQ269" t="s">
        <v>1619</v>
      </c>
      <c r="AR269" t="s">
        <v>1620</v>
      </c>
      <c r="AT269" s="16" t="str">
        <f>_xlfn.XLOOKUP(B269,'SWiSH Demand Forecast Sep-26'!D:D,'SWiSH Demand Forecast Sep-26'!G:G,"Not Exist")</f>
        <v>Not Exist</v>
      </c>
    </row>
    <row r="270" spans="1:46" x14ac:dyDescent="0.3">
      <c r="A270">
        <v>101100020</v>
      </c>
      <c r="B270" t="s">
        <v>2078</v>
      </c>
      <c r="C270" t="s">
        <v>10</v>
      </c>
      <c r="D270" t="s">
        <v>1613</v>
      </c>
      <c r="E270" t="s">
        <v>1643</v>
      </c>
      <c r="F270" t="s">
        <v>1650</v>
      </c>
      <c r="G270" t="s">
        <v>1616</v>
      </c>
      <c r="H270" t="s">
        <v>1953</v>
      </c>
      <c r="I270" t="s">
        <v>1634</v>
      </c>
      <c r="J270" t="s">
        <v>10</v>
      </c>
      <c r="K270">
        <v>33.75</v>
      </c>
      <c r="L270">
        <v>0</v>
      </c>
      <c r="M270" s="1">
        <v>3</v>
      </c>
      <c r="N270">
        <v>0</v>
      </c>
      <c r="O270">
        <v>0</v>
      </c>
      <c r="P270">
        <v>0</v>
      </c>
      <c r="Q270" s="1">
        <v>0</v>
      </c>
      <c r="R270">
        <v>33.75</v>
      </c>
      <c r="S270" s="2">
        <v>46237</v>
      </c>
      <c r="T270" s="2">
        <v>46260</v>
      </c>
      <c r="U270">
        <v>3</v>
      </c>
      <c r="V270">
        <v>3</v>
      </c>
      <c r="W270">
        <v>3</v>
      </c>
      <c r="X270">
        <v>5</v>
      </c>
      <c r="Y270">
        <v>3</v>
      </c>
      <c r="Z270" s="8">
        <v>5</v>
      </c>
      <c r="AA270">
        <v>3.5</v>
      </c>
      <c r="AB270">
        <v>0.8571428571428571</v>
      </c>
      <c r="AC270">
        <v>1.4285714285714286</v>
      </c>
      <c r="AD270" s="1">
        <v>0</v>
      </c>
      <c r="AE270" s="2">
        <v>46248</v>
      </c>
      <c r="AF270" s="2">
        <v>46256</v>
      </c>
      <c r="AG270" s="2">
        <v>46263</v>
      </c>
      <c r="AH270">
        <v>4</v>
      </c>
      <c r="AI270" s="3">
        <v>0.82758620689655182</v>
      </c>
      <c r="AJ270" s="1">
        <v>0</v>
      </c>
      <c r="AK270" s="2">
        <v>46263</v>
      </c>
      <c r="AL270" s="4">
        <v>30</v>
      </c>
      <c r="AM270" s="5">
        <v>15</v>
      </c>
      <c r="AN270" s="4">
        <v>0</v>
      </c>
      <c r="AO270">
        <v>4.1379310344827589</v>
      </c>
      <c r="AP270" s="4">
        <v>1</v>
      </c>
      <c r="AQ270" t="s">
        <v>1619</v>
      </c>
      <c r="AR270" t="s">
        <v>1620</v>
      </c>
      <c r="AT270" s="16" t="str">
        <f>_xlfn.XLOOKUP(B270,'SWiSH Demand Forecast Sep-26'!D:D,'SWiSH Demand Forecast Sep-26'!G:G,"Not Exist")</f>
        <v>Not Exist</v>
      </c>
    </row>
    <row r="271" spans="1:46" x14ac:dyDescent="0.3">
      <c r="A271">
        <v>104200047</v>
      </c>
      <c r="B271" t="s">
        <v>2079</v>
      </c>
      <c r="C271" t="s">
        <v>10</v>
      </c>
      <c r="D271" t="s">
        <v>1613</v>
      </c>
      <c r="E271" t="s">
        <v>1685</v>
      </c>
      <c r="F271" t="s">
        <v>1631</v>
      </c>
      <c r="G271" t="s">
        <v>1686</v>
      </c>
      <c r="H271" t="s">
        <v>1633</v>
      </c>
      <c r="I271" t="s">
        <v>1634</v>
      </c>
      <c r="J271" t="s">
        <v>10</v>
      </c>
      <c r="K271">
        <v>0.25</v>
      </c>
      <c r="L271">
        <v>0</v>
      </c>
      <c r="M271" s="1">
        <v>7</v>
      </c>
      <c r="N271">
        <v>0</v>
      </c>
      <c r="O271">
        <v>0</v>
      </c>
      <c r="P271">
        <v>0</v>
      </c>
      <c r="Q271" s="1">
        <v>0</v>
      </c>
      <c r="R271">
        <v>0.25</v>
      </c>
      <c r="S271" s="2">
        <v>46083</v>
      </c>
      <c r="T271" s="2">
        <v>46260</v>
      </c>
      <c r="U271">
        <v>7</v>
      </c>
      <c r="V271">
        <v>20</v>
      </c>
      <c r="W271">
        <v>22</v>
      </c>
      <c r="X271">
        <v>6</v>
      </c>
      <c r="Y271">
        <v>6</v>
      </c>
      <c r="Z271" s="8">
        <v>22</v>
      </c>
      <c r="AA271">
        <v>13.75</v>
      </c>
      <c r="AB271">
        <v>0.43636363636363634</v>
      </c>
      <c r="AC271">
        <v>1.6</v>
      </c>
      <c r="AD271" s="1">
        <v>0</v>
      </c>
      <c r="AE271" s="2">
        <v>46248</v>
      </c>
      <c r="AF271" s="2">
        <v>46256</v>
      </c>
      <c r="AG271" s="2">
        <v>46263</v>
      </c>
      <c r="AH271">
        <v>22</v>
      </c>
      <c r="AI271" s="3">
        <v>1.0344827586206895</v>
      </c>
      <c r="AJ271" s="1">
        <v>0</v>
      </c>
      <c r="AK271" s="2">
        <v>46263</v>
      </c>
      <c r="AL271" s="4">
        <v>30</v>
      </c>
      <c r="AM271" s="5">
        <v>15</v>
      </c>
      <c r="AN271" s="4">
        <v>0</v>
      </c>
      <c r="AO271">
        <v>22.758620689655167</v>
      </c>
      <c r="AP271" s="4">
        <v>1</v>
      </c>
      <c r="AQ271">
        <v>50</v>
      </c>
      <c r="AR271" t="s">
        <v>1859</v>
      </c>
      <c r="AT271" s="16" t="str">
        <f>_xlfn.XLOOKUP(B271,'SWiSH Demand Forecast Sep-26'!D:D,'SWiSH Demand Forecast Sep-26'!G:G,"Not Exist")</f>
        <v>Not Exist</v>
      </c>
    </row>
    <row r="272" spans="1:46" x14ac:dyDescent="0.3">
      <c r="A272">
        <v>100100120</v>
      </c>
      <c r="B272" t="s">
        <v>2080</v>
      </c>
      <c r="C272" t="s">
        <v>10</v>
      </c>
      <c r="D272" t="s">
        <v>1613</v>
      </c>
      <c r="E272" t="s">
        <v>1685</v>
      </c>
      <c r="F272" t="s">
        <v>1999</v>
      </c>
      <c r="G272" t="s">
        <v>1616</v>
      </c>
      <c r="H272" t="s">
        <v>1877</v>
      </c>
      <c r="I272" t="s">
        <v>1618</v>
      </c>
      <c r="J272" t="s">
        <v>10</v>
      </c>
      <c r="K272">
        <v>0.42</v>
      </c>
      <c r="L272">
        <v>0</v>
      </c>
      <c r="M272" s="1">
        <v>3</v>
      </c>
      <c r="N272">
        <v>0</v>
      </c>
      <c r="O272">
        <v>0</v>
      </c>
      <c r="P272">
        <v>0</v>
      </c>
      <c r="Q272" s="1">
        <v>0</v>
      </c>
      <c r="R272">
        <v>8.4</v>
      </c>
      <c r="S272" s="2">
        <v>46174</v>
      </c>
      <c r="T272" s="2">
        <v>46252</v>
      </c>
      <c r="U272">
        <v>220</v>
      </c>
      <c r="V272">
        <v>140</v>
      </c>
      <c r="W272">
        <v>20</v>
      </c>
      <c r="X272">
        <v>0</v>
      </c>
      <c r="Y272">
        <v>0</v>
      </c>
      <c r="Z272" s="8">
        <v>220</v>
      </c>
      <c r="AA272">
        <v>95</v>
      </c>
      <c r="AB272">
        <v>0</v>
      </c>
      <c r="AC272">
        <v>2.3157894736842106</v>
      </c>
      <c r="AD272" s="1">
        <v>0</v>
      </c>
      <c r="AE272" s="2">
        <v>46248</v>
      </c>
      <c r="AF272" s="2">
        <v>46256</v>
      </c>
      <c r="AG272" s="2">
        <v>46263</v>
      </c>
      <c r="AH272">
        <v>0</v>
      </c>
      <c r="AI272" s="3">
        <v>0</v>
      </c>
      <c r="AJ272" s="1" t="s">
        <v>1635</v>
      </c>
      <c r="AK272" s="2" t="s">
        <v>1635</v>
      </c>
      <c r="AL272" s="4">
        <v>30</v>
      </c>
      <c r="AM272" s="5">
        <v>15</v>
      </c>
      <c r="AN272" s="4">
        <v>0</v>
      </c>
      <c r="AO272">
        <v>0</v>
      </c>
      <c r="AP272" s="4">
        <v>1</v>
      </c>
      <c r="AQ272" t="s">
        <v>1619</v>
      </c>
      <c r="AR272" t="s">
        <v>1620</v>
      </c>
      <c r="AT272" s="16" t="str">
        <f>_xlfn.XLOOKUP(B272,'SWiSH Demand Forecast Sep-26'!D:D,'SWiSH Demand Forecast Sep-26'!G:G,"Not Exist")</f>
        <v>Not Exist</v>
      </c>
    </row>
    <row r="273" spans="1:46" x14ac:dyDescent="0.3">
      <c r="A273">
        <v>100100118</v>
      </c>
      <c r="B273" t="s">
        <v>2081</v>
      </c>
      <c r="C273" t="s">
        <v>10</v>
      </c>
      <c r="D273" t="s">
        <v>1613</v>
      </c>
      <c r="E273" t="s">
        <v>1685</v>
      </c>
      <c r="F273" t="s">
        <v>1999</v>
      </c>
      <c r="G273" t="s">
        <v>1616</v>
      </c>
      <c r="H273" t="s">
        <v>1877</v>
      </c>
      <c r="I273" t="s">
        <v>1618</v>
      </c>
      <c r="J273" t="s">
        <v>10</v>
      </c>
      <c r="K273">
        <v>0.42</v>
      </c>
      <c r="L273">
        <v>0</v>
      </c>
      <c r="M273" s="1">
        <v>3</v>
      </c>
      <c r="N273">
        <v>0</v>
      </c>
      <c r="O273">
        <v>0</v>
      </c>
      <c r="P273">
        <v>0</v>
      </c>
      <c r="Q273" s="1">
        <v>0</v>
      </c>
      <c r="R273">
        <v>8.4</v>
      </c>
      <c r="S273" s="2">
        <v>46173</v>
      </c>
      <c r="T273" s="2">
        <v>46228</v>
      </c>
      <c r="U273">
        <v>140</v>
      </c>
      <c r="V273">
        <v>60</v>
      </c>
      <c r="W273">
        <v>20</v>
      </c>
      <c r="X273">
        <v>20</v>
      </c>
      <c r="Y273">
        <v>20</v>
      </c>
      <c r="Z273" s="8">
        <v>140</v>
      </c>
      <c r="AA273">
        <v>60</v>
      </c>
      <c r="AB273">
        <v>0.33333333333333331</v>
      </c>
      <c r="AC273">
        <v>2.3333333333333335</v>
      </c>
      <c r="AD273" s="1">
        <v>0</v>
      </c>
      <c r="AE273" s="2">
        <v>46248</v>
      </c>
      <c r="AF273" s="2">
        <v>46256</v>
      </c>
      <c r="AG273" s="2">
        <v>46263</v>
      </c>
      <c r="AH273">
        <v>0</v>
      </c>
      <c r="AI273" s="3">
        <v>0</v>
      </c>
      <c r="AJ273" s="1" t="s">
        <v>1635</v>
      </c>
      <c r="AK273" s="2" t="s">
        <v>1635</v>
      </c>
      <c r="AL273" s="4">
        <v>30</v>
      </c>
      <c r="AM273" s="5">
        <v>15</v>
      </c>
      <c r="AN273" s="4">
        <v>0</v>
      </c>
      <c r="AO273">
        <v>0</v>
      </c>
      <c r="AP273" s="4">
        <v>1</v>
      </c>
      <c r="AQ273" t="s">
        <v>1619</v>
      </c>
      <c r="AR273" t="s">
        <v>1620</v>
      </c>
      <c r="AT273" s="16" t="str">
        <f>_xlfn.XLOOKUP(B273,'SWiSH Demand Forecast Sep-26'!D:D,'SWiSH Demand Forecast Sep-26'!G:G,"Not Exist")</f>
        <v>Not Exist</v>
      </c>
    </row>
    <row r="274" spans="1:46" x14ac:dyDescent="0.3">
      <c r="A274">
        <v>103100030</v>
      </c>
      <c r="B274" t="s">
        <v>2082</v>
      </c>
      <c r="C274" t="s">
        <v>10</v>
      </c>
      <c r="D274" t="s">
        <v>1613</v>
      </c>
      <c r="E274" t="s">
        <v>2083</v>
      </c>
      <c r="F274" t="s">
        <v>1840</v>
      </c>
      <c r="G274" t="s">
        <v>1686</v>
      </c>
      <c r="H274" t="s">
        <v>1869</v>
      </c>
      <c r="I274" t="s">
        <v>1618</v>
      </c>
      <c r="J274" t="s">
        <v>10</v>
      </c>
      <c r="K274">
        <v>7.6039999999999996E-2</v>
      </c>
      <c r="L274">
        <v>0</v>
      </c>
      <c r="M274" s="1">
        <v>3</v>
      </c>
      <c r="N274">
        <v>0</v>
      </c>
      <c r="O274">
        <v>0</v>
      </c>
      <c r="P274">
        <v>0</v>
      </c>
      <c r="Q274" s="1">
        <v>0</v>
      </c>
      <c r="R274">
        <v>18.25</v>
      </c>
      <c r="S274" s="2">
        <v>46106</v>
      </c>
      <c r="T274" s="2">
        <v>46190</v>
      </c>
      <c r="U274">
        <v>0</v>
      </c>
      <c r="V274">
        <v>30</v>
      </c>
      <c r="W274">
        <v>30</v>
      </c>
      <c r="X274">
        <v>0</v>
      </c>
      <c r="Y274">
        <v>0</v>
      </c>
      <c r="Z274" s="8">
        <v>30</v>
      </c>
      <c r="AA274">
        <v>15</v>
      </c>
      <c r="AB274">
        <v>0</v>
      </c>
      <c r="AC274">
        <v>2</v>
      </c>
      <c r="AD274" s="1">
        <v>0</v>
      </c>
      <c r="AE274" s="2">
        <v>46248</v>
      </c>
      <c r="AF274" s="2">
        <v>46256</v>
      </c>
      <c r="AG274" s="2">
        <v>46263</v>
      </c>
      <c r="AH274">
        <v>0</v>
      </c>
      <c r="AI274" s="3">
        <v>0</v>
      </c>
      <c r="AJ274" s="1" t="s">
        <v>1635</v>
      </c>
      <c r="AK274" s="2" t="s">
        <v>1635</v>
      </c>
      <c r="AL274" s="4">
        <v>30</v>
      </c>
      <c r="AM274" s="5">
        <v>15</v>
      </c>
      <c r="AN274" s="4">
        <v>0</v>
      </c>
      <c r="AO274">
        <v>0</v>
      </c>
      <c r="AP274" s="4">
        <v>1</v>
      </c>
      <c r="AQ274" t="s">
        <v>1619</v>
      </c>
      <c r="AR274" t="s">
        <v>1620</v>
      </c>
      <c r="AT274" s="16" t="str">
        <f>_xlfn.XLOOKUP(B274,'SWiSH Demand Forecast Sep-26'!D:D,'SWiSH Demand Forecast Sep-26'!G:G,"Not Exist")</f>
        <v>Not Exist</v>
      </c>
    </row>
    <row r="275" spans="1:46" x14ac:dyDescent="0.3">
      <c r="A275">
        <v>107200095</v>
      </c>
      <c r="B275" t="s">
        <v>2084</v>
      </c>
      <c r="C275" t="s">
        <v>10</v>
      </c>
      <c r="D275" t="s">
        <v>1675</v>
      </c>
      <c r="E275" t="s">
        <v>1638</v>
      </c>
      <c r="F275" t="s">
        <v>1656</v>
      </c>
      <c r="G275" t="s">
        <v>1704</v>
      </c>
      <c r="H275" t="s">
        <v>1657</v>
      </c>
      <c r="I275" t="s">
        <v>1634</v>
      </c>
      <c r="J275" t="s">
        <v>10</v>
      </c>
      <c r="K275">
        <v>4.75</v>
      </c>
      <c r="L275">
        <v>0</v>
      </c>
      <c r="M275" s="1">
        <v>15</v>
      </c>
      <c r="N275">
        <v>0</v>
      </c>
      <c r="O275">
        <v>0</v>
      </c>
      <c r="P275">
        <v>0</v>
      </c>
      <c r="Q275" s="1">
        <v>0</v>
      </c>
      <c r="R275">
        <v>4.75</v>
      </c>
      <c r="S275" s="2">
        <v>46260</v>
      </c>
      <c r="T275" s="2">
        <v>46261</v>
      </c>
      <c r="U275">
        <v>69</v>
      </c>
      <c r="V275">
        <v>0</v>
      </c>
      <c r="W275">
        <v>15</v>
      </c>
      <c r="X275">
        <v>27</v>
      </c>
      <c r="Y275">
        <v>0</v>
      </c>
      <c r="Z275" s="8">
        <v>69</v>
      </c>
      <c r="AA275">
        <v>27.75</v>
      </c>
      <c r="AB275">
        <v>0</v>
      </c>
      <c r="AC275">
        <v>2.4864864864864864</v>
      </c>
      <c r="AD275" s="1">
        <v>0</v>
      </c>
      <c r="AE275" s="2">
        <v>46248</v>
      </c>
      <c r="AF275" s="2">
        <v>46256</v>
      </c>
      <c r="AG275" s="2">
        <v>46263</v>
      </c>
      <c r="AH275">
        <v>6</v>
      </c>
      <c r="AI275" s="3">
        <v>8.9955022488755615E-2</v>
      </c>
      <c r="AJ275" s="1">
        <v>0</v>
      </c>
      <c r="AK275" s="2">
        <v>46263</v>
      </c>
      <c r="AL275" s="4" t="s">
        <v>1658</v>
      </c>
      <c r="AM275" s="5" t="s">
        <v>1658</v>
      </c>
      <c r="AN275" s="4">
        <v>0</v>
      </c>
      <c r="AO275" t="s">
        <v>1635</v>
      </c>
      <c r="AP275" s="4" t="s">
        <v>1658</v>
      </c>
      <c r="AQ275" t="s">
        <v>1619</v>
      </c>
      <c r="AR275" t="s">
        <v>1620</v>
      </c>
      <c r="AT275" s="16" t="str">
        <f>_xlfn.XLOOKUP(B275,'SWiSH Demand Forecast Sep-26'!D:D,'SWiSH Demand Forecast Sep-26'!G:G,"Not Exist")</f>
        <v>Not Exist</v>
      </c>
    </row>
    <row r="276" spans="1:46" hidden="1" x14ac:dyDescent="0.3">
      <c r="A276">
        <v>107500013</v>
      </c>
      <c r="B276" t="s">
        <v>493</v>
      </c>
      <c r="C276" t="s">
        <v>136</v>
      </c>
      <c r="D276" t="s">
        <v>1613</v>
      </c>
      <c r="E276" t="s">
        <v>2085</v>
      </c>
      <c r="F276" t="s">
        <v>1623</v>
      </c>
      <c r="G276" t="s">
        <v>1616</v>
      </c>
      <c r="H276" t="s">
        <v>2030</v>
      </c>
      <c r="I276" t="s">
        <v>1626</v>
      </c>
      <c r="J276" t="s">
        <v>2086</v>
      </c>
      <c r="K276">
        <v>0.45500000000000002</v>
      </c>
      <c r="L276">
        <v>95.55</v>
      </c>
      <c r="M276" s="1">
        <v>3</v>
      </c>
      <c r="N276">
        <v>0</v>
      </c>
      <c r="O276">
        <v>80</v>
      </c>
      <c r="P276">
        <v>210</v>
      </c>
      <c r="Q276" s="1">
        <v>130</v>
      </c>
      <c r="R276">
        <v>4.9820000000000002</v>
      </c>
      <c r="S276" s="2">
        <v>46263</v>
      </c>
      <c r="T276" s="2">
        <v>46263</v>
      </c>
      <c r="U276">
        <v>5210</v>
      </c>
      <c r="V276">
        <v>5780</v>
      </c>
      <c r="W276">
        <v>5220</v>
      </c>
      <c r="X276">
        <v>5588</v>
      </c>
      <c r="Y276">
        <v>5210</v>
      </c>
      <c r="Z276" s="8">
        <v>5780</v>
      </c>
      <c r="AA276">
        <v>5449.5</v>
      </c>
      <c r="AB276">
        <v>0.9560510138544821</v>
      </c>
      <c r="AC276">
        <v>1.0606477658500779</v>
      </c>
      <c r="AD276" s="1">
        <v>0</v>
      </c>
      <c r="AE276" s="2">
        <v>46248</v>
      </c>
      <c r="AF276" s="2">
        <v>46256</v>
      </c>
      <c r="AG276" s="2">
        <v>46263</v>
      </c>
      <c r="AH276">
        <v>5082</v>
      </c>
      <c r="AI276" s="3">
        <v>0.90955733206061329</v>
      </c>
      <c r="AJ276" s="1">
        <v>0</v>
      </c>
      <c r="AK276" s="2">
        <v>46263</v>
      </c>
      <c r="AL276" s="4">
        <v>5</v>
      </c>
      <c r="AM276" s="5">
        <v>3</v>
      </c>
      <c r="AN276" s="4">
        <v>0</v>
      </c>
      <c r="AO276">
        <v>876.20689655172407</v>
      </c>
      <c r="AP276" s="4">
        <v>10</v>
      </c>
      <c r="AQ276" t="s">
        <v>1619</v>
      </c>
      <c r="AR276" t="s">
        <v>1620</v>
      </c>
      <c r="AT276" s="16">
        <f>_xlfn.XLOOKUP(B276,'SWiSH Demand Forecast Sep-26'!D:D,'SWiSH Demand Forecast Sep-26'!G:G,"Not Exist")</f>
        <v>1624.0501221386501</v>
      </c>
    </row>
    <row r="277" spans="1:46" x14ac:dyDescent="0.3">
      <c r="A277">
        <v>107400069</v>
      </c>
      <c r="B277" t="s">
        <v>2087</v>
      </c>
      <c r="C277" t="s">
        <v>10</v>
      </c>
      <c r="D277" t="s">
        <v>1613</v>
      </c>
      <c r="E277" t="s">
        <v>1638</v>
      </c>
      <c r="F277" t="s">
        <v>1664</v>
      </c>
      <c r="G277" t="s">
        <v>1624</v>
      </c>
      <c r="H277" t="s">
        <v>2016</v>
      </c>
      <c r="I277" t="s">
        <v>1634</v>
      </c>
      <c r="J277" t="s">
        <v>10</v>
      </c>
      <c r="K277">
        <v>1.2999999999999999E-2</v>
      </c>
      <c r="L277">
        <v>0</v>
      </c>
      <c r="M277" s="1">
        <v>30</v>
      </c>
      <c r="N277">
        <v>0</v>
      </c>
      <c r="O277">
        <v>0</v>
      </c>
      <c r="P277">
        <v>0</v>
      </c>
      <c r="Q277" s="1">
        <v>0</v>
      </c>
      <c r="R277">
        <v>1.2999999999999999E-2</v>
      </c>
      <c r="S277" s="2">
        <v>46246</v>
      </c>
      <c r="T277" s="2">
        <v>46263</v>
      </c>
      <c r="U277">
        <v>24800</v>
      </c>
      <c r="V277">
        <v>27000</v>
      </c>
      <c r="W277">
        <v>24500</v>
      </c>
      <c r="X277">
        <v>24000</v>
      </c>
      <c r="Y277">
        <v>24000</v>
      </c>
      <c r="Z277" s="8">
        <v>27000</v>
      </c>
      <c r="AA277">
        <v>25075</v>
      </c>
      <c r="AB277">
        <v>0.95712861415752737</v>
      </c>
      <c r="AC277">
        <v>1.0767696909272184</v>
      </c>
      <c r="AD277" s="1">
        <v>0</v>
      </c>
      <c r="AE277" s="2">
        <v>46248</v>
      </c>
      <c r="AF277" s="2">
        <v>46256</v>
      </c>
      <c r="AG277" s="2">
        <v>46263</v>
      </c>
      <c r="AH277">
        <v>28000</v>
      </c>
      <c r="AI277" s="3">
        <v>1.0727969348659003</v>
      </c>
      <c r="AJ277" s="1">
        <v>0</v>
      </c>
      <c r="AK277" s="2">
        <v>46263</v>
      </c>
      <c r="AL277" s="4">
        <v>30</v>
      </c>
      <c r="AM277" s="5">
        <v>15</v>
      </c>
      <c r="AN277" s="4">
        <v>0</v>
      </c>
      <c r="AO277">
        <v>28965.517241379308</v>
      </c>
      <c r="AP277" s="4">
        <v>1</v>
      </c>
      <c r="AQ277">
        <v>63000</v>
      </c>
      <c r="AR277" t="s">
        <v>2032</v>
      </c>
      <c r="AT277" s="16" t="str">
        <f>_xlfn.XLOOKUP(B277,'SWiSH Demand Forecast Sep-26'!D:D,'SWiSH Demand Forecast Sep-26'!G:G,"Not Exist")</f>
        <v>Not Exist</v>
      </c>
    </row>
    <row r="278" spans="1:46" x14ac:dyDescent="0.3">
      <c r="A278">
        <v>105000032</v>
      </c>
      <c r="B278" t="s">
        <v>2088</v>
      </c>
      <c r="C278" t="s">
        <v>240</v>
      </c>
      <c r="D278" t="s">
        <v>1613</v>
      </c>
      <c r="E278" t="s">
        <v>2089</v>
      </c>
      <c r="F278" t="s">
        <v>1671</v>
      </c>
      <c r="G278" t="s">
        <v>1616</v>
      </c>
      <c r="H278" t="s">
        <v>2002</v>
      </c>
      <c r="I278" t="s">
        <v>1618</v>
      </c>
      <c r="J278" t="s">
        <v>2090</v>
      </c>
      <c r="K278">
        <v>0.671875</v>
      </c>
      <c r="L278">
        <v>5.375</v>
      </c>
      <c r="M278" s="1">
        <v>3</v>
      </c>
      <c r="N278">
        <v>0</v>
      </c>
      <c r="O278">
        <v>576</v>
      </c>
      <c r="P278">
        <v>8</v>
      </c>
      <c r="Q278" s="1">
        <v>-568</v>
      </c>
      <c r="R278">
        <v>14.5</v>
      </c>
      <c r="S278" s="2">
        <v>46016</v>
      </c>
      <c r="T278" s="2">
        <v>46263</v>
      </c>
      <c r="U278">
        <v>49720</v>
      </c>
      <c r="V278">
        <v>48140</v>
      </c>
      <c r="W278">
        <v>48800</v>
      </c>
      <c r="X278">
        <v>53552</v>
      </c>
      <c r="Y278">
        <v>48140</v>
      </c>
      <c r="Z278" s="8">
        <v>53552</v>
      </c>
      <c r="AA278">
        <v>50053</v>
      </c>
      <c r="AB278">
        <v>0.96178051265658404</v>
      </c>
      <c r="AC278">
        <v>1.0699058997462689</v>
      </c>
      <c r="AD278" s="1">
        <v>0</v>
      </c>
      <c r="AE278" s="2">
        <v>46248</v>
      </c>
      <c r="AF278" s="2">
        <v>46256</v>
      </c>
      <c r="AG278" s="2">
        <v>46263</v>
      </c>
      <c r="AH278">
        <v>48184</v>
      </c>
      <c r="AI278" s="3">
        <v>0.93078722067111053</v>
      </c>
      <c r="AJ278" s="1">
        <v>0</v>
      </c>
      <c r="AK278" s="2">
        <v>46263</v>
      </c>
      <c r="AL278" s="4">
        <v>4</v>
      </c>
      <c r="AM278" s="5">
        <v>3</v>
      </c>
      <c r="AN278" s="4">
        <v>0</v>
      </c>
      <c r="AO278">
        <v>6646.0689655172409</v>
      </c>
      <c r="AP278" s="4">
        <v>9</v>
      </c>
      <c r="AQ278" t="s">
        <v>1619</v>
      </c>
      <c r="AR278" t="s">
        <v>1620</v>
      </c>
      <c r="AT278" s="16" t="str">
        <f>_xlfn.XLOOKUP(B278,'SWiSH Demand Forecast Sep-26'!D:D,'SWiSH Demand Forecast Sep-26'!G:G,"Not Exist")</f>
        <v>Not Exist</v>
      </c>
    </row>
    <row r="279" spans="1:46" hidden="1" x14ac:dyDescent="0.3">
      <c r="A279">
        <v>100200007</v>
      </c>
      <c r="B279" t="s">
        <v>1015</v>
      </c>
      <c r="C279" t="s">
        <v>136</v>
      </c>
      <c r="D279" t="s">
        <v>1613</v>
      </c>
      <c r="E279" t="s">
        <v>2091</v>
      </c>
      <c r="F279" t="s">
        <v>1752</v>
      </c>
      <c r="G279" t="s">
        <v>1616</v>
      </c>
      <c r="H279" t="s">
        <v>1988</v>
      </c>
      <c r="I279" t="s">
        <v>1754</v>
      </c>
      <c r="J279" t="s">
        <v>136</v>
      </c>
      <c r="K279">
        <v>5.0045976999999997</v>
      </c>
      <c r="L279">
        <v>35.0321839</v>
      </c>
      <c r="M279" s="1">
        <v>15</v>
      </c>
      <c r="N279">
        <v>0</v>
      </c>
      <c r="O279">
        <v>7</v>
      </c>
      <c r="P279">
        <v>7</v>
      </c>
      <c r="Q279" s="1">
        <v>0</v>
      </c>
      <c r="R279">
        <v>4.2</v>
      </c>
      <c r="S279" s="2">
        <v>46260</v>
      </c>
      <c r="T279" s="2">
        <v>46263</v>
      </c>
      <c r="U279">
        <v>771</v>
      </c>
      <c r="V279">
        <v>638</v>
      </c>
      <c r="W279">
        <v>550</v>
      </c>
      <c r="X279">
        <v>510</v>
      </c>
      <c r="Y279">
        <v>510</v>
      </c>
      <c r="Z279" s="8">
        <v>771</v>
      </c>
      <c r="AA279">
        <v>617.25</v>
      </c>
      <c r="AB279">
        <v>0.82624544349939244</v>
      </c>
      <c r="AC279">
        <v>1.2490886998784934</v>
      </c>
      <c r="AD279" s="1">
        <v>0</v>
      </c>
      <c r="AE279" s="2">
        <v>46248</v>
      </c>
      <c r="AF279" s="2">
        <v>46256</v>
      </c>
      <c r="AG279" s="2">
        <v>46263</v>
      </c>
      <c r="AH279">
        <v>473</v>
      </c>
      <c r="AI279" s="3">
        <v>0.63464376761035823</v>
      </c>
      <c r="AJ279" s="1">
        <v>0</v>
      </c>
      <c r="AK279" s="2">
        <v>46263</v>
      </c>
      <c r="AL279" s="4">
        <v>15</v>
      </c>
      <c r="AM279" s="5">
        <v>15</v>
      </c>
      <c r="AN279" s="4">
        <v>0</v>
      </c>
      <c r="AO279">
        <v>244.65517241379311</v>
      </c>
      <c r="AP279" s="4">
        <v>2</v>
      </c>
      <c r="AQ279">
        <v>250</v>
      </c>
      <c r="AR279" t="s">
        <v>2092</v>
      </c>
      <c r="AT279" s="16">
        <f>_xlfn.XLOOKUP(B279,'SWiSH Demand Forecast Sep-26'!D:D,'SWiSH Demand Forecast Sep-26'!G:G,"Not Exist")</f>
        <v>140.6</v>
      </c>
    </row>
    <row r="280" spans="1:46" hidden="1" x14ac:dyDescent="0.3">
      <c r="A280">
        <v>105000031</v>
      </c>
      <c r="B280" t="s">
        <v>324</v>
      </c>
      <c r="C280" t="s">
        <v>240</v>
      </c>
      <c r="D280" t="s">
        <v>1613</v>
      </c>
      <c r="E280" t="s">
        <v>2093</v>
      </c>
      <c r="F280" t="s">
        <v>1671</v>
      </c>
      <c r="G280" t="s">
        <v>1616</v>
      </c>
      <c r="H280" t="s">
        <v>2002</v>
      </c>
      <c r="I280" t="s">
        <v>1618</v>
      </c>
      <c r="J280" t="s">
        <v>2090</v>
      </c>
      <c r="K280">
        <v>0.625</v>
      </c>
      <c r="L280">
        <v>350</v>
      </c>
      <c r="M280" s="1">
        <v>3</v>
      </c>
      <c r="N280">
        <v>0</v>
      </c>
      <c r="O280">
        <v>40</v>
      </c>
      <c r="P280">
        <v>560</v>
      </c>
      <c r="Q280" s="1">
        <v>520</v>
      </c>
      <c r="R280">
        <v>12.5</v>
      </c>
      <c r="S280" s="2">
        <v>46256</v>
      </c>
      <c r="T280" s="2">
        <v>46263</v>
      </c>
      <c r="U280">
        <v>16556</v>
      </c>
      <c r="V280">
        <v>17981</v>
      </c>
      <c r="W280">
        <v>16413</v>
      </c>
      <c r="X280">
        <v>14960</v>
      </c>
      <c r="Y280">
        <v>14960</v>
      </c>
      <c r="Z280" s="8">
        <v>17981</v>
      </c>
      <c r="AA280">
        <v>16477.5</v>
      </c>
      <c r="AB280">
        <v>0.90790471855560617</v>
      </c>
      <c r="AC280">
        <v>1.0912456379912001</v>
      </c>
      <c r="AD280" s="1">
        <v>0</v>
      </c>
      <c r="AE280" s="2">
        <v>46248</v>
      </c>
      <c r="AF280" s="2">
        <v>46256</v>
      </c>
      <c r="AG280" s="2">
        <v>46263</v>
      </c>
      <c r="AH280">
        <v>15314</v>
      </c>
      <c r="AI280" s="3">
        <v>0.88104493440393972</v>
      </c>
      <c r="AJ280" s="1">
        <v>0</v>
      </c>
      <c r="AK280" s="2">
        <v>46263</v>
      </c>
      <c r="AL280" s="4">
        <v>8</v>
      </c>
      <c r="AM280" s="5">
        <v>5</v>
      </c>
      <c r="AN280" s="4">
        <v>0</v>
      </c>
      <c r="AO280">
        <v>4224.5517241379312</v>
      </c>
      <c r="AP280" s="4">
        <v>4</v>
      </c>
      <c r="AQ280">
        <v>100</v>
      </c>
      <c r="AR280" t="s">
        <v>2094</v>
      </c>
      <c r="AT280" s="16">
        <f>_xlfn.XLOOKUP(B280,'SWiSH Demand Forecast Sep-26'!D:D,'SWiSH Demand Forecast Sep-26'!G:G,"Not Exist")</f>
        <v>4217.9592393912199</v>
      </c>
    </row>
    <row r="281" spans="1:46" x14ac:dyDescent="0.3">
      <c r="A281">
        <v>107200163</v>
      </c>
      <c r="B281" t="s">
        <v>2095</v>
      </c>
      <c r="C281" t="s">
        <v>10</v>
      </c>
      <c r="D281" t="s">
        <v>1675</v>
      </c>
      <c r="E281" t="s">
        <v>1638</v>
      </c>
      <c r="F281" t="s">
        <v>1656</v>
      </c>
      <c r="G281" t="s">
        <v>1704</v>
      </c>
      <c r="H281" t="s">
        <v>1657</v>
      </c>
      <c r="I281" t="s">
        <v>1634</v>
      </c>
      <c r="J281" t="s">
        <v>10</v>
      </c>
      <c r="K281">
        <v>3.25</v>
      </c>
      <c r="L281">
        <v>0</v>
      </c>
      <c r="M281" s="1">
        <v>15</v>
      </c>
      <c r="N281">
        <v>0</v>
      </c>
      <c r="O281">
        <v>0</v>
      </c>
      <c r="P281">
        <v>0</v>
      </c>
      <c r="Q281" s="1">
        <v>0</v>
      </c>
      <c r="R281">
        <v>3.25</v>
      </c>
      <c r="S281" s="2">
        <v>46260</v>
      </c>
      <c r="T281" s="2">
        <v>46261</v>
      </c>
      <c r="U281">
        <v>33</v>
      </c>
      <c r="V281">
        <v>33</v>
      </c>
      <c r="W281">
        <v>0</v>
      </c>
      <c r="X281">
        <v>0</v>
      </c>
      <c r="Y281">
        <v>0</v>
      </c>
      <c r="Z281" s="8">
        <v>33</v>
      </c>
      <c r="AA281">
        <v>16.5</v>
      </c>
      <c r="AB281">
        <v>0</v>
      </c>
      <c r="AC281">
        <v>2</v>
      </c>
      <c r="AD281" s="1">
        <v>0</v>
      </c>
      <c r="AE281" s="2">
        <v>46248</v>
      </c>
      <c r="AF281" s="2">
        <v>46256</v>
      </c>
      <c r="AG281" s="2">
        <v>46263</v>
      </c>
      <c r="AH281">
        <v>6</v>
      </c>
      <c r="AI281" s="3">
        <v>0.18808777429467086</v>
      </c>
      <c r="AJ281" s="1">
        <v>0</v>
      </c>
      <c r="AK281" s="2">
        <v>46263</v>
      </c>
      <c r="AL281" s="4" t="s">
        <v>1658</v>
      </c>
      <c r="AM281" s="5" t="s">
        <v>1658</v>
      </c>
      <c r="AN281" s="4">
        <v>0</v>
      </c>
      <c r="AO281" t="s">
        <v>1635</v>
      </c>
      <c r="AP281" s="4" t="s">
        <v>1658</v>
      </c>
      <c r="AQ281" t="s">
        <v>1619</v>
      </c>
      <c r="AR281" t="s">
        <v>1620</v>
      </c>
      <c r="AT281" s="16" t="str">
        <f>_xlfn.XLOOKUP(B281,'SWiSH Demand Forecast Sep-26'!D:D,'SWiSH Demand Forecast Sep-26'!G:G,"Not Exist")</f>
        <v>Not Exist</v>
      </c>
    </row>
    <row r="282" spans="1:46" hidden="1" x14ac:dyDescent="0.3">
      <c r="A282">
        <v>106400093</v>
      </c>
      <c r="B282" t="s">
        <v>1282</v>
      </c>
      <c r="C282" t="s">
        <v>136</v>
      </c>
      <c r="D282" t="s">
        <v>1613</v>
      </c>
      <c r="E282" t="s">
        <v>1638</v>
      </c>
      <c r="F282" t="s">
        <v>1812</v>
      </c>
      <c r="G282" t="s">
        <v>1624</v>
      </c>
      <c r="H282" t="s">
        <v>1764</v>
      </c>
      <c r="I282" t="s">
        <v>1618</v>
      </c>
      <c r="J282" t="s">
        <v>136</v>
      </c>
      <c r="K282">
        <v>0.21119774999999999</v>
      </c>
      <c r="L282">
        <v>-0.21119774999999999</v>
      </c>
      <c r="M282" s="1">
        <v>3</v>
      </c>
      <c r="N282">
        <v>0</v>
      </c>
      <c r="O282">
        <v>1</v>
      </c>
      <c r="P282">
        <v>-1</v>
      </c>
      <c r="Q282" s="1">
        <v>-2</v>
      </c>
      <c r="R282">
        <v>0</v>
      </c>
      <c r="S282" s="2">
        <v>0</v>
      </c>
      <c r="T282" s="2">
        <v>46263</v>
      </c>
      <c r="U282">
        <v>0</v>
      </c>
      <c r="V282">
        <v>0</v>
      </c>
      <c r="W282">
        <v>60</v>
      </c>
      <c r="X282">
        <v>287</v>
      </c>
      <c r="Y282">
        <v>0</v>
      </c>
      <c r="Z282" s="8">
        <v>287</v>
      </c>
      <c r="AA282">
        <v>86.75</v>
      </c>
      <c r="AB282">
        <v>0</v>
      </c>
      <c r="AC282">
        <v>3.3083573487031699</v>
      </c>
      <c r="AD282" s="1">
        <v>0</v>
      </c>
      <c r="AE282" s="2">
        <v>46248</v>
      </c>
      <c r="AF282" s="2">
        <v>46256</v>
      </c>
      <c r="AG282" s="2">
        <v>46263</v>
      </c>
      <c r="AH282">
        <v>296</v>
      </c>
      <c r="AI282" s="3">
        <v>1.0669229845007808</v>
      </c>
      <c r="AJ282" s="1">
        <v>0</v>
      </c>
      <c r="AK282" s="2">
        <v>46263</v>
      </c>
      <c r="AL282" s="4" t="s">
        <v>1658</v>
      </c>
      <c r="AM282" s="5" t="s">
        <v>1658</v>
      </c>
      <c r="AN282" s="4">
        <v>0</v>
      </c>
      <c r="AO282" t="s">
        <v>1635</v>
      </c>
      <c r="AP282" s="4" t="s">
        <v>1658</v>
      </c>
      <c r="AQ282" t="s">
        <v>1619</v>
      </c>
      <c r="AR282" t="s">
        <v>1620</v>
      </c>
      <c r="AT282" s="16">
        <f>_xlfn.XLOOKUP(B282,'SWiSH Demand Forecast Sep-26'!D:D,'SWiSH Demand Forecast Sep-26'!G:G,"Not Exist")</f>
        <v>34.960499999999897</v>
      </c>
    </row>
    <row r="283" spans="1:46" hidden="1" x14ac:dyDescent="0.3">
      <c r="A283">
        <v>103100036</v>
      </c>
      <c r="B283" t="s">
        <v>494</v>
      </c>
      <c r="C283" t="s">
        <v>10</v>
      </c>
      <c r="D283" t="s">
        <v>1613</v>
      </c>
      <c r="E283" t="s">
        <v>1796</v>
      </c>
      <c r="F283" t="s">
        <v>1752</v>
      </c>
      <c r="G283" t="s">
        <v>1616</v>
      </c>
      <c r="H283" t="s">
        <v>1869</v>
      </c>
      <c r="I283" t="s">
        <v>1754</v>
      </c>
      <c r="J283" t="s">
        <v>10</v>
      </c>
      <c r="K283">
        <v>0.12083333</v>
      </c>
      <c r="L283">
        <v>12.687499649999999</v>
      </c>
      <c r="M283" s="1">
        <v>3</v>
      </c>
      <c r="N283">
        <v>0</v>
      </c>
      <c r="O283">
        <v>180</v>
      </c>
      <c r="P283">
        <v>105</v>
      </c>
      <c r="Q283" s="1">
        <v>-75</v>
      </c>
      <c r="R283">
        <v>7.25</v>
      </c>
      <c r="S283" s="2">
        <v>46209</v>
      </c>
      <c r="T283" s="2">
        <v>46263</v>
      </c>
      <c r="U283">
        <v>0</v>
      </c>
      <c r="V283">
        <v>0</v>
      </c>
      <c r="W283">
        <v>4785</v>
      </c>
      <c r="X283">
        <v>2655</v>
      </c>
      <c r="Y283">
        <v>0</v>
      </c>
      <c r="Z283" s="8">
        <v>4785</v>
      </c>
      <c r="AA283">
        <v>1860</v>
      </c>
      <c r="AB283">
        <v>0</v>
      </c>
      <c r="AC283">
        <v>2.5725806451612905</v>
      </c>
      <c r="AD283" s="1">
        <v>0</v>
      </c>
      <c r="AE283" s="2">
        <v>46248</v>
      </c>
      <c r="AF283" s="2">
        <v>46256</v>
      </c>
      <c r="AG283" s="2">
        <v>46263</v>
      </c>
      <c r="AH283">
        <v>3615</v>
      </c>
      <c r="AI283" s="3">
        <v>0.7815371311209599</v>
      </c>
      <c r="AJ283" s="1">
        <v>0</v>
      </c>
      <c r="AK283" s="2">
        <v>46263</v>
      </c>
      <c r="AL283" s="4">
        <v>15</v>
      </c>
      <c r="AM283" s="5">
        <v>15</v>
      </c>
      <c r="AN283" s="4">
        <v>0</v>
      </c>
      <c r="AO283">
        <v>1869.8275862068965</v>
      </c>
      <c r="AP283" s="4">
        <v>2</v>
      </c>
      <c r="AQ283" t="s">
        <v>1619</v>
      </c>
      <c r="AR283" t="s">
        <v>1620</v>
      </c>
      <c r="AT283" s="16">
        <f>_xlfn.XLOOKUP(B283,'SWiSH Demand Forecast Sep-26'!D:D,'SWiSH Demand Forecast Sep-26'!G:G,"Not Exist")</f>
        <v>1621</v>
      </c>
    </row>
    <row r="284" spans="1:46" hidden="1" x14ac:dyDescent="0.3">
      <c r="A284">
        <v>101300008</v>
      </c>
      <c r="B284" t="s">
        <v>1113</v>
      </c>
      <c r="C284" t="s">
        <v>136</v>
      </c>
      <c r="D284" t="s">
        <v>1613</v>
      </c>
      <c r="E284" t="s">
        <v>1796</v>
      </c>
      <c r="F284" t="s">
        <v>1752</v>
      </c>
      <c r="G284" t="s">
        <v>1616</v>
      </c>
      <c r="H284" t="s">
        <v>1980</v>
      </c>
      <c r="I284" t="s">
        <v>1754</v>
      </c>
      <c r="J284" t="s">
        <v>2096</v>
      </c>
      <c r="K284">
        <v>1.9017999999999999</v>
      </c>
      <c r="L284">
        <v>448.82479999999998</v>
      </c>
      <c r="M284" s="1">
        <v>3</v>
      </c>
      <c r="N284">
        <v>0</v>
      </c>
      <c r="O284">
        <v>160</v>
      </c>
      <c r="P284">
        <v>236</v>
      </c>
      <c r="Q284" s="1">
        <v>76</v>
      </c>
      <c r="R284">
        <v>19.018000000000001</v>
      </c>
      <c r="S284" s="2">
        <v>46254</v>
      </c>
      <c r="T284" s="2">
        <v>46263</v>
      </c>
      <c r="U284">
        <v>140</v>
      </c>
      <c r="V284">
        <v>164</v>
      </c>
      <c r="W284">
        <v>1856</v>
      </c>
      <c r="X284">
        <v>2966</v>
      </c>
      <c r="Y284">
        <v>140</v>
      </c>
      <c r="Z284" s="8">
        <v>2966</v>
      </c>
      <c r="AA284">
        <v>1281.5</v>
      </c>
      <c r="AB284">
        <v>0.10924697619976589</v>
      </c>
      <c r="AC284">
        <v>2.3144752243464688</v>
      </c>
      <c r="AD284" s="1">
        <v>0</v>
      </c>
      <c r="AE284" s="2">
        <v>46248</v>
      </c>
      <c r="AF284" s="2">
        <v>46256</v>
      </c>
      <c r="AG284" s="2">
        <v>46263</v>
      </c>
      <c r="AH284">
        <v>2320</v>
      </c>
      <c r="AI284" s="3">
        <v>0.80917060013486175</v>
      </c>
      <c r="AJ284" s="1">
        <v>0</v>
      </c>
      <c r="AK284" s="2">
        <v>46263</v>
      </c>
      <c r="AL284" s="4">
        <v>30</v>
      </c>
      <c r="AM284" s="5">
        <v>15</v>
      </c>
      <c r="AN284" s="4">
        <v>0</v>
      </c>
      <c r="AO284">
        <v>2400</v>
      </c>
      <c r="AP284" s="4">
        <v>1</v>
      </c>
      <c r="AQ284" t="s">
        <v>1619</v>
      </c>
      <c r="AR284" t="s">
        <v>1620</v>
      </c>
      <c r="AT284" s="16">
        <f>_xlfn.XLOOKUP(B284,'SWiSH Demand Forecast Sep-26'!D:D,'SWiSH Demand Forecast Sep-26'!G:G,"Not Exist")</f>
        <v>99.12</v>
      </c>
    </row>
    <row r="285" spans="1:46" hidden="1" x14ac:dyDescent="0.3">
      <c r="A285">
        <v>101600082</v>
      </c>
      <c r="B285" t="s">
        <v>276</v>
      </c>
      <c r="C285" t="s">
        <v>10</v>
      </c>
      <c r="D285" t="s">
        <v>1613</v>
      </c>
      <c r="E285" t="s">
        <v>1732</v>
      </c>
      <c r="F285" t="s">
        <v>1631</v>
      </c>
      <c r="G285" t="s">
        <v>1624</v>
      </c>
      <c r="H285" t="s">
        <v>1768</v>
      </c>
      <c r="I285" t="s">
        <v>1634</v>
      </c>
      <c r="J285" t="s">
        <v>10</v>
      </c>
      <c r="K285">
        <v>4.5999999999999999E-2</v>
      </c>
      <c r="L285">
        <v>46</v>
      </c>
      <c r="M285" s="1">
        <v>3</v>
      </c>
      <c r="N285">
        <v>0</v>
      </c>
      <c r="O285">
        <v>0</v>
      </c>
      <c r="P285">
        <v>1000</v>
      </c>
      <c r="Q285" s="1">
        <v>1000</v>
      </c>
      <c r="R285">
        <v>0.05</v>
      </c>
      <c r="S285" s="2">
        <v>46188</v>
      </c>
      <c r="T285" s="2">
        <v>46263</v>
      </c>
      <c r="U285">
        <v>8300</v>
      </c>
      <c r="V285">
        <v>30500</v>
      </c>
      <c r="W285">
        <v>18500</v>
      </c>
      <c r="X285">
        <v>28000</v>
      </c>
      <c r="Y285">
        <v>8300</v>
      </c>
      <c r="Z285" s="8">
        <v>30500</v>
      </c>
      <c r="AA285">
        <v>21325</v>
      </c>
      <c r="AB285">
        <v>0.38921453692848768</v>
      </c>
      <c r="AC285">
        <v>1.4302461899179366</v>
      </c>
      <c r="AD285" s="1">
        <v>0</v>
      </c>
      <c r="AE285" s="2">
        <v>46248</v>
      </c>
      <c r="AF285" s="2">
        <v>46256</v>
      </c>
      <c r="AG285" s="2">
        <v>46263</v>
      </c>
      <c r="AH285">
        <v>26000</v>
      </c>
      <c r="AI285" s="3">
        <v>0.88185415488976826</v>
      </c>
      <c r="AJ285" s="1">
        <v>1</v>
      </c>
      <c r="AK285" s="2">
        <v>46264</v>
      </c>
      <c r="AL285" s="4">
        <v>15</v>
      </c>
      <c r="AM285" s="5">
        <v>15</v>
      </c>
      <c r="AN285" s="4">
        <v>0</v>
      </c>
      <c r="AO285">
        <v>13448.275862068966</v>
      </c>
      <c r="AP285" s="4">
        <v>2</v>
      </c>
      <c r="AQ285" t="s">
        <v>1619</v>
      </c>
      <c r="AR285" t="s">
        <v>1620</v>
      </c>
      <c r="AT285" s="16">
        <f>_xlfn.XLOOKUP(B285,'SWiSH Demand Forecast Sep-26'!D:D,'SWiSH Demand Forecast Sep-26'!G:G,"Not Exist")</f>
        <v>5741</v>
      </c>
    </row>
    <row r="286" spans="1:46" x14ac:dyDescent="0.3">
      <c r="A286">
        <v>105300014</v>
      </c>
      <c r="B286" t="s">
        <v>2097</v>
      </c>
      <c r="C286" t="s">
        <v>10</v>
      </c>
      <c r="D286" t="s">
        <v>1613</v>
      </c>
      <c r="E286" t="s">
        <v>1638</v>
      </c>
      <c r="F286" t="s">
        <v>1664</v>
      </c>
      <c r="G286" t="s">
        <v>1624</v>
      </c>
      <c r="H286" t="s">
        <v>1978</v>
      </c>
      <c r="I286" t="s">
        <v>1634</v>
      </c>
      <c r="J286" t="s">
        <v>10</v>
      </c>
      <c r="K286">
        <v>3.2000000000000001E-2</v>
      </c>
      <c r="L286">
        <v>0</v>
      </c>
      <c r="M286" s="1">
        <v>7</v>
      </c>
      <c r="N286">
        <v>0</v>
      </c>
      <c r="O286">
        <v>0</v>
      </c>
      <c r="P286">
        <v>0</v>
      </c>
      <c r="Q286" s="1">
        <v>0</v>
      </c>
      <c r="R286">
        <v>3.2000000000000001E-2</v>
      </c>
      <c r="S286" s="2">
        <v>46236</v>
      </c>
      <c r="T286" s="2">
        <v>46263</v>
      </c>
      <c r="U286">
        <v>10000</v>
      </c>
      <c r="V286">
        <v>11000</v>
      </c>
      <c r="W286">
        <v>10000</v>
      </c>
      <c r="X286">
        <v>13000</v>
      </c>
      <c r="Y286">
        <v>10000</v>
      </c>
      <c r="Z286" s="8">
        <v>13000</v>
      </c>
      <c r="AA286">
        <v>11000</v>
      </c>
      <c r="AB286">
        <v>0.90909090909090906</v>
      </c>
      <c r="AC286">
        <v>1.1818181818181819</v>
      </c>
      <c r="AD286" s="1">
        <v>0</v>
      </c>
      <c r="AE286" s="2">
        <v>46248</v>
      </c>
      <c r="AF286" s="2">
        <v>46256</v>
      </c>
      <c r="AG286" s="2">
        <v>46263</v>
      </c>
      <c r="AH286">
        <v>8000</v>
      </c>
      <c r="AI286" s="3">
        <v>0.63660477453580899</v>
      </c>
      <c r="AJ286" s="1">
        <v>0</v>
      </c>
      <c r="AK286" s="2">
        <v>46263</v>
      </c>
      <c r="AL286" s="4">
        <v>15</v>
      </c>
      <c r="AM286" s="5">
        <v>15</v>
      </c>
      <c r="AN286" s="4">
        <v>0</v>
      </c>
      <c r="AO286">
        <v>4137.9310344827582</v>
      </c>
      <c r="AP286" s="4">
        <v>2</v>
      </c>
      <c r="AQ286">
        <v>39000</v>
      </c>
      <c r="AR286" t="s">
        <v>2098</v>
      </c>
      <c r="AS286" t="s">
        <v>1666</v>
      </c>
      <c r="AT286" s="16" t="str">
        <f>_xlfn.XLOOKUP(B286,'SWiSH Demand Forecast Sep-26'!D:D,'SWiSH Demand Forecast Sep-26'!G:G,"Not Exist")</f>
        <v>Not Exist</v>
      </c>
    </row>
    <row r="287" spans="1:46" x14ac:dyDescent="0.3">
      <c r="A287">
        <v>101400028</v>
      </c>
      <c r="B287" t="s">
        <v>2099</v>
      </c>
      <c r="C287" t="s">
        <v>240</v>
      </c>
      <c r="D287" t="s">
        <v>1613</v>
      </c>
      <c r="E287" t="s">
        <v>2100</v>
      </c>
      <c r="F287" t="s">
        <v>1644</v>
      </c>
      <c r="G287" t="s">
        <v>1624</v>
      </c>
      <c r="H287" t="s">
        <v>1693</v>
      </c>
      <c r="I287" t="s">
        <v>1634</v>
      </c>
      <c r="J287" t="s">
        <v>2101</v>
      </c>
      <c r="K287">
        <v>3.11111111</v>
      </c>
      <c r="L287">
        <v>2.30844444362</v>
      </c>
      <c r="M287" s="1">
        <v>3</v>
      </c>
      <c r="N287">
        <v>0</v>
      </c>
      <c r="O287">
        <v>2.25</v>
      </c>
      <c r="P287">
        <v>0.74199999999999999</v>
      </c>
      <c r="Q287" s="1">
        <v>-1.508</v>
      </c>
      <c r="R287">
        <v>14</v>
      </c>
      <c r="S287" s="2">
        <v>46258</v>
      </c>
      <c r="T287" s="2">
        <v>46263</v>
      </c>
      <c r="U287">
        <v>107.25</v>
      </c>
      <c r="V287">
        <v>117.75</v>
      </c>
      <c r="W287">
        <v>163.5</v>
      </c>
      <c r="X287">
        <v>68.25</v>
      </c>
      <c r="Y287">
        <v>68.25</v>
      </c>
      <c r="Z287" s="8">
        <v>163.5</v>
      </c>
      <c r="AA287">
        <v>114.1875</v>
      </c>
      <c r="AB287">
        <v>0.5977011494252874</v>
      </c>
      <c r="AC287">
        <v>1.4318555008210181</v>
      </c>
      <c r="AD287" s="1">
        <v>0</v>
      </c>
      <c r="AE287" s="2">
        <v>46248</v>
      </c>
      <c r="AF287" s="2">
        <v>46256</v>
      </c>
      <c r="AG287" s="2">
        <v>46263</v>
      </c>
      <c r="AH287">
        <v>80.25800000000001</v>
      </c>
      <c r="AI287" s="3">
        <v>0.50780132869345151</v>
      </c>
      <c r="AJ287" s="1">
        <v>0</v>
      </c>
      <c r="AK287" s="2">
        <v>46263</v>
      </c>
      <c r="AL287" s="4">
        <v>30</v>
      </c>
      <c r="AM287" s="5">
        <v>15</v>
      </c>
      <c r="AN287" s="4">
        <v>0</v>
      </c>
      <c r="AO287">
        <v>83.025517241379319</v>
      </c>
      <c r="AP287" s="4">
        <v>1</v>
      </c>
      <c r="AQ287">
        <v>10</v>
      </c>
      <c r="AR287" t="s">
        <v>2102</v>
      </c>
      <c r="AT287" s="16" t="str">
        <f>_xlfn.XLOOKUP(B287,'SWiSH Demand Forecast Sep-26'!D:D,'SWiSH Demand Forecast Sep-26'!G:G,"Not Exist")</f>
        <v>Not Exist</v>
      </c>
    </row>
    <row r="288" spans="1:46" x14ac:dyDescent="0.3">
      <c r="A288">
        <v>106200164</v>
      </c>
      <c r="B288" t="s">
        <v>2103</v>
      </c>
      <c r="C288" t="s">
        <v>10</v>
      </c>
      <c r="D288" t="s">
        <v>1613</v>
      </c>
      <c r="E288" t="s">
        <v>1638</v>
      </c>
      <c r="F288" t="s">
        <v>1999</v>
      </c>
      <c r="G288" t="s">
        <v>1616</v>
      </c>
      <c r="H288" t="s">
        <v>1672</v>
      </c>
      <c r="I288" t="s">
        <v>1618</v>
      </c>
      <c r="J288" t="s">
        <v>10</v>
      </c>
      <c r="K288">
        <v>5.2142899999999999E-3</v>
      </c>
      <c r="L288">
        <v>20.85716</v>
      </c>
      <c r="M288" s="1">
        <v>3</v>
      </c>
      <c r="N288">
        <v>0</v>
      </c>
      <c r="O288">
        <v>4000</v>
      </c>
      <c r="P288">
        <v>4000</v>
      </c>
      <c r="Q288" s="1">
        <v>0</v>
      </c>
      <c r="R288">
        <v>5</v>
      </c>
      <c r="S288" s="2">
        <v>46251</v>
      </c>
      <c r="T288" s="2">
        <v>46263</v>
      </c>
      <c r="U288">
        <v>0</v>
      </c>
      <c r="V288">
        <v>0</v>
      </c>
      <c r="W288">
        <v>142000</v>
      </c>
      <c r="X288">
        <v>420000</v>
      </c>
      <c r="Y288">
        <v>0</v>
      </c>
      <c r="Z288" s="8">
        <v>420000</v>
      </c>
      <c r="AA288">
        <v>140500</v>
      </c>
      <c r="AB288">
        <v>0</v>
      </c>
      <c r="AC288">
        <v>2.9893238434163703</v>
      </c>
      <c r="AD288" s="1">
        <v>0</v>
      </c>
      <c r="AE288" s="2">
        <v>46248</v>
      </c>
      <c r="AF288" s="2">
        <v>46256</v>
      </c>
      <c r="AG288" s="2">
        <v>46263</v>
      </c>
      <c r="AH288">
        <v>439000</v>
      </c>
      <c r="AI288" s="3">
        <v>1.0812807881773399</v>
      </c>
      <c r="AJ288" s="1">
        <v>0</v>
      </c>
      <c r="AK288" s="2">
        <v>46263</v>
      </c>
      <c r="AL288" s="4">
        <v>10</v>
      </c>
      <c r="AM288" s="5">
        <v>10</v>
      </c>
      <c r="AN288" s="4">
        <v>0</v>
      </c>
      <c r="AO288">
        <v>151379.31034482759</v>
      </c>
      <c r="AP288" s="4">
        <v>3</v>
      </c>
      <c r="AQ288" t="s">
        <v>1619</v>
      </c>
      <c r="AR288" t="s">
        <v>1620</v>
      </c>
      <c r="AT288" s="16" t="str">
        <f>_xlfn.XLOOKUP(B288,'SWiSH Demand Forecast Sep-26'!D:D,'SWiSH Demand Forecast Sep-26'!G:G,"Not Exist")</f>
        <v>Not Exist</v>
      </c>
    </row>
    <row r="289" spans="1:46" x14ac:dyDescent="0.3">
      <c r="A289">
        <v>107400044</v>
      </c>
      <c r="B289" t="s">
        <v>2104</v>
      </c>
      <c r="C289" t="s">
        <v>10</v>
      </c>
      <c r="D289" t="s">
        <v>1613</v>
      </c>
      <c r="E289" t="s">
        <v>1630</v>
      </c>
      <c r="F289" t="s">
        <v>1631</v>
      </c>
      <c r="G289" t="s">
        <v>1624</v>
      </c>
      <c r="H289" t="s">
        <v>2016</v>
      </c>
      <c r="I289" t="s">
        <v>1634</v>
      </c>
      <c r="J289" t="s">
        <v>10</v>
      </c>
      <c r="K289">
        <v>1.25</v>
      </c>
      <c r="L289">
        <v>0</v>
      </c>
      <c r="M289" s="1">
        <v>15</v>
      </c>
      <c r="N289">
        <v>0</v>
      </c>
      <c r="O289">
        <v>0</v>
      </c>
      <c r="P289">
        <v>0</v>
      </c>
      <c r="Q289" s="1">
        <v>0</v>
      </c>
      <c r="R289">
        <v>1.25</v>
      </c>
      <c r="S289" s="2">
        <v>46240</v>
      </c>
      <c r="T289" s="2">
        <v>46263</v>
      </c>
      <c r="U289">
        <v>9</v>
      </c>
      <c r="V289">
        <v>13</v>
      </c>
      <c r="W289">
        <v>7</v>
      </c>
      <c r="X289">
        <v>9</v>
      </c>
      <c r="Y289">
        <v>7</v>
      </c>
      <c r="Z289" s="8">
        <v>13</v>
      </c>
      <c r="AA289">
        <v>9.5</v>
      </c>
      <c r="AB289">
        <v>0.73684210526315785</v>
      </c>
      <c r="AC289">
        <v>1.368421052631579</v>
      </c>
      <c r="AD289" s="1">
        <v>0</v>
      </c>
      <c r="AE289" s="2">
        <v>46248</v>
      </c>
      <c r="AF289" s="2">
        <v>46256</v>
      </c>
      <c r="AG289" s="2">
        <v>46263</v>
      </c>
      <c r="AH289">
        <v>22</v>
      </c>
      <c r="AI289" s="3">
        <v>1.7506631299734747</v>
      </c>
      <c r="AJ289" s="1">
        <v>0</v>
      </c>
      <c r="AK289" s="2">
        <v>46263</v>
      </c>
      <c r="AL289" s="4">
        <v>30</v>
      </c>
      <c r="AM289" s="5">
        <v>15</v>
      </c>
      <c r="AN289" s="4">
        <v>0</v>
      </c>
      <c r="AO289">
        <v>22.758620689655171</v>
      </c>
      <c r="AP289" s="4">
        <v>1</v>
      </c>
      <c r="AQ289" t="s">
        <v>1619</v>
      </c>
      <c r="AR289" t="s">
        <v>1620</v>
      </c>
      <c r="AT289" s="16" t="str">
        <f>_xlfn.XLOOKUP(B289,'SWiSH Demand Forecast Sep-26'!D:D,'SWiSH Demand Forecast Sep-26'!G:G,"Not Exist")</f>
        <v>Not Exist</v>
      </c>
    </row>
    <row r="290" spans="1:46" x14ac:dyDescent="0.3">
      <c r="A290">
        <v>107200023</v>
      </c>
      <c r="B290" t="s">
        <v>2105</v>
      </c>
      <c r="C290" t="s">
        <v>10</v>
      </c>
      <c r="D290" t="s">
        <v>1613</v>
      </c>
      <c r="E290" t="s">
        <v>2106</v>
      </c>
      <c r="F290" t="s">
        <v>1656</v>
      </c>
      <c r="G290" t="s">
        <v>1624</v>
      </c>
      <c r="H290" t="s">
        <v>1657</v>
      </c>
      <c r="I290" t="s">
        <v>1634</v>
      </c>
      <c r="J290" t="s">
        <v>10</v>
      </c>
      <c r="K290">
        <v>4</v>
      </c>
      <c r="L290">
        <v>0</v>
      </c>
      <c r="M290" s="1">
        <v>15</v>
      </c>
      <c r="N290">
        <v>0</v>
      </c>
      <c r="O290">
        <v>0</v>
      </c>
      <c r="P290">
        <v>0</v>
      </c>
      <c r="Q290" s="1">
        <v>0</v>
      </c>
      <c r="R290">
        <v>4</v>
      </c>
      <c r="S290" s="2">
        <v>46260</v>
      </c>
      <c r="T290" s="2">
        <v>46261</v>
      </c>
      <c r="U290">
        <v>30</v>
      </c>
      <c r="V290">
        <v>156</v>
      </c>
      <c r="W290">
        <v>0</v>
      </c>
      <c r="X290">
        <v>0</v>
      </c>
      <c r="Y290">
        <v>0</v>
      </c>
      <c r="Z290" s="8">
        <v>156</v>
      </c>
      <c r="AA290">
        <v>46.5</v>
      </c>
      <c r="AB290">
        <v>0</v>
      </c>
      <c r="AC290">
        <v>3.3548387096774195</v>
      </c>
      <c r="AD290" s="1">
        <v>0</v>
      </c>
      <c r="AE290" s="2">
        <v>46248</v>
      </c>
      <c r="AF290" s="2">
        <v>46256</v>
      </c>
      <c r="AG290" s="2">
        <v>46263</v>
      </c>
      <c r="AH290">
        <v>40</v>
      </c>
      <c r="AI290" s="3">
        <v>0.26525198938992045</v>
      </c>
      <c r="AJ290" s="1">
        <v>0</v>
      </c>
      <c r="AK290" s="2">
        <v>46263</v>
      </c>
      <c r="AL290" s="4" t="s">
        <v>1658</v>
      </c>
      <c r="AM290" s="5" t="s">
        <v>1658</v>
      </c>
      <c r="AN290" s="4">
        <v>0</v>
      </c>
      <c r="AO290" t="s">
        <v>1635</v>
      </c>
      <c r="AP290" s="4" t="s">
        <v>1658</v>
      </c>
      <c r="AQ290" t="s">
        <v>1619</v>
      </c>
      <c r="AR290" t="s">
        <v>1620</v>
      </c>
      <c r="AT290" s="16" t="str">
        <f>_xlfn.XLOOKUP(B290,'SWiSH Demand Forecast Sep-26'!D:D,'SWiSH Demand Forecast Sep-26'!G:G,"Not Exist")</f>
        <v>Not Exist</v>
      </c>
    </row>
    <row r="291" spans="1:46" x14ac:dyDescent="0.3">
      <c r="A291">
        <v>105100008</v>
      </c>
      <c r="B291" t="s">
        <v>2107</v>
      </c>
      <c r="C291" t="s">
        <v>10</v>
      </c>
      <c r="D291" t="s">
        <v>1613</v>
      </c>
      <c r="E291" t="s">
        <v>2108</v>
      </c>
      <c r="F291" t="s">
        <v>1631</v>
      </c>
      <c r="G291" t="s">
        <v>1624</v>
      </c>
      <c r="H291" t="s">
        <v>1985</v>
      </c>
      <c r="I291" t="s">
        <v>1634</v>
      </c>
      <c r="J291" t="s">
        <v>10</v>
      </c>
      <c r="K291">
        <v>3.3993199999999999</v>
      </c>
      <c r="L291">
        <v>0</v>
      </c>
      <c r="M291" s="1">
        <v>30</v>
      </c>
      <c r="N291">
        <v>0</v>
      </c>
      <c r="O291">
        <v>0</v>
      </c>
      <c r="P291">
        <v>0</v>
      </c>
      <c r="Q291" s="1">
        <v>0</v>
      </c>
      <c r="R291">
        <v>3.3993199999999999</v>
      </c>
      <c r="S291" s="2">
        <v>46217</v>
      </c>
      <c r="T291" s="2">
        <v>46262</v>
      </c>
      <c r="U291">
        <v>0</v>
      </c>
      <c r="V291">
        <v>2</v>
      </c>
      <c r="W291">
        <v>0</v>
      </c>
      <c r="X291">
        <v>18</v>
      </c>
      <c r="Y291">
        <v>0</v>
      </c>
      <c r="Z291" s="8">
        <v>18</v>
      </c>
      <c r="AA291">
        <v>5</v>
      </c>
      <c r="AB291">
        <v>0</v>
      </c>
      <c r="AC291">
        <v>3.6</v>
      </c>
      <c r="AD291" s="1">
        <v>0</v>
      </c>
      <c r="AE291" s="2">
        <v>46248</v>
      </c>
      <c r="AF291" s="2">
        <v>46256</v>
      </c>
      <c r="AG291" s="2">
        <v>46263</v>
      </c>
      <c r="AH291">
        <v>32</v>
      </c>
      <c r="AI291" s="3">
        <v>1.8390804597701151</v>
      </c>
      <c r="AJ291" s="1">
        <v>0</v>
      </c>
      <c r="AK291" s="2">
        <v>46263</v>
      </c>
      <c r="AL291" s="4">
        <v>30</v>
      </c>
      <c r="AM291" s="5">
        <v>15</v>
      </c>
      <c r="AN291" s="4">
        <v>0</v>
      </c>
      <c r="AO291">
        <v>33.103448275862071</v>
      </c>
      <c r="AP291" s="4">
        <v>1</v>
      </c>
      <c r="AQ291" t="s">
        <v>1619</v>
      </c>
      <c r="AR291" t="s">
        <v>1620</v>
      </c>
      <c r="AT291" s="16" t="str">
        <f>_xlfn.XLOOKUP(B291,'SWiSH Demand Forecast Sep-26'!D:D,'SWiSH Demand Forecast Sep-26'!G:G,"Not Exist")</f>
        <v>Not Exist</v>
      </c>
    </row>
    <row r="292" spans="1:46" x14ac:dyDescent="0.3">
      <c r="A292" t="s">
        <v>1635</v>
      </c>
      <c r="B292" t="s">
        <v>2109</v>
      </c>
      <c r="C292" t="s">
        <v>136</v>
      </c>
      <c r="D292" t="s">
        <v>1613</v>
      </c>
      <c r="E292" t="s">
        <v>1663</v>
      </c>
      <c r="F292" t="s">
        <v>1615</v>
      </c>
      <c r="G292" t="s">
        <v>1616</v>
      </c>
      <c r="H292" t="s">
        <v>1617</v>
      </c>
      <c r="I292" t="s">
        <v>1618</v>
      </c>
      <c r="J292" t="s">
        <v>136</v>
      </c>
      <c r="K292">
        <v>2.0416666700000001</v>
      </c>
      <c r="L292">
        <v>0</v>
      </c>
      <c r="M292" s="1">
        <v>3</v>
      </c>
      <c r="N292">
        <v>0</v>
      </c>
      <c r="O292">
        <v>0</v>
      </c>
      <c r="P292">
        <v>0</v>
      </c>
      <c r="Q292" s="1">
        <v>0</v>
      </c>
      <c r="R292">
        <v>4.9000000000000004</v>
      </c>
      <c r="S292" s="2">
        <v>46251</v>
      </c>
      <c r="T292" s="2">
        <v>46263</v>
      </c>
      <c r="U292">
        <v>0</v>
      </c>
      <c r="V292">
        <v>0</v>
      </c>
      <c r="W292">
        <v>0</v>
      </c>
      <c r="X292">
        <v>19.2</v>
      </c>
      <c r="Y292">
        <v>0</v>
      </c>
      <c r="Z292" s="8">
        <v>19.2</v>
      </c>
      <c r="AA292">
        <v>4.8</v>
      </c>
      <c r="AB292">
        <v>0</v>
      </c>
      <c r="AC292">
        <v>4</v>
      </c>
      <c r="AD292" s="1">
        <v>0</v>
      </c>
      <c r="AE292" s="2">
        <v>46248</v>
      </c>
      <c r="AF292" s="2">
        <v>46256</v>
      </c>
      <c r="AG292" s="2">
        <v>46263</v>
      </c>
      <c r="AH292">
        <v>28.8</v>
      </c>
      <c r="AI292" s="3">
        <v>1.5517241379310345</v>
      </c>
      <c r="AJ292" s="1">
        <v>0</v>
      </c>
      <c r="AK292" s="2">
        <v>46263</v>
      </c>
      <c r="AL292" s="4">
        <v>30</v>
      </c>
      <c r="AM292" s="5">
        <v>15</v>
      </c>
      <c r="AN292" s="4">
        <v>0</v>
      </c>
      <c r="AO292">
        <v>29.793103448275861</v>
      </c>
      <c r="AP292" s="4">
        <v>1</v>
      </c>
      <c r="AQ292" t="s">
        <v>1619</v>
      </c>
      <c r="AR292" t="s">
        <v>1620</v>
      </c>
      <c r="AT292" s="16" t="str">
        <f>_xlfn.XLOOKUP(B292,'SWiSH Demand Forecast Sep-26'!D:D,'SWiSH Demand Forecast Sep-26'!G:G,"Not Exist")</f>
        <v>Not Exist</v>
      </c>
    </row>
    <row r="293" spans="1:46" x14ac:dyDescent="0.3">
      <c r="A293">
        <v>100700005</v>
      </c>
      <c r="B293" t="s">
        <v>2110</v>
      </c>
      <c r="C293" t="s">
        <v>136</v>
      </c>
      <c r="D293" t="s">
        <v>1613</v>
      </c>
      <c r="E293" t="s">
        <v>2111</v>
      </c>
      <c r="F293" t="s">
        <v>1840</v>
      </c>
      <c r="G293" t="s">
        <v>1616</v>
      </c>
      <c r="H293" t="s">
        <v>1867</v>
      </c>
      <c r="I293" t="s">
        <v>1618</v>
      </c>
      <c r="J293" t="s">
        <v>2112</v>
      </c>
      <c r="K293">
        <v>8.5714285700000001</v>
      </c>
      <c r="L293">
        <v>0</v>
      </c>
      <c r="M293" s="1">
        <v>3</v>
      </c>
      <c r="N293">
        <v>0</v>
      </c>
      <c r="O293">
        <v>0</v>
      </c>
      <c r="P293">
        <v>0</v>
      </c>
      <c r="Q293" s="1">
        <v>0</v>
      </c>
      <c r="R293">
        <v>2.5</v>
      </c>
      <c r="S293" s="2">
        <v>46254</v>
      </c>
      <c r="T293" s="2">
        <v>46262</v>
      </c>
      <c r="U293">
        <v>6.3000000000000007</v>
      </c>
      <c r="V293">
        <v>10.5</v>
      </c>
      <c r="W293">
        <v>10.5</v>
      </c>
      <c r="X293">
        <v>8.4</v>
      </c>
      <c r="Y293">
        <v>6.3000000000000007</v>
      </c>
      <c r="Z293" s="8">
        <v>10.5</v>
      </c>
      <c r="AA293">
        <v>8.9250000000000007</v>
      </c>
      <c r="AB293">
        <v>0.70588235294117652</v>
      </c>
      <c r="AC293">
        <v>1.1764705882352939</v>
      </c>
      <c r="AD293" s="1">
        <v>0</v>
      </c>
      <c r="AE293" s="2">
        <v>46248</v>
      </c>
      <c r="AF293" s="2">
        <v>46256</v>
      </c>
      <c r="AG293" s="2">
        <v>46263</v>
      </c>
      <c r="AH293">
        <v>13.200000000000001</v>
      </c>
      <c r="AI293" s="3">
        <v>1.3004926108374386</v>
      </c>
      <c r="AJ293" s="1">
        <v>0</v>
      </c>
      <c r="AK293" s="2">
        <v>46263</v>
      </c>
      <c r="AL293" s="4">
        <v>30</v>
      </c>
      <c r="AM293" s="5">
        <v>15</v>
      </c>
      <c r="AN293" s="4">
        <v>0</v>
      </c>
      <c r="AO293">
        <v>13.655172413793105</v>
      </c>
      <c r="AP293" s="4">
        <v>1</v>
      </c>
      <c r="AQ293" t="s">
        <v>1619</v>
      </c>
      <c r="AR293" t="s">
        <v>1620</v>
      </c>
      <c r="AT293" s="16" t="str">
        <f>_xlfn.XLOOKUP(B293,'SWiSH Demand Forecast Sep-26'!D:D,'SWiSH Demand Forecast Sep-26'!G:G,"Not Exist")</f>
        <v>Not Exist</v>
      </c>
    </row>
    <row r="294" spans="1:46" hidden="1" x14ac:dyDescent="0.3">
      <c r="A294">
        <v>101600058</v>
      </c>
      <c r="B294" t="s">
        <v>536</v>
      </c>
      <c r="C294" t="s">
        <v>10</v>
      </c>
      <c r="D294" t="s">
        <v>1613</v>
      </c>
      <c r="E294" t="s">
        <v>1677</v>
      </c>
      <c r="F294" t="s">
        <v>1631</v>
      </c>
      <c r="G294" t="s">
        <v>1624</v>
      </c>
      <c r="H294" t="s">
        <v>1768</v>
      </c>
      <c r="I294" t="s">
        <v>1634</v>
      </c>
      <c r="J294" t="s">
        <v>2113</v>
      </c>
      <c r="K294">
        <v>2.6499999999999999E-2</v>
      </c>
      <c r="L294">
        <v>26.5</v>
      </c>
      <c r="M294" s="1">
        <v>7</v>
      </c>
      <c r="N294">
        <v>0</v>
      </c>
      <c r="O294">
        <v>1000</v>
      </c>
      <c r="P294">
        <v>1000</v>
      </c>
      <c r="Q294" s="1">
        <v>0</v>
      </c>
      <c r="R294">
        <v>26.5</v>
      </c>
      <c r="S294" s="2">
        <v>46256</v>
      </c>
      <c r="T294" s="2">
        <v>46262</v>
      </c>
      <c r="U294">
        <v>2000</v>
      </c>
      <c r="V294">
        <v>3000</v>
      </c>
      <c r="W294">
        <v>1000</v>
      </c>
      <c r="X294">
        <v>3000</v>
      </c>
      <c r="Y294">
        <v>1000</v>
      </c>
      <c r="Z294" s="8">
        <v>3000</v>
      </c>
      <c r="AA294">
        <v>2250</v>
      </c>
      <c r="AB294">
        <v>0.44444444444444442</v>
      </c>
      <c r="AC294">
        <v>1.3333333333333333</v>
      </c>
      <c r="AD294" s="1">
        <v>0</v>
      </c>
      <c r="AE294" s="2">
        <v>46248</v>
      </c>
      <c r="AF294" s="2">
        <v>46256</v>
      </c>
      <c r="AG294" s="2">
        <v>46263</v>
      </c>
      <c r="AH294">
        <v>3000</v>
      </c>
      <c r="AI294" s="3">
        <v>1.0344827586206897</v>
      </c>
      <c r="AJ294" s="1">
        <v>0</v>
      </c>
      <c r="AK294" s="2">
        <v>46263</v>
      </c>
      <c r="AL294" s="4">
        <v>30</v>
      </c>
      <c r="AM294" s="5">
        <v>15</v>
      </c>
      <c r="AN294" s="4">
        <v>0</v>
      </c>
      <c r="AO294">
        <v>3103.4482758620693</v>
      </c>
      <c r="AP294" s="4">
        <v>1</v>
      </c>
      <c r="AQ294" t="s">
        <v>1619</v>
      </c>
      <c r="AR294" t="s">
        <v>1620</v>
      </c>
      <c r="AT294" s="16">
        <f>_xlfn.XLOOKUP(B294,'SWiSH Demand Forecast Sep-26'!D:D,'SWiSH Demand Forecast Sep-26'!G:G,"Not Exist")</f>
        <v>1323</v>
      </c>
    </row>
    <row r="295" spans="1:46" x14ac:dyDescent="0.3">
      <c r="A295">
        <v>105200009</v>
      </c>
      <c r="B295" t="s">
        <v>2114</v>
      </c>
      <c r="C295" t="s">
        <v>10</v>
      </c>
      <c r="D295" t="s">
        <v>1613</v>
      </c>
      <c r="E295" t="s">
        <v>1745</v>
      </c>
      <c r="F295" t="s">
        <v>1664</v>
      </c>
      <c r="G295" t="s">
        <v>1624</v>
      </c>
      <c r="H295" t="s">
        <v>1779</v>
      </c>
      <c r="I295" t="s">
        <v>1634</v>
      </c>
      <c r="J295" t="s">
        <v>10</v>
      </c>
      <c r="K295">
        <v>0.04</v>
      </c>
      <c r="L295">
        <v>10</v>
      </c>
      <c r="M295" s="1">
        <v>30</v>
      </c>
      <c r="N295">
        <v>0</v>
      </c>
      <c r="O295">
        <v>250</v>
      </c>
      <c r="P295">
        <v>250</v>
      </c>
      <c r="Q295" s="1">
        <v>0</v>
      </c>
      <c r="R295">
        <v>0.04</v>
      </c>
      <c r="S295" s="2">
        <v>45987</v>
      </c>
      <c r="T295" s="2">
        <v>46262</v>
      </c>
      <c r="U295">
        <v>0</v>
      </c>
      <c r="V295">
        <v>0</v>
      </c>
      <c r="W295">
        <v>0</v>
      </c>
      <c r="X295">
        <v>500</v>
      </c>
      <c r="Y295">
        <v>0</v>
      </c>
      <c r="Z295" s="8">
        <v>500</v>
      </c>
      <c r="AA295">
        <v>125</v>
      </c>
      <c r="AB295">
        <v>0</v>
      </c>
      <c r="AC295">
        <v>4</v>
      </c>
      <c r="AD295" s="1">
        <v>0</v>
      </c>
      <c r="AE295" s="2">
        <v>46248</v>
      </c>
      <c r="AF295" s="2">
        <v>46256</v>
      </c>
      <c r="AG295" s="2">
        <v>46263</v>
      </c>
      <c r="AH295">
        <v>2750</v>
      </c>
      <c r="AI295" s="3">
        <v>5.6896551724137936</v>
      </c>
      <c r="AJ295" s="1">
        <v>0</v>
      </c>
      <c r="AK295" s="2">
        <v>46263</v>
      </c>
      <c r="AL295" s="4">
        <v>30</v>
      </c>
      <c r="AM295" s="5">
        <v>15</v>
      </c>
      <c r="AN295" s="4">
        <v>0</v>
      </c>
      <c r="AO295">
        <v>2844.8275862068972</v>
      </c>
      <c r="AP295" s="4">
        <v>1</v>
      </c>
      <c r="AQ295" t="s">
        <v>1619</v>
      </c>
      <c r="AR295" t="s">
        <v>1620</v>
      </c>
      <c r="AT295" s="16" t="str">
        <f>_xlfn.XLOOKUP(B295,'SWiSH Demand Forecast Sep-26'!D:D,'SWiSH Demand Forecast Sep-26'!G:G,"Not Exist")</f>
        <v>Not Exist</v>
      </c>
    </row>
    <row r="296" spans="1:46" hidden="1" x14ac:dyDescent="0.3">
      <c r="A296">
        <v>106400754</v>
      </c>
      <c r="B296" t="s">
        <v>302</v>
      </c>
      <c r="C296" t="s">
        <v>136</v>
      </c>
      <c r="D296" t="s">
        <v>1613</v>
      </c>
      <c r="E296" t="s">
        <v>1655</v>
      </c>
      <c r="F296" t="s">
        <v>1812</v>
      </c>
      <c r="G296" t="s">
        <v>1624</v>
      </c>
      <c r="H296" t="s">
        <v>1764</v>
      </c>
      <c r="I296" t="s">
        <v>1618</v>
      </c>
      <c r="J296" t="s">
        <v>136</v>
      </c>
      <c r="K296">
        <v>0.25745430000000002</v>
      </c>
      <c r="L296">
        <v>100.407177</v>
      </c>
      <c r="M296" s="1">
        <v>3</v>
      </c>
      <c r="N296">
        <v>0</v>
      </c>
      <c r="O296">
        <v>30</v>
      </c>
      <c r="P296">
        <v>390</v>
      </c>
      <c r="Q296" s="1">
        <v>360</v>
      </c>
      <c r="R296">
        <v>0</v>
      </c>
      <c r="S296" s="2">
        <v>0</v>
      </c>
      <c r="T296" s="2">
        <v>46263</v>
      </c>
      <c r="U296">
        <v>0</v>
      </c>
      <c r="V296">
        <v>0</v>
      </c>
      <c r="W296">
        <v>2130</v>
      </c>
      <c r="X296">
        <v>6430</v>
      </c>
      <c r="Y296">
        <v>0</v>
      </c>
      <c r="Z296" s="8">
        <v>6430</v>
      </c>
      <c r="AA296">
        <v>2140</v>
      </c>
      <c r="AB296">
        <v>0</v>
      </c>
      <c r="AC296">
        <v>3.0046728971962615</v>
      </c>
      <c r="AD296" s="1">
        <v>1</v>
      </c>
      <c r="AE296" s="2">
        <v>46249</v>
      </c>
      <c r="AF296" s="2">
        <v>46257</v>
      </c>
      <c r="AG296" s="2">
        <v>46264</v>
      </c>
      <c r="AH296">
        <v>4860</v>
      </c>
      <c r="AI296" s="3">
        <v>0.78189521102590231</v>
      </c>
      <c r="AJ296" s="1">
        <v>2</v>
      </c>
      <c r="AK296" s="2">
        <v>46265</v>
      </c>
      <c r="AL296" s="4" t="s">
        <v>1658</v>
      </c>
      <c r="AM296" s="5" t="s">
        <v>1658</v>
      </c>
      <c r="AN296" s="4">
        <v>1</v>
      </c>
      <c r="AO296" t="s">
        <v>1635</v>
      </c>
      <c r="AP296" s="4" t="s">
        <v>1658</v>
      </c>
      <c r="AQ296" t="s">
        <v>1619</v>
      </c>
      <c r="AR296" t="s">
        <v>1620</v>
      </c>
      <c r="AT296" s="16">
        <f>_xlfn.XLOOKUP(B296,'SWiSH Demand Forecast Sep-26'!D:D,'SWiSH Demand Forecast Sep-26'!G:G,"Not Exist")</f>
        <v>4908.9399999999896</v>
      </c>
    </row>
    <row r="297" spans="1:46" hidden="1" x14ac:dyDescent="0.3">
      <c r="A297">
        <v>101200018</v>
      </c>
      <c r="B297" t="s">
        <v>369</v>
      </c>
      <c r="C297" t="s">
        <v>136</v>
      </c>
      <c r="D297" t="s">
        <v>1613</v>
      </c>
      <c r="E297" t="s">
        <v>2115</v>
      </c>
      <c r="F297" t="s">
        <v>1752</v>
      </c>
      <c r="G297" t="s">
        <v>1624</v>
      </c>
      <c r="H297" t="s">
        <v>1625</v>
      </c>
      <c r="I297" t="s">
        <v>1754</v>
      </c>
      <c r="J297" t="s">
        <v>2116</v>
      </c>
      <c r="K297">
        <v>2.4779735700000001</v>
      </c>
      <c r="L297">
        <v>4169.4135491463003</v>
      </c>
      <c r="M297" s="1">
        <v>3</v>
      </c>
      <c r="N297">
        <v>0</v>
      </c>
      <c r="O297">
        <v>842.27</v>
      </c>
      <c r="P297">
        <v>1682.59</v>
      </c>
      <c r="Q297" s="1">
        <v>840.31999999999994</v>
      </c>
      <c r="R297">
        <v>29.5</v>
      </c>
      <c r="S297" s="2">
        <v>46260</v>
      </c>
      <c r="T297" s="2">
        <v>46263</v>
      </c>
      <c r="U297">
        <v>16430.296000000009</v>
      </c>
      <c r="V297">
        <v>16468.073000000011</v>
      </c>
      <c r="W297">
        <v>12486.340000000007</v>
      </c>
      <c r="X297">
        <v>21904.850000000009</v>
      </c>
      <c r="Y297">
        <v>12486.340000000007</v>
      </c>
      <c r="Z297" s="8">
        <v>21904.850000000009</v>
      </c>
      <c r="AA297">
        <v>16822.389750000009</v>
      </c>
      <c r="AB297">
        <v>0.74224531624586809</v>
      </c>
      <c r="AC297">
        <v>1.3021247471691706</v>
      </c>
      <c r="AD297" s="1">
        <v>1</v>
      </c>
      <c r="AE297" s="2">
        <v>46249</v>
      </c>
      <c r="AF297" s="2">
        <v>46257</v>
      </c>
      <c r="AG297" s="2">
        <v>46264</v>
      </c>
      <c r="AH297">
        <v>7119.5600000000013</v>
      </c>
      <c r="AI297" s="3">
        <v>0.33622974222446245</v>
      </c>
      <c r="AJ297" s="1">
        <v>3</v>
      </c>
      <c r="AK297" s="2">
        <v>46266</v>
      </c>
      <c r="AL297" s="4">
        <v>5</v>
      </c>
      <c r="AM297" s="5">
        <v>3</v>
      </c>
      <c r="AN297" s="4">
        <v>1</v>
      </c>
      <c r="AO297">
        <v>1227.5103448275866</v>
      </c>
      <c r="AP297" s="4">
        <v>8</v>
      </c>
      <c r="AQ297">
        <v>820</v>
      </c>
      <c r="AR297" t="s">
        <v>2117</v>
      </c>
      <c r="AT297" s="16">
        <f>_xlfn.XLOOKUP(B297,'SWiSH Demand Forecast Sep-26'!D:D,'SWiSH Demand Forecast Sep-26'!G:G,"Not Exist")</f>
        <v>3215.1840000000002</v>
      </c>
    </row>
    <row r="298" spans="1:46" x14ac:dyDescent="0.3">
      <c r="A298">
        <v>100900073</v>
      </c>
      <c r="B298" t="s">
        <v>2118</v>
      </c>
      <c r="C298" t="s">
        <v>10</v>
      </c>
      <c r="D298" t="s">
        <v>1629</v>
      </c>
      <c r="E298" t="s">
        <v>1638</v>
      </c>
      <c r="F298" t="s">
        <v>1639</v>
      </c>
      <c r="G298" t="s">
        <v>1616</v>
      </c>
      <c r="H298" t="s">
        <v>1640</v>
      </c>
      <c r="I298" t="s">
        <v>1618</v>
      </c>
      <c r="J298" t="s">
        <v>1781</v>
      </c>
      <c r="K298">
        <v>8.2575830000000003E-2</v>
      </c>
      <c r="L298">
        <v>9.9090996000000011</v>
      </c>
      <c r="M298" s="1">
        <v>3</v>
      </c>
      <c r="N298">
        <v>0</v>
      </c>
      <c r="O298">
        <v>0</v>
      </c>
      <c r="P298">
        <v>120</v>
      </c>
      <c r="Q298" s="1">
        <v>120</v>
      </c>
      <c r="R298">
        <v>1.9818199999999999</v>
      </c>
      <c r="S298" s="2">
        <v>46224</v>
      </c>
      <c r="T298" s="2">
        <v>46251</v>
      </c>
      <c r="U298">
        <v>1056</v>
      </c>
      <c r="V298">
        <v>1053</v>
      </c>
      <c r="W298">
        <v>2376</v>
      </c>
      <c r="X298">
        <v>1752</v>
      </c>
      <c r="Y298">
        <v>1053</v>
      </c>
      <c r="Z298" s="8">
        <v>2376</v>
      </c>
      <c r="AA298">
        <v>1559.25</v>
      </c>
      <c r="AB298">
        <v>0.67532467532467533</v>
      </c>
      <c r="AC298">
        <v>1.5238095238095237</v>
      </c>
      <c r="AD298" s="1">
        <v>1</v>
      </c>
      <c r="AE298" s="2">
        <v>46249</v>
      </c>
      <c r="AF298" s="2">
        <v>46257</v>
      </c>
      <c r="AG298" s="2">
        <v>46264</v>
      </c>
      <c r="AH298">
        <v>0</v>
      </c>
      <c r="AI298" s="3">
        <v>0</v>
      </c>
      <c r="AJ298" s="1" t="s">
        <v>1635</v>
      </c>
      <c r="AK298" s="2" t="s">
        <v>1635</v>
      </c>
      <c r="AL298" s="4" t="s">
        <v>1636</v>
      </c>
      <c r="AM298" s="5" t="s">
        <v>1636</v>
      </c>
      <c r="AN298" s="4">
        <v>1</v>
      </c>
      <c r="AO298" t="s">
        <v>1635</v>
      </c>
      <c r="AP298" s="4" t="s">
        <v>1636</v>
      </c>
      <c r="AQ298" t="s">
        <v>1619</v>
      </c>
      <c r="AR298" t="s">
        <v>1800</v>
      </c>
      <c r="AT298" s="16" t="str">
        <f>_xlfn.XLOOKUP(B298,'SWiSH Demand Forecast Sep-26'!D:D,'SWiSH Demand Forecast Sep-26'!G:G,"Not Exist")</f>
        <v>Not Exist</v>
      </c>
    </row>
    <row r="299" spans="1:46" hidden="1" x14ac:dyDescent="0.3">
      <c r="A299">
        <v>100900061</v>
      </c>
      <c r="B299" t="s">
        <v>636</v>
      </c>
      <c r="C299" t="s">
        <v>10</v>
      </c>
      <c r="D299" t="s">
        <v>1629</v>
      </c>
      <c r="E299" t="s">
        <v>1638</v>
      </c>
      <c r="F299" t="s">
        <v>1639</v>
      </c>
      <c r="G299" t="s">
        <v>1616</v>
      </c>
      <c r="H299" t="s">
        <v>1640</v>
      </c>
      <c r="I299" t="s">
        <v>1618</v>
      </c>
      <c r="J299" t="s">
        <v>1641</v>
      </c>
      <c r="K299">
        <v>6.6060670000000002E-2</v>
      </c>
      <c r="L299">
        <v>1.9818201</v>
      </c>
      <c r="M299" s="1">
        <v>3</v>
      </c>
      <c r="N299">
        <v>0</v>
      </c>
      <c r="O299">
        <v>0</v>
      </c>
      <c r="P299">
        <v>30</v>
      </c>
      <c r="Q299" s="1">
        <v>30</v>
      </c>
      <c r="R299">
        <v>1.9818199999999999</v>
      </c>
      <c r="S299" s="2">
        <v>46203</v>
      </c>
      <c r="T299" s="2">
        <v>46258</v>
      </c>
      <c r="U299">
        <v>570</v>
      </c>
      <c r="V299">
        <v>720</v>
      </c>
      <c r="W299">
        <v>720</v>
      </c>
      <c r="X299">
        <v>840</v>
      </c>
      <c r="Y299">
        <v>570</v>
      </c>
      <c r="Z299" s="8">
        <v>840</v>
      </c>
      <c r="AA299">
        <v>712.5</v>
      </c>
      <c r="AB299">
        <v>0.8</v>
      </c>
      <c r="AC299">
        <v>1.1789473684210525</v>
      </c>
      <c r="AD299" s="1">
        <v>1</v>
      </c>
      <c r="AE299" s="2">
        <v>46249</v>
      </c>
      <c r="AF299" s="2">
        <v>46257</v>
      </c>
      <c r="AG299" s="2">
        <v>46264</v>
      </c>
      <c r="AH299">
        <v>150</v>
      </c>
      <c r="AI299" s="3">
        <v>0.18472906403940889</v>
      </c>
      <c r="AJ299" s="1">
        <v>5</v>
      </c>
      <c r="AK299" s="2">
        <v>46268</v>
      </c>
      <c r="AL299" s="4" t="s">
        <v>1636</v>
      </c>
      <c r="AM299" s="5" t="s">
        <v>1636</v>
      </c>
      <c r="AN299" s="4">
        <v>1</v>
      </c>
      <c r="AO299" t="s">
        <v>1635</v>
      </c>
      <c r="AP299" s="4" t="s">
        <v>1636</v>
      </c>
      <c r="AQ299" t="s">
        <v>1619</v>
      </c>
      <c r="AR299" t="s">
        <v>1620</v>
      </c>
      <c r="AT299" s="16">
        <f>_xlfn.XLOOKUP(B299,'SWiSH Demand Forecast Sep-26'!D:D,'SWiSH Demand Forecast Sep-26'!G:G,"Not Exist")</f>
        <v>846</v>
      </c>
    </row>
    <row r="300" spans="1:46" x14ac:dyDescent="0.3">
      <c r="A300">
        <v>101600088</v>
      </c>
      <c r="B300" t="s">
        <v>2119</v>
      </c>
      <c r="C300" t="s">
        <v>10</v>
      </c>
      <c r="D300" t="s">
        <v>1629</v>
      </c>
      <c r="E300" t="s">
        <v>1663</v>
      </c>
      <c r="F300" t="s">
        <v>1631</v>
      </c>
      <c r="G300" t="s">
        <v>1624</v>
      </c>
      <c r="H300" t="s">
        <v>1768</v>
      </c>
      <c r="I300" t="s">
        <v>1634</v>
      </c>
      <c r="J300" t="s">
        <v>10</v>
      </c>
      <c r="K300">
        <v>0.18</v>
      </c>
      <c r="L300">
        <v>18</v>
      </c>
      <c r="M300" s="1">
        <v>3</v>
      </c>
      <c r="N300">
        <v>0</v>
      </c>
      <c r="O300">
        <v>0</v>
      </c>
      <c r="P300">
        <v>100</v>
      </c>
      <c r="Q300" s="1">
        <v>100</v>
      </c>
      <c r="R300">
        <v>18</v>
      </c>
      <c r="S300" s="2">
        <v>46146</v>
      </c>
      <c r="T300" s="2">
        <v>46249</v>
      </c>
      <c r="U300">
        <v>1500</v>
      </c>
      <c r="V300">
        <v>0</v>
      </c>
      <c r="W300">
        <v>2900</v>
      </c>
      <c r="X300">
        <v>0</v>
      </c>
      <c r="Y300">
        <v>0</v>
      </c>
      <c r="Z300" s="8">
        <v>2900</v>
      </c>
      <c r="AA300">
        <v>1100</v>
      </c>
      <c r="AB300">
        <v>0</v>
      </c>
      <c r="AC300">
        <v>2.6363636363636362</v>
      </c>
      <c r="AD300" s="1">
        <v>1</v>
      </c>
      <c r="AE300" s="2">
        <v>46249</v>
      </c>
      <c r="AF300" s="2">
        <v>46257</v>
      </c>
      <c r="AG300" s="2">
        <v>46264</v>
      </c>
      <c r="AH300">
        <v>2200</v>
      </c>
      <c r="AI300" s="3">
        <v>0.78478002378121281</v>
      </c>
      <c r="AJ300" s="1">
        <v>1</v>
      </c>
      <c r="AK300" s="2">
        <v>46264</v>
      </c>
      <c r="AL300" s="4" t="s">
        <v>1636</v>
      </c>
      <c r="AM300" s="5" t="s">
        <v>1636</v>
      </c>
      <c r="AN300" s="4">
        <v>1</v>
      </c>
      <c r="AO300" t="s">
        <v>1635</v>
      </c>
      <c r="AP300" s="4" t="s">
        <v>1636</v>
      </c>
      <c r="AQ300">
        <v>83</v>
      </c>
      <c r="AR300" t="s">
        <v>2120</v>
      </c>
      <c r="AS300" t="s">
        <v>1666</v>
      </c>
      <c r="AT300" s="16" t="str">
        <f>_xlfn.XLOOKUP(B300,'SWiSH Demand Forecast Sep-26'!D:D,'SWiSH Demand Forecast Sep-26'!G:G,"Not Exist")</f>
        <v>Not Exist</v>
      </c>
    </row>
    <row r="301" spans="1:46" x14ac:dyDescent="0.3">
      <c r="A301">
        <v>106600151</v>
      </c>
      <c r="B301" t="s">
        <v>2121</v>
      </c>
      <c r="C301" t="s">
        <v>10</v>
      </c>
      <c r="D301" t="s">
        <v>1699</v>
      </c>
      <c r="E301" t="s">
        <v>1663</v>
      </c>
      <c r="F301" t="s">
        <v>1664</v>
      </c>
      <c r="G301" t="s">
        <v>1624</v>
      </c>
      <c r="H301" t="s">
        <v>1723</v>
      </c>
      <c r="I301" t="s">
        <v>1634</v>
      </c>
      <c r="J301" t="s">
        <v>10</v>
      </c>
      <c r="K301">
        <v>5.4000000000000003E-3</v>
      </c>
      <c r="L301">
        <v>10.8</v>
      </c>
      <c r="M301" s="1">
        <v>15</v>
      </c>
      <c r="N301">
        <v>0</v>
      </c>
      <c r="O301">
        <v>0</v>
      </c>
      <c r="P301">
        <v>2000</v>
      </c>
      <c r="Q301" s="1">
        <v>2000</v>
      </c>
      <c r="R301">
        <v>5.4000000000000003E-3</v>
      </c>
      <c r="S301" s="2">
        <v>46158</v>
      </c>
      <c r="T301" s="2">
        <v>46162</v>
      </c>
      <c r="U301">
        <v>0</v>
      </c>
      <c r="V301">
        <v>50000</v>
      </c>
      <c r="W301">
        <v>0</v>
      </c>
      <c r="X301">
        <v>0</v>
      </c>
      <c r="Y301">
        <v>0</v>
      </c>
      <c r="Z301" s="8">
        <v>50000</v>
      </c>
      <c r="AA301">
        <v>12500</v>
      </c>
      <c r="AB301">
        <v>0</v>
      </c>
      <c r="AC301">
        <v>4</v>
      </c>
      <c r="AD301" s="1">
        <v>1</v>
      </c>
      <c r="AE301" s="2">
        <v>46249</v>
      </c>
      <c r="AF301" s="2">
        <v>46257</v>
      </c>
      <c r="AG301" s="2">
        <v>46264</v>
      </c>
      <c r="AH301">
        <v>0</v>
      </c>
      <c r="AI301" s="3">
        <v>0</v>
      </c>
      <c r="AJ301" s="1" t="s">
        <v>1635</v>
      </c>
      <c r="AK301" s="2" t="s">
        <v>1635</v>
      </c>
      <c r="AL301" s="4" t="s">
        <v>1658</v>
      </c>
      <c r="AM301" s="5" t="s">
        <v>1658</v>
      </c>
      <c r="AN301" s="4">
        <v>1</v>
      </c>
      <c r="AO301" t="s">
        <v>1635</v>
      </c>
      <c r="AP301" s="4" t="s">
        <v>1658</v>
      </c>
      <c r="AQ301" t="s">
        <v>1619</v>
      </c>
      <c r="AR301" t="s">
        <v>1620</v>
      </c>
      <c r="AT301" s="16" t="str">
        <f>_xlfn.XLOOKUP(B301,'SWiSH Demand Forecast Sep-26'!D:D,'SWiSH Demand Forecast Sep-26'!G:G,"Not Exist")</f>
        <v>Not Exist</v>
      </c>
    </row>
    <row r="302" spans="1:46" hidden="1" x14ac:dyDescent="0.3">
      <c r="A302">
        <v>100900074</v>
      </c>
      <c r="B302" t="s">
        <v>1032</v>
      </c>
      <c r="C302" t="s">
        <v>10</v>
      </c>
      <c r="D302" t="s">
        <v>1629</v>
      </c>
      <c r="E302" t="s">
        <v>2122</v>
      </c>
      <c r="F302" t="s">
        <v>1639</v>
      </c>
      <c r="G302" t="s">
        <v>1616</v>
      </c>
      <c r="H302" t="s">
        <v>1640</v>
      </c>
      <c r="I302" t="s">
        <v>1618</v>
      </c>
      <c r="J302" t="s">
        <v>10</v>
      </c>
      <c r="K302">
        <v>0.12424250000000001</v>
      </c>
      <c r="L302">
        <v>1.49091</v>
      </c>
      <c r="M302" s="1">
        <v>3</v>
      </c>
      <c r="N302">
        <v>0</v>
      </c>
      <c r="O302">
        <v>0</v>
      </c>
      <c r="P302">
        <v>12</v>
      </c>
      <c r="Q302" s="1">
        <v>12</v>
      </c>
      <c r="R302">
        <v>2.73333</v>
      </c>
      <c r="S302" s="2">
        <v>46214</v>
      </c>
      <c r="T302" s="2">
        <v>46253</v>
      </c>
      <c r="U302">
        <v>240</v>
      </c>
      <c r="V302">
        <v>288</v>
      </c>
      <c r="W302">
        <v>240</v>
      </c>
      <c r="X302">
        <v>228</v>
      </c>
      <c r="Y302">
        <v>228</v>
      </c>
      <c r="Z302" s="8">
        <v>288</v>
      </c>
      <c r="AA302">
        <v>249</v>
      </c>
      <c r="AB302">
        <v>0.91566265060240959</v>
      </c>
      <c r="AC302">
        <v>1.1566265060240963</v>
      </c>
      <c r="AD302" s="1">
        <v>1</v>
      </c>
      <c r="AE302" s="2">
        <v>46249</v>
      </c>
      <c r="AF302" s="2">
        <v>46257</v>
      </c>
      <c r="AG302" s="2">
        <v>46264</v>
      </c>
      <c r="AH302">
        <v>72</v>
      </c>
      <c r="AI302" s="3">
        <v>0.25862068965517238</v>
      </c>
      <c r="AJ302" s="1">
        <v>4</v>
      </c>
      <c r="AK302" s="2">
        <v>46267</v>
      </c>
      <c r="AL302" s="4" t="s">
        <v>1636</v>
      </c>
      <c r="AM302" s="5" t="s">
        <v>1636</v>
      </c>
      <c r="AN302" s="4">
        <v>1</v>
      </c>
      <c r="AO302" t="s">
        <v>1635</v>
      </c>
      <c r="AP302" s="4" t="s">
        <v>1636</v>
      </c>
      <c r="AQ302" t="s">
        <v>1619</v>
      </c>
      <c r="AR302" t="s">
        <v>1620</v>
      </c>
      <c r="AT302" s="16">
        <f>_xlfn.XLOOKUP(B302,'SWiSH Demand Forecast Sep-26'!D:D,'SWiSH Demand Forecast Sep-26'!G:G,"Not Exist")</f>
        <v>134</v>
      </c>
    </row>
    <row r="303" spans="1:46" x14ac:dyDescent="0.3">
      <c r="A303">
        <v>107500010</v>
      </c>
      <c r="B303" t="s">
        <v>2123</v>
      </c>
      <c r="C303" t="s">
        <v>240</v>
      </c>
      <c r="D303" t="s">
        <v>1613</v>
      </c>
      <c r="E303" t="s">
        <v>1832</v>
      </c>
      <c r="F303" t="s">
        <v>1623</v>
      </c>
      <c r="G303" t="s">
        <v>1616</v>
      </c>
      <c r="H303" t="s">
        <v>2030</v>
      </c>
      <c r="I303" t="s">
        <v>1626</v>
      </c>
      <c r="J303" t="s">
        <v>2124</v>
      </c>
      <c r="K303">
        <v>0.42899999999999999</v>
      </c>
      <c r="L303">
        <v>5.1479999999999997</v>
      </c>
      <c r="M303" s="1">
        <v>3</v>
      </c>
      <c r="N303">
        <v>0</v>
      </c>
      <c r="O303">
        <v>0</v>
      </c>
      <c r="P303">
        <v>12</v>
      </c>
      <c r="Q303" s="1">
        <v>12</v>
      </c>
      <c r="R303">
        <v>8.58</v>
      </c>
      <c r="S303" s="2">
        <v>46261</v>
      </c>
      <c r="T303" s="2">
        <v>46262</v>
      </c>
      <c r="U303">
        <v>280</v>
      </c>
      <c r="V303">
        <v>230</v>
      </c>
      <c r="W303">
        <v>170</v>
      </c>
      <c r="X303">
        <v>120</v>
      </c>
      <c r="Y303">
        <v>120</v>
      </c>
      <c r="Z303" s="8">
        <v>280</v>
      </c>
      <c r="AA303">
        <v>200</v>
      </c>
      <c r="AB303">
        <v>0.6</v>
      </c>
      <c r="AC303">
        <v>1.4</v>
      </c>
      <c r="AD303" s="1">
        <v>1</v>
      </c>
      <c r="AE303" s="2">
        <v>46249</v>
      </c>
      <c r="AF303" s="2">
        <v>46257</v>
      </c>
      <c r="AG303" s="2">
        <v>46264</v>
      </c>
      <c r="AH303">
        <v>112</v>
      </c>
      <c r="AI303" s="3">
        <v>0.41379310344827586</v>
      </c>
      <c r="AJ303" s="1">
        <v>3</v>
      </c>
      <c r="AK303" s="2">
        <v>46266</v>
      </c>
      <c r="AL303" s="4">
        <v>8</v>
      </c>
      <c r="AM303" s="5">
        <v>5</v>
      </c>
      <c r="AN303" s="4">
        <v>1</v>
      </c>
      <c r="AO303">
        <v>30.896551724137932</v>
      </c>
      <c r="AP303" s="4">
        <v>4</v>
      </c>
      <c r="AQ303" t="s">
        <v>1619</v>
      </c>
      <c r="AR303" t="s">
        <v>1859</v>
      </c>
      <c r="AT303" s="16" t="str">
        <f>_xlfn.XLOOKUP(B303,'SWiSH Demand Forecast Sep-26'!D:D,'SWiSH Demand Forecast Sep-26'!G:G,"Not Exist")</f>
        <v>Not Exist</v>
      </c>
    </row>
    <row r="304" spans="1:46" hidden="1" x14ac:dyDescent="0.3">
      <c r="A304">
        <v>103700080</v>
      </c>
      <c r="B304" t="s">
        <v>1424</v>
      </c>
      <c r="C304" t="s">
        <v>136</v>
      </c>
      <c r="D304" t="s">
        <v>1613</v>
      </c>
      <c r="E304" t="s">
        <v>1677</v>
      </c>
      <c r="F304" t="s">
        <v>1615</v>
      </c>
      <c r="G304" t="s">
        <v>1616</v>
      </c>
      <c r="H304" t="s">
        <v>1617</v>
      </c>
      <c r="I304" t="s">
        <v>1618</v>
      </c>
      <c r="J304" t="s">
        <v>2125</v>
      </c>
      <c r="K304">
        <v>2.38</v>
      </c>
      <c r="L304">
        <v>2.38</v>
      </c>
      <c r="M304" s="1">
        <v>3</v>
      </c>
      <c r="N304">
        <v>0</v>
      </c>
      <c r="O304">
        <v>0</v>
      </c>
      <c r="P304">
        <v>1</v>
      </c>
      <c r="Q304" s="1">
        <v>1</v>
      </c>
      <c r="R304">
        <v>0.7</v>
      </c>
      <c r="S304" s="2">
        <v>46247</v>
      </c>
      <c r="T304" s="2">
        <v>46263</v>
      </c>
      <c r="U304">
        <v>23</v>
      </c>
      <c r="V304">
        <v>22.5</v>
      </c>
      <c r="W304">
        <v>16</v>
      </c>
      <c r="X304">
        <v>13</v>
      </c>
      <c r="Y304">
        <v>13</v>
      </c>
      <c r="Z304" s="8">
        <v>23</v>
      </c>
      <c r="AA304">
        <v>18.625</v>
      </c>
      <c r="AB304">
        <v>0.69798657718120805</v>
      </c>
      <c r="AC304">
        <v>1.2348993288590604</v>
      </c>
      <c r="AD304" s="1">
        <v>1</v>
      </c>
      <c r="AE304" s="2">
        <v>46249</v>
      </c>
      <c r="AF304" s="2">
        <v>46257</v>
      </c>
      <c r="AG304" s="2">
        <v>46264</v>
      </c>
      <c r="AH304">
        <v>16</v>
      </c>
      <c r="AI304" s="3">
        <v>0.71964017991004503</v>
      </c>
      <c r="AJ304" s="1">
        <v>1</v>
      </c>
      <c r="AK304" s="2">
        <v>46264</v>
      </c>
      <c r="AL304" s="4">
        <v>30</v>
      </c>
      <c r="AM304" s="5">
        <v>15</v>
      </c>
      <c r="AN304" s="4">
        <v>1</v>
      </c>
      <c r="AO304">
        <v>16.551724137931036</v>
      </c>
      <c r="AP304" s="4">
        <v>1</v>
      </c>
      <c r="AQ304">
        <v>30</v>
      </c>
      <c r="AR304" t="s">
        <v>2126</v>
      </c>
      <c r="AT304" s="16">
        <f>_xlfn.XLOOKUP(B304,'SWiSH Demand Forecast Sep-26'!D:D,'SWiSH Demand Forecast Sep-26'!G:G,"Not Exist")</f>
        <v>10.4401465798045</v>
      </c>
    </row>
    <row r="305" spans="1:46" hidden="1" x14ac:dyDescent="0.3">
      <c r="A305">
        <v>107500002</v>
      </c>
      <c r="B305" t="s">
        <v>1052</v>
      </c>
      <c r="C305" t="s">
        <v>136</v>
      </c>
      <c r="D305" t="s">
        <v>1613</v>
      </c>
      <c r="E305" t="s">
        <v>2127</v>
      </c>
      <c r="F305" t="s">
        <v>1623</v>
      </c>
      <c r="G305" t="s">
        <v>1616</v>
      </c>
      <c r="H305" t="s">
        <v>2030</v>
      </c>
      <c r="I305" t="s">
        <v>1626</v>
      </c>
      <c r="J305" t="s">
        <v>2031</v>
      </c>
      <c r="K305">
        <v>2.4799996100000001</v>
      </c>
      <c r="L305">
        <v>80.351987363999996</v>
      </c>
      <c r="M305" s="1">
        <v>3</v>
      </c>
      <c r="N305">
        <v>0</v>
      </c>
      <c r="O305">
        <v>0</v>
      </c>
      <c r="P305">
        <v>32.4</v>
      </c>
      <c r="Q305" s="1">
        <v>32.4</v>
      </c>
      <c r="R305">
        <v>17.856000000000002</v>
      </c>
      <c r="S305" s="2">
        <v>46258</v>
      </c>
      <c r="T305" s="2">
        <v>46263</v>
      </c>
      <c r="U305">
        <v>603.29999999999973</v>
      </c>
      <c r="V305">
        <v>579.452</v>
      </c>
      <c r="W305">
        <v>553.65</v>
      </c>
      <c r="X305">
        <v>628.79799999999989</v>
      </c>
      <c r="Y305">
        <v>553.65</v>
      </c>
      <c r="Z305" s="8">
        <v>628.79799999999989</v>
      </c>
      <c r="AA305">
        <v>591.29999999999984</v>
      </c>
      <c r="AB305">
        <v>0.93632673769660091</v>
      </c>
      <c r="AC305">
        <v>1.0634162015897177</v>
      </c>
      <c r="AD305" s="1">
        <v>1</v>
      </c>
      <c r="AE305" s="2">
        <v>46249</v>
      </c>
      <c r="AF305" s="2">
        <v>46257</v>
      </c>
      <c r="AG305" s="2">
        <v>46264</v>
      </c>
      <c r="AH305">
        <v>474.44999999999987</v>
      </c>
      <c r="AI305" s="3">
        <v>0.78055328551869785</v>
      </c>
      <c r="AJ305" s="1">
        <v>1</v>
      </c>
      <c r="AK305" s="2">
        <v>46264</v>
      </c>
      <c r="AL305" s="4">
        <v>7</v>
      </c>
      <c r="AM305" s="5">
        <v>7</v>
      </c>
      <c r="AN305" s="4">
        <v>1</v>
      </c>
      <c r="AO305">
        <v>114.52241379310341</v>
      </c>
      <c r="AP305" s="4">
        <v>5</v>
      </c>
      <c r="AQ305" t="s">
        <v>1619</v>
      </c>
      <c r="AR305" t="s">
        <v>1620</v>
      </c>
      <c r="AT305" s="16">
        <f>_xlfn.XLOOKUP(B305,'SWiSH Demand Forecast Sep-26'!D:D,'SWiSH Demand Forecast Sep-26'!G:G,"Not Exist")</f>
        <v>126.27078112655499</v>
      </c>
    </row>
    <row r="306" spans="1:46" hidden="1" x14ac:dyDescent="0.3">
      <c r="A306">
        <v>103400020</v>
      </c>
      <c r="B306" t="s">
        <v>632</v>
      </c>
      <c r="C306" t="s">
        <v>136</v>
      </c>
      <c r="D306" t="s">
        <v>1613</v>
      </c>
      <c r="E306" t="s">
        <v>1638</v>
      </c>
      <c r="F306" t="s">
        <v>1752</v>
      </c>
      <c r="G306" t="s">
        <v>1624</v>
      </c>
      <c r="H306" t="s">
        <v>1931</v>
      </c>
      <c r="I306" t="s">
        <v>1754</v>
      </c>
      <c r="J306" t="s">
        <v>1959</v>
      </c>
      <c r="K306">
        <v>0.64</v>
      </c>
      <c r="L306">
        <v>1235.2</v>
      </c>
      <c r="M306" s="1">
        <v>3</v>
      </c>
      <c r="N306">
        <v>0</v>
      </c>
      <c r="O306">
        <v>1150</v>
      </c>
      <c r="P306">
        <v>1930</v>
      </c>
      <c r="Q306" s="1">
        <v>780</v>
      </c>
      <c r="R306">
        <v>6.84</v>
      </c>
      <c r="S306" s="2">
        <v>46174</v>
      </c>
      <c r="T306" s="2">
        <v>46263</v>
      </c>
      <c r="U306">
        <v>12060</v>
      </c>
      <c r="V306">
        <v>13260</v>
      </c>
      <c r="W306">
        <v>18077.5</v>
      </c>
      <c r="X306">
        <v>17900</v>
      </c>
      <c r="Y306">
        <v>12060</v>
      </c>
      <c r="Z306" s="8">
        <v>18077.5</v>
      </c>
      <c r="AA306">
        <v>15324.375</v>
      </c>
      <c r="AB306">
        <v>0.78698152453199555</v>
      </c>
      <c r="AC306">
        <v>1.179656592846364</v>
      </c>
      <c r="AD306" s="1">
        <v>1</v>
      </c>
      <c r="AE306" s="2">
        <v>46249</v>
      </c>
      <c r="AF306" s="2">
        <v>46257</v>
      </c>
      <c r="AG306" s="2">
        <v>46264</v>
      </c>
      <c r="AH306">
        <v>17830</v>
      </c>
      <c r="AI306" s="3">
        <v>1.0203196009518405</v>
      </c>
      <c r="AJ306" s="1">
        <v>1</v>
      </c>
      <c r="AK306" s="2">
        <v>46264</v>
      </c>
      <c r="AL306" s="4">
        <v>4</v>
      </c>
      <c r="AM306" s="5">
        <v>3</v>
      </c>
      <c r="AN306" s="4">
        <v>1</v>
      </c>
      <c r="AO306">
        <v>2459.3103448275865</v>
      </c>
      <c r="AP306" s="4">
        <v>9</v>
      </c>
      <c r="AQ306" t="s">
        <v>1619</v>
      </c>
      <c r="AR306" t="s">
        <v>1620</v>
      </c>
      <c r="AT306" s="16">
        <f>_xlfn.XLOOKUP(B306,'SWiSH Demand Forecast Sep-26'!D:D,'SWiSH Demand Forecast Sep-26'!G:G,"Not Exist")</f>
        <v>861.60273972602704</v>
      </c>
    </row>
    <row r="307" spans="1:46" hidden="1" x14ac:dyDescent="0.3">
      <c r="A307">
        <v>100700026</v>
      </c>
      <c r="B307" t="s">
        <v>1033</v>
      </c>
      <c r="C307" t="s">
        <v>136</v>
      </c>
      <c r="D307" t="s">
        <v>1613</v>
      </c>
      <c r="E307" t="s">
        <v>1862</v>
      </c>
      <c r="F307" t="s">
        <v>1875</v>
      </c>
      <c r="G307" t="s">
        <v>1616</v>
      </c>
      <c r="H307" t="s">
        <v>1867</v>
      </c>
      <c r="I307" t="s">
        <v>1618</v>
      </c>
      <c r="J307" t="s">
        <v>2128</v>
      </c>
      <c r="K307">
        <v>1.20787304</v>
      </c>
      <c r="L307">
        <v>22.611383308799997</v>
      </c>
      <c r="M307" s="1">
        <v>3</v>
      </c>
      <c r="N307">
        <v>0</v>
      </c>
      <c r="O307">
        <v>0</v>
      </c>
      <c r="P307">
        <v>18.72</v>
      </c>
      <c r="Q307" s="1">
        <v>18.72</v>
      </c>
      <c r="R307">
        <v>10.25</v>
      </c>
      <c r="S307" s="2">
        <v>46249</v>
      </c>
      <c r="T307" s="2">
        <v>46263</v>
      </c>
      <c r="U307">
        <v>301.08000000000004</v>
      </c>
      <c r="V307">
        <v>405.30000000000018</v>
      </c>
      <c r="W307">
        <v>393.72000000000008</v>
      </c>
      <c r="X307">
        <v>460.07400000000013</v>
      </c>
      <c r="Y307">
        <v>301.08000000000004</v>
      </c>
      <c r="Z307" s="8">
        <v>460.07400000000013</v>
      </c>
      <c r="AA307">
        <v>390.04350000000011</v>
      </c>
      <c r="AB307">
        <v>0.77191390191094056</v>
      </c>
      <c r="AC307">
        <v>1.1795453584023321</v>
      </c>
      <c r="AD307" s="1">
        <v>1</v>
      </c>
      <c r="AE307" s="2">
        <v>46249</v>
      </c>
      <c r="AF307" s="2">
        <v>46257</v>
      </c>
      <c r="AG307" s="2">
        <v>46264</v>
      </c>
      <c r="AH307">
        <v>410.71200000000022</v>
      </c>
      <c r="AI307" s="3">
        <v>0.92349161821494108</v>
      </c>
      <c r="AJ307" s="1">
        <v>1</v>
      </c>
      <c r="AK307" s="2">
        <v>46264</v>
      </c>
      <c r="AL307" s="4">
        <v>30</v>
      </c>
      <c r="AM307" s="5">
        <v>15</v>
      </c>
      <c r="AN307" s="4">
        <v>1</v>
      </c>
      <c r="AO307">
        <v>424.8744827586209</v>
      </c>
      <c r="AP307" s="4">
        <v>1</v>
      </c>
      <c r="AQ307">
        <v>50</v>
      </c>
      <c r="AR307" t="s">
        <v>2129</v>
      </c>
      <c r="AT307" s="16">
        <f>_xlfn.XLOOKUP(B307,'SWiSH Demand Forecast Sep-26'!D:D,'SWiSH Demand Forecast Sep-26'!G:G,"Not Exist")</f>
        <v>133.154312738632</v>
      </c>
    </row>
    <row r="308" spans="1:46" hidden="1" x14ac:dyDescent="0.3">
      <c r="A308">
        <v>103400040</v>
      </c>
      <c r="B308" t="s">
        <v>183</v>
      </c>
      <c r="C308" t="s">
        <v>136</v>
      </c>
      <c r="D308" t="s">
        <v>1613</v>
      </c>
      <c r="E308" t="s">
        <v>1663</v>
      </c>
      <c r="F308" t="s">
        <v>1752</v>
      </c>
      <c r="G308" t="s">
        <v>1616</v>
      </c>
      <c r="H308" t="s">
        <v>1931</v>
      </c>
      <c r="I308" t="s">
        <v>1754</v>
      </c>
      <c r="J308" t="s">
        <v>136</v>
      </c>
      <c r="K308">
        <v>0.57999999999999996</v>
      </c>
      <c r="L308">
        <v>1241.1999999999998</v>
      </c>
      <c r="M308" s="1">
        <v>3</v>
      </c>
      <c r="N308">
        <v>0</v>
      </c>
      <c r="O308">
        <v>870</v>
      </c>
      <c r="P308">
        <v>2140</v>
      </c>
      <c r="Q308" s="1">
        <v>1270</v>
      </c>
      <c r="R308">
        <v>5.8</v>
      </c>
      <c r="S308" s="2">
        <v>46263</v>
      </c>
      <c r="T308" s="2">
        <v>46263</v>
      </c>
      <c r="U308">
        <v>0</v>
      </c>
      <c r="V308">
        <v>0</v>
      </c>
      <c r="W308">
        <v>21260</v>
      </c>
      <c r="X308">
        <v>24470</v>
      </c>
      <c r="Y308">
        <v>0</v>
      </c>
      <c r="Z308" s="8">
        <v>24470</v>
      </c>
      <c r="AA308">
        <v>11432.5</v>
      </c>
      <c r="AB308">
        <v>0</v>
      </c>
      <c r="AC308">
        <v>2.1403892411983381</v>
      </c>
      <c r="AD308" s="1">
        <v>1</v>
      </c>
      <c r="AE308" s="2">
        <v>46249</v>
      </c>
      <c r="AF308" s="2">
        <v>46257</v>
      </c>
      <c r="AG308" s="2">
        <v>46264</v>
      </c>
      <c r="AH308">
        <v>23740</v>
      </c>
      <c r="AI308" s="3">
        <v>1.0036216056254668</v>
      </c>
      <c r="AJ308" s="1">
        <v>1</v>
      </c>
      <c r="AK308" s="2">
        <v>46264</v>
      </c>
      <c r="AL308" s="4">
        <v>5</v>
      </c>
      <c r="AM308" s="5">
        <v>3</v>
      </c>
      <c r="AN308" s="4">
        <v>1</v>
      </c>
      <c r="AO308">
        <v>4093.1034482758619</v>
      </c>
      <c r="AP308" s="4">
        <v>8</v>
      </c>
      <c r="AQ308">
        <v>550</v>
      </c>
      <c r="AR308" t="s">
        <v>2130</v>
      </c>
      <c r="AT308" s="16">
        <f>_xlfn.XLOOKUP(B308,'SWiSH Demand Forecast Sep-26'!D:D,'SWiSH Demand Forecast Sep-26'!G:G,"Not Exist")</f>
        <v>9516.8518518518504</v>
      </c>
    </row>
    <row r="309" spans="1:46" hidden="1" x14ac:dyDescent="0.3">
      <c r="A309">
        <v>102500010</v>
      </c>
      <c r="B309" t="s">
        <v>190</v>
      </c>
      <c r="C309" t="s">
        <v>136</v>
      </c>
      <c r="D309" t="s">
        <v>1613</v>
      </c>
      <c r="E309" t="s">
        <v>2131</v>
      </c>
      <c r="F309" t="s">
        <v>1927</v>
      </c>
      <c r="G309" t="s">
        <v>1616</v>
      </c>
      <c r="H309" t="s">
        <v>1928</v>
      </c>
      <c r="I309" t="s">
        <v>1618</v>
      </c>
      <c r="J309" t="s">
        <v>136</v>
      </c>
      <c r="K309">
        <v>0.15</v>
      </c>
      <c r="L309">
        <v>601.5</v>
      </c>
      <c r="M309" s="1">
        <v>3</v>
      </c>
      <c r="N309">
        <v>0</v>
      </c>
      <c r="O309">
        <v>540</v>
      </c>
      <c r="P309">
        <v>4010</v>
      </c>
      <c r="Q309" s="1">
        <v>3470</v>
      </c>
      <c r="R309">
        <v>1.45</v>
      </c>
      <c r="S309" s="2">
        <v>46263</v>
      </c>
      <c r="T309" s="2">
        <v>46263</v>
      </c>
      <c r="U309">
        <v>53450</v>
      </c>
      <c r="V309">
        <v>55480</v>
      </c>
      <c r="W309">
        <v>58850</v>
      </c>
      <c r="X309">
        <v>57340</v>
      </c>
      <c r="Y309">
        <v>53450</v>
      </c>
      <c r="Z309" s="8">
        <v>58850</v>
      </c>
      <c r="AA309">
        <v>56280</v>
      </c>
      <c r="AB309">
        <v>0.94971570717839371</v>
      </c>
      <c r="AC309">
        <v>1.0456645344705047</v>
      </c>
      <c r="AD309" s="1">
        <v>1</v>
      </c>
      <c r="AE309" s="2">
        <v>46249</v>
      </c>
      <c r="AF309" s="2">
        <v>46257</v>
      </c>
      <c r="AG309" s="2">
        <v>46264</v>
      </c>
      <c r="AH309">
        <v>54810</v>
      </c>
      <c r="AI309" s="3">
        <v>0.96346644010195415</v>
      </c>
      <c r="AJ309" s="1">
        <v>1</v>
      </c>
      <c r="AK309" s="2">
        <v>46264</v>
      </c>
      <c r="AL309" s="4">
        <v>4</v>
      </c>
      <c r="AM309" s="5">
        <v>3</v>
      </c>
      <c r="AN309" s="4">
        <v>1</v>
      </c>
      <c r="AO309">
        <v>7560.0000000000009</v>
      </c>
      <c r="AP309" s="4">
        <v>9</v>
      </c>
      <c r="AQ309">
        <v>500</v>
      </c>
      <c r="AR309" t="s">
        <v>2132</v>
      </c>
      <c r="AT309" s="16">
        <f>_xlfn.XLOOKUP(B309,'SWiSH Demand Forecast Sep-26'!D:D,'SWiSH Demand Forecast Sep-26'!G:G,"Not Exist")</f>
        <v>9132.8268319420895</v>
      </c>
    </row>
    <row r="310" spans="1:46" hidden="1" x14ac:dyDescent="0.3">
      <c r="A310">
        <v>100700018</v>
      </c>
      <c r="B310" t="s">
        <v>793</v>
      </c>
      <c r="C310" t="s">
        <v>136</v>
      </c>
      <c r="D310" t="s">
        <v>1613</v>
      </c>
      <c r="E310" t="s">
        <v>2133</v>
      </c>
      <c r="F310" t="s">
        <v>1875</v>
      </c>
      <c r="G310" t="s">
        <v>1616</v>
      </c>
      <c r="H310" t="s">
        <v>1867</v>
      </c>
      <c r="I310" t="s">
        <v>1618</v>
      </c>
      <c r="J310" t="s">
        <v>2134</v>
      </c>
      <c r="K310">
        <v>1</v>
      </c>
      <c r="L310">
        <v>205.56</v>
      </c>
      <c r="M310" s="1">
        <v>3</v>
      </c>
      <c r="N310">
        <v>0</v>
      </c>
      <c r="O310">
        <v>50</v>
      </c>
      <c r="P310">
        <v>205.56</v>
      </c>
      <c r="Q310" s="1">
        <v>155.56</v>
      </c>
      <c r="R310">
        <v>10</v>
      </c>
      <c r="S310" s="2">
        <v>46258</v>
      </c>
      <c r="T310" s="2">
        <v>46263</v>
      </c>
      <c r="U310">
        <v>2285.780000000002</v>
      </c>
      <c r="V310">
        <v>1896.6</v>
      </c>
      <c r="W310">
        <v>1709.7800000000052</v>
      </c>
      <c r="X310">
        <v>2705.4400000000182</v>
      </c>
      <c r="Y310">
        <v>1709.7800000000052</v>
      </c>
      <c r="Z310" s="8">
        <v>2705.4400000000182</v>
      </c>
      <c r="AA310">
        <v>2149.4000000000065</v>
      </c>
      <c r="AB310">
        <v>0.7954685028380013</v>
      </c>
      <c r="AC310">
        <v>1.2586954498929981</v>
      </c>
      <c r="AD310" s="1">
        <v>1</v>
      </c>
      <c r="AE310" s="2">
        <v>46249</v>
      </c>
      <c r="AF310" s="2">
        <v>46257</v>
      </c>
      <c r="AG310" s="2">
        <v>46264</v>
      </c>
      <c r="AH310">
        <v>2212.4000000000069</v>
      </c>
      <c r="AI310" s="3">
        <v>0.8459583857606916</v>
      </c>
      <c r="AJ310" s="1">
        <v>2</v>
      </c>
      <c r="AK310" s="2">
        <v>46265</v>
      </c>
      <c r="AL310" s="4">
        <v>15</v>
      </c>
      <c r="AM310" s="5">
        <v>15</v>
      </c>
      <c r="AN310" s="4">
        <v>1</v>
      </c>
      <c r="AO310">
        <v>1144.3448275862104</v>
      </c>
      <c r="AP310" s="4">
        <v>2</v>
      </c>
      <c r="AQ310">
        <v>86.5</v>
      </c>
      <c r="AR310" t="s">
        <v>2135</v>
      </c>
      <c r="AT310" s="16">
        <f>_xlfn.XLOOKUP(B310,'SWiSH Demand Forecast Sep-26'!D:D,'SWiSH Demand Forecast Sep-26'!G:G,"Not Exist")</f>
        <v>410.62400000000002</v>
      </c>
    </row>
    <row r="311" spans="1:46" hidden="1" x14ac:dyDescent="0.3">
      <c r="A311">
        <v>106200041</v>
      </c>
      <c r="B311" t="s">
        <v>852</v>
      </c>
      <c r="C311" t="s">
        <v>240</v>
      </c>
      <c r="D311" t="s">
        <v>1613</v>
      </c>
      <c r="E311" t="s">
        <v>1677</v>
      </c>
      <c r="F311" t="s">
        <v>1671</v>
      </c>
      <c r="G311" t="s">
        <v>1616</v>
      </c>
      <c r="H311" t="s">
        <v>1672</v>
      </c>
      <c r="I311" t="s">
        <v>1618</v>
      </c>
      <c r="J311" t="s">
        <v>240</v>
      </c>
      <c r="K311">
        <v>1.0948567</v>
      </c>
      <c r="L311">
        <v>39.414841199999998</v>
      </c>
      <c r="M311" s="1">
        <v>3</v>
      </c>
      <c r="N311">
        <v>0</v>
      </c>
      <c r="O311">
        <v>0</v>
      </c>
      <c r="P311">
        <v>36</v>
      </c>
      <c r="Q311" s="1">
        <v>36</v>
      </c>
      <c r="R311">
        <v>13.9</v>
      </c>
      <c r="S311" s="2">
        <v>46250</v>
      </c>
      <c r="T311" s="2">
        <v>46263</v>
      </c>
      <c r="U311">
        <v>516</v>
      </c>
      <c r="V311">
        <v>438</v>
      </c>
      <c r="W311">
        <v>492</v>
      </c>
      <c r="X311">
        <v>720</v>
      </c>
      <c r="Y311">
        <v>438</v>
      </c>
      <c r="Z311" s="8">
        <v>720</v>
      </c>
      <c r="AA311">
        <v>541.5</v>
      </c>
      <c r="AB311">
        <v>0.80886426592797789</v>
      </c>
      <c r="AC311">
        <v>1.3296398891966759</v>
      </c>
      <c r="AD311" s="1">
        <v>1</v>
      </c>
      <c r="AE311" s="2">
        <v>46249</v>
      </c>
      <c r="AF311" s="2">
        <v>46257</v>
      </c>
      <c r="AG311" s="2">
        <v>46264</v>
      </c>
      <c r="AH311">
        <v>528</v>
      </c>
      <c r="AI311" s="3">
        <v>0.75862068965517249</v>
      </c>
      <c r="AJ311" s="1">
        <v>1</v>
      </c>
      <c r="AK311" s="2">
        <v>46264</v>
      </c>
      <c r="AL311" s="4">
        <v>30</v>
      </c>
      <c r="AM311" s="5">
        <v>15</v>
      </c>
      <c r="AN311" s="4">
        <v>1</v>
      </c>
      <c r="AO311">
        <v>546.20689655172418</v>
      </c>
      <c r="AP311" s="4">
        <v>1</v>
      </c>
      <c r="AQ311" t="s">
        <v>1619</v>
      </c>
      <c r="AR311" t="s">
        <v>1620</v>
      </c>
      <c r="AT311" s="16">
        <f>_xlfn.XLOOKUP(B311,'SWiSH Demand Forecast Sep-26'!D:D,'SWiSH Demand Forecast Sep-26'!G:G,"Not Exist")</f>
        <v>309.25220824454902</v>
      </c>
    </row>
    <row r="312" spans="1:46" hidden="1" x14ac:dyDescent="0.3">
      <c r="A312">
        <v>107500008</v>
      </c>
      <c r="B312" t="s">
        <v>653</v>
      </c>
      <c r="C312" t="s">
        <v>240</v>
      </c>
      <c r="D312" t="s">
        <v>1613</v>
      </c>
      <c r="E312" t="s">
        <v>1832</v>
      </c>
      <c r="F312" t="s">
        <v>1623</v>
      </c>
      <c r="G312" t="s">
        <v>1616</v>
      </c>
      <c r="H312" t="s">
        <v>2030</v>
      </c>
      <c r="I312" t="s">
        <v>1626</v>
      </c>
      <c r="J312" t="s">
        <v>2136</v>
      </c>
      <c r="K312">
        <v>0.42899999999999999</v>
      </c>
      <c r="L312">
        <v>68.64</v>
      </c>
      <c r="M312" s="1">
        <v>3</v>
      </c>
      <c r="N312">
        <v>0</v>
      </c>
      <c r="O312">
        <v>0</v>
      </c>
      <c r="P312">
        <v>160</v>
      </c>
      <c r="Q312" s="1">
        <v>160</v>
      </c>
      <c r="R312">
        <v>8.58</v>
      </c>
      <c r="S312" s="2">
        <v>46258</v>
      </c>
      <c r="T312" s="2">
        <v>46263</v>
      </c>
      <c r="U312">
        <v>3828</v>
      </c>
      <c r="V312">
        <v>3810</v>
      </c>
      <c r="W312">
        <v>3650</v>
      </c>
      <c r="X312">
        <v>3500</v>
      </c>
      <c r="Y312">
        <v>3500</v>
      </c>
      <c r="Z312" s="8">
        <v>3828</v>
      </c>
      <c r="AA312">
        <v>3697</v>
      </c>
      <c r="AB312">
        <v>0.9467135515282662</v>
      </c>
      <c r="AC312">
        <v>1.0354341357857721</v>
      </c>
      <c r="AD312" s="1">
        <v>1</v>
      </c>
      <c r="AE312" s="2">
        <v>46249</v>
      </c>
      <c r="AF312" s="2">
        <v>46257</v>
      </c>
      <c r="AG312" s="2">
        <v>46264</v>
      </c>
      <c r="AH312">
        <v>4412</v>
      </c>
      <c r="AI312" s="3">
        <v>1.1923035347529998</v>
      </c>
      <c r="AJ312" s="1">
        <v>1</v>
      </c>
      <c r="AK312" s="2">
        <v>46264</v>
      </c>
      <c r="AL312" s="4">
        <v>5</v>
      </c>
      <c r="AM312" s="5">
        <v>3</v>
      </c>
      <c r="AN312" s="4">
        <v>1</v>
      </c>
      <c r="AO312">
        <v>760.68965517241384</v>
      </c>
      <c r="AP312" s="4">
        <v>8</v>
      </c>
      <c r="AQ312" t="s">
        <v>1619</v>
      </c>
      <c r="AR312" t="s">
        <v>1620</v>
      </c>
      <c r="AT312" s="16">
        <f>_xlfn.XLOOKUP(B312,'SWiSH Demand Forecast Sep-26'!D:D,'SWiSH Demand Forecast Sep-26'!G:G,"Not Exist")</f>
        <v>753.77407571039498</v>
      </c>
    </row>
    <row r="313" spans="1:46" hidden="1" x14ac:dyDescent="0.3">
      <c r="A313">
        <v>101600035</v>
      </c>
      <c r="B313" t="s">
        <v>58</v>
      </c>
      <c r="C313" t="s">
        <v>10</v>
      </c>
      <c r="D313" t="s">
        <v>1613</v>
      </c>
      <c r="E313" t="s">
        <v>1655</v>
      </c>
      <c r="F313" t="s">
        <v>1631</v>
      </c>
      <c r="G313" t="s">
        <v>1624</v>
      </c>
      <c r="H313" t="s">
        <v>1768</v>
      </c>
      <c r="I313" t="s">
        <v>1634</v>
      </c>
      <c r="J313" t="s">
        <v>10</v>
      </c>
      <c r="K313">
        <v>7.0000000000000001E-3</v>
      </c>
      <c r="L313">
        <v>42</v>
      </c>
      <c r="M313" s="1">
        <v>7</v>
      </c>
      <c r="N313">
        <v>0</v>
      </c>
      <c r="O313">
        <v>1000</v>
      </c>
      <c r="P313">
        <v>6000</v>
      </c>
      <c r="Q313" s="1">
        <v>5000</v>
      </c>
      <c r="R313">
        <v>7</v>
      </c>
      <c r="S313" s="2">
        <v>46250</v>
      </c>
      <c r="T313" s="2">
        <v>46263</v>
      </c>
      <c r="U313">
        <v>120000</v>
      </c>
      <c r="V313">
        <v>128000</v>
      </c>
      <c r="W313">
        <v>113000</v>
      </c>
      <c r="X313">
        <v>142000</v>
      </c>
      <c r="Y313">
        <v>113000</v>
      </c>
      <c r="Z313" s="8">
        <v>142000</v>
      </c>
      <c r="AA313">
        <v>125750</v>
      </c>
      <c r="AB313">
        <v>0.89860834990059646</v>
      </c>
      <c r="AC313">
        <v>1.1292246520874751</v>
      </c>
      <c r="AD313" s="1">
        <v>1</v>
      </c>
      <c r="AE313" s="2">
        <v>46249</v>
      </c>
      <c r="AF313" s="2">
        <v>46257</v>
      </c>
      <c r="AG313" s="2">
        <v>46264</v>
      </c>
      <c r="AH313">
        <v>104000</v>
      </c>
      <c r="AI313" s="3">
        <v>0.75764934434191356</v>
      </c>
      <c r="AJ313" s="1">
        <v>1</v>
      </c>
      <c r="AK313" s="2">
        <v>46264</v>
      </c>
      <c r="AL313" s="4">
        <v>15</v>
      </c>
      <c r="AM313" s="5">
        <v>15</v>
      </c>
      <c r="AN313" s="4">
        <v>1</v>
      </c>
      <c r="AO313">
        <v>53793.103448275862</v>
      </c>
      <c r="AP313" s="4">
        <v>2</v>
      </c>
      <c r="AQ313" t="s">
        <v>1619</v>
      </c>
      <c r="AR313" t="s">
        <v>1620</v>
      </c>
      <c r="AT313" s="16">
        <f>_xlfn.XLOOKUP(B313,'SWiSH Demand Forecast Sep-26'!D:D,'SWiSH Demand Forecast Sep-26'!G:G,"Not Exist")</f>
        <v>42696</v>
      </c>
    </row>
    <row r="314" spans="1:46" hidden="1" x14ac:dyDescent="0.3">
      <c r="A314">
        <v>101600083</v>
      </c>
      <c r="B314" t="s">
        <v>253</v>
      </c>
      <c r="C314" t="s">
        <v>10</v>
      </c>
      <c r="D314" t="s">
        <v>1613</v>
      </c>
      <c r="E314" t="s">
        <v>1732</v>
      </c>
      <c r="F314" t="s">
        <v>1631</v>
      </c>
      <c r="G314" t="s">
        <v>1624</v>
      </c>
      <c r="H314" t="s">
        <v>1768</v>
      </c>
      <c r="I314" t="s">
        <v>1634</v>
      </c>
      <c r="J314" t="s">
        <v>10</v>
      </c>
      <c r="K314">
        <v>1.0053090000000001E-2</v>
      </c>
      <c r="L314">
        <v>20.106180000000002</v>
      </c>
      <c r="M314" s="1">
        <v>3</v>
      </c>
      <c r="N314">
        <v>0</v>
      </c>
      <c r="O314">
        <v>0</v>
      </c>
      <c r="P314">
        <v>2000</v>
      </c>
      <c r="Q314" s="1">
        <v>2000</v>
      </c>
      <c r="R314">
        <v>0.01</v>
      </c>
      <c r="S314" s="2">
        <v>46254</v>
      </c>
      <c r="T314" s="2">
        <v>46263</v>
      </c>
      <c r="U314">
        <v>8300</v>
      </c>
      <c r="V314">
        <v>30500</v>
      </c>
      <c r="W314">
        <v>18500</v>
      </c>
      <c r="X314">
        <v>31000</v>
      </c>
      <c r="Y314">
        <v>8300</v>
      </c>
      <c r="Z314" s="8">
        <v>31000</v>
      </c>
      <c r="AA314">
        <v>22075</v>
      </c>
      <c r="AB314">
        <v>0.37599093997734995</v>
      </c>
      <c r="AC314">
        <v>1.4043035107587769</v>
      </c>
      <c r="AD314" s="1">
        <v>1</v>
      </c>
      <c r="AE314" s="2">
        <v>46249</v>
      </c>
      <c r="AF314" s="2">
        <v>46257</v>
      </c>
      <c r="AG314" s="2">
        <v>46264</v>
      </c>
      <c r="AH314">
        <v>25500</v>
      </c>
      <c r="AI314" s="3">
        <v>0.85094549499443828</v>
      </c>
      <c r="AJ314" s="1">
        <v>2</v>
      </c>
      <c r="AK314" s="2">
        <v>46265</v>
      </c>
      <c r="AL314" s="4">
        <v>30</v>
      </c>
      <c r="AM314" s="5">
        <v>15</v>
      </c>
      <c r="AN314" s="4">
        <v>1</v>
      </c>
      <c r="AO314">
        <v>26379.310344827583</v>
      </c>
      <c r="AP314" s="4">
        <v>1</v>
      </c>
      <c r="AQ314" t="s">
        <v>1619</v>
      </c>
      <c r="AR314" t="s">
        <v>1620</v>
      </c>
      <c r="AT314" s="16">
        <f>_xlfn.XLOOKUP(B314,'SWiSH Demand Forecast Sep-26'!D:D,'SWiSH Demand Forecast Sep-26'!G:G,"Not Exist")</f>
        <v>6702</v>
      </c>
    </row>
    <row r="315" spans="1:46" hidden="1" x14ac:dyDescent="0.3">
      <c r="A315">
        <v>106200160</v>
      </c>
      <c r="B315" t="s">
        <v>686</v>
      </c>
      <c r="C315" t="s">
        <v>240</v>
      </c>
      <c r="D315" t="s">
        <v>1613</v>
      </c>
      <c r="E315" t="s">
        <v>1732</v>
      </c>
      <c r="F315" t="s">
        <v>1671</v>
      </c>
      <c r="G315" t="s">
        <v>1616</v>
      </c>
      <c r="H315" t="s">
        <v>1672</v>
      </c>
      <c r="I315" t="s">
        <v>1618</v>
      </c>
      <c r="J315" t="s">
        <v>240</v>
      </c>
      <c r="K315">
        <v>0.91291666999999999</v>
      </c>
      <c r="L315">
        <v>32.865000119999998</v>
      </c>
      <c r="M315" s="1">
        <v>3</v>
      </c>
      <c r="N315">
        <v>0</v>
      </c>
      <c r="O315">
        <v>0</v>
      </c>
      <c r="P315">
        <v>36</v>
      </c>
      <c r="Q315" s="1">
        <v>36</v>
      </c>
      <c r="R315">
        <v>10.955</v>
      </c>
      <c r="S315" s="2">
        <v>46253</v>
      </c>
      <c r="T315" s="2">
        <v>46263</v>
      </c>
      <c r="U315">
        <v>192</v>
      </c>
      <c r="V315">
        <v>600</v>
      </c>
      <c r="W315">
        <v>948</v>
      </c>
      <c r="X315">
        <v>624</v>
      </c>
      <c r="Y315">
        <v>192</v>
      </c>
      <c r="Z315" s="8">
        <v>948</v>
      </c>
      <c r="AA315">
        <v>591</v>
      </c>
      <c r="AB315">
        <v>0.32487309644670048</v>
      </c>
      <c r="AC315">
        <v>1.6040609137055837</v>
      </c>
      <c r="AD315" s="1">
        <v>1</v>
      </c>
      <c r="AE315" s="2">
        <v>46249</v>
      </c>
      <c r="AF315" s="2">
        <v>46257</v>
      </c>
      <c r="AG315" s="2">
        <v>46264</v>
      </c>
      <c r="AH315">
        <v>936</v>
      </c>
      <c r="AI315" s="3">
        <v>1.0213880401571365</v>
      </c>
      <c r="AJ315" s="1">
        <v>1</v>
      </c>
      <c r="AK315" s="2">
        <v>46264</v>
      </c>
      <c r="AL315" s="4">
        <v>15</v>
      </c>
      <c r="AM315" s="5">
        <v>15</v>
      </c>
      <c r="AN315" s="4">
        <v>1</v>
      </c>
      <c r="AO315">
        <v>484.13793103448268</v>
      </c>
      <c r="AP315" s="4">
        <v>2</v>
      </c>
      <c r="AQ315">
        <v>30</v>
      </c>
      <c r="AR315" t="s">
        <v>2137</v>
      </c>
      <c r="AS315" t="s">
        <v>1666</v>
      </c>
      <c r="AT315" s="16">
        <f>_xlfn.XLOOKUP(B315,'SWiSH Demand Forecast Sep-26'!D:D,'SWiSH Demand Forecast Sep-26'!G:G,"Not Exist")</f>
        <v>641.62084967970202</v>
      </c>
    </row>
    <row r="316" spans="1:46" hidden="1" x14ac:dyDescent="0.3">
      <c r="A316">
        <v>106400059</v>
      </c>
      <c r="B316" t="s">
        <v>1377</v>
      </c>
      <c r="C316" t="s">
        <v>136</v>
      </c>
      <c r="D316" t="s">
        <v>1613</v>
      </c>
      <c r="E316" t="s">
        <v>1638</v>
      </c>
      <c r="F316" t="s">
        <v>1812</v>
      </c>
      <c r="G316" t="s">
        <v>1624</v>
      </c>
      <c r="H316" t="s">
        <v>1764</v>
      </c>
      <c r="I316" t="s">
        <v>1618</v>
      </c>
      <c r="J316" t="s">
        <v>136</v>
      </c>
      <c r="K316">
        <v>0.18717818999999999</v>
      </c>
      <c r="L316">
        <v>1.2166582349999999</v>
      </c>
      <c r="M316" s="1">
        <v>3</v>
      </c>
      <c r="N316">
        <v>0</v>
      </c>
      <c r="O316">
        <v>1</v>
      </c>
      <c r="P316">
        <v>6.5</v>
      </c>
      <c r="Q316" s="1">
        <v>5.5</v>
      </c>
      <c r="R316">
        <v>0</v>
      </c>
      <c r="S316" s="2">
        <v>0</v>
      </c>
      <c r="T316" s="2">
        <v>46263</v>
      </c>
      <c r="U316">
        <v>0</v>
      </c>
      <c r="V316">
        <v>0</v>
      </c>
      <c r="W316">
        <v>25</v>
      </c>
      <c r="X316">
        <v>88</v>
      </c>
      <c r="Y316">
        <v>0</v>
      </c>
      <c r="Z316" s="8">
        <v>88</v>
      </c>
      <c r="AA316">
        <v>28.25</v>
      </c>
      <c r="AB316">
        <v>0</v>
      </c>
      <c r="AC316">
        <v>3.1150442477876106</v>
      </c>
      <c r="AD316" s="1">
        <v>1</v>
      </c>
      <c r="AE316" s="2">
        <v>46249</v>
      </c>
      <c r="AF316" s="2">
        <v>46257</v>
      </c>
      <c r="AG316" s="2">
        <v>46264</v>
      </c>
      <c r="AH316">
        <v>79.5</v>
      </c>
      <c r="AI316" s="3">
        <v>0.93456112852664575</v>
      </c>
      <c r="AJ316" s="1">
        <v>2</v>
      </c>
      <c r="AK316" s="2">
        <v>46265</v>
      </c>
      <c r="AL316" s="4" t="s">
        <v>1658</v>
      </c>
      <c r="AM316" s="5" t="s">
        <v>1658</v>
      </c>
      <c r="AN316" s="4">
        <v>1</v>
      </c>
      <c r="AO316" t="s">
        <v>1635</v>
      </c>
      <c r="AP316" s="4" t="s">
        <v>1658</v>
      </c>
      <c r="AQ316" t="s">
        <v>1619</v>
      </c>
      <c r="AR316" t="s">
        <v>1620</v>
      </c>
      <c r="AT316" s="16">
        <f>_xlfn.XLOOKUP(B316,'SWiSH Demand Forecast Sep-26'!D:D,'SWiSH Demand Forecast Sep-26'!G:G,"Not Exist")</f>
        <v>17.810526315789399</v>
      </c>
    </row>
    <row r="317" spans="1:46" hidden="1" x14ac:dyDescent="0.3">
      <c r="A317">
        <v>100100046</v>
      </c>
      <c r="B317" t="s">
        <v>1074</v>
      </c>
      <c r="C317" t="s">
        <v>136</v>
      </c>
      <c r="D317" t="s">
        <v>1613</v>
      </c>
      <c r="E317" t="s">
        <v>1638</v>
      </c>
      <c r="F317" t="s">
        <v>1941</v>
      </c>
      <c r="G317" t="s">
        <v>1616</v>
      </c>
      <c r="H317" t="s">
        <v>1877</v>
      </c>
      <c r="I317" t="s">
        <v>1618</v>
      </c>
      <c r="J317" t="s">
        <v>2138</v>
      </c>
      <c r="K317">
        <v>0.75</v>
      </c>
      <c r="L317">
        <v>54</v>
      </c>
      <c r="M317" s="1">
        <v>3</v>
      </c>
      <c r="N317">
        <v>0</v>
      </c>
      <c r="O317">
        <v>12</v>
      </c>
      <c r="P317">
        <v>72</v>
      </c>
      <c r="Q317" s="1">
        <v>60</v>
      </c>
      <c r="R317">
        <v>64</v>
      </c>
      <c r="S317" s="2">
        <v>46083</v>
      </c>
      <c r="T317" s="2">
        <v>46263</v>
      </c>
      <c r="U317">
        <v>370.5</v>
      </c>
      <c r="V317">
        <v>900</v>
      </c>
      <c r="W317">
        <v>948</v>
      </c>
      <c r="X317">
        <v>911</v>
      </c>
      <c r="Y317">
        <v>370.5</v>
      </c>
      <c r="Z317" s="8">
        <v>948</v>
      </c>
      <c r="AA317">
        <v>782.375</v>
      </c>
      <c r="AB317">
        <v>0.47355807637002717</v>
      </c>
      <c r="AC317">
        <v>1.2116951589710816</v>
      </c>
      <c r="AD317" s="1">
        <v>1</v>
      </c>
      <c r="AE317" s="2">
        <v>46249</v>
      </c>
      <c r="AF317" s="2">
        <v>46257</v>
      </c>
      <c r="AG317" s="2">
        <v>46264</v>
      </c>
      <c r="AH317">
        <v>768</v>
      </c>
      <c r="AI317" s="3">
        <v>0.8380619816673941</v>
      </c>
      <c r="AJ317" s="1">
        <v>2</v>
      </c>
      <c r="AK317" s="2">
        <v>46265</v>
      </c>
      <c r="AL317" s="4">
        <v>30</v>
      </c>
      <c r="AM317" s="5">
        <v>15</v>
      </c>
      <c r="AN317" s="4">
        <v>1</v>
      </c>
      <c r="AO317">
        <v>794.48275862068965</v>
      </c>
      <c r="AP317" s="4">
        <v>1</v>
      </c>
      <c r="AQ317" t="s">
        <v>1619</v>
      </c>
      <c r="AR317" t="s">
        <v>1620</v>
      </c>
      <c r="AT317" s="16">
        <f>_xlfn.XLOOKUP(B317,'SWiSH Demand Forecast Sep-26'!D:D,'SWiSH Demand Forecast Sep-26'!G:G,"Not Exist")</f>
        <v>117.267647058823</v>
      </c>
    </row>
    <row r="318" spans="1:46" x14ac:dyDescent="0.3">
      <c r="A318">
        <v>105200004</v>
      </c>
      <c r="B318" t="s">
        <v>2139</v>
      </c>
      <c r="C318" t="s">
        <v>10</v>
      </c>
      <c r="D318" t="s">
        <v>1613</v>
      </c>
      <c r="E318" t="s">
        <v>1638</v>
      </c>
      <c r="F318" t="s">
        <v>1664</v>
      </c>
      <c r="G318" t="s">
        <v>1624</v>
      </c>
      <c r="H318" t="s">
        <v>1779</v>
      </c>
      <c r="I318" t="s">
        <v>1634</v>
      </c>
      <c r="J318" t="s">
        <v>10</v>
      </c>
      <c r="K318">
        <v>3.5999999999999997E-2</v>
      </c>
      <c r="L318">
        <v>332.09999999999997</v>
      </c>
      <c r="M318" s="1">
        <v>30</v>
      </c>
      <c r="N318">
        <v>0</v>
      </c>
      <c r="O318">
        <v>1125</v>
      </c>
      <c r="P318">
        <v>9225</v>
      </c>
      <c r="Q318" s="1">
        <v>8100</v>
      </c>
      <c r="R318">
        <v>3.5999999999999997E-2</v>
      </c>
      <c r="S318" s="2">
        <v>46259</v>
      </c>
      <c r="T318" s="2">
        <v>46263</v>
      </c>
      <c r="U318">
        <v>121525</v>
      </c>
      <c r="V318">
        <v>153650</v>
      </c>
      <c r="W318">
        <v>131985</v>
      </c>
      <c r="X318">
        <v>156600</v>
      </c>
      <c r="Y318">
        <v>121525</v>
      </c>
      <c r="Z318" s="8">
        <v>156600</v>
      </c>
      <c r="AA318">
        <v>140940</v>
      </c>
      <c r="AB318">
        <v>0.86224634596282101</v>
      </c>
      <c r="AC318">
        <v>1.1111111111111112</v>
      </c>
      <c r="AD318" s="1">
        <v>1</v>
      </c>
      <c r="AE318" s="2">
        <v>46249</v>
      </c>
      <c r="AF318" s="2">
        <v>46257</v>
      </c>
      <c r="AG318" s="2">
        <v>46264</v>
      </c>
      <c r="AH318">
        <v>154125</v>
      </c>
      <c r="AI318" s="3">
        <v>1.0181331747919145</v>
      </c>
      <c r="AJ318" s="1">
        <v>1</v>
      </c>
      <c r="AK318" s="2">
        <v>46264</v>
      </c>
      <c r="AL318" s="4">
        <v>10</v>
      </c>
      <c r="AM318" s="5">
        <v>10</v>
      </c>
      <c r="AN318" s="4">
        <v>1</v>
      </c>
      <c r="AO318">
        <v>53146.551724137935</v>
      </c>
      <c r="AP318" s="4">
        <v>3</v>
      </c>
      <c r="AQ318">
        <v>265715</v>
      </c>
      <c r="AR318" t="s">
        <v>2034</v>
      </c>
      <c r="AT318" s="16" t="str">
        <f>_xlfn.XLOOKUP(B318,'SWiSH Demand Forecast Sep-26'!D:D,'SWiSH Demand Forecast Sep-26'!G:G,"Not Exist")</f>
        <v>Not Exist</v>
      </c>
    </row>
    <row r="319" spans="1:46" hidden="1" x14ac:dyDescent="0.3">
      <c r="A319">
        <v>100300008</v>
      </c>
      <c r="B319" t="s">
        <v>393</v>
      </c>
      <c r="C319" t="s">
        <v>136</v>
      </c>
      <c r="D319" t="s">
        <v>1613</v>
      </c>
      <c r="E319" t="s">
        <v>1732</v>
      </c>
      <c r="F319" t="s">
        <v>1752</v>
      </c>
      <c r="G319" t="s">
        <v>1616</v>
      </c>
      <c r="H319" t="s">
        <v>2018</v>
      </c>
      <c r="I319" t="s">
        <v>1754</v>
      </c>
      <c r="J319" t="s">
        <v>2140</v>
      </c>
      <c r="K319">
        <v>2.2000000000000002</v>
      </c>
      <c r="L319">
        <v>924.00000000000011</v>
      </c>
      <c r="M319" s="1">
        <v>3</v>
      </c>
      <c r="N319">
        <v>0</v>
      </c>
      <c r="O319">
        <v>150</v>
      </c>
      <c r="P319">
        <v>420</v>
      </c>
      <c r="Q319" s="1">
        <v>270</v>
      </c>
      <c r="R319">
        <v>33</v>
      </c>
      <c r="S319" s="2">
        <v>46249</v>
      </c>
      <c r="T319" s="2">
        <v>46263</v>
      </c>
      <c r="U319">
        <v>4335</v>
      </c>
      <c r="V319">
        <v>3930</v>
      </c>
      <c r="W319">
        <v>6000</v>
      </c>
      <c r="X319">
        <v>945</v>
      </c>
      <c r="Y319">
        <v>945</v>
      </c>
      <c r="Z319" s="8">
        <v>6000</v>
      </c>
      <c r="AA319">
        <v>3802.5</v>
      </c>
      <c r="AB319">
        <v>0.24852071005917159</v>
      </c>
      <c r="AC319">
        <v>1.5779092702169626</v>
      </c>
      <c r="AD319" s="1">
        <v>1</v>
      </c>
      <c r="AE319" s="2">
        <v>46249</v>
      </c>
      <c r="AF319" s="2">
        <v>46257</v>
      </c>
      <c r="AG319" s="2">
        <v>46264</v>
      </c>
      <c r="AH319">
        <v>6705</v>
      </c>
      <c r="AI319" s="3">
        <v>1.1560344827586206</v>
      </c>
      <c r="AJ319" s="1">
        <v>1</v>
      </c>
      <c r="AK319" s="2">
        <v>46264</v>
      </c>
      <c r="AL319" s="4">
        <v>8</v>
      </c>
      <c r="AM319" s="5">
        <v>5</v>
      </c>
      <c r="AN319" s="4">
        <v>1</v>
      </c>
      <c r="AO319">
        <v>1849.655172413793</v>
      </c>
      <c r="AP319" s="4">
        <v>4</v>
      </c>
      <c r="AQ319">
        <v>270</v>
      </c>
      <c r="AR319" t="s">
        <v>2019</v>
      </c>
      <c r="AT319" s="16">
        <f>_xlfn.XLOOKUP(B319,'SWiSH Demand Forecast Sep-26'!D:D,'SWiSH Demand Forecast Sep-26'!G:G,"Not Exist")</f>
        <v>2775.7343891402702</v>
      </c>
    </row>
    <row r="320" spans="1:46" x14ac:dyDescent="0.3">
      <c r="A320">
        <v>102500028</v>
      </c>
      <c r="B320" t="s">
        <v>2141</v>
      </c>
      <c r="C320" t="s">
        <v>136</v>
      </c>
      <c r="D320" t="s">
        <v>1613</v>
      </c>
      <c r="E320" t="s">
        <v>2142</v>
      </c>
      <c r="F320" t="s">
        <v>1927</v>
      </c>
      <c r="G320" t="s">
        <v>1616</v>
      </c>
      <c r="H320" t="s">
        <v>1928</v>
      </c>
      <c r="I320" t="s">
        <v>1618</v>
      </c>
      <c r="J320" t="e">
        <v>#N/A</v>
      </c>
      <c r="K320">
        <v>0.91666667000000002</v>
      </c>
      <c r="L320">
        <v>7.3333333600000001</v>
      </c>
      <c r="M320" s="1">
        <v>3</v>
      </c>
      <c r="N320">
        <v>0</v>
      </c>
      <c r="O320">
        <v>3</v>
      </c>
      <c r="P320">
        <v>8</v>
      </c>
      <c r="Q320" s="1">
        <v>5</v>
      </c>
      <c r="R320">
        <v>0</v>
      </c>
      <c r="S320" s="2">
        <v>0</v>
      </c>
      <c r="T320" s="2">
        <v>46263</v>
      </c>
      <c r="U320">
        <v>79</v>
      </c>
      <c r="V320">
        <v>85</v>
      </c>
      <c r="W320">
        <v>68</v>
      </c>
      <c r="X320">
        <v>61</v>
      </c>
      <c r="Y320">
        <v>61</v>
      </c>
      <c r="Z320" s="8">
        <v>85</v>
      </c>
      <c r="AA320">
        <v>73.25</v>
      </c>
      <c r="AB320">
        <v>0.83276450511945388</v>
      </c>
      <c r="AC320">
        <v>1.1604095563139931</v>
      </c>
      <c r="AD320" s="1">
        <v>1</v>
      </c>
      <c r="AE320" s="2">
        <v>46249</v>
      </c>
      <c r="AF320" s="2">
        <v>46257</v>
      </c>
      <c r="AG320" s="2">
        <v>46264</v>
      </c>
      <c r="AH320">
        <v>89</v>
      </c>
      <c r="AI320" s="3">
        <v>1.0831643002028397</v>
      </c>
      <c r="AJ320" s="1">
        <v>1</v>
      </c>
      <c r="AK320" s="2">
        <v>46264</v>
      </c>
      <c r="AL320" s="4">
        <v>30</v>
      </c>
      <c r="AM320" s="5">
        <v>15</v>
      </c>
      <c r="AN320" s="4">
        <v>1</v>
      </c>
      <c r="AO320">
        <v>92.068965517241381</v>
      </c>
      <c r="AP320" s="4">
        <v>1</v>
      </c>
      <c r="AQ320" t="s">
        <v>1619</v>
      </c>
      <c r="AR320" t="s">
        <v>1620</v>
      </c>
      <c r="AT320" s="16" t="str">
        <f>_xlfn.XLOOKUP(B320,'SWiSH Demand Forecast Sep-26'!D:D,'SWiSH Demand Forecast Sep-26'!G:G,"Not Exist")</f>
        <v>Not Exist</v>
      </c>
    </row>
    <row r="321" spans="1:46" hidden="1" x14ac:dyDescent="0.3">
      <c r="A321">
        <v>101800008</v>
      </c>
      <c r="B321" t="s">
        <v>173</v>
      </c>
      <c r="C321" t="s">
        <v>10</v>
      </c>
      <c r="D321" t="s">
        <v>1613</v>
      </c>
      <c r="E321" t="s">
        <v>2143</v>
      </c>
      <c r="F321" t="s">
        <v>1631</v>
      </c>
      <c r="G321" t="s">
        <v>1624</v>
      </c>
      <c r="H321" t="s">
        <v>2144</v>
      </c>
      <c r="I321" t="s">
        <v>1634</v>
      </c>
      <c r="J321" t="s">
        <v>2145</v>
      </c>
      <c r="K321">
        <v>4.7499999999999999E-3</v>
      </c>
      <c r="L321">
        <v>28.5</v>
      </c>
      <c r="M321" s="1">
        <v>3</v>
      </c>
      <c r="N321">
        <v>0</v>
      </c>
      <c r="O321">
        <v>1000</v>
      </c>
      <c r="P321">
        <v>6000</v>
      </c>
      <c r="Q321" s="1">
        <v>5000</v>
      </c>
      <c r="R321">
        <v>4.75</v>
      </c>
      <c r="S321" s="2">
        <v>46260</v>
      </c>
      <c r="T321" s="2">
        <v>46263</v>
      </c>
      <c r="U321">
        <v>35000</v>
      </c>
      <c r="V321">
        <v>50000</v>
      </c>
      <c r="W321">
        <v>52000</v>
      </c>
      <c r="X321">
        <v>43000</v>
      </c>
      <c r="Y321">
        <v>35000</v>
      </c>
      <c r="Z321" s="8">
        <v>52000</v>
      </c>
      <c r="AA321">
        <v>45000</v>
      </c>
      <c r="AB321">
        <v>0.77777777777777779</v>
      </c>
      <c r="AC321">
        <v>1.1555555555555554</v>
      </c>
      <c r="AD321" s="1">
        <v>2</v>
      </c>
      <c r="AE321" s="2">
        <v>46250</v>
      </c>
      <c r="AF321" s="2">
        <v>46258</v>
      </c>
      <c r="AG321" s="2">
        <v>46265</v>
      </c>
      <c r="AH321">
        <v>33200</v>
      </c>
      <c r="AI321" s="3">
        <v>0.66047745358090193</v>
      </c>
      <c r="AJ321" s="1">
        <v>4</v>
      </c>
      <c r="AK321" s="2">
        <v>46267</v>
      </c>
      <c r="AL321" s="4">
        <v>15</v>
      </c>
      <c r="AM321" s="5">
        <v>15</v>
      </c>
      <c r="AN321" s="4">
        <v>2</v>
      </c>
      <c r="AO321">
        <v>17172.413793103449</v>
      </c>
      <c r="AP321" s="4">
        <v>2</v>
      </c>
      <c r="AQ321">
        <v>42</v>
      </c>
      <c r="AR321" t="s">
        <v>2146</v>
      </c>
      <c r="AT321" s="16">
        <f>_xlfn.XLOOKUP(B321,'SWiSH Demand Forecast Sep-26'!D:D,'SWiSH Demand Forecast Sep-26'!G:G,"Not Exist")</f>
        <v>10226</v>
      </c>
    </row>
    <row r="322" spans="1:46" hidden="1" x14ac:dyDescent="0.3">
      <c r="A322">
        <v>100400174</v>
      </c>
      <c r="B322" t="s">
        <v>139</v>
      </c>
      <c r="C322" t="s">
        <v>10</v>
      </c>
      <c r="D322" t="s">
        <v>1613</v>
      </c>
      <c r="E322" t="s">
        <v>2147</v>
      </c>
      <c r="F322" t="s">
        <v>1664</v>
      </c>
      <c r="G322" t="s">
        <v>1624</v>
      </c>
      <c r="H322" t="s">
        <v>1810</v>
      </c>
      <c r="I322" t="s">
        <v>1634</v>
      </c>
      <c r="J322" t="s">
        <v>10</v>
      </c>
      <c r="K322">
        <v>3.2000000000000001E-2</v>
      </c>
      <c r="L322">
        <v>64</v>
      </c>
      <c r="M322" s="1">
        <v>30</v>
      </c>
      <c r="N322">
        <v>0</v>
      </c>
      <c r="O322">
        <v>500</v>
      </c>
      <c r="P322">
        <v>2000</v>
      </c>
      <c r="Q322" s="1">
        <v>1500</v>
      </c>
      <c r="R322">
        <v>3.2000000000000001E-2</v>
      </c>
      <c r="S322" s="2">
        <v>46261</v>
      </c>
      <c r="T322" s="2">
        <v>46262</v>
      </c>
      <c r="U322">
        <v>15500</v>
      </c>
      <c r="V322">
        <v>18400</v>
      </c>
      <c r="W322">
        <v>16900</v>
      </c>
      <c r="X322">
        <v>21000</v>
      </c>
      <c r="Y322">
        <v>15500</v>
      </c>
      <c r="Z322" s="8">
        <v>21000</v>
      </c>
      <c r="AA322">
        <v>17950</v>
      </c>
      <c r="AB322">
        <v>0.86350974930362112</v>
      </c>
      <c r="AC322">
        <v>1.1699164345403901</v>
      </c>
      <c r="AD322" s="1">
        <v>2</v>
      </c>
      <c r="AE322" s="2">
        <v>46250</v>
      </c>
      <c r="AF322" s="2">
        <v>46258</v>
      </c>
      <c r="AG322" s="2">
        <v>46265</v>
      </c>
      <c r="AH322">
        <v>10600</v>
      </c>
      <c r="AI322" s="3">
        <v>0.52216748768472909</v>
      </c>
      <c r="AJ322" s="1">
        <v>4</v>
      </c>
      <c r="AK322" s="2">
        <v>46267</v>
      </c>
      <c r="AL322" s="4">
        <v>15</v>
      </c>
      <c r="AM322" s="5">
        <v>15</v>
      </c>
      <c r="AN322" s="4">
        <v>2</v>
      </c>
      <c r="AO322">
        <v>5482.7586206896558</v>
      </c>
      <c r="AP322" s="4">
        <v>2</v>
      </c>
      <c r="AQ322">
        <v>21000</v>
      </c>
      <c r="AR322" t="s">
        <v>2148</v>
      </c>
      <c r="AT322" s="16">
        <f>_xlfn.XLOOKUP(B322,'SWiSH Demand Forecast Sep-26'!D:D,'SWiSH Demand Forecast Sep-26'!G:G,"Not Exist")</f>
        <v>13518.75</v>
      </c>
    </row>
    <row r="323" spans="1:46" hidden="1" x14ac:dyDescent="0.3">
      <c r="A323">
        <v>101600036</v>
      </c>
      <c r="B323" t="s">
        <v>129</v>
      </c>
      <c r="C323" t="s">
        <v>10</v>
      </c>
      <c r="D323" t="s">
        <v>1613</v>
      </c>
      <c r="E323" t="s">
        <v>1821</v>
      </c>
      <c r="F323" t="s">
        <v>1631</v>
      </c>
      <c r="G323" t="s">
        <v>1624</v>
      </c>
      <c r="H323" t="s">
        <v>1768</v>
      </c>
      <c r="I323" t="s">
        <v>1634</v>
      </c>
      <c r="J323" t="s">
        <v>2149</v>
      </c>
      <c r="K323">
        <v>3.2323409999999997E-2</v>
      </c>
      <c r="L323">
        <v>101.81874149999999</v>
      </c>
      <c r="M323" s="1">
        <v>7</v>
      </c>
      <c r="N323">
        <v>0</v>
      </c>
      <c r="O323">
        <v>300</v>
      </c>
      <c r="P323">
        <v>3150</v>
      </c>
      <c r="Q323" s="1">
        <v>2850</v>
      </c>
      <c r="R323">
        <v>4.8499999999999996</v>
      </c>
      <c r="S323" s="2">
        <v>46260</v>
      </c>
      <c r="T323" s="2">
        <v>46263</v>
      </c>
      <c r="U323">
        <v>26400</v>
      </c>
      <c r="V323">
        <v>30600</v>
      </c>
      <c r="W323">
        <v>27150</v>
      </c>
      <c r="X323">
        <v>25050</v>
      </c>
      <c r="Y323">
        <v>25050</v>
      </c>
      <c r="Z323" s="8">
        <v>30600</v>
      </c>
      <c r="AA323">
        <v>27300</v>
      </c>
      <c r="AB323">
        <v>0.91758241758241754</v>
      </c>
      <c r="AC323">
        <v>1.1208791208791209</v>
      </c>
      <c r="AD323" s="1">
        <v>2</v>
      </c>
      <c r="AE323" s="2">
        <v>46250</v>
      </c>
      <c r="AF323" s="2">
        <v>46258</v>
      </c>
      <c r="AG323" s="2">
        <v>46265</v>
      </c>
      <c r="AH323">
        <v>23850</v>
      </c>
      <c r="AI323" s="3">
        <v>0.80628803245436109</v>
      </c>
      <c r="AJ323" s="1">
        <v>3</v>
      </c>
      <c r="AK323" s="2">
        <v>46266</v>
      </c>
      <c r="AL323" s="4">
        <v>10</v>
      </c>
      <c r="AM323" s="5">
        <v>10</v>
      </c>
      <c r="AN323" s="4">
        <v>2</v>
      </c>
      <c r="AO323">
        <v>8224.1379310344837</v>
      </c>
      <c r="AP323" s="4">
        <v>3</v>
      </c>
      <c r="AQ323">
        <v>8</v>
      </c>
      <c r="AR323" t="s">
        <v>2150</v>
      </c>
      <c r="AT323" s="16">
        <f>_xlfn.XLOOKUP(B323,'SWiSH Demand Forecast Sep-26'!D:D,'SWiSH Demand Forecast Sep-26'!G:G,"Not Exist")</f>
        <v>14537</v>
      </c>
    </row>
    <row r="324" spans="1:46" hidden="1" x14ac:dyDescent="0.3">
      <c r="A324">
        <v>100100126</v>
      </c>
      <c r="B324" t="s">
        <v>1110</v>
      </c>
      <c r="C324" t="s">
        <v>136</v>
      </c>
      <c r="D324" t="s">
        <v>1613</v>
      </c>
      <c r="E324" t="s">
        <v>2151</v>
      </c>
      <c r="F324" t="s">
        <v>1941</v>
      </c>
      <c r="G324" t="s">
        <v>1616</v>
      </c>
      <c r="H324" t="s">
        <v>1877</v>
      </c>
      <c r="I324" t="s">
        <v>1618</v>
      </c>
      <c r="J324" t="s">
        <v>2152</v>
      </c>
      <c r="K324">
        <v>6</v>
      </c>
      <c r="L324">
        <v>84</v>
      </c>
      <c r="M324" s="1">
        <v>3</v>
      </c>
      <c r="N324">
        <v>0</v>
      </c>
      <c r="O324">
        <v>0</v>
      </c>
      <c r="P324">
        <v>14</v>
      </c>
      <c r="Q324" s="1">
        <v>14</v>
      </c>
      <c r="R324">
        <v>42</v>
      </c>
      <c r="S324" s="2">
        <v>46263</v>
      </c>
      <c r="T324" s="2">
        <v>46263</v>
      </c>
      <c r="U324">
        <v>112</v>
      </c>
      <c r="V324">
        <v>161</v>
      </c>
      <c r="W324">
        <v>133</v>
      </c>
      <c r="X324">
        <v>168</v>
      </c>
      <c r="Y324">
        <v>112</v>
      </c>
      <c r="Z324" s="8">
        <v>168</v>
      </c>
      <c r="AA324">
        <v>143.5</v>
      </c>
      <c r="AB324">
        <v>0.78048780487804881</v>
      </c>
      <c r="AC324">
        <v>1.1707317073170731</v>
      </c>
      <c r="AD324" s="1">
        <v>2</v>
      </c>
      <c r="AE324" s="2">
        <v>46250</v>
      </c>
      <c r="AF324" s="2">
        <v>46258</v>
      </c>
      <c r="AG324" s="2">
        <v>46265</v>
      </c>
      <c r="AH324">
        <v>182</v>
      </c>
      <c r="AI324" s="3">
        <v>1.1206896551724139</v>
      </c>
      <c r="AJ324" s="1">
        <v>2</v>
      </c>
      <c r="AK324" s="2">
        <v>46265</v>
      </c>
      <c r="AL324" s="4">
        <v>30</v>
      </c>
      <c r="AM324" s="5">
        <v>15</v>
      </c>
      <c r="AN324" s="4">
        <v>2</v>
      </c>
      <c r="AO324">
        <v>188.27586206896555</v>
      </c>
      <c r="AP324" s="4">
        <v>1</v>
      </c>
      <c r="AQ324" t="s">
        <v>1619</v>
      </c>
      <c r="AR324" t="s">
        <v>1620</v>
      </c>
      <c r="AT324" s="16">
        <f>_xlfn.XLOOKUP(B324,'SWiSH Demand Forecast Sep-26'!D:D,'SWiSH Demand Forecast Sep-26'!G:G,"Not Exist")</f>
        <v>100.435789473684</v>
      </c>
    </row>
    <row r="325" spans="1:46" x14ac:dyDescent="0.3">
      <c r="A325">
        <v>106700038</v>
      </c>
      <c r="B325" t="s">
        <v>2153</v>
      </c>
      <c r="C325" t="s">
        <v>10</v>
      </c>
      <c r="D325" t="s">
        <v>1613</v>
      </c>
      <c r="E325" t="s">
        <v>2154</v>
      </c>
      <c r="F325" t="s">
        <v>1650</v>
      </c>
      <c r="G325" t="s">
        <v>1624</v>
      </c>
      <c r="H325" t="s">
        <v>1651</v>
      </c>
      <c r="I325" t="s">
        <v>1634</v>
      </c>
      <c r="J325" t="s">
        <v>10</v>
      </c>
      <c r="K325">
        <v>0.15</v>
      </c>
      <c r="L325">
        <v>4.5</v>
      </c>
      <c r="M325" s="1">
        <v>3</v>
      </c>
      <c r="N325">
        <v>0</v>
      </c>
      <c r="O325">
        <v>0</v>
      </c>
      <c r="P325">
        <v>30</v>
      </c>
      <c r="Q325" s="1">
        <v>30</v>
      </c>
      <c r="R325">
        <v>0.15</v>
      </c>
      <c r="S325" s="2">
        <v>46250</v>
      </c>
      <c r="T325" s="2">
        <v>46263</v>
      </c>
      <c r="U325">
        <v>311</v>
      </c>
      <c r="V325">
        <v>280</v>
      </c>
      <c r="W325">
        <v>212</v>
      </c>
      <c r="X325">
        <v>330</v>
      </c>
      <c r="Y325">
        <v>212</v>
      </c>
      <c r="Z325" s="8">
        <v>330</v>
      </c>
      <c r="AA325">
        <v>283.25</v>
      </c>
      <c r="AB325">
        <v>0.74845542806707854</v>
      </c>
      <c r="AC325">
        <v>1.1650485436893203</v>
      </c>
      <c r="AD325" s="1">
        <v>2</v>
      </c>
      <c r="AE325" s="2">
        <v>46250</v>
      </c>
      <c r="AF325" s="2">
        <v>46258</v>
      </c>
      <c r="AG325" s="2">
        <v>46265</v>
      </c>
      <c r="AH325">
        <v>320</v>
      </c>
      <c r="AI325" s="3">
        <v>1.0031347962382446</v>
      </c>
      <c r="AJ325" s="1">
        <v>2</v>
      </c>
      <c r="AK325" s="2">
        <v>46265</v>
      </c>
      <c r="AL325" s="4">
        <v>30</v>
      </c>
      <c r="AM325" s="5">
        <v>15</v>
      </c>
      <c r="AN325" s="4">
        <v>2</v>
      </c>
      <c r="AO325">
        <v>331.03448275862075</v>
      </c>
      <c r="AP325" s="4">
        <v>1</v>
      </c>
      <c r="AQ325" t="s">
        <v>1619</v>
      </c>
      <c r="AR325" t="s">
        <v>1620</v>
      </c>
      <c r="AT325" s="16" t="str">
        <f>_xlfn.XLOOKUP(B325,'SWiSH Demand Forecast Sep-26'!D:D,'SWiSH Demand Forecast Sep-26'!G:G,"Not Exist")</f>
        <v>Not Exist</v>
      </c>
    </row>
    <row r="326" spans="1:46" x14ac:dyDescent="0.3">
      <c r="A326">
        <v>106400487</v>
      </c>
      <c r="B326" t="s">
        <v>2155</v>
      </c>
      <c r="C326" t="s">
        <v>10</v>
      </c>
      <c r="D326" t="s">
        <v>1613</v>
      </c>
      <c r="E326" t="s">
        <v>1762</v>
      </c>
      <c r="F326" t="s">
        <v>1763</v>
      </c>
      <c r="G326" t="s">
        <v>1624</v>
      </c>
      <c r="H326" t="s">
        <v>1764</v>
      </c>
      <c r="I326" t="s">
        <v>1754</v>
      </c>
      <c r="J326" t="e">
        <v>#N/A</v>
      </c>
      <c r="K326">
        <v>0.46346999999999999</v>
      </c>
      <c r="L326">
        <v>387.92439000000002</v>
      </c>
      <c r="M326" s="1">
        <v>3</v>
      </c>
      <c r="N326">
        <v>0</v>
      </c>
      <c r="O326">
        <v>0</v>
      </c>
      <c r="P326">
        <v>837</v>
      </c>
      <c r="Q326" s="1">
        <v>837</v>
      </c>
      <c r="R326">
        <v>0</v>
      </c>
      <c r="S326" s="2">
        <v>0</v>
      </c>
      <c r="T326" s="2">
        <v>46260</v>
      </c>
      <c r="U326">
        <v>8681</v>
      </c>
      <c r="V326">
        <v>8552</v>
      </c>
      <c r="W326">
        <v>7683</v>
      </c>
      <c r="X326">
        <v>9655</v>
      </c>
      <c r="Y326">
        <v>7683</v>
      </c>
      <c r="Z326" s="8">
        <v>9655</v>
      </c>
      <c r="AA326">
        <v>8642.75</v>
      </c>
      <c r="AB326">
        <v>0.888953168840936</v>
      </c>
      <c r="AC326">
        <v>1.1171212866275202</v>
      </c>
      <c r="AD326" s="1">
        <v>2</v>
      </c>
      <c r="AE326" s="2">
        <v>46250</v>
      </c>
      <c r="AF326" s="2">
        <v>46258</v>
      </c>
      <c r="AG326" s="2">
        <v>46265</v>
      </c>
      <c r="AH326">
        <v>8220</v>
      </c>
      <c r="AI326" s="3">
        <v>0.88073001303594711</v>
      </c>
      <c r="AJ326" s="1">
        <v>2</v>
      </c>
      <c r="AK326" s="2">
        <v>46265</v>
      </c>
      <c r="AL326" s="4" t="s">
        <v>1658</v>
      </c>
      <c r="AM326" s="5" t="s">
        <v>1658</v>
      </c>
      <c r="AN326" s="4">
        <v>2</v>
      </c>
      <c r="AO326" t="s">
        <v>1635</v>
      </c>
      <c r="AP326" s="4" t="s">
        <v>1658</v>
      </c>
      <c r="AQ326" t="s">
        <v>1619</v>
      </c>
      <c r="AR326" t="s">
        <v>1620</v>
      </c>
      <c r="AT326" s="16" t="str">
        <f>_xlfn.XLOOKUP(B326,'SWiSH Demand Forecast Sep-26'!D:D,'SWiSH Demand Forecast Sep-26'!G:G,"Not Exist")</f>
        <v>Not Exist</v>
      </c>
    </row>
    <row r="327" spans="1:46" x14ac:dyDescent="0.3">
      <c r="A327">
        <v>106400912</v>
      </c>
      <c r="B327" t="s">
        <v>2156</v>
      </c>
      <c r="C327" t="s">
        <v>29</v>
      </c>
      <c r="D327" t="s">
        <v>1613</v>
      </c>
      <c r="E327" t="s">
        <v>1762</v>
      </c>
      <c r="F327" t="s">
        <v>1763</v>
      </c>
      <c r="G327" t="s">
        <v>1624</v>
      </c>
      <c r="H327" t="s">
        <v>1764</v>
      </c>
      <c r="I327" t="s">
        <v>1754</v>
      </c>
      <c r="J327" t="e">
        <v>#N/A</v>
      </c>
      <c r="K327">
        <v>0.59853957000000002</v>
      </c>
      <c r="L327">
        <v>228.04357616999999</v>
      </c>
      <c r="M327" s="1">
        <v>3</v>
      </c>
      <c r="N327">
        <v>0</v>
      </c>
      <c r="O327">
        <v>0</v>
      </c>
      <c r="P327">
        <v>381</v>
      </c>
      <c r="Q327" s="1">
        <v>381</v>
      </c>
      <c r="R327">
        <v>0</v>
      </c>
      <c r="S327" s="2">
        <v>0</v>
      </c>
      <c r="T327" s="2">
        <v>46260</v>
      </c>
      <c r="U327">
        <v>3232</v>
      </c>
      <c r="V327">
        <v>3201</v>
      </c>
      <c r="W327">
        <v>3517</v>
      </c>
      <c r="X327">
        <v>3960</v>
      </c>
      <c r="Y327">
        <v>3201</v>
      </c>
      <c r="Z327" s="8">
        <v>3960</v>
      </c>
      <c r="AA327">
        <v>3477.5</v>
      </c>
      <c r="AB327">
        <v>0.92048885693745508</v>
      </c>
      <c r="AC327">
        <v>1.1387491013659239</v>
      </c>
      <c r="AD327" s="1">
        <v>2</v>
      </c>
      <c r="AE327" s="2">
        <v>46250</v>
      </c>
      <c r="AF327" s="2">
        <v>46258</v>
      </c>
      <c r="AG327" s="2">
        <v>46265</v>
      </c>
      <c r="AH327">
        <v>3474</v>
      </c>
      <c r="AI327" s="3">
        <v>0.90752351097178685</v>
      </c>
      <c r="AJ327" s="1">
        <v>3</v>
      </c>
      <c r="AK327" s="2">
        <v>46266</v>
      </c>
      <c r="AL327" s="4" t="s">
        <v>1658</v>
      </c>
      <c r="AM327" s="5" t="s">
        <v>1658</v>
      </c>
      <c r="AN327" s="4">
        <v>2</v>
      </c>
      <c r="AO327" t="s">
        <v>1635</v>
      </c>
      <c r="AP327" s="4" t="s">
        <v>1658</v>
      </c>
      <c r="AQ327" t="s">
        <v>1619</v>
      </c>
      <c r="AR327" t="s">
        <v>1620</v>
      </c>
      <c r="AT327" s="16" t="str">
        <f>_xlfn.XLOOKUP(B327,'SWiSH Demand Forecast Sep-26'!D:D,'SWiSH Demand Forecast Sep-26'!G:G,"Not Exist")</f>
        <v>Not Exist</v>
      </c>
    </row>
    <row r="328" spans="1:46" hidden="1" x14ac:dyDescent="0.3">
      <c r="A328">
        <v>102700005</v>
      </c>
      <c r="B328" t="s">
        <v>332</v>
      </c>
      <c r="C328" t="s">
        <v>10</v>
      </c>
      <c r="D328" t="s">
        <v>1613</v>
      </c>
      <c r="E328" t="s">
        <v>1655</v>
      </c>
      <c r="F328" t="s">
        <v>1623</v>
      </c>
      <c r="G328" t="s">
        <v>1616</v>
      </c>
      <c r="H328" t="s">
        <v>1865</v>
      </c>
      <c r="I328" t="s">
        <v>1754</v>
      </c>
      <c r="J328" t="s">
        <v>10</v>
      </c>
      <c r="K328">
        <v>0.02</v>
      </c>
      <c r="L328">
        <v>14.200000000000001</v>
      </c>
      <c r="M328" s="1">
        <v>3</v>
      </c>
      <c r="N328">
        <v>0</v>
      </c>
      <c r="O328">
        <v>0</v>
      </c>
      <c r="P328">
        <v>710</v>
      </c>
      <c r="Q328" s="1">
        <v>710</v>
      </c>
      <c r="R328">
        <v>0.2</v>
      </c>
      <c r="S328" s="2">
        <v>46253</v>
      </c>
      <c r="T328" s="2">
        <v>46262</v>
      </c>
      <c r="U328">
        <v>8350</v>
      </c>
      <c r="V328">
        <v>7400</v>
      </c>
      <c r="W328">
        <v>8260</v>
      </c>
      <c r="X328">
        <v>7960</v>
      </c>
      <c r="Y328">
        <v>7400</v>
      </c>
      <c r="Z328" s="8">
        <v>8350</v>
      </c>
      <c r="AA328">
        <v>7992.5</v>
      </c>
      <c r="AB328">
        <v>0.92586800125117297</v>
      </c>
      <c r="AC328">
        <v>1.044729433844229</v>
      </c>
      <c r="AD328" s="1">
        <v>2</v>
      </c>
      <c r="AE328" s="2">
        <v>46250</v>
      </c>
      <c r="AF328" s="2">
        <v>46258</v>
      </c>
      <c r="AG328" s="2">
        <v>46265</v>
      </c>
      <c r="AH328">
        <v>4860</v>
      </c>
      <c r="AI328" s="3">
        <v>0.60210613256246126</v>
      </c>
      <c r="AJ328" s="1">
        <v>4</v>
      </c>
      <c r="AK328" s="2">
        <v>46267</v>
      </c>
      <c r="AL328" s="4">
        <v>3</v>
      </c>
      <c r="AM328" s="5">
        <v>3</v>
      </c>
      <c r="AN328" s="4">
        <v>2</v>
      </c>
      <c r="AO328">
        <v>502.75862068965517</v>
      </c>
      <c r="AP328" s="4">
        <v>10</v>
      </c>
      <c r="AQ328">
        <v>520</v>
      </c>
      <c r="AR328" t="s">
        <v>2157</v>
      </c>
      <c r="AT328" s="16">
        <f>_xlfn.XLOOKUP(B328,'SWiSH Demand Forecast Sep-26'!D:D,'SWiSH Demand Forecast Sep-26'!G:G,"Not Exist")</f>
        <v>3968</v>
      </c>
    </row>
    <row r="329" spans="1:46" hidden="1" x14ac:dyDescent="0.3">
      <c r="A329">
        <v>103700006</v>
      </c>
      <c r="B329" t="s">
        <v>841</v>
      </c>
      <c r="C329" t="s">
        <v>136</v>
      </c>
      <c r="D329" t="s">
        <v>1613</v>
      </c>
      <c r="E329" t="s">
        <v>1832</v>
      </c>
      <c r="F329" t="s">
        <v>1941</v>
      </c>
      <c r="G329" t="s">
        <v>1616</v>
      </c>
      <c r="H329" t="s">
        <v>1617</v>
      </c>
      <c r="I329" t="s">
        <v>1618</v>
      </c>
      <c r="J329" t="s">
        <v>136</v>
      </c>
      <c r="K329">
        <v>0.5</v>
      </c>
      <c r="L329">
        <v>7</v>
      </c>
      <c r="M329" s="1">
        <v>3</v>
      </c>
      <c r="N329">
        <v>0</v>
      </c>
      <c r="O329">
        <v>0</v>
      </c>
      <c r="P329">
        <v>14</v>
      </c>
      <c r="Q329" s="1">
        <v>14</v>
      </c>
      <c r="R329">
        <v>0.5</v>
      </c>
      <c r="S329" s="2">
        <v>46251</v>
      </c>
      <c r="T329" s="2">
        <v>46263</v>
      </c>
      <c r="U329">
        <v>115</v>
      </c>
      <c r="V329">
        <v>157</v>
      </c>
      <c r="W329">
        <v>183</v>
      </c>
      <c r="X329">
        <v>102</v>
      </c>
      <c r="Y329">
        <v>102</v>
      </c>
      <c r="Z329" s="8">
        <v>183</v>
      </c>
      <c r="AA329">
        <v>139.25</v>
      </c>
      <c r="AB329">
        <v>0.73249551166965887</v>
      </c>
      <c r="AC329">
        <v>1.3141831238779174</v>
      </c>
      <c r="AD329" s="1">
        <v>2</v>
      </c>
      <c r="AE329" s="2">
        <v>46250</v>
      </c>
      <c r="AF329" s="2">
        <v>46258</v>
      </c>
      <c r="AG329" s="2">
        <v>46265</v>
      </c>
      <c r="AH329">
        <v>200</v>
      </c>
      <c r="AI329" s="3">
        <v>1.1305822498586773</v>
      </c>
      <c r="AJ329" s="1">
        <v>2</v>
      </c>
      <c r="AK329" s="2">
        <v>46265</v>
      </c>
      <c r="AL329" s="4">
        <v>30</v>
      </c>
      <c r="AM329" s="5">
        <v>15</v>
      </c>
      <c r="AN329" s="4">
        <v>2</v>
      </c>
      <c r="AO329">
        <v>206.89655172413794</v>
      </c>
      <c r="AP329" s="4">
        <v>1</v>
      </c>
      <c r="AQ329" t="s">
        <v>1619</v>
      </c>
      <c r="AR329" t="s">
        <v>1972</v>
      </c>
      <c r="AT329" s="16">
        <f>_xlfn.XLOOKUP(B329,'SWiSH Demand Forecast Sep-26'!D:D,'SWiSH Demand Forecast Sep-26'!G:G,"Not Exist")</f>
        <v>325.06478353256801</v>
      </c>
    </row>
    <row r="330" spans="1:46" x14ac:dyDescent="0.3">
      <c r="A330">
        <v>101500029</v>
      </c>
      <c r="B330" t="s">
        <v>2158</v>
      </c>
      <c r="C330" t="s">
        <v>10</v>
      </c>
      <c r="D330" t="s">
        <v>1613</v>
      </c>
      <c r="E330" t="s">
        <v>2159</v>
      </c>
      <c r="F330" t="s">
        <v>1644</v>
      </c>
      <c r="G330" t="s">
        <v>1624</v>
      </c>
      <c r="H330" t="s">
        <v>1647</v>
      </c>
      <c r="I330" t="s">
        <v>1634</v>
      </c>
      <c r="J330" t="s">
        <v>10</v>
      </c>
      <c r="K330">
        <v>0.3</v>
      </c>
      <c r="L330">
        <v>2.1</v>
      </c>
      <c r="M330" s="1">
        <v>3</v>
      </c>
      <c r="N330">
        <v>0</v>
      </c>
      <c r="O330">
        <v>0</v>
      </c>
      <c r="P330">
        <v>7</v>
      </c>
      <c r="Q330" s="1">
        <v>7</v>
      </c>
      <c r="R330">
        <v>0.3</v>
      </c>
      <c r="S330" s="2">
        <v>46174</v>
      </c>
      <c r="T330" s="2">
        <v>46257</v>
      </c>
      <c r="U330">
        <v>76</v>
      </c>
      <c r="V330">
        <v>68</v>
      </c>
      <c r="W330">
        <v>29</v>
      </c>
      <c r="X330">
        <v>33</v>
      </c>
      <c r="Y330">
        <v>29</v>
      </c>
      <c r="Z330" s="8">
        <v>76</v>
      </c>
      <c r="AA330">
        <v>51.5</v>
      </c>
      <c r="AB330">
        <v>0.56310679611650483</v>
      </c>
      <c r="AC330">
        <v>1.4757281553398058</v>
      </c>
      <c r="AD330" s="1">
        <v>2</v>
      </c>
      <c r="AE330" s="2">
        <v>46250</v>
      </c>
      <c r="AF330" s="2">
        <v>46258</v>
      </c>
      <c r="AG330" s="2">
        <v>46265</v>
      </c>
      <c r="AH330">
        <v>30</v>
      </c>
      <c r="AI330" s="3">
        <v>0.40834845735027225</v>
      </c>
      <c r="AJ330" s="1">
        <v>6</v>
      </c>
      <c r="AK330" s="2">
        <v>46269</v>
      </c>
      <c r="AL330" s="4">
        <v>30</v>
      </c>
      <c r="AM330" s="5">
        <v>15</v>
      </c>
      <c r="AN330" s="4">
        <v>2</v>
      </c>
      <c r="AO330">
        <v>31.03448275862069</v>
      </c>
      <c r="AP330" s="4">
        <v>1</v>
      </c>
      <c r="AQ330">
        <v>50</v>
      </c>
      <c r="AR330" t="s">
        <v>1859</v>
      </c>
      <c r="AT330" s="16" t="str">
        <f>_xlfn.XLOOKUP(B330,'SWiSH Demand Forecast Sep-26'!D:D,'SWiSH Demand Forecast Sep-26'!G:G,"Not Exist")</f>
        <v>Not Exist</v>
      </c>
    </row>
    <row r="331" spans="1:46" x14ac:dyDescent="0.3">
      <c r="A331">
        <v>107500014</v>
      </c>
      <c r="B331" t="s">
        <v>2160</v>
      </c>
      <c r="C331" t="s">
        <v>136</v>
      </c>
      <c r="D331" t="s">
        <v>1613</v>
      </c>
      <c r="E331" t="s">
        <v>2161</v>
      </c>
      <c r="F331" t="s">
        <v>1623</v>
      </c>
      <c r="G331" t="s">
        <v>1616</v>
      </c>
      <c r="H331" t="s">
        <v>2030</v>
      </c>
      <c r="I331" t="s">
        <v>1626</v>
      </c>
      <c r="J331" t="s">
        <v>136</v>
      </c>
      <c r="K331">
        <v>0.52500000000000002</v>
      </c>
      <c r="L331">
        <v>4.7250000000000005</v>
      </c>
      <c r="M331" s="1">
        <v>3</v>
      </c>
      <c r="N331">
        <v>0</v>
      </c>
      <c r="O331">
        <v>0</v>
      </c>
      <c r="P331">
        <v>9</v>
      </c>
      <c r="Q331" s="1">
        <v>9</v>
      </c>
      <c r="R331">
        <v>6.3</v>
      </c>
      <c r="S331" s="2">
        <v>46254</v>
      </c>
      <c r="T331" s="2">
        <v>46262</v>
      </c>
      <c r="U331">
        <v>119</v>
      </c>
      <c r="V331">
        <v>95</v>
      </c>
      <c r="W331">
        <v>72</v>
      </c>
      <c r="X331">
        <v>72</v>
      </c>
      <c r="Y331">
        <v>72</v>
      </c>
      <c r="Z331" s="8">
        <v>119</v>
      </c>
      <c r="AA331">
        <v>89.5</v>
      </c>
      <c r="AB331">
        <v>0.8044692737430168</v>
      </c>
      <c r="AC331">
        <v>1.3296089385474861</v>
      </c>
      <c r="AD331" s="1">
        <v>2</v>
      </c>
      <c r="AE331" s="2">
        <v>46250</v>
      </c>
      <c r="AF331" s="2">
        <v>46258</v>
      </c>
      <c r="AG331" s="2">
        <v>46265</v>
      </c>
      <c r="AH331">
        <v>59</v>
      </c>
      <c r="AI331" s="3">
        <v>0.51289481309765284</v>
      </c>
      <c r="AJ331" s="1">
        <v>4</v>
      </c>
      <c r="AK331" s="2">
        <v>46267</v>
      </c>
      <c r="AL331" s="4">
        <v>8</v>
      </c>
      <c r="AM331" s="5">
        <v>5</v>
      </c>
      <c r="AN331" s="4">
        <v>2</v>
      </c>
      <c r="AO331">
        <v>16.275862068965516</v>
      </c>
      <c r="AP331" s="4">
        <v>4</v>
      </c>
      <c r="AQ331" t="s">
        <v>1619</v>
      </c>
      <c r="AR331" t="s">
        <v>1859</v>
      </c>
      <c r="AT331" s="16" t="str">
        <f>_xlfn.XLOOKUP(B331,'SWiSH Demand Forecast Sep-26'!D:D,'SWiSH Demand Forecast Sep-26'!G:G,"Not Exist")</f>
        <v>Not Exist</v>
      </c>
    </row>
    <row r="332" spans="1:46" hidden="1" x14ac:dyDescent="0.3">
      <c r="A332">
        <v>100900041</v>
      </c>
      <c r="B332" t="s">
        <v>203</v>
      </c>
      <c r="C332" t="s">
        <v>10</v>
      </c>
      <c r="D332" t="s">
        <v>1613</v>
      </c>
      <c r="E332" t="s">
        <v>2162</v>
      </c>
      <c r="F332" t="s">
        <v>1639</v>
      </c>
      <c r="G332" t="s">
        <v>1616</v>
      </c>
      <c r="H332" t="s">
        <v>1640</v>
      </c>
      <c r="I332" t="s">
        <v>1618</v>
      </c>
      <c r="J332" t="s">
        <v>1641</v>
      </c>
      <c r="K332">
        <v>6.166667E-2</v>
      </c>
      <c r="L332">
        <v>273.80001479999999</v>
      </c>
      <c r="M332" s="1">
        <v>3</v>
      </c>
      <c r="N332">
        <v>0</v>
      </c>
      <c r="O332">
        <v>1350</v>
      </c>
      <c r="P332">
        <v>4440</v>
      </c>
      <c r="Q332" s="1">
        <v>3090</v>
      </c>
      <c r="R332">
        <v>1.85</v>
      </c>
      <c r="S332" s="2">
        <v>46261</v>
      </c>
      <c r="T332" s="2">
        <v>46263</v>
      </c>
      <c r="U332">
        <v>22320</v>
      </c>
      <c r="V332">
        <v>19558</v>
      </c>
      <c r="W332">
        <v>32580</v>
      </c>
      <c r="X332">
        <v>35909</v>
      </c>
      <c r="Y332">
        <v>19558</v>
      </c>
      <c r="Z332" s="8">
        <v>35909</v>
      </c>
      <c r="AA332">
        <v>27591.75</v>
      </c>
      <c r="AB332">
        <v>0.70883506845343269</v>
      </c>
      <c r="AC332">
        <v>1.3014397419518515</v>
      </c>
      <c r="AD332" s="1">
        <v>2</v>
      </c>
      <c r="AE332" s="2">
        <v>46250</v>
      </c>
      <c r="AF332" s="2">
        <v>46258</v>
      </c>
      <c r="AG332" s="2">
        <v>46265</v>
      </c>
      <c r="AH332">
        <v>26880</v>
      </c>
      <c r="AI332" s="3">
        <v>0.77437123149416964</v>
      </c>
      <c r="AJ332" s="1">
        <v>3</v>
      </c>
      <c r="AK332" s="2">
        <v>46266</v>
      </c>
      <c r="AL332" s="4">
        <v>10</v>
      </c>
      <c r="AM332" s="5">
        <v>10</v>
      </c>
      <c r="AN332" s="4">
        <v>2</v>
      </c>
      <c r="AO332">
        <v>9268.9655172413804</v>
      </c>
      <c r="AP332" s="4">
        <v>3</v>
      </c>
      <c r="AQ332" t="s">
        <v>1619</v>
      </c>
      <c r="AR332" t="s">
        <v>2163</v>
      </c>
      <c r="AT332" s="16">
        <f>_xlfn.XLOOKUP(B332,'SWiSH Demand Forecast Sep-26'!D:D,'SWiSH Demand Forecast Sep-26'!G:G,"Not Exist")</f>
        <v>8173</v>
      </c>
    </row>
    <row r="333" spans="1:46" hidden="1" x14ac:dyDescent="0.3">
      <c r="A333">
        <v>106200042</v>
      </c>
      <c r="B333" t="s">
        <v>807</v>
      </c>
      <c r="C333" t="s">
        <v>240</v>
      </c>
      <c r="D333" t="s">
        <v>1613</v>
      </c>
      <c r="E333" t="s">
        <v>2164</v>
      </c>
      <c r="F333" t="s">
        <v>1671</v>
      </c>
      <c r="G333" t="s">
        <v>1616</v>
      </c>
      <c r="H333" t="s">
        <v>1672</v>
      </c>
      <c r="I333" t="s">
        <v>1618</v>
      </c>
      <c r="J333" t="s">
        <v>2165</v>
      </c>
      <c r="K333">
        <v>1.99999985</v>
      </c>
      <c r="L333">
        <v>341.99997435</v>
      </c>
      <c r="M333" s="1">
        <v>3</v>
      </c>
      <c r="N333">
        <v>0</v>
      </c>
      <c r="O333">
        <v>0</v>
      </c>
      <c r="P333">
        <v>171</v>
      </c>
      <c r="Q333" s="1">
        <v>171</v>
      </c>
      <c r="R333">
        <v>24</v>
      </c>
      <c r="S333" s="2">
        <v>46261</v>
      </c>
      <c r="T333" s="2">
        <v>46263</v>
      </c>
      <c r="U333">
        <v>1113</v>
      </c>
      <c r="V333">
        <v>1737</v>
      </c>
      <c r="W333">
        <v>1833</v>
      </c>
      <c r="X333">
        <v>1734</v>
      </c>
      <c r="Y333">
        <v>1113</v>
      </c>
      <c r="Z333" s="8">
        <v>1833</v>
      </c>
      <c r="AA333">
        <v>1604.25</v>
      </c>
      <c r="AB333">
        <v>0.69378214118747084</v>
      </c>
      <c r="AC333">
        <v>1.1425899953249181</v>
      </c>
      <c r="AD333" s="1">
        <v>2</v>
      </c>
      <c r="AE333" s="2">
        <v>46250</v>
      </c>
      <c r="AF333" s="2">
        <v>46258</v>
      </c>
      <c r="AG333" s="2">
        <v>46265</v>
      </c>
      <c r="AH333">
        <v>1602</v>
      </c>
      <c r="AI333" s="3">
        <v>0.90411422766521821</v>
      </c>
      <c r="AJ333" s="1">
        <v>3</v>
      </c>
      <c r="AK333" s="2">
        <v>46266</v>
      </c>
      <c r="AL333" s="4">
        <v>15</v>
      </c>
      <c r="AM333" s="5">
        <v>15</v>
      </c>
      <c r="AN333" s="4">
        <v>2</v>
      </c>
      <c r="AO333">
        <v>828.62068965517244</v>
      </c>
      <c r="AP333" s="4">
        <v>2</v>
      </c>
      <c r="AQ333" t="s">
        <v>1619</v>
      </c>
      <c r="AR333" t="s">
        <v>1620</v>
      </c>
      <c r="AT333" s="16">
        <f>_xlfn.XLOOKUP(B333,'SWiSH Demand Forecast Sep-26'!D:D,'SWiSH Demand Forecast Sep-26'!G:G,"Not Exist")</f>
        <v>383.37261948502697</v>
      </c>
    </row>
    <row r="334" spans="1:46" hidden="1" x14ac:dyDescent="0.3">
      <c r="A334">
        <v>100900046</v>
      </c>
      <c r="B334" t="s">
        <v>244</v>
      </c>
      <c r="C334" t="s">
        <v>10</v>
      </c>
      <c r="D334" t="s">
        <v>1613</v>
      </c>
      <c r="E334" t="s">
        <v>2166</v>
      </c>
      <c r="F334" t="s">
        <v>1639</v>
      </c>
      <c r="G334" t="s">
        <v>1616</v>
      </c>
      <c r="H334" t="s">
        <v>1640</v>
      </c>
      <c r="I334" t="s">
        <v>1618</v>
      </c>
      <c r="J334" t="s">
        <v>1641</v>
      </c>
      <c r="K334">
        <v>6.166667E-2</v>
      </c>
      <c r="L334">
        <v>326.46335097999997</v>
      </c>
      <c r="M334" s="1">
        <v>3</v>
      </c>
      <c r="N334">
        <v>0</v>
      </c>
      <c r="O334">
        <v>1590</v>
      </c>
      <c r="P334">
        <v>5294</v>
      </c>
      <c r="Q334" s="1">
        <v>3704</v>
      </c>
      <c r="R334">
        <v>1.85</v>
      </c>
      <c r="S334" s="2">
        <v>46261</v>
      </c>
      <c r="T334" s="2">
        <v>46263</v>
      </c>
      <c r="U334">
        <v>25560</v>
      </c>
      <c r="V334">
        <v>22408</v>
      </c>
      <c r="W334">
        <v>38670</v>
      </c>
      <c r="X334">
        <v>36281</v>
      </c>
      <c r="Y334">
        <v>22408</v>
      </c>
      <c r="Z334" s="8">
        <v>38670</v>
      </c>
      <c r="AA334">
        <v>30729.75</v>
      </c>
      <c r="AB334">
        <v>0.72919564916733781</v>
      </c>
      <c r="AC334">
        <v>1.2583896712469187</v>
      </c>
      <c r="AD334" s="1">
        <v>2</v>
      </c>
      <c r="AE334" s="2">
        <v>46250</v>
      </c>
      <c r="AF334" s="2">
        <v>46258</v>
      </c>
      <c r="AG334" s="2">
        <v>46265</v>
      </c>
      <c r="AH334">
        <v>29932</v>
      </c>
      <c r="AI334" s="3">
        <v>0.80072764238516891</v>
      </c>
      <c r="AJ334" s="1">
        <v>3</v>
      </c>
      <c r="AK334" s="2">
        <v>46266</v>
      </c>
      <c r="AL334" s="4">
        <v>10</v>
      </c>
      <c r="AM334" s="5">
        <v>10</v>
      </c>
      <c r="AN334" s="4">
        <v>2</v>
      </c>
      <c r="AO334">
        <v>10321.379310344828</v>
      </c>
      <c r="AP334" s="4">
        <v>3</v>
      </c>
      <c r="AQ334" t="s">
        <v>1619</v>
      </c>
      <c r="AR334" t="s">
        <v>2163</v>
      </c>
      <c r="AT334" s="16">
        <f>_xlfn.XLOOKUP(B334,'SWiSH Demand Forecast Sep-26'!D:D,'SWiSH Demand Forecast Sep-26'!G:G,"Not Exist")</f>
        <v>7163</v>
      </c>
    </row>
    <row r="335" spans="1:46" hidden="1" x14ac:dyDescent="0.3">
      <c r="A335">
        <v>103400016</v>
      </c>
      <c r="B335" t="s">
        <v>235</v>
      </c>
      <c r="C335" t="s">
        <v>136</v>
      </c>
      <c r="D335" t="s">
        <v>1613</v>
      </c>
      <c r="E335" t="s">
        <v>2091</v>
      </c>
      <c r="F335" t="s">
        <v>1752</v>
      </c>
      <c r="G335" t="s">
        <v>1616</v>
      </c>
      <c r="H335" t="s">
        <v>1931</v>
      </c>
      <c r="I335" t="s">
        <v>1754</v>
      </c>
      <c r="J335" t="s">
        <v>1959</v>
      </c>
      <c r="K335">
        <v>0.50368378000000003</v>
      </c>
      <c r="L335">
        <v>2196.0612808000001</v>
      </c>
      <c r="M335" s="1">
        <v>3</v>
      </c>
      <c r="N335">
        <v>0</v>
      </c>
      <c r="O335">
        <v>1975</v>
      </c>
      <c r="P335">
        <v>4360</v>
      </c>
      <c r="Q335" s="1">
        <v>2385</v>
      </c>
      <c r="R335">
        <v>5</v>
      </c>
      <c r="S335" s="2">
        <v>46106</v>
      </c>
      <c r="T335" s="2">
        <v>46263</v>
      </c>
      <c r="U335">
        <v>23200</v>
      </c>
      <c r="V335">
        <v>26580</v>
      </c>
      <c r="W335">
        <v>33327.5</v>
      </c>
      <c r="X335">
        <v>35550</v>
      </c>
      <c r="Y335">
        <v>23200</v>
      </c>
      <c r="Z335" s="8">
        <v>35550</v>
      </c>
      <c r="AA335">
        <v>29664.375</v>
      </c>
      <c r="AB335">
        <v>0.78208288561616413</v>
      </c>
      <c r="AC335">
        <v>1.1984071803299412</v>
      </c>
      <c r="AD335" s="1">
        <v>2</v>
      </c>
      <c r="AE335" s="2">
        <v>46250</v>
      </c>
      <c r="AF335" s="2">
        <v>46258</v>
      </c>
      <c r="AG335" s="2">
        <v>46265</v>
      </c>
      <c r="AH335">
        <v>30397.5</v>
      </c>
      <c r="AI335" s="3">
        <v>0.88454823221300738</v>
      </c>
      <c r="AJ335" s="1">
        <v>2</v>
      </c>
      <c r="AK335" s="2">
        <v>46265</v>
      </c>
      <c r="AL335" s="4">
        <v>4</v>
      </c>
      <c r="AM335" s="5">
        <v>3</v>
      </c>
      <c r="AN335" s="4">
        <v>2</v>
      </c>
      <c r="AO335">
        <v>4192.7586206896549</v>
      </c>
      <c r="AP335" s="4">
        <v>9</v>
      </c>
      <c r="AQ335" t="s">
        <v>1619</v>
      </c>
      <c r="AR335" t="s">
        <v>1620</v>
      </c>
      <c r="AS335" t="s">
        <v>1666</v>
      </c>
      <c r="AT335" s="16">
        <f>_xlfn.XLOOKUP(B335,'SWiSH Demand Forecast Sep-26'!D:D,'SWiSH Demand Forecast Sep-26'!G:G,"Not Exist")</f>
        <v>7370.6333333333296</v>
      </c>
    </row>
    <row r="336" spans="1:46" x14ac:dyDescent="0.3">
      <c r="A336">
        <v>104200031</v>
      </c>
      <c r="B336" t="s">
        <v>2167</v>
      </c>
      <c r="C336" t="s">
        <v>136</v>
      </c>
      <c r="D336" t="s">
        <v>1613</v>
      </c>
      <c r="E336" t="s">
        <v>2168</v>
      </c>
      <c r="F336" t="s">
        <v>1644</v>
      </c>
      <c r="G336" t="s">
        <v>1624</v>
      </c>
      <c r="H336" t="s">
        <v>1633</v>
      </c>
      <c r="I336" t="s">
        <v>1634</v>
      </c>
      <c r="J336" t="s">
        <v>2169</v>
      </c>
      <c r="K336">
        <v>0.35012175000000001</v>
      </c>
      <c r="L336">
        <v>252.08766</v>
      </c>
      <c r="M336" s="1">
        <v>3</v>
      </c>
      <c r="N336">
        <v>0</v>
      </c>
      <c r="O336">
        <v>90</v>
      </c>
      <c r="P336">
        <v>720</v>
      </c>
      <c r="Q336" s="1">
        <v>630</v>
      </c>
      <c r="R336">
        <v>3.5</v>
      </c>
      <c r="S336" s="2">
        <v>46251</v>
      </c>
      <c r="T336" s="2">
        <v>46263</v>
      </c>
      <c r="U336">
        <v>8170</v>
      </c>
      <c r="V336">
        <v>5850</v>
      </c>
      <c r="W336">
        <v>5390</v>
      </c>
      <c r="X336">
        <v>6150</v>
      </c>
      <c r="Y336">
        <v>5390</v>
      </c>
      <c r="Z336" s="8">
        <v>8170</v>
      </c>
      <c r="AA336">
        <v>6390</v>
      </c>
      <c r="AB336">
        <v>0.84350547730829417</v>
      </c>
      <c r="AC336">
        <v>1.2785602503912363</v>
      </c>
      <c r="AD336" s="1">
        <v>2</v>
      </c>
      <c r="AE336" s="2">
        <v>46250</v>
      </c>
      <c r="AF336" s="2">
        <v>46258</v>
      </c>
      <c r="AG336" s="2">
        <v>46265</v>
      </c>
      <c r="AH336">
        <v>5800</v>
      </c>
      <c r="AI336" s="3">
        <v>0.73439412484700117</v>
      </c>
      <c r="AJ336" s="1">
        <v>3</v>
      </c>
      <c r="AK336" s="2">
        <v>46266</v>
      </c>
      <c r="AL336" s="4">
        <v>8</v>
      </c>
      <c r="AM336" s="5">
        <v>5</v>
      </c>
      <c r="AN336" s="4">
        <v>2</v>
      </c>
      <c r="AO336">
        <v>1599.9999999999998</v>
      </c>
      <c r="AP336" s="4">
        <v>4</v>
      </c>
      <c r="AQ336">
        <v>120</v>
      </c>
      <c r="AR336" t="s">
        <v>2170</v>
      </c>
      <c r="AT336" s="16" t="str">
        <f>_xlfn.XLOOKUP(B336,'SWiSH Demand Forecast Sep-26'!D:D,'SWiSH Demand Forecast Sep-26'!G:G,"Not Exist")</f>
        <v>Not Exist</v>
      </c>
    </row>
    <row r="337" spans="1:46" hidden="1" x14ac:dyDescent="0.3">
      <c r="A337">
        <v>100300024</v>
      </c>
      <c r="B337" t="s">
        <v>378</v>
      </c>
      <c r="C337" t="s">
        <v>136</v>
      </c>
      <c r="D337" t="s">
        <v>1613</v>
      </c>
      <c r="E337" t="s">
        <v>1819</v>
      </c>
      <c r="F337" t="s">
        <v>1752</v>
      </c>
      <c r="G337" t="s">
        <v>1616</v>
      </c>
      <c r="H337" t="s">
        <v>2018</v>
      </c>
      <c r="I337" t="s">
        <v>1754</v>
      </c>
      <c r="J337" t="s">
        <v>136</v>
      </c>
      <c r="K337">
        <v>3.25</v>
      </c>
      <c r="L337">
        <v>1787.5</v>
      </c>
      <c r="M337" s="1">
        <v>3</v>
      </c>
      <c r="N337">
        <v>0</v>
      </c>
      <c r="O337">
        <v>150</v>
      </c>
      <c r="P337">
        <v>550</v>
      </c>
      <c r="Q337" s="1">
        <v>400</v>
      </c>
      <c r="R337">
        <v>3.25</v>
      </c>
      <c r="S337" s="2">
        <v>46260</v>
      </c>
      <c r="T337" s="2">
        <v>46263</v>
      </c>
      <c r="U337">
        <v>3465</v>
      </c>
      <c r="V337">
        <v>4375</v>
      </c>
      <c r="W337">
        <v>2870</v>
      </c>
      <c r="X337">
        <v>3395</v>
      </c>
      <c r="Y337">
        <v>2870</v>
      </c>
      <c r="Z337" s="8">
        <v>4375</v>
      </c>
      <c r="AA337">
        <v>3526.25</v>
      </c>
      <c r="AB337">
        <v>0.81389578163771714</v>
      </c>
      <c r="AC337">
        <v>1.2406947890818858</v>
      </c>
      <c r="AD337" s="1">
        <v>2</v>
      </c>
      <c r="AE337" s="2">
        <v>46250</v>
      </c>
      <c r="AF337" s="2">
        <v>46258</v>
      </c>
      <c r="AG337" s="2">
        <v>46265</v>
      </c>
      <c r="AH337">
        <v>2635</v>
      </c>
      <c r="AI337" s="3">
        <v>0.62305418719211825</v>
      </c>
      <c r="AJ337" s="1">
        <v>4</v>
      </c>
      <c r="AK337" s="2">
        <v>46267</v>
      </c>
      <c r="AL337" s="4">
        <v>8</v>
      </c>
      <c r="AM337" s="5">
        <v>5</v>
      </c>
      <c r="AN337" s="4">
        <v>2</v>
      </c>
      <c r="AO337">
        <v>726.89655172413802</v>
      </c>
      <c r="AP337" s="4">
        <v>4</v>
      </c>
      <c r="AQ337">
        <v>1900</v>
      </c>
      <c r="AR337" t="s">
        <v>2171</v>
      </c>
      <c r="AT337" s="16">
        <f>_xlfn.XLOOKUP(B337,'SWiSH Demand Forecast Sep-26'!D:D,'SWiSH Demand Forecast Sep-26'!G:G,"Not Exist")</f>
        <v>3033.5889999999999</v>
      </c>
    </row>
    <row r="338" spans="1:46" hidden="1" x14ac:dyDescent="0.3">
      <c r="A338">
        <v>106401347</v>
      </c>
      <c r="B338" t="s">
        <v>910</v>
      </c>
      <c r="C338" t="s">
        <v>136</v>
      </c>
      <c r="D338" t="s">
        <v>1613</v>
      </c>
      <c r="E338" t="s">
        <v>1949</v>
      </c>
      <c r="F338" t="s">
        <v>1812</v>
      </c>
      <c r="G338" t="s">
        <v>1624</v>
      </c>
      <c r="H338" t="s">
        <v>1764</v>
      </c>
      <c r="I338" t="s">
        <v>1618</v>
      </c>
      <c r="J338" t="s">
        <v>136</v>
      </c>
      <c r="K338">
        <v>0.48295874999999999</v>
      </c>
      <c r="L338">
        <v>41.051493749999999</v>
      </c>
      <c r="M338" s="1">
        <v>3</v>
      </c>
      <c r="N338">
        <v>0</v>
      </c>
      <c r="O338">
        <v>10</v>
      </c>
      <c r="P338">
        <v>85</v>
      </c>
      <c r="Q338" s="1">
        <v>75</v>
      </c>
      <c r="R338">
        <v>0</v>
      </c>
      <c r="S338" s="2">
        <v>0</v>
      </c>
      <c r="T338" s="2">
        <v>46263</v>
      </c>
      <c r="U338">
        <v>0</v>
      </c>
      <c r="V338">
        <v>0</v>
      </c>
      <c r="W338">
        <v>295</v>
      </c>
      <c r="X338">
        <v>1055</v>
      </c>
      <c r="Y338">
        <v>0</v>
      </c>
      <c r="Z338" s="8">
        <v>1055</v>
      </c>
      <c r="AA338">
        <v>337.5</v>
      </c>
      <c r="AB338">
        <v>0</v>
      </c>
      <c r="AC338">
        <v>3.1259259259259258</v>
      </c>
      <c r="AD338" s="1">
        <v>2</v>
      </c>
      <c r="AE338" s="2">
        <v>46250</v>
      </c>
      <c r="AF338" s="2">
        <v>46258</v>
      </c>
      <c r="AG338" s="2">
        <v>46265</v>
      </c>
      <c r="AH338">
        <v>770</v>
      </c>
      <c r="AI338" s="3">
        <v>0.75502533093642754</v>
      </c>
      <c r="AJ338" s="1">
        <v>2</v>
      </c>
      <c r="AK338" s="2">
        <v>46265</v>
      </c>
      <c r="AL338" s="4" t="s">
        <v>1658</v>
      </c>
      <c r="AM338" s="5" t="s">
        <v>1658</v>
      </c>
      <c r="AN338" s="4">
        <v>2</v>
      </c>
      <c r="AO338" t="s">
        <v>1635</v>
      </c>
      <c r="AP338" s="4" t="s">
        <v>1658</v>
      </c>
      <c r="AQ338" t="s">
        <v>1619</v>
      </c>
      <c r="AR338" t="s">
        <v>1620</v>
      </c>
      <c r="AT338" s="16">
        <f>_xlfn.XLOOKUP(B338,'SWiSH Demand Forecast Sep-26'!D:D,'SWiSH Demand Forecast Sep-26'!G:G,"Not Exist")</f>
        <v>232.629999999999</v>
      </c>
    </row>
    <row r="339" spans="1:46" hidden="1" x14ac:dyDescent="0.3">
      <c r="A339">
        <v>103400001</v>
      </c>
      <c r="B339" t="s">
        <v>907</v>
      </c>
      <c r="C339" t="s">
        <v>136</v>
      </c>
      <c r="D339" t="s">
        <v>1613</v>
      </c>
      <c r="E339" t="s">
        <v>1926</v>
      </c>
      <c r="F339" t="s">
        <v>1752</v>
      </c>
      <c r="G339" t="s">
        <v>1616</v>
      </c>
      <c r="H339" t="s">
        <v>1931</v>
      </c>
      <c r="I339" t="s">
        <v>1754</v>
      </c>
      <c r="J339" t="s">
        <v>2172</v>
      </c>
      <c r="K339">
        <v>3.3333333299999999</v>
      </c>
      <c r="L339">
        <v>79.999999919999993</v>
      </c>
      <c r="M339" s="1">
        <v>3</v>
      </c>
      <c r="N339">
        <v>0</v>
      </c>
      <c r="O339">
        <v>0</v>
      </c>
      <c r="P339">
        <v>24</v>
      </c>
      <c r="Q339" s="1">
        <v>24</v>
      </c>
      <c r="R339">
        <v>20</v>
      </c>
      <c r="S339" s="2">
        <v>46246</v>
      </c>
      <c r="T339" s="2">
        <v>46263</v>
      </c>
      <c r="U339">
        <v>210</v>
      </c>
      <c r="V339">
        <v>252</v>
      </c>
      <c r="W339">
        <v>210</v>
      </c>
      <c r="X339">
        <v>234</v>
      </c>
      <c r="Y339">
        <v>210</v>
      </c>
      <c r="Z339" s="8">
        <v>252</v>
      </c>
      <c r="AA339">
        <v>226.5</v>
      </c>
      <c r="AB339">
        <v>0.92715231788079466</v>
      </c>
      <c r="AC339">
        <v>1.1125827814569536</v>
      </c>
      <c r="AD339" s="1">
        <v>2</v>
      </c>
      <c r="AE339" s="2">
        <v>46250</v>
      </c>
      <c r="AF339" s="2">
        <v>46258</v>
      </c>
      <c r="AG339" s="2">
        <v>46265</v>
      </c>
      <c r="AH339">
        <v>222</v>
      </c>
      <c r="AI339" s="3">
        <v>0.91133004926108374</v>
      </c>
      <c r="AJ339" s="1">
        <v>3</v>
      </c>
      <c r="AK339" s="2">
        <v>46266</v>
      </c>
      <c r="AL339" s="4">
        <v>30</v>
      </c>
      <c r="AM339" s="5">
        <v>15</v>
      </c>
      <c r="AN339" s="4">
        <v>2</v>
      </c>
      <c r="AO339">
        <v>229.65517241379311</v>
      </c>
      <c r="AP339" s="4">
        <v>1</v>
      </c>
      <c r="AQ339" t="s">
        <v>1619</v>
      </c>
      <c r="AR339" t="s">
        <v>1620</v>
      </c>
      <c r="AT339" s="16">
        <f>_xlfn.XLOOKUP(B339,'SWiSH Demand Forecast Sep-26'!D:D,'SWiSH Demand Forecast Sep-26'!G:G,"Not Exist")</f>
        <v>234</v>
      </c>
    </row>
    <row r="340" spans="1:46" hidden="1" x14ac:dyDescent="0.3">
      <c r="A340">
        <v>100900055</v>
      </c>
      <c r="B340" t="s">
        <v>315</v>
      </c>
      <c r="C340" t="s">
        <v>10</v>
      </c>
      <c r="D340" t="s">
        <v>1613</v>
      </c>
      <c r="E340" t="s">
        <v>2173</v>
      </c>
      <c r="F340" t="s">
        <v>1639</v>
      </c>
      <c r="G340" t="s">
        <v>1616</v>
      </c>
      <c r="H340" t="s">
        <v>1640</v>
      </c>
      <c r="I340" t="s">
        <v>1618</v>
      </c>
      <c r="J340" t="s">
        <v>1641</v>
      </c>
      <c r="K340">
        <v>6.166667E-2</v>
      </c>
      <c r="L340">
        <v>125.80000680000001</v>
      </c>
      <c r="M340" s="1">
        <v>3</v>
      </c>
      <c r="N340">
        <v>0</v>
      </c>
      <c r="O340">
        <v>660</v>
      </c>
      <c r="P340">
        <v>2040</v>
      </c>
      <c r="Q340" s="1">
        <v>1380</v>
      </c>
      <c r="R340">
        <v>1.85</v>
      </c>
      <c r="S340" s="2">
        <v>46259</v>
      </c>
      <c r="T340" s="2">
        <v>46263</v>
      </c>
      <c r="U340">
        <v>16225</v>
      </c>
      <c r="V340">
        <v>15630</v>
      </c>
      <c r="W340">
        <v>14610</v>
      </c>
      <c r="X340">
        <v>18840</v>
      </c>
      <c r="Y340">
        <v>14610</v>
      </c>
      <c r="Z340" s="8">
        <v>18840</v>
      </c>
      <c r="AA340">
        <v>16326.25</v>
      </c>
      <c r="AB340">
        <v>0.89487788071357477</v>
      </c>
      <c r="AC340">
        <v>1.1539698338565194</v>
      </c>
      <c r="AD340" s="1">
        <v>2</v>
      </c>
      <c r="AE340" s="2">
        <v>46250</v>
      </c>
      <c r="AF340" s="2">
        <v>46258</v>
      </c>
      <c r="AG340" s="2">
        <v>46265</v>
      </c>
      <c r="AH340">
        <v>14730</v>
      </c>
      <c r="AI340" s="3">
        <v>0.8088073797496157</v>
      </c>
      <c r="AJ340" s="1">
        <v>2</v>
      </c>
      <c r="AK340" s="2">
        <v>46265</v>
      </c>
      <c r="AL340" s="4">
        <v>10</v>
      </c>
      <c r="AM340" s="5">
        <v>10</v>
      </c>
      <c r="AN340" s="4">
        <v>2</v>
      </c>
      <c r="AO340">
        <v>5079.310344827587</v>
      </c>
      <c r="AP340" s="4">
        <v>3</v>
      </c>
      <c r="AQ340" t="s">
        <v>1619</v>
      </c>
      <c r="AR340" t="s">
        <v>2163</v>
      </c>
      <c r="AT340" s="16">
        <f>_xlfn.XLOOKUP(B340,'SWiSH Demand Forecast Sep-26'!D:D,'SWiSH Demand Forecast Sep-26'!G:G,"Not Exist")</f>
        <v>4438</v>
      </c>
    </row>
    <row r="341" spans="1:46" x14ac:dyDescent="0.3">
      <c r="A341">
        <v>101500010</v>
      </c>
      <c r="B341" t="s">
        <v>2174</v>
      </c>
      <c r="C341" t="s">
        <v>10</v>
      </c>
      <c r="D341" t="s">
        <v>1613</v>
      </c>
      <c r="E341" t="s">
        <v>2175</v>
      </c>
      <c r="F341" t="s">
        <v>1644</v>
      </c>
      <c r="G341" t="s">
        <v>1624</v>
      </c>
      <c r="H341" t="s">
        <v>1647</v>
      </c>
      <c r="I341" t="s">
        <v>1634</v>
      </c>
      <c r="J341" t="s">
        <v>10</v>
      </c>
      <c r="K341">
        <v>0.45</v>
      </c>
      <c r="L341">
        <v>103.5</v>
      </c>
      <c r="M341" s="1">
        <v>3</v>
      </c>
      <c r="N341">
        <v>0</v>
      </c>
      <c r="O341">
        <v>60</v>
      </c>
      <c r="P341">
        <v>230</v>
      </c>
      <c r="Q341" s="1">
        <v>170</v>
      </c>
      <c r="R341">
        <v>4.5</v>
      </c>
      <c r="S341" s="2">
        <v>46250</v>
      </c>
      <c r="T341" s="2">
        <v>46263</v>
      </c>
      <c r="U341">
        <v>1480</v>
      </c>
      <c r="V341">
        <v>1560</v>
      </c>
      <c r="W341">
        <v>1710</v>
      </c>
      <c r="X341">
        <v>890</v>
      </c>
      <c r="Y341">
        <v>890</v>
      </c>
      <c r="Z341" s="8">
        <v>1710</v>
      </c>
      <c r="AA341">
        <v>1410</v>
      </c>
      <c r="AB341">
        <v>0.63120567375886527</v>
      </c>
      <c r="AC341">
        <v>1.2127659574468086</v>
      </c>
      <c r="AD341" s="1">
        <v>2</v>
      </c>
      <c r="AE341" s="2">
        <v>46250</v>
      </c>
      <c r="AF341" s="2">
        <v>46258</v>
      </c>
      <c r="AG341" s="2">
        <v>46265</v>
      </c>
      <c r="AH341">
        <v>1370</v>
      </c>
      <c r="AI341" s="3">
        <v>0.82879612825166371</v>
      </c>
      <c r="AJ341" s="1">
        <v>3</v>
      </c>
      <c r="AK341" s="2">
        <v>46266</v>
      </c>
      <c r="AL341" s="4">
        <v>30</v>
      </c>
      <c r="AM341" s="5">
        <v>15</v>
      </c>
      <c r="AN341" s="4">
        <v>2</v>
      </c>
      <c r="AO341">
        <v>1417.2413793103449</v>
      </c>
      <c r="AP341" s="4">
        <v>1</v>
      </c>
      <c r="AQ341" t="s">
        <v>1619</v>
      </c>
      <c r="AR341" t="s">
        <v>1620</v>
      </c>
      <c r="AT341" s="16" t="str">
        <f>_xlfn.XLOOKUP(B341,'SWiSH Demand Forecast Sep-26'!D:D,'SWiSH Demand Forecast Sep-26'!G:G,"Not Exist")</f>
        <v>Not Exist</v>
      </c>
    </row>
    <row r="342" spans="1:46" x14ac:dyDescent="0.3">
      <c r="A342">
        <v>105600035</v>
      </c>
      <c r="B342" t="s">
        <v>2176</v>
      </c>
      <c r="C342" t="s">
        <v>10</v>
      </c>
      <c r="D342" t="s">
        <v>1613</v>
      </c>
      <c r="E342" t="s">
        <v>2177</v>
      </c>
      <c r="F342" t="s">
        <v>1631</v>
      </c>
      <c r="G342" t="s">
        <v>1616</v>
      </c>
      <c r="H342" t="s">
        <v>1679</v>
      </c>
      <c r="I342" t="s">
        <v>1634</v>
      </c>
      <c r="J342" t="s">
        <v>2113</v>
      </c>
      <c r="K342">
        <v>3.9E-2</v>
      </c>
      <c r="L342">
        <v>312</v>
      </c>
      <c r="M342" s="1">
        <v>30</v>
      </c>
      <c r="N342">
        <v>0</v>
      </c>
      <c r="O342">
        <v>0</v>
      </c>
      <c r="P342">
        <v>8000</v>
      </c>
      <c r="Q342" s="1">
        <v>8000</v>
      </c>
      <c r="R342">
        <v>39</v>
      </c>
      <c r="S342" s="2">
        <v>46198</v>
      </c>
      <c r="T342" s="2">
        <v>46263</v>
      </c>
      <c r="U342">
        <v>73000</v>
      </c>
      <c r="V342">
        <v>47000</v>
      </c>
      <c r="W342">
        <v>40000</v>
      </c>
      <c r="X342">
        <v>30000</v>
      </c>
      <c r="Y342">
        <v>30000</v>
      </c>
      <c r="Z342" s="8">
        <v>73000</v>
      </c>
      <c r="AA342">
        <v>47500</v>
      </c>
      <c r="AB342">
        <v>0.63157894736842102</v>
      </c>
      <c r="AC342">
        <v>1.5368421052631578</v>
      </c>
      <c r="AD342" s="1">
        <v>3</v>
      </c>
      <c r="AE342" s="2">
        <v>46251</v>
      </c>
      <c r="AF342" s="2">
        <v>46259</v>
      </c>
      <c r="AG342" s="2">
        <v>46266</v>
      </c>
      <c r="AH342">
        <v>44000</v>
      </c>
      <c r="AI342" s="3">
        <v>0.62352385451110071</v>
      </c>
      <c r="AJ342" s="1">
        <v>5</v>
      </c>
      <c r="AK342" s="2">
        <v>46268</v>
      </c>
      <c r="AL342" s="4">
        <v>10</v>
      </c>
      <c r="AM342" s="5">
        <v>10</v>
      </c>
      <c r="AN342" s="4">
        <v>3</v>
      </c>
      <c r="AO342">
        <v>15172.413793103453</v>
      </c>
      <c r="AP342" s="4">
        <v>3</v>
      </c>
      <c r="AQ342" t="s">
        <v>1619</v>
      </c>
      <c r="AR342" t="s">
        <v>2178</v>
      </c>
      <c r="AT342" s="16" t="str">
        <f>_xlfn.XLOOKUP(B342,'SWiSH Demand Forecast Sep-26'!D:D,'SWiSH Demand Forecast Sep-26'!G:G,"Not Exist")</f>
        <v>Not Exist</v>
      </c>
    </row>
    <row r="343" spans="1:46" x14ac:dyDescent="0.3">
      <c r="A343">
        <v>106400911</v>
      </c>
      <c r="B343" t="s">
        <v>2179</v>
      </c>
      <c r="C343" t="s">
        <v>10</v>
      </c>
      <c r="D343" t="s">
        <v>1613</v>
      </c>
      <c r="E343" t="s">
        <v>1762</v>
      </c>
      <c r="F343" t="s">
        <v>1763</v>
      </c>
      <c r="G343" t="s">
        <v>1624</v>
      </c>
      <c r="H343" t="s">
        <v>1764</v>
      </c>
      <c r="I343" t="s">
        <v>1754</v>
      </c>
      <c r="J343" t="e">
        <v>#N/A</v>
      </c>
      <c r="K343">
        <v>0.44923000000000002</v>
      </c>
      <c r="L343">
        <v>272.23338000000001</v>
      </c>
      <c r="M343" s="1">
        <v>3</v>
      </c>
      <c r="N343">
        <v>0</v>
      </c>
      <c r="O343">
        <v>0</v>
      </c>
      <c r="P343">
        <v>606</v>
      </c>
      <c r="Q343" s="1">
        <v>606</v>
      </c>
      <c r="R343">
        <v>0</v>
      </c>
      <c r="S343" s="2">
        <v>0</v>
      </c>
      <c r="T343" s="2">
        <v>46260</v>
      </c>
      <c r="U343">
        <v>4253</v>
      </c>
      <c r="V343">
        <v>4958</v>
      </c>
      <c r="W343">
        <v>4970</v>
      </c>
      <c r="X343">
        <v>5839</v>
      </c>
      <c r="Y343">
        <v>4253</v>
      </c>
      <c r="Z343" s="8">
        <v>5839</v>
      </c>
      <c r="AA343">
        <v>5005</v>
      </c>
      <c r="AB343">
        <v>0.84975024975024971</v>
      </c>
      <c r="AC343">
        <v>1.1666333666333666</v>
      </c>
      <c r="AD343" s="1">
        <v>3</v>
      </c>
      <c r="AE343" s="2">
        <v>46251</v>
      </c>
      <c r="AF343" s="2">
        <v>46259</v>
      </c>
      <c r="AG343" s="2">
        <v>46266</v>
      </c>
      <c r="AH343">
        <v>5360</v>
      </c>
      <c r="AI343" s="3">
        <v>0.94961938451907801</v>
      </c>
      <c r="AJ343" s="1">
        <v>3</v>
      </c>
      <c r="AK343" s="2">
        <v>46266</v>
      </c>
      <c r="AL343" s="4" t="s">
        <v>1658</v>
      </c>
      <c r="AM343" s="5" t="s">
        <v>1658</v>
      </c>
      <c r="AN343" s="4">
        <v>3</v>
      </c>
      <c r="AO343" t="s">
        <v>1635</v>
      </c>
      <c r="AP343" s="4" t="s">
        <v>1658</v>
      </c>
      <c r="AQ343" t="s">
        <v>1619</v>
      </c>
      <c r="AR343" t="s">
        <v>1620</v>
      </c>
      <c r="AT343" s="16" t="str">
        <f>_xlfn.XLOOKUP(B343,'SWiSH Demand Forecast Sep-26'!D:D,'SWiSH Demand Forecast Sep-26'!G:G,"Not Exist")</f>
        <v>Not Exist</v>
      </c>
    </row>
    <row r="344" spans="1:46" x14ac:dyDescent="0.3">
      <c r="A344">
        <v>106300042</v>
      </c>
      <c r="B344" t="s">
        <v>2180</v>
      </c>
      <c r="C344" t="s">
        <v>136</v>
      </c>
      <c r="D344" t="s">
        <v>1613</v>
      </c>
      <c r="E344" t="s">
        <v>1732</v>
      </c>
      <c r="F344" t="s">
        <v>1615</v>
      </c>
      <c r="G344" t="s">
        <v>1616</v>
      </c>
      <c r="H344" t="s">
        <v>1860</v>
      </c>
      <c r="I344" t="s">
        <v>1618</v>
      </c>
      <c r="J344" t="s">
        <v>2181</v>
      </c>
      <c r="K344">
        <v>3.2</v>
      </c>
      <c r="L344">
        <v>2.8800000000000003</v>
      </c>
      <c r="M344" s="1">
        <v>3</v>
      </c>
      <c r="N344">
        <v>0</v>
      </c>
      <c r="O344">
        <v>0</v>
      </c>
      <c r="P344">
        <v>0.9</v>
      </c>
      <c r="Q344" s="1">
        <v>0.9</v>
      </c>
      <c r="R344">
        <v>0.32</v>
      </c>
      <c r="S344" s="2">
        <v>46257</v>
      </c>
      <c r="T344" s="2">
        <v>46206</v>
      </c>
      <c r="U344">
        <v>0</v>
      </c>
      <c r="V344">
        <v>3</v>
      </c>
      <c r="W344">
        <v>0</v>
      </c>
      <c r="X344">
        <v>9</v>
      </c>
      <c r="Y344">
        <v>0</v>
      </c>
      <c r="Z344" s="8">
        <v>9</v>
      </c>
      <c r="AA344">
        <v>3</v>
      </c>
      <c r="AB344">
        <v>0</v>
      </c>
      <c r="AC344">
        <v>3</v>
      </c>
      <c r="AD344" s="1">
        <v>3</v>
      </c>
      <c r="AE344" s="2">
        <v>46251</v>
      </c>
      <c r="AF344" s="2">
        <v>46259</v>
      </c>
      <c r="AG344" s="2">
        <v>46266</v>
      </c>
      <c r="AH344">
        <v>0</v>
      </c>
      <c r="AI344" s="3">
        <v>0</v>
      </c>
      <c r="AJ344" s="1" t="s">
        <v>1635</v>
      </c>
      <c r="AK344" s="2" t="s">
        <v>1635</v>
      </c>
      <c r="AL344" s="4">
        <v>30</v>
      </c>
      <c r="AM344" s="5">
        <v>15</v>
      </c>
      <c r="AN344" s="4">
        <v>3</v>
      </c>
      <c r="AO344">
        <v>0</v>
      </c>
      <c r="AP344" s="4">
        <v>1</v>
      </c>
      <c r="AQ344" t="s">
        <v>1619</v>
      </c>
      <c r="AR344" t="s">
        <v>1620</v>
      </c>
      <c r="AT344" s="16" t="str">
        <f>_xlfn.XLOOKUP(B344,'SWiSH Demand Forecast Sep-26'!D:D,'SWiSH Demand Forecast Sep-26'!G:G,"Not Exist")</f>
        <v>Not Exist</v>
      </c>
    </row>
    <row r="345" spans="1:46" x14ac:dyDescent="0.3">
      <c r="A345">
        <v>106400913</v>
      </c>
      <c r="B345" t="s">
        <v>2182</v>
      </c>
      <c r="C345" t="s">
        <v>10</v>
      </c>
      <c r="D345" t="s">
        <v>1613</v>
      </c>
      <c r="E345" t="s">
        <v>1762</v>
      </c>
      <c r="F345" t="s">
        <v>1763</v>
      </c>
      <c r="G345" t="s">
        <v>1624</v>
      </c>
      <c r="H345" t="s">
        <v>1764</v>
      </c>
      <c r="I345" t="s">
        <v>1754</v>
      </c>
      <c r="J345" t="e">
        <v>#N/A</v>
      </c>
      <c r="K345">
        <v>0.62362004000000004</v>
      </c>
      <c r="L345">
        <v>299.96123924</v>
      </c>
      <c r="M345" s="1">
        <v>3</v>
      </c>
      <c r="N345">
        <v>0</v>
      </c>
      <c r="O345">
        <v>0</v>
      </c>
      <c r="P345">
        <v>481</v>
      </c>
      <c r="Q345" s="1">
        <v>481</v>
      </c>
      <c r="R345">
        <v>0</v>
      </c>
      <c r="S345" s="2">
        <v>0</v>
      </c>
      <c r="T345" s="2">
        <v>46260</v>
      </c>
      <c r="U345">
        <v>3298</v>
      </c>
      <c r="V345">
        <v>3375</v>
      </c>
      <c r="W345">
        <v>3450</v>
      </c>
      <c r="X345">
        <v>3993</v>
      </c>
      <c r="Y345">
        <v>3298</v>
      </c>
      <c r="Z345" s="8">
        <v>3993</v>
      </c>
      <c r="AA345">
        <v>3529</v>
      </c>
      <c r="AB345">
        <v>0.93454236327571549</v>
      </c>
      <c r="AC345">
        <v>1.1314820062340607</v>
      </c>
      <c r="AD345" s="1">
        <v>3</v>
      </c>
      <c r="AE345" s="2">
        <v>46251</v>
      </c>
      <c r="AF345" s="2">
        <v>46259</v>
      </c>
      <c r="AG345" s="2">
        <v>46266</v>
      </c>
      <c r="AH345">
        <v>3644</v>
      </c>
      <c r="AI345" s="3">
        <v>0.94406590844322391</v>
      </c>
      <c r="AJ345" s="1">
        <v>3</v>
      </c>
      <c r="AK345" s="2">
        <v>46266</v>
      </c>
      <c r="AL345" s="4" t="s">
        <v>1658</v>
      </c>
      <c r="AM345" s="5" t="s">
        <v>1658</v>
      </c>
      <c r="AN345" s="4">
        <v>3</v>
      </c>
      <c r="AO345" t="s">
        <v>1635</v>
      </c>
      <c r="AP345" s="4" t="s">
        <v>1658</v>
      </c>
      <c r="AQ345" t="s">
        <v>1619</v>
      </c>
      <c r="AR345" t="s">
        <v>1620</v>
      </c>
      <c r="AT345" s="16" t="str">
        <f>_xlfn.XLOOKUP(B345,'SWiSH Demand Forecast Sep-26'!D:D,'SWiSH Demand Forecast Sep-26'!G:G,"Not Exist")</f>
        <v>Not Exist</v>
      </c>
    </row>
    <row r="346" spans="1:46" x14ac:dyDescent="0.3">
      <c r="A346">
        <v>104200079</v>
      </c>
      <c r="B346" t="s">
        <v>2183</v>
      </c>
      <c r="C346" t="s">
        <v>10</v>
      </c>
      <c r="D346" t="s">
        <v>1613</v>
      </c>
      <c r="E346" t="s">
        <v>2184</v>
      </c>
      <c r="F346" t="s">
        <v>1631</v>
      </c>
      <c r="G346" t="s">
        <v>1624</v>
      </c>
      <c r="H346" t="s">
        <v>1633</v>
      </c>
      <c r="I346" t="s">
        <v>1634</v>
      </c>
      <c r="J346" t="s">
        <v>1781</v>
      </c>
      <c r="K346">
        <v>0.13020833000000001</v>
      </c>
      <c r="L346">
        <v>6.249999840000001</v>
      </c>
      <c r="M346" s="1">
        <v>3</v>
      </c>
      <c r="N346">
        <v>0</v>
      </c>
      <c r="O346">
        <v>24</v>
      </c>
      <c r="P346">
        <v>48</v>
      </c>
      <c r="Q346" s="1">
        <v>24</v>
      </c>
      <c r="R346">
        <v>7</v>
      </c>
      <c r="S346" s="2">
        <v>46228</v>
      </c>
      <c r="T346" s="2">
        <v>46250</v>
      </c>
      <c r="U346">
        <v>192</v>
      </c>
      <c r="V346">
        <v>96</v>
      </c>
      <c r="W346">
        <v>192</v>
      </c>
      <c r="X346">
        <v>0</v>
      </c>
      <c r="Y346">
        <v>0</v>
      </c>
      <c r="Z346" s="8">
        <v>192</v>
      </c>
      <c r="AA346">
        <v>120</v>
      </c>
      <c r="AB346">
        <v>0</v>
      </c>
      <c r="AC346">
        <v>1.6</v>
      </c>
      <c r="AD346" s="1">
        <v>3</v>
      </c>
      <c r="AE346" s="2">
        <v>46251</v>
      </c>
      <c r="AF346" s="2">
        <v>46259</v>
      </c>
      <c r="AG346" s="2">
        <v>46266</v>
      </c>
      <c r="AH346">
        <v>144</v>
      </c>
      <c r="AI346" s="3">
        <v>0.77586206896551724</v>
      </c>
      <c r="AJ346" s="1">
        <v>4</v>
      </c>
      <c r="AK346" s="2">
        <v>46267</v>
      </c>
      <c r="AL346" s="4">
        <v>30</v>
      </c>
      <c r="AM346" s="5">
        <v>15</v>
      </c>
      <c r="AN346" s="4">
        <v>3</v>
      </c>
      <c r="AO346">
        <v>148.9655172413793</v>
      </c>
      <c r="AP346" s="4">
        <v>1</v>
      </c>
      <c r="AQ346">
        <v>2</v>
      </c>
      <c r="AR346" t="s">
        <v>2185</v>
      </c>
      <c r="AT346" s="16" t="str">
        <f>_xlfn.XLOOKUP(B346,'SWiSH Demand Forecast Sep-26'!D:D,'SWiSH Demand Forecast Sep-26'!G:G,"Not Exist")</f>
        <v>Not Exist</v>
      </c>
    </row>
    <row r="347" spans="1:46" x14ac:dyDescent="0.3">
      <c r="A347">
        <v>100900049</v>
      </c>
      <c r="B347" t="s">
        <v>2186</v>
      </c>
      <c r="C347" t="s">
        <v>10</v>
      </c>
      <c r="D347" t="s">
        <v>1613</v>
      </c>
      <c r="E347" t="s">
        <v>1638</v>
      </c>
      <c r="F347" t="s">
        <v>1639</v>
      </c>
      <c r="G347" t="s">
        <v>1616</v>
      </c>
      <c r="H347" t="s">
        <v>1640</v>
      </c>
      <c r="I347" t="s">
        <v>1618</v>
      </c>
      <c r="J347" t="s">
        <v>1781</v>
      </c>
      <c r="K347">
        <v>7.2916670000000003E-2</v>
      </c>
      <c r="L347">
        <v>7.0000003199999998</v>
      </c>
      <c r="M347" s="1">
        <v>3</v>
      </c>
      <c r="N347">
        <v>0</v>
      </c>
      <c r="O347">
        <v>0</v>
      </c>
      <c r="P347">
        <v>96</v>
      </c>
      <c r="Q347" s="1">
        <v>96</v>
      </c>
      <c r="R347">
        <v>1.75</v>
      </c>
      <c r="S347" s="2">
        <v>46214</v>
      </c>
      <c r="T347" s="2">
        <v>46259</v>
      </c>
      <c r="U347">
        <v>240</v>
      </c>
      <c r="V347">
        <v>120</v>
      </c>
      <c r="W347">
        <v>744</v>
      </c>
      <c r="X347">
        <v>384</v>
      </c>
      <c r="Y347">
        <v>120</v>
      </c>
      <c r="Z347" s="8">
        <v>744</v>
      </c>
      <c r="AA347">
        <v>372</v>
      </c>
      <c r="AB347">
        <v>0.32258064516129031</v>
      </c>
      <c r="AC347">
        <v>2</v>
      </c>
      <c r="AD347" s="1">
        <v>3</v>
      </c>
      <c r="AE347" s="2">
        <v>46251</v>
      </c>
      <c r="AF347" s="2">
        <v>46259</v>
      </c>
      <c r="AG347" s="2">
        <v>46266</v>
      </c>
      <c r="AH347">
        <v>240</v>
      </c>
      <c r="AI347" s="3">
        <v>0.33370411568409347</v>
      </c>
      <c r="AJ347" s="1">
        <v>11</v>
      </c>
      <c r="AK347" s="2">
        <v>46274</v>
      </c>
      <c r="AL347" s="4">
        <v>10</v>
      </c>
      <c r="AM347" s="5">
        <v>10</v>
      </c>
      <c r="AN347" s="4">
        <v>3</v>
      </c>
      <c r="AO347">
        <v>82.758620689655174</v>
      </c>
      <c r="AP347" s="4">
        <v>3</v>
      </c>
      <c r="AQ347" t="s">
        <v>1619</v>
      </c>
      <c r="AR347" t="s">
        <v>1620</v>
      </c>
      <c r="AT347" s="16" t="str">
        <f>_xlfn.XLOOKUP(B347,'SWiSH Demand Forecast Sep-26'!D:D,'SWiSH Demand Forecast Sep-26'!G:G,"Not Exist")</f>
        <v>Not Exist</v>
      </c>
    </row>
    <row r="348" spans="1:46" hidden="1" x14ac:dyDescent="0.3">
      <c r="A348">
        <v>103400041</v>
      </c>
      <c r="B348" t="s">
        <v>385</v>
      </c>
      <c r="C348" t="s">
        <v>136</v>
      </c>
      <c r="D348" t="s">
        <v>1613</v>
      </c>
      <c r="E348" t="s">
        <v>1663</v>
      </c>
      <c r="F348" t="s">
        <v>1752</v>
      </c>
      <c r="G348" t="s">
        <v>1616</v>
      </c>
      <c r="H348" t="s">
        <v>1931</v>
      </c>
      <c r="I348" t="s">
        <v>1754</v>
      </c>
      <c r="J348" t="s">
        <v>136</v>
      </c>
      <c r="K348">
        <v>0.52997274000000005</v>
      </c>
      <c r="L348">
        <v>1213.6375746000001</v>
      </c>
      <c r="M348" s="1">
        <v>3</v>
      </c>
      <c r="N348">
        <v>0</v>
      </c>
      <c r="O348">
        <v>570</v>
      </c>
      <c r="P348">
        <v>2290</v>
      </c>
      <c r="Q348" s="1">
        <v>1720</v>
      </c>
      <c r="R348">
        <v>5.3</v>
      </c>
      <c r="S348" s="2">
        <v>46263</v>
      </c>
      <c r="T348" s="2">
        <v>46263</v>
      </c>
      <c r="U348">
        <v>0</v>
      </c>
      <c r="V348">
        <v>0</v>
      </c>
      <c r="W348">
        <v>13122.5</v>
      </c>
      <c r="X348">
        <v>13550</v>
      </c>
      <c r="Y348">
        <v>0</v>
      </c>
      <c r="Z348" s="8">
        <v>13550</v>
      </c>
      <c r="AA348">
        <v>6668.125</v>
      </c>
      <c r="AB348">
        <v>0</v>
      </c>
      <c r="AC348">
        <v>2.0320554878620301</v>
      </c>
      <c r="AD348" s="1">
        <v>3</v>
      </c>
      <c r="AE348" s="2">
        <v>46251</v>
      </c>
      <c r="AF348" s="2">
        <v>46259</v>
      </c>
      <c r="AG348" s="2">
        <v>46266</v>
      </c>
      <c r="AH348">
        <v>11700</v>
      </c>
      <c r="AI348" s="3">
        <v>0.89324341519277262</v>
      </c>
      <c r="AJ348" s="1">
        <v>4</v>
      </c>
      <c r="AK348" s="2">
        <v>46267</v>
      </c>
      <c r="AL348" s="4">
        <v>5</v>
      </c>
      <c r="AM348" s="5">
        <v>3</v>
      </c>
      <c r="AN348" s="4">
        <v>3</v>
      </c>
      <c r="AO348">
        <v>2017.2413793103449</v>
      </c>
      <c r="AP348" s="4">
        <v>8</v>
      </c>
      <c r="AQ348">
        <v>420</v>
      </c>
      <c r="AR348" t="s">
        <v>2130</v>
      </c>
      <c r="AT348" s="16">
        <f>_xlfn.XLOOKUP(B348,'SWiSH Demand Forecast Sep-26'!D:D,'SWiSH Demand Forecast Sep-26'!G:G,"Not Exist")</f>
        <v>2924</v>
      </c>
    </row>
    <row r="349" spans="1:46" hidden="1" x14ac:dyDescent="0.3">
      <c r="A349">
        <v>106200141</v>
      </c>
      <c r="B349" t="s">
        <v>946</v>
      </c>
      <c r="C349" t="s">
        <v>240</v>
      </c>
      <c r="D349" t="s">
        <v>1613</v>
      </c>
      <c r="E349" t="s">
        <v>2187</v>
      </c>
      <c r="F349" t="s">
        <v>1671</v>
      </c>
      <c r="G349" t="s">
        <v>1616</v>
      </c>
      <c r="H349" t="s">
        <v>1672</v>
      </c>
      <c r="I349" t="s">
        <v>1618</v>
      </c>
      <c r="J349" t="s">
        <v>2188</v>
      </c>
      <c r="K349">
        <v>1.1216819099999999</v>
      </c>
      <c r="L349">
        <v>57.340379239199997</v>
      </c>
      <c r="M349" s="1">
        <v>3</v>
      </c>
      <c r="N349">
        <v>0</v>
      </c>
      <c r="O349">
        <v>8.52</v>
      </c>
      <c r="P349">
        <v>51.12</v>
      </c>
      <c r="Q349" s="1">
        <v>42.599999999999994</v>
      </c>
      <c r="R349">
        <v>8.75</v>
      </c>
      <c r="S349" s="2">
        <v>46217</v>
      </c>
      <c r="T349" s="2">
        <v>46263</v>
      </c>
      <c r="U349">
        <v>241.8000000000001</v>
      </c>
      <c r="V349">
        <v>241.80000000000013</v>
      </c>
      <c r="W349">
        <v>357.39000000000027</v>
      </c>
      <c r="X349">
        <v>273.00000000000017</v>
      </c>
      <c r="Y349">
        <v>241.8000000000001</v>
      </c>
      <c r="Z349" s="8">
        <v>357.39000000000027</v>
      </c>
      <c r="AA349">
        <v>278.49750000000017</v>
      </c>
      <c r="AB349">
        <v>0.8682304149947484</v>
      </c>
      <c r="AC349">
        <v>1.28327902404869</v>
      </c>
      <c r="AD349" s="1">
        <v>3</v>
      </c>
      <c r="AE349" s="2">
        <v>46251</v>
      </c>
      <c r="AF349" s="2">
        <v>46259</v>
      </c>
      <c r="AG349" s="2">
        <v>46266</v>
      </c>
      <c r="AH349">
        <v>283.20000000000005</v>
      </c>
      <c r="AI349" s="3">
        <v>0.81973619083180593</v>
      </c>
      <c r="AJ349" s="1">
        <v>4</v>
      </c>
      <c r="AK349" s="2">
        <v>46267</v>
      </c>
      <c r="AL349" s="4">
        <v>15</v>
      </c>
      <c r="AM349" s="5">
        <v>15</v>
      </c>
      <c r="AN349" s="4">
        <v>3</v>
      </c>
      <c r="AO349">
        <v>146.48275862068968</v>
      </c>
      <c r="AP349" s="4">
        <v>2</v>
      </c>
      <c r="AQ349" t="s">
        <v>1619</v>
      </c>
      <c r="AR349" t="s">
        <v>2189</v>
      </c>
      <c r="AT349" s="16">
        <f>_xlfn.XLOOKUP(B349,'SWiSH Demand Forecast Sep-26'!D:D,'SWiSH Demand Forecast Sep-26'!G:G,"Not Exist")</f>
        <v>196.315</v>
      </c>
    </row>
    <row r="350" spans="1:46" hidden="1" x14ac:dyDescent="0.3">
      <c r="A350">
        <v>101300022</v>
      </c>
      <c r="B350" t="s">
        <v>377</v>
      </c>
      <c r="C350" t="s">
        <v>136</v>
      </c>
      <c r="D350" t="s">
        <v>1613</v>
      </c>
      <c r="E350" t="s">
        <v>1732</v>
      </c>
      <c r="F350" t="s">
        <v>1752</v>
      </c>
      <c r="G350" t="s">
        <v>1616</v>
      </c>
      <c r="H350" t="s">
        <v>1980</v>
      </c>
      <c r="I350" t="s">
        <v>1754</v>
      </c>
      <c r="J350" t="s">
        <v>2190</v>
      </c>
      <c r="K350">
        <v>0.95238095</v>
      </c>
      <c r="L350">
        <v>965.99999758499996</v>
      </c>
      <c r="M350" s="1">
        <v>3</v>
      </c>
      <c r="N350">
        <v>0</v>
      </c>
      <c r="O350">
        <v>0</v>
      </c>
      <c r="P350">
        <v>1014.3</v>
      </c>
      <c r="Q350" s="1">
        <v>1014.3</v>
      </c>
      <c r="R350">
        <v>6</v>
      </c>
      <c r="S350" s="2">
        <v>46258</v>
      </c>
      <c r="T350" s="2">
        <v>46263</v>
      </c>
      <c r="U350">
        <v>6151.5</v>
      </c>
      <c r="V350">
        <v>7686.2999999999993</v>
      </c>
      <c r="W350">
        <v>5216.4000000000005</v>
      </c>
      <c r="X350">
        <v>5865.2999999999993</v>
      </c>
      <c r="Y350">
        <v>5216.4000000000005</v>
      </c>
      <c r="Z350" s="8">
        <v>7686.2999999999993</v>
      </c>
      <c r="AA350">
        <v>6229.875</v>
      </c>
      <c r="AB350">
        <v>0.83732017095046052</v>
      </c>
      <c r="AC350">
        <v>1.2337807740925779</v>
      </c>
      <c r="AD350" s="1">
        <v>3</v>
      </c>
      <c r="AE350" s="2">
        <v>46251</v>
      </c>
      <c r="AF350" s="2">
        <v>46259</v>
      </c>
      <c r="AG350" s="2">
        <v>46266</v>
      </c>
      <c r="AH350">
        <v>3849.3</v>
      </c>
      <c r="AI350" s="3">
        <v>0.51806909472159834</v>
      </c>
      <c r="AJ350" s="1">
        <v>7</v>
      </c>
      <c r="AK350" s="2">
        <v>46270</v>
      </c>
      <c r="AL350" s="4">
        <v>8</v>
      </c>
      <c r="AM350" s="5">
        <v>5</v>
      </c>
      <c r="AN350" s="4">
        <v>3</v>
      </c>
      <c r="AO350">
        <v>1061.8758620689657</v>
      </c>
      <c r="AP350" s="4">
        <v>4</v>
      </c>
      <c r="AQ350">
        <v>150</v>
      </c>
      <c r="AR350" t="s">
        <v>2130</v>
      </c>
      <c r="AT350" s="16">
        <f>_xlfn.XLOOKUP(B350,'SWiSH Demand Forecast Sep-26'!D:D,'SWiSH Demand Forecast Sep-26'!G:G,"Not Exist")</f>
        <v>3044.34</v>
      </c>
    </row>
    <row r="351" spans="1:46" x14ac:dyDescent="0.3">
      <c r="A351">
        <v>101300007</v>
      </c>
      <c r="B351" t="s">
        <v>2191</v>
      </c>
      <c r="C351" t="s">
        <v>136</v>
      </c>
      <c r="D351" t="s">
        <v>1613</v>
      </c>
      <c r="E351" t="s">
        <v>1732</v>
      </c>
      <c r="F351" t="s">
        <v>1752</v>
      </c>
      <c r="G351" t="s">
        <v>1616</v>
      </c>
      <c r="H351" t="s">
        <v>1980</v>
      </c>
      <c r="I351" t="s">
        <v>1754</v>
      </c>
      <c r="J351" t="s">
        <v>1959</v>
      </c>
      <c r="K351">
        <v>1.25</v>
      </c>
      <c r="L351">
        <v>1500</v>
      </c>
      <c r="M351" s="1">
        <v>3</v>
      </c>
      <c r="N351">
        <v>0</v>
      </c>
      <c r="O351">
        <v>0</v>
      </c>
      <c r="P351">
        <v>1200</v>
      </c>
      <c r="Q351" s="1">
        <v>1200</v>
      </c>
      <c r="R351">
        <v>12.5</v>
      </c>
      <c r="S351" s="2">
        <v>46259</v>
      </c>
      <c r="T351" s="2">
        <v>46263</v>
      </c>
      <c r="U351">
        <v>9660</v>
      </c>
      <c r="V351">
        <v>8780</v>
      </c>
      <c r="W351">
        <v>6950</v>
      </c>
      <c r="X351">
        <v>8050</v>
      </c>
      <c r="Y351">
        <v>6950</v>
      </c>
      <c r="Z351" s="8">
        <v>9660</v>
      </c>
      <c r="AA351">
        <v>8360</v>
      </c>
      <c r="AB351">
        <v>0.83133971291866027</v>
      </c>
      <c r="AC351">
        <v>1.1555023923444976</v>
      </c>
      <c r="AD351" s="1">
        <v>3</v>
      </c>
      <c r="AE351" s="2">
        <v>46251</v>
      </c>
      <c r="AF351" s="2">
        <v>46259</v>
      </c>
      <c r="AG351" s="2">
        <v>46266</v>
      </c>
      <c r="AH351">
        <v>7300</v>
      </c>
      <c r="AI351" s="3">
        <v>0.78175198115228095</v>
      </c>
      <c r="AJ351" s="1">
        <v>4</v>
      </c>
      <c r="AK351" s="2">
        <v>46267</v>
      </c>
      <c r="AL351" s="4">
        <v>4</v>
      </c>
      <c r="AM351" s="5">
        <v>3</v>
      </c>
      <c r="AN351" s="4">
        <v>3</v>
      </c>
      <c r="AO351">
        <v>1006.8965517241379</v>
      </c>
      <c r="AP351" s="4">
        <v>9</v>
      </c>
      <c r="AQ351">
        <v>120</v>
      </c>
      <c r="AR351" t="s">
        <v>2192</v>
      </c>
      <c r="AT351" s="16" t="str">
        <f>_xlfn.XLOOKUP(B351,'SWiSH Demand Forecast Sep-26'!D:D,'SWiSH Demand Forecast Sep-26'!G:G,"Not Exist")</f>
        <v>Not Exist</v>
      </c>
    </row>
    <row r="352" spans="1:46" hidden="1" x14ac:dyDescent="0.3">
      <c r="A352">
        <v>103700071</v>
      </c>
      <c r="B352" t="s">
        <v>1259</v>
      </c>
      <c r="C352" t="s">
        <v>136</v>
      </c>
      <c r="D352" t="s">
        <v>1613</v>
      </c>
      <c r="E352" t="s">
        <v>2193</v>
      </c>
      <c r="F352" t="s">
        <v>1615</v>
      </c>
      <c r="G352" t="s">
        <v>1616</v>
      </c>
      <c r="H352" t="s">
        <v>1617</v>
      </c>
      <c r="I352" t="s">
        <v>1618</v>
      </c>
      <c r="J352" t="s">
        <v>136</v>
      </c>
      <c r="K352">
        <v>3.34302053</v>
      </c>
      <c r="L352">
        <v>80.232492719999996</v>
      </c>
      <c r="M352" s="1">
        <v>3</v>
      </c>
      <c r="N352">
        <v>0</v>
      </c>
      <c r="O352">
        <v>0</v>
      </c>
      <c r="P352">
        <v>24</v>
      </c>
      <c r="Q352" s="1">
        <v>24</v>
      </c>
      <c r="R352">
        <v>3.3</v>
      </c>
      <c r="S352" s="2">
        <v>46193</v>
      </c>
      <c r="T352" s="2">
        <v>46263</v>
      </c>
      <c r="U352">
        <v>135</v>
      </c>
      <c r="V352">
        <v>155</v>
      </c>
      <c r="W352">
        <v>185</v>
      </c>
      <c r="X352">
        <v>125</v>
      </c>
      <c r="Y352">
        <v>125</v>
      </c>
      <c r="Z352" s="8">
        <v>185</v>
      </c>
      <c r="AA352">
        <v>150</v>
      </c>
      <c r="AB352">
        <v>0.83333333333333337</v>
      </c>
      <c r="AC352">
        <v>1.2333333333333334</v>
      </c>
      <c r="AD352" s="1">
        <v>3</v>
      </c>
      <c r="AE352" s="2">
        <v>46251</v>
      </c>
      <c r="AF352" s="2">
        <v>46259</v>
      </c>
      <c r="AG352" s="2">
        <v>46266</v>
      </c>
      <c r="AH352">
        <v>177</v>
      </c>
      <c r="AI352" s="3">
        <v>0.98974836905871388</v>
      </c>
      <c r="AJ352" s="1">
        <v>3</v>
      </c>
      <c r="AK352" s="2">
        <v>46266</v>
      </c>
      <c r="AL352" s="4">
        <v>30</v>
      </c>
      <c r="AM352" s="5">
        <v>15</v>
      </c>
      <c r="AN352" s="4">
        <v>3</v>
      </c>
      <c r="AO352">
        <v>183.10344827586206</v>
      </c>
      <c r="AP352" s="4">
        <v>1</v>
      </c>
      <c r="AQ352" t="s">
        <v>1619</v>
      </c>
      <c r="AR352" t="s">
        <v>1620</v>
      </c>
      <c r="AT352" s="16">
        <f>_xlfn.XLOOKUP(B352,'SWiSH Demand Forecast Sep-26'!D:D,'SWiSH Demand Forecast Sep-26'!G:G,"Not Exist")</f>
        <v>39.841052911448202</v>
      </c>
    </row>
    <row r="353" spans="1:46" x14ac:dyDescent="0.3">
      <c r="A353">
        <v>101400022</v>
      </c>
      <c r="B353" t="s">
        <v>2194</v>
      </c>
      <c r="C353" t="s">
        <v>240</v>
      </c>
      <c r="D353" t="s">
        <v>1613</v>
      </c>
      <c r="E353" t="s">
        <v>2195</v>
      </c>
      <c r="F353" t="s">
        <v>1644</v>
      </c>
      <c r="G353" t="s">
        <v>1624</v>
      </c>
      <c r="H353" t="s">
        <v>1693</v>
      </c>
      <c r="I353" t="s">
        <v>1634</v>
      </c>
      <c r="J353" t="s">
        <v>1697</v>
      </c>
      <c r="K353">
        <v>2</v>
      </c>
      <c r="L353">
        <v>40</v>
      </c>
      <c r="M353" s="1">
        <v>3</v>
      </c>
      <c r="N353">
        <v>0</v>
      </c>
      <c r="O353">
        <v>0</v>
      </c>
      <c r="P353">
        <v>20</v>
      </c>
      <c r="Q353" s="1">
        <v>20</v>
      </c>
      <c r="R353">
        <v>20</v>
      </c>
      <c r="S353" s="2">
        <v>46240</v>
      </c>
      <c r="T353" s="2">
        <v>46262</v>
      </c>
      <c r="U353">
        <v>150</v>
      </c>
      <c r="V353">
        <v>115</v>
      </c>
      <c r="W353">
        <v>175</v>
      </c>
      <c r="X353">
        <v>145</v>
      </c>
      <c r="Y353">
        <v>115</v>
      </c>
      <c r="Z353" s="8">
        <v>175</v>
      </c>
      <c r="AA353">
        <v>146.25</v>
      </c>
      <c r="AB353">
        <v>0.78632478632478631</v>
      </c>
      <c r="AC353">
        <v>1.1965811965811965</v>
      </c>
      <c r="AD353" s="1">
        <v>3</v>
      </c>
      <c r="AE353" s="2">
        <v>46251</v>
      </c>
      <c r="AF353" s="2">
        <v>46259</v>
      </c>
      <c r="AG353" s="2">
        <v>46266</v>
      </c>
      <c r="AH353">
        <v>150</v>
      </c>
      <c r="AI353" s="3">
        <v>0.88669950738916259</v>
      </c>
      <c r="AJ353" s="1">
        <v>3</v>
      </c>
      <c r="AK353" s="2">
        <v>46266</v>
      </c>
      <c r="AL353" s="4">
        <v>30</v>
      </c>
      <c r="AM353" s="5">
        <v>15</v>
      </c>
      <c r="AN353" s="4">
        <v>3</v>
      </c>
      <c r="AO353">
        <v>155.17241379310346</v>
      </c>
      <c r="AP353" s="4">
        <v>1</v>
      </c>
      <c r="AQ353" t="s">
        <v>1619</v>
      </c>
      <c r="AR353" t="s">
        <v>1620</v>
      </c>
      <c r="AT353" s="16" t="str">
        <f>_xlfn.XLOOKUP(B353,'SWiSH Demand Forecast Sep-26'!D:D,'SWiSH Demand Forecast Sep-26'!G:G,"Not Exist")</f>
        <v>Not Exist</v>
      </c>
    </row>
    <row r="354" spans="1:46" hidden="1" x14ac:dyDescent="0.3">
      <c r="A354">
        <v>105300046</v>
      </c>
      <c r="B354" t="s">
        <v>41</v>
      </c>
      <c r="C354" t="s">
        <v>10</v>
      </c>
      <c r="D354" t="s">
        <v>1613</v>
      </c>
      <c r="E354" t="s">
        <v>2091</v>
      </c>
      <c r="F354" t="s">
        <v>1664</v>
      </c>
      <c r="G354" t="s">
        <v>1624</v>
      </c>
      <c r="H354" t="s">
        <v>1978</v>
      </c>
      <c r="I354" t="s">
        <v>1634</v>
      </c>
      <c r="J354" t="s">
        <v>10</v>
      </c>
      <c r="K354">
        <v>1.293915E-2</v>
      </c>
      <c r="L354">
        <v>155.2698</v>
      </c>
      <c r="M354" s="1">
        <v>30</v>
      </c>
      <c r="N354">
        <v>0</v>
      </c>
      <c r="O354">
        <v>0</v>
      </c>
      <c r="P354">
        <v>12000</v>
      </c>
      <c r="Q354" s="1">
        <v>12000</v>
      </c>
      <c r="R354">
        <v>1.2999999999999999E-2</v>
      </c>
      <c r="S354" s="2">
        <v>46245</v>
      </c>
      <c r="T354" s="2">
        <v>46263</v>
      </c>
      <c r="U354">
        <v>67000</v>
      </c>
      <c r="V354">
        <v>77000</v>
      </c>
      <c r="W354">
        <v>90000</v>
      </c>
      <c r="X354">
        <v>101000</v>
      </c>
      <c r="Y354">
        <v>67000</v>
      </c>
      <c r="Z354" s="8">
        <v>101000</v>
      </c>
      <c r="AA354">
        <v>83750</v>
      </c>
      <c r="AB354">
        <v>0.8</v>
      </c>
      <c r="AC354">
        <v>1.2059701492537314</v>
      </c>
      <c r="AD354" s="1">
        <v>3</v>
      </c>
      <c r="AE354" s="2">
        <v>46251</v>
      </c>
      <c r="AF354" s="2">
        <v>46259</v>
      </c>
      <c r="AG354" s="2">
        <v>46266</v>
      </c>
      <c r="AH354">
        <v>75000</v>
      </c>
      <c r="AI354" s="3">
        <v>0.76818026630249236</v>
      </c>
      <c r="AJ354" s="1">
        <v>4</v>
      </c>
      <c r="AK354" s="2">
        <v>46267</v>
      </c>
      <c r="AL354" s="4">
        <v>10</v>
      </c>
      <c r="AM354" s="5">
        <v>10</v>
      </c>
      <c r="AN354" s="4">
        <v>3</v>
      </c>
      <c r="AO354">
        <v>25862.068965517243</v>
      </c>
      <c r="AP354" s="4">
        <v>3</v>
      </c>
      <c r="AQ354">
        <v>169000</v>
      </c>
      <c r="AR354" t="s">
        <v>2098</v>
      </c>
      <c r="AT354" s="16">
        <f>_xlfn.XLOOKUP(B354,'SWiSH Demand Forecast Sep-26'!D:D,'SWiSH Demand Forecast Sep-26'!G:G,"Not Exist")</f>
        <v>58344</v>
      </c>
    </row>
    <row r="355" spans="1:46" x14ac:dyDescent="0.3">
      <c r="A355">
        <v>106700058</v>
      </c>
      <c r="B355" t="s">
        <v>2196</v>
      </c>
      <c r="C355" t="s">
        <v>10</v>
      </c>
      <c r="D355" t="s">
        <v>1613</v>
      </c>
      <c r="E355" t="s">
        <v>2197</v>
      </c>
      <c r="F355" t="s">
        <v>1650</v>
      </c>
      <c r="G355" t="s">
        <v>1624</v>
      </c>
      <c r="H355" t="s">
        <v>1651</v>
      </c>
      <c r="I355" t="s">
        <v>1634</v>
      </c>
      <c r="J355" t="s">
        <v>2198</v>
      </c>
      <c r="K355">
        <v>0.125</v>
      </c>
      <c r="L355">
        <v>1.5</v>
      </c>
      <c r="M355" s="1">
        <v>3</v>
      </c>
      <c r="N355">
        <v>0</v>
      </c>
      <c r="O355">
        <v>0</v>
      </c>
      <c r="P355">
        <v>12</v>
      </c>
      <c r="Q355" s="1">
        <v>12</v>
      </c>
      <c r="R355">
        <v>0.5</v>
      </c>
      <c r="S355" s="2">
        <v>46253</v>
      </c>
      <c r="T355" s="2">
        <v>46262</v>
      </c>
      <c r="U355">
        <v>94</v>
      </c>
      <c r="V355">
        <v>88</v>
      </c>
      <c r="W355">
        <v>55</v>
      </c>
      <c r="X355">
        <v>69</v>
      </c>
      <c r="Y355">
        <v>55</v>
      </c>
      <c r="Z355" s="8">
        <v>94</v>
      </c>
      <c r="AA355">
        <v>76.5</v>
      </c>
      <c r="AB355">
        <v>0.71895424836601307</v>
      </c>
      <c r="AC355">
        <v>1.2287581699346406</v>
      </c>
      <c r="AD355" s="1">
        <v>3</v>
      </c>
      <c r="AE355" s="2">
        <v>46251</v>
      </c>
      <c r="AF355" s="2">
        <v>46259</v>
      </c>
      <c r="AG355" s="2">
        <v>46266</v>
      </c>
      <c r="AH355">
        <v>84</v>
      </c>
      <c r="AI355" s="3">
        <v>0.9244314013206163</v>
      </c>
      <c r="AJ355" s="1">
        <v>4</v>
      </c>
      <c r="AK355" s="2">
        <v>46267</v>
      </c>
      <c r="AL355" s="4">
        <v>30</v>
      </c>
      <c r="AM355" s="5">
        <v>15</v>
      </c>
      <c r="AN355" s="4">
        <v>3</v>
      </c>
      <c r="AO355">
        <v>86.896551724137936</v>
      </c>
      <c r="AP355" s="4">
        <v>1</v>
      </c>
      <c r="AQ355" t="s">
        <v>1619</v>
      </c>
      <c r="AR355" t="s">
        <v>1620</v>
      </c>
      <c r="AT355" s="16" t="str">
        <f>_xlfn.XLOOKUP(B355,'SWiSH Demand Forecast Sep-26'!D:D,'SWiSH Demand Forecast Sep-26'!G:G,"Not Exist")</f>
        <v>Not Exist</v>
      </c>
    </row>
    <row r="356" spans="1:46" x14ac:dyDescent="0.3">
      <c r="A356">
        <v>100400255</v>
      </c>
      <c r="B356" t="s">
        <v>2199</v>
      </c>
      <c r="C356" t="s">
        <v>10</v>
      </c>
      <c r="D356" t="s">
        <v>1613</v>
      </c>
      <c r="E356" t="s">
        <v>1685</v>
      </c>
      <c r="F356" t="s">
        <v>1664</v>
      </c>
      <c r="G356" t="s">
        <v>1624</v>
      </c>
      <c r="H356" t="s">
        <v>1810</v>
      </c>
      <c r="I356" t="s">
        <v>1634</v>
      </c>
      <c r="J356" t="s">
        <v>10</v>
      </c>
      <c r="K356">
        <v>1.2E-2</v>
      </c>
      <c r="L356">
        <v>18</v>
      </c>
      <c r="M356" s="1">
        <v>15</v>
      </c>
      <c r="N356">
        <v>0</v>
      </c>
      <c r="O356">
        <v>0</v>
      </c>
      <c r="P356">
        <v>1500</v>
      </c>
      <c r="Q356" s="1">
        <v>1500</v>
      </c>
      <c r="R356">
        <v>1.2E-2</v>
      </c>
      <c r="S356" s="2">
        <v>46259</v>
      </c>
      <c r="T356" s="2">
        <v>46262</v>
      </c>
      <c r="U356">
        <v>0</v>
      </c>
      <c r="V356">
        <v>0</v>
      </c>
      <c r="W356">
        <v>0</v>
      </c>
      <c r="X356">
        <v>14400</v>
      </c>
      <c r="Y356">
        <v>0</v>
      </c>
      <c r="Z356" s="8">
        <v>14400</v>
      </c>
      <c r="AA356">
        <v>3600</v>
      </c>
      <c r="AB356">
        <v>0</v>
      </c>
      <c r="AC356">
        <v>4</v>
      </c>
      <c r="AD356" s="1">
        <v>3</v>
      </c>
      <c r="AE356" s="2">
        <v>46251</v>
      </c>
      <c r="AF356" s="2">
        <v>46259</v>
      </c>
      <c r="AG356" s="2">
        <v>46266</v>
      </c>
      <c r="AH356">
        <v>15100</v>
      </c>
      <c r="AI356" s="3">
        <v>1.0847701149425286</v>
      </c>
      <c r="AJ356" s="1">
        <v>2</v>
      </c>
      <c r="AK356" s="2">
        <v>46265</v>
      </c>
      <c r="AL356" s="4">
        <v>30</v>
      </c>
      <c r="AM356" s="5">
        <v>15</v>
      </c>
      <c r="AN356" s="4">
        <v>2</v>
      </c>
      <c r="AO356">
        <v>15620.689655172411</v>
      </c>
      <c r="AP356" s="4">
        <v>1</v>
      </c>
      <c r="AQ356">
        <v>114000</v>
      </c>
      <c r="AR356" t="s">
        <v>2076</v>
      </c>
      <c r="AT356" s="16" t="str">
        <f>_xlfn.XLOOKUP(B356,'SWiSH Demand Forecast Sep-26'!D:D,'SWiSH Demand Forecast Sep-26'!G:G,"Not Exist")</f>
        <v>Not Exist</v>
      </c>
    </row>
    <row r="357" spans="1:46" hidden="1" x14ac:dyDescent="0.3">
      <c r="A357">
        <v>100300012</v>
      </c>
      <c r="B357" t="s">
        <v>708</v>
      </c>
      <c r="C357" t="s">
        <v>136</v>
      </c>
      <c r="D357" t="s">
        <v>1613</v>
      </c>
      <c r="E357" t="s">
        <v>2147</v>
      </c>
      <c r="F357" t="s">
        <v>1752</v>
      </c>
      <c r="G357" t="s">
        <v>1616</v>
      </c>
      <c r="H357" t="s">
        <v>2018</v>
      </c>
      <c r="I357" t="s">
        <v>1754</v>
      </c>
      <c r="J357" t="s">
        <v>1997</v>
      </c>
      <c r="K357">
        <v>4</v>
      </c>
      <c r="L357">
        <v>1580</v>
      </c>
      <c r="M357" s="1">
        <v>3</v>
      </c>
      <c r="N357">
        <v>0</v>
      </c>
      <c r="O357">
        <v>127</v>
      </c>
      <c r="P357">
        <v>395</v>
      </c>
      <c r="Q357" s="1">
        <v>268</v>
      </c>
      <c r="R357">
        <v>40</v>
      </c>
      <c r="S357" s="2">
        <v>46261</v>
      </c>
      <c r="T357" s="2">
        <v>46263</v>
      </c>
      <c r="U357">
        <v>1857</v>
      </c>
      <c r="V357">
        <v>2145</v>
      </c>
      <c r="W357">
        <v>2409</v>
      </c>
      <c r="X357">
        <v>2156</v>
      </c>
      <c r="Y357">
        <v>1857</v>
      </c>
      <c r="Z357" s="8">
        <v>2409</v>
      </c>
      <c r="AA357">
        <v>2141.75</v>
      </c>
      <c r="AB357">
        <v>0.86704797478697326</v>
      </c>
      <c r="AC357">
        <v>1.1247811369207423</v>
      </c>
      <c r="AD357" s="1">
        <v>3</v>
      </c>
      <c r="AE357" s="2">
        <v>46251</v>
      </c>
      <c r="AF357" s="2">
        <v>46259</v>
      </c>
      <c r="AG357" s="2">
        <v>46266</v>
      </c>
      <c r="AH357">
        <v>2090</v>
      </c>
      <c r="AI357" s="3">
        <v>0.89749645725082661</v>
      </c>
      <c r="AJ357" s="1">
        <v>3</v>
      </c>
      <c r="AK357" s="2">
        <v>46266</v>
      </c>
      <c r="AL357" s="4">
        <v>15</v>
      </c>
      <c r="AM357" s="5">
        <v>15</v>
      </c>
      <c r="AN357" s="4">
        <v>3</v>
      </c>
      <c r="AO357">
        <v>1081.0344827586207</v>
      </c>
      <c r="AP357" s="4">
        <v>2</v>
      </c>
      <c r="AQ357">
        <v>15</v>
      </c>
      <c r="AR357" t="s">
        <v>2200</v>
      </c>
      <c r="AT357" s="16">
        <f>_xlfn.XLOOKUP(B357,'SWiSH Demand Forecast Sep-26'!D:D,'SWiSH Demand Forecast Sep-26'!G:G,"Not Exist")</f>
        <v>611.56999999999903</v>
      </c>
    </row>
    <row r="358" spans="1:46" hidden="1" x14ac:dyDescent="0.3">
      <c r="A358">
        <v>100400133</v>
      </c>
      <c r="B358" t="s">
        <v>63</v>
      </c>
      <c r="C358" t="s">
        <v>10</v>
      </c>
      <c r="D358" t="s">
        <v>1613</v>
      </c>
      <c r="E358" t="s">
        <v>2201</v>
      </c>
      <c r="F358" t="s">
        <v>1664</v>
      </c>
      <c r="G358" t="s">
        <v>1624</v>
      </c>
      <c r="H358" t="s">
        <v>1810</v>
      </c>
      <c r="I358" t="s">
        <v>1634</v>
      </c>
      <c r="J358" t="s">
        <v>10</v>
      </c>
      <c r="K358">
        <v>3.3000000000000002E-2</v>
      </c>
      <c r="L358">
        <v>240.9</v>
      </c>
      <c r="M358" s="1">
        <v>30</v>
      </c>
      <c r="N358">
        <v>0</v>
      </c>
      <c r="O358">
        <v>1000</v>
      </c>
      <c r="P358">
        <v>7300</v>
      </c>
      <c r="Q358" s="1">
        <v>6300</v>
      </c>
      <c r="R358">
        <v>4.2999999999999997E-2</v>
      </c>
      <c r="S358" s="2">
        <v>46249</v>
      </c>
      <c r="T358" s="2">
        <v>46263</v>
      </c>
      <c r="U358">
        <v>39700</v>
      </c>
      <c r="V358">
        <v>40600</v>
      </c>
      <c r="W358">
        <v>36100</v>
      </c>
      <c r="X358">
        <v>52600</v>
      </c>
      <c r="Y358">
        <v>36100</v>
      </c>
      <c r="Z358" s="8">
        <v>52600</v>
      </c>
      <c r="AA358">
        <v>42250</v>
      </c>
      <c r="AB358">
        <v>0.85443786982248515</v>
      </c>
      <c r="AC358">
        <v>1.2449704142011835</v>
      </c>
      <c r="AD358" s="1">
        <v>3</v>
      </c>
      <c r="AE358" s="2">
        <v>46251</v>
      </c>
      <c r="AF358" s="2">
        <v>46259</v>
      </c>
      <c r="AG358" s="2">
        <v>46266</v>
      </c>
      <c r="AH358">
        <v>43640</v>
      </c>
      <c r="AI358" s="3">
        <v>0.85826668414842011</v>
      </c>
      <c r="AJ358" s="1">
        <v>4</v>
      </c>
      <c r="AK358" s="2">
        <v>46267</v>
      </c>
      <c r="AL358" s="4">
        <v>10</v>
      </c>
      <c r="AM358" s="5">
        <v>10</v>
      </c>
      <c r="AN358" s="4">
        <v>3</v>
      </c>
      <c r="AO358">
        <v>15048.275862068966</v>
      </c>
      <c r="AP358" s="4">
        <v>3</v>
      </c>
      <c r="AQ358">
        <v>155760</v>
      </c>
      <c r="AR358" t="s">
        <v>2202</v>
      </c>
      <c r="AT358" s="16">
        <f>_xlfn.XLOOKUP(B358,'SWiSH Demand Forecast Sep-26'!D:D,'SWiSH Demand Forecast Sep-26'!G:G,"Not Exist")</f>
        <v>37904</v>
      </c>
    </row>
    <row r="359" spans="1:46" hidden="1" x14ac:dyDescent="0.3">
      <c r="A359">
        <v>103800000</v>
      </c>
      <c r="B359" t="s">
        <v>1433</v>
      </c>
      <c r="C359" t="s">
        <v>136</v>
      </c>
      <c r="D359" t="s">
        <v>1613</v>
      </c>
      <c r="E359" t="s">
        <v>2203</v>
      </c>
      <c r="F359" t="s">
        <v>1615</v>
      </c>
      <c r="G359" t="s">
        <v>1616</v>
      </c>
      <c r="H359" t="s">
        <v>1822</v>
      </c>
      <c r="I359" t="s">
        <v>1618</v>
      </c>
      <c r="J359" t="s">
        <v>2125</v>
      </c>
      <c r="K359">
        <v>2</v>
      </c>
      <c r="L359">
        <v>6</v>
      </c>
      <c r="M359" s="1">
        <v>3</v>
      </c>
      <c r="N359">
        <v>0</v>
      </c>
      <c r="O359">
        <v>0</v>
      </c>
      <c r="P359">
        <v>3</v>
      </c>
      <c r="Q359" s="1">
        <v>3</v>
      </c>
      <c r="R359">
        <v>1</v>
      </c>
      <c r="S359" s="2">
        <v>46242</v>
      </c>
      <c r="T359" s="2">
        <v>46263</v>
      </c>
      <c r="U359">
        <v>14.5</v>
      </c>
      <c r="V359">
        <v>12.5</v>
      </c>
      <c r="W359">
        <v>18.5</v>
      </c>
      <c r="X359">
        <v>24</v>
      </c>
      <c r="Y359">
        <v>12.5</v>
      </c>
      <c r="Z359" s="8">
        <v>24</v>
      </c>
      <c r="AA359">
        <v>17.375</v>
      </c>
      <c r="AB359">
        <v>0.71942446043165464</v>
      </c>
      <c r="AC359">
        <v>1.3812949640287771</v>
      </c>
      <c r="AD359" s="1">
        <v>3</v>
      </c>
      <c r="AE359" s="2">
        <v>46251</v>
      </c>
      <c r="AF359" s="2">
        <v>46259</v>
      </c>
      <c r="AG359" s="2">
        <v>46266</v>
      </c>
      <c r="AH359">
        <v>15.5</v>
      </c>
      <c r="AI359" s="3">
        <v>0.6681034482758621</v>
      </c>
      <c r="AJ359" s="1">
        <v>5</v>
      </c>
      <c r="AK359" s="2">
        <v>46268</v>
      </c>
      <c r="AL359" s="4">
        <v>30</v>
      </c>
      <c r="AM359" s="5">
        <v>15</v>
      </c>
      <c r="AN359" s="4">
        <v>3</v>
      </c>
      <c r="AO359">
        <v>16.03448275862069</v>
      </c>
      <c r="AP359" s="4">
        <v>1</v>
      </c>
      <c r="AQ359" t="s">
        <v>1619</v>
      </c>
      <c r="AR359" t="s">
        <v>1620</v>
      </c>
      <c r="AT359" s="16">
        <f>_xlfn.XLOOKUP(B359,'SWiSH Demand Forecast Sep-26'!D:D,'SWiSH Demand Forecast Sep-26'!G:G,"Not Exist")</f>
        <v>9.9440588235294101</v>
      </c>
    </row>
    <row r="360" spans="1:46" hidden="1" x14ac:dyDescent="0.3">
      <c r="A360">
        <v>101600001</v>
      </c>
      <c r="B360" t="s">
        <v>24</v>
      </c>
      <c r="C360" t="s">
        <v>10</v>
      </c>
      <c r="D360" t="s">
        <v>1613</v>
      </c>
      <c r="E360" t="s">
        <v>2204</v>
      </c>
      <c r="F360" t="s">
        <v>1631</v>
      </c>
      <c r="G360" t="s">
        <v>1624</v>
      </c>
      <c r="H360" t="s">
        <v>1768</v>
      </c>
      <c r="I360" t="s">
        <v>1634</v>
      </c>
      <c r="J360" t="s">
        <v>2205</v>
      </c>
      <c r="K360">
        <v>4.2500000000000003E-3</v>
      </c>
      <c r="L360">
        <v>229.50000000000003</v>
      </c>
      <c r="M360" s="1">
        <v>3</v>
      </c>
      <c r="N360">
        <v>0</v>
      </c>
      <c r="O360">
        <v>8000</v>
      </c>
      <c r="P360">
        <v>54000</v>
      </c>
      <c r="Q360" s="1">
        <v>46000</v>
      </c>
      <c r="R360">
        <v>8.5</v>
      </c>
      <c r="S360" s="2">
        <v>46250</v>
      </c>
      <c r="T360" s="2">
        <v>46263</v>
      </c>
      <c r="U360">
        <v>312800</v>
      </c>
      <c r="V360">
        <v>314200</v>
      </c>
      <c r="W360">
        <v>253100</v>
      </c>
      <c r="X360">
        <v>362300</v>
      </c>
      <c r="Y360">
        <v>253100</v>
      </c>
      <c r="Z360" s="8">
        <v>362300</v>
      </c>
      <c r="AA360">
        <v>310600</v>
      </c>
      <c r="AB360">
        <v>0.8148744365743722</v>
      </c>
      <c r="AC360">
        <v>1.1664520283322601</v>
      </c>
      <c r="AD360" s="1">
        <v>3</v>
      </c>
      <c r="AE360" s="2">
        <v>46251</v>
      </c>
      <c r="AF360" s="2">
        <v>46259</v>
      </c>
      <c r="AG360" s="2">
        <v>46266</v>
      </c>
      <c r="AH360">
        <v>246000</v>
      </c>
      <c r="AI360" s="3">
        <v>0.70240893905793444</v>
      </c>
      <c r="AJ360" s="1">
        <v>5</v>
      </c>
      <c r="AK360" s="2">
        <v>46268</v>
      </c>
      <c r="AL360" s="4">
        <v>15</v>
      </c>
      <c r="AM360" s="5">
        <v>15</v>
      </c>
      <c r="AN360" s="4">
        <v>3</v>
      </c>
      <c r="AO360">
        <v>127241.37931034483</v>
      </c>
      <c r="AP360" s="4">
        <v>2</v>
      </c>
      <c r="AQ360" t="s">
        <v>1619</v>
      </c>
      <c r="AR360" t="s">
        <v>1620</v>
      </c>
      <c r="AT360" s="16">
        <f>_xlfn.XLOOKUP(B360,'SWiSH Demand Forecast Sep-26'!D:D,'SWiSH Demand Forecast Sep-26'!G:G,"Not Exist")</f>
        <v>110232</v>
      </c>
    </row>
    <row r="361" spans="1:46" hidden="1" x14ac:dyDescent="0.3">
      <c r="A361">
        <v>102500015</v>
      </c>
      <c r="B361" t="s">
        <v>293</v>
      </c>
      <c r="C361" t="s">
        <v>136</v>
      </c>
      <c r="D361" t="s">
        <v>1613</v>
      </c>
      <c r="E361" t="s">
        <v>2206</v>
      </c>
      <c r="F361" t="s">
        <v>1927</v>
      </c>
      <c r="G361" t="s">
        <v>1616</v>
      </c>
      <c r="H361" t="s">
        <v>1928</v>
      </c>
      <c r="I361" t="s">
        <v>1618</v>
      </c>
      <c r="J361" t="s">
        <v>2067</v>
      </c>
      <c r="K361">
        <v>0.35</v>
      </c>
      <c r="L361">
        <v>1050</v>
      </c>
      <c r="M361" s="1">
        <v>3</v>
      </c>
      <c r="N361">
        <v>0</v>
      </c>
      <c r="O361">
        <v>0</v>
      </c>
      <c r="P361">
        <v>3000</v>
      </c>
      <c r="Q361" s="1">
        <v>3000</v>
      </c>
      <c r="R361">
        <v>8.75</v>
      </c>
      <c r="S361" s="2">
        <v>46259</v>
      </c>
      <c r="T361" s="2">
        <v>46263</v>
      </c>
      <c r="U361">
        <v>23825</v>
      </c>
      <c r="V361">
        <v>24075</v>
      </c>
      <c r="W361">
        <v>24950</v>
      </c>
      <c r="X361">
        <v>23125</v>
      </c>
      <c r="Y361">
        <v>23125</v>
      </c>
      <c r="Z361" s="8">
        <v>24950</v>
      </c>
      <c r="AA361">
        <v>23993.75</v>
      </c>
      <c r="AB361">
        <v>0.96379265433706696</v>
      </c>
      <c r="AC361">
        <v>1.0398541286793437</v>
      </c>
      <c r="AD361" s="1">
        <v>3</v>
      </c>
      <c r="AE361" s="2">
        <v>46251</v>
      </c>
      <c r="AF361" s="2">
        <v>46259</v>
      </c>
      <c r="AG361" s="2">
        <v>46266</v>
      </c>
      <c r="AH361">
        <v>26250</v>
      </c>
      <c r="AI361" s="3">
        <v>1.088383663879483</v>
      </c>
      <c r="AJ361" s="1">
        <v>3</v>
      </c>
      <c r="AK361" s="2">
        <v>46266</v>
      </c>
      <c r="AL361" s="4">
        <v>5</v>
      </c>
      <c r="AM361" s="5">
        <v>3</v>
      </c>
      <c r="AN361" s="4">
        <v>3</v>
      </c>
      <c r="AO361">
        <v>4525.8620689655163</v>
      </c>
      <c r="AP361" s="4">
        <v>8</v>
      </c>
      <c r="AQ361">
        <v>110</v>
      </c>
      <c r="AR361" t="s">
        <v>2207</v>
      </c>
      <c r="AT361" s="16">
        <f>_xlfn.XLOOKUP(B361,'SWiSH Demand Forecast Sep-26'!D:D,'SWiSH Demand Forecast Sep-26'!G:G,"Not Exist")</f>
        <v>5139.6491228070099</v>
      </c>
    </row>
    <row r="362" spans="1:46" hidden="1" x14ac:dyDescent="0.3">
      <c r="A362">
        <v>103400007</v>
      </c>
      <c r="B362" t="s">
        <v>163</v>
      </c>
      <c r="C362" t="s">
        <v>136</v>
      </c>
      <c r="D362" t="s">
        <v>1613</v>
      </c>
      <c r="E362" t="s">
        <v>2208</v>
      </c>
      <c r="F362" t="s">
        <v>1752</v>
      </c>
      <c r="G362" t="s">
        <v>1616</v>
      </c>
      <c r="H362" t="s">
        <v>1931</v>
      </c>
      <c r="I362" t="s">
        <v>1754</v>
      </c>
      <c r="J362" t="s">
        <v>1997</v>
      </c>
      <c r="K362">
        <v>0.42699999999999999</v>
      </c>
      <c r="L362">
        <v>1383.48</v>
      </c>
      <c r="M362" s="1">
        <v>3</v>
      </c>
      <c r="N362">
        <v>0</v>
      </c>
      <c r="O362">
        <v>1270</v>
      </c>
      <c r="P362">
        <v>3240</v>
      </c>
      <c r="Q362" s="1">
        <v>1970</v>
      </c>
      <c r="R362">
        <v>5.9</v>
      </c>
      <c r="S362" s="2">
        <v>46260</v>
      </c>
      <c r="T362" s="2">
        <v>46263</v>
      </c>
      <c r="U362">
        <v>18080</v>
      </c>
      <c r="V362">
        <v>17390</v>
      </c>
      <c r="W362">
        <v>18640</v>
      </c>
      <c r="X362">
        <v>17800</v>
      </c>
      <c r="Y362">
        <v>17390</v>
      </c>
      <c r="Z362" s="8">
        <v>18640</v>
      </c>
      <c r="AA362">
        <v>17977.5</v>
      </c>
      <c r="AB362">
        <v>0.9673202614379085</v>
      </c>
      <c r="AC362">
        <v>1.0368516200806563</v>
      </c>
      <c r="AD362" s="1">
        <v>3</v>
      </c>
      <c r="AE362" s="2">
        <v>46251</v>
      </c>
      <c r="AF362" s="2">
        <v>46259</v>
      </c>
      <c r="AG362" s="2">
        <v>46266</v>
      </c>
      <c r="AH362">
        <v>16900</v>
      </c>
      <c r="AI362" s="3">
        <v>0.93791623501553945</v>
      </c>
      <c r="AJ362" s="1">
        <v>3</v>
      </c>
      <c r="AK362" s="2">
        <v>46266</v>
      </c>
      <c r="AL362" s="4">
        <v>4</v>
      </c>
      <c r="AM362" s="5">
        <v>3</v>
      </c>
      <c r="AN362" s="4">
        <v>3</v>
      </c>
      <c r="AO362">
        <v>2331.0344827586209</v>
      </c>
      <c r="AP362" s="4">
        <v>9</v>
      </c>
      <c r="AQ362">
        <v>215</v>
      </c>
      <c r="AR362" t="s">
        <v>2130</v>
      </c>
      <c r="AT362" s="16">
        <f>_xlfn.XLOOKUP(B362,'SWiSH Demand Forecast Sep-26'!D:D,'SWiSH Demand Forecast Sep-26'!G:G,"Not Exist")</f>
        <v>11433.257142857099</v>
      </c>
    </row>
    <row r="363" spans="1:46" hidden="1" x14ac:dyDescent="0.3">
      <c r="A363">
        <v>105000006</v>
      </c>
      <c r="B363" t="s">
        <v>1456</v>
      </c>
      <c r="C363" t="s">
        <v>240</v>
      </c>
      <c r="D363" t="s">
        <v>1613</v>
      </c>
      <c r="E363" t="s">
        <v>2209</v>
      </c>
      <c r="F363" t="s">
        <v>1671</v>
      </c>
      <c r="G363" t="s">
        <v>1616</v>
      </c>
      <c r="H363" t="s">
        <v>2002</v>
      </c>
      <c r="I363" t="s">
        <v>1618</v>
      </c>
      <c r="J363" t="s">
        <v>2210</v>
      </c>
      <c r="K363">
        <v>2.9166667899999998</v>
      </c>
      <c r="L363">
        <v>99.750004218000001</v>
      </c>
      <c r="M363" s="1">
        <v>3</v>
      </c>
      <c r="N363">
        <v>0</v>
      </c>
      <c r="O363">
        <v>1.2</v>
      </c>
      <c r="P363">
        <v>34.200000000000003</v>
      </c>
      <c r="Q363" s="1">
        <v>33</v>
      </c>
      <c r="R363">
        <v>1.75</v>
      </c>
      <c r="S363" s="2">
        <v>46134</v>
      </c>
      <c r="T363" s="2">
        <v>46262</v>
      </c>
      <c r="U363">
        <v>240.59999999999985</v>
      </c>
      <c r="V363">
        <v>262.19999999999993</v>
      </c>
      <c r="W363">
        <v>221.99999999999994</v>
      </c>
      <c r="X363">
        <v>259.20000000000005</v>
      </c>
      <c r="Y363">
        <v>221.99999999999994</v>
      </c>
      <c r="Z363" s="8">
        <v>262.19999999999993</v>
      </c>
      <c r="AA363">
        <v>245.99999999999994</v>
      </c>
      <c r="AB363">
        <v>0.90243902439024393</v>
      </c>
      <c r="AC363">
        <v>1.0658536585365854</v>
      </c>
      <c r="AD363" s="1">
        <v>3</v>
      </c>
      <c r="AE363" s="2">
        <v>46251</v>
      </c>
      <c r="AF363" s="2">
        <v>46259</v>
      </c>
      <c r="AG363" s="2">
        <v>46266</v>
      </c>
      <c r="AH363">
        <v>236.99999999999991</v>
      </c>
      <c r="AI363" s="3">
        <v>0.93505878639627538</v>
      </c>
      <c r="AJ363" s="1">
        <v>4</v>
      </c>
      <c r="AK363" s="2">
        <v>46267</v>
      </c>
      <c r="AL363" s="4">
        <v>15</v>
      </c>
      <c r="AM363" s="5">
        <v>15</v>
      </c>
      <c r="AN363" s="4">
        <v>3</v>
      </c>
      <c r="AO363">
        <v>122.58620689655167</v>
      </c>
      <c r="AP363" s="4">
        <v>2</v>
      </c>
      <c r="AQ363" t="s">
        <v>1619</v>
      </c>
      <c r="AR363" t="s">
        <v>1620</v>
      </c>
      <c r="AT363" s="16">
        <f>_xlfn.XLOOKUP(B363,'SWiSH Demand Forecast Sep-26'!D:D,'SWiSH Demand Forecast Sep-26'!G:G,"Not Exist")</f>
        <v>7.1430324482758598</v>
      </c>
    </row>
    <row r="364" spans="1:46" x14ac:dyDescent="0.3">
      <c r="A364">
        <v>105500001</v>
      </c>
      <c r="B364" t="s">
        <v>2211</v>
      </c>
      <c r="C364" t="s">
        <v>136</v>
      </c>
      <c r="D364" t="s">
        <v>1613</v>
      </c>
      <c r="E364" t="s">
        <v>1832</v>
      </c>
      <c r="F364" t="s">
        <v>1840</v>
      </c>
      <c r="G364" t="s">
        <v>1616</v>
      </c>
      <c r="H364" t="s">
        <v>1841</v>
      </c>
      <c r="I364" t="s">
        <v>1618</v>
      </c>
      <c r="J364" t="s">
        <v>1997</v>
      </c>
      <c r="K364">
        <v>1.92</v>
      </c>
      <c r="L364">
        <v>11.52</v>
      </c>
      <c r="M364" s="1">
        <v>3</v>
      </c>
      <c r="N364">
        <v>0</v>
      </c>
      <c r="O364">
        <v>0</v>
      </c>
      <c r="P364">
        <v>6</v>
      </c>
      <c r="Q364" s="1">
        <v>6</v>
      </c>
      <c r="R364">
        <v>0.6</v>
      </c>
      <c r="S364" s="2">
        <v>46249</v>
      </c>
      <c r="T364" s="2">
        <v>46262</v>
      </c>
      <c r="U364">
        <v>42</v>
      </c>
      <c r="V364">
        <v>30</v>
      </c>
      <c r="W364">
        <v>48</v>
      </c>
      <c r="X364">
        <v>48</v>
      </c>
      <c r="Y364">
        <v>30</v>
      </c>
      <c r="Z364" s="8">
        <v>48</v>
      </c>
      <c r="AA364">
        <v>42</v>
      </c>
      <c r="AB364">
        <v>0.7142857142857143</v>
      </c>
      <c r="AC364">
        <v>1.1428571428571428</v>
      </c>
      <c r="AD364" s="1">
        <v>3</v>
      </c>
      <c r="AE364" s="2">
        <v>46251</v>
      </c>
      <c r="AF364" s="2">
        <v>46259</v>
      </c>
      <c r="AG364" s="2">
        <v>46266</v>
      </c>
      <c r="AH364">
        <v>42.5</v>
      </c>
      <c r="AI364" s="3">
        <v>0.91594827586206895</v>
      </c>
      <c r="AJ364" s="1">
        <v>4</v>
      </c>
      <c r="AK364" s="2">
        <v>46267</v>
      </c>
      <c r="AL364" s="4">
        <v>30</v>
      </c>
      <c r="AM364" s="5">
        <v>15</v>
      </c>
      <c r="AN364" s="4">
        <v>3</v>
      </c>
      <c r="AO364">
        <v>43.96551724137931</v>
      </c>
      <c r="AP364" s="4">
        <v>1</v>
      </c>
      <c r="AQ364" t="s">
        <v>1619</v>
      </c>
      <c r="AR364" t="s">
        <v>1620</v>
      </c>
      <c r="AT364" s="16" t="str">
        <f>_xlfn.XLOOKUP(B364,'SWiSH Demand Forecast Sep-26'!D:D,'SWiSH Demand Forecast Sep-26'!G:G,"Not Exist")</f>
        <v>Not Exist</v>
      </c>
    </row>
    <row r="365" spans="1:46" hidden="1" x14ac:dyDescent="0.3">
      <c r="A365">
        <v>106200097</v>
      </c>
      <c r="B365" t="s">
        <v>958</v>
      </c>
      <c r="C365" t="s">
        <v>240</v>
      </c>
      <c r="D365" t="s">
        <v>1613</v>
      </c>
      <c r="E365" t="s">
        <v>2212</v>
      </c>
      <c r="F365" t="s">
        <v>1671</v>
      </c>
      <c r="G365" t="s">
        <v>1616</v>
      </c>
      <c r="H365" t="s">
        <v>1672</v>
      </c>
      <c r="I365" t="s">
        <v>1618</v>
      </c>
      <c r="J365" t="s">
        <v>2213</v>
      </c>
      <c r="K365">
        <v>1.93333333</v>
      </c>
      <c r="L365">
        <v>86.999999849999995</v>
      </c>
      <c r="M365" s="1">
        <v>3</v>
      </c>
      <c r="N365">
        <v>0</v>
      </c>
      <c r="O365">
        <v>0</v>
      </c>
      <c r="P365">
        <v>45</v>
      </c>
      <c r="Q365" s="1">
        <v>45</v>
      </c>
      <c r="R365">
        <v>15</v>
      </c>
      <c r="S365" s="2">
        <v>46238</v>
      </c>
      <c r="T365" s="2">
        <v>46263</v>
      </c>
      <c r="U365">
        <v>405.375</v>
      </c>
      <c r="V365">
        <v>224.25</v>
      </c>
      <c r="W365">
        <v>342.75</v>
      </c>
      <c r="X365">
        <v>357.75</v>
      </c>
      <c r="Y365">
        <v>224.25</v>
      </c>
      <c r="Z365" s="8">
        <v>405.375</v>
      </c>
      <c r="AA365">
        <v>332.53125</v>
      </c>
      <c r="AB365">
        <v>0.67437270933182969</v>
      </c>
      <c r="AC365">
        <v>1.2190583591767692</v>
      </c>
      <c r="AD365" s="1">
        <v>3</v>
      </c>
      <c r="AE365" s="2">
        <v>46251</v>
      </c>
      <c r="AF365" s="2">
        <v>46259</v>
      </c>
      <c r="AG365" s="2">
        <v>46266</v>
      </c>
      <c r="AH365">
        <v>371.25</v>
      </c>
      <c r="AI365" s="3">
        <v>0.9473986411049794</v>
      </c>
      <c r="AJ365" s="1">
        <v>3</v>
      </c>
      <c r="AK365" s="2">
        <v>46266</v>
      </c>
      <c r="AL365" s="4">
        <v>30</v>
      </c>
      <c r="AM365" s="5">
        <v>15</v>
      </c>
      <c r="AN365" s="4">
        <v>3</v>
      </c>
      <c r="AO365">
        <v>384.05172413793105</v>
      </c>
      <c r="AP365" s="4">
        <v>1</v>
      </c>
      <c r="AQ365" t="s">
        <v>1619</v>
      </c>
      <c r="AR365" t="s">
        <v>1620</v>
      </c>
      <c r="AT365" s="16">
        <f>_xlfn.XLOOKUP(B365,'SWiSH Demand Forecast Sep-26'!D:D,'SWiSH Demand Forecast Sep-26'!G:G,"Not Exist")</f>
        <v>187.088205829983</v>
      </c>
    </row>
    <row r="366" spans="1:46" x14ac:dyDescent="0.3">
      <c r="A366">
        <v>100400248</v>
      </c>
      <c r="B366" t="s">
        <v>2214</v>
      </c>
      <c r="C366" t="s">
        <v>10</v>
      </c>
      <c r="D366" t="s">
        <v>1613</v>
      </c>
      <c r="E366" t="s">
        <v>1796</v>
      </c>
      <c r="F366" t="s">
        <v>1664</v>
      </c>
      <c r="G366" t="s">
        <v>1624</v>
      </c>
      <c r="H366" t="s">
        <v>1810</v>
      </c>
      <c r="I366" t="s">
        <v>1634</v>
      </c>
      <c r="J366" t="s">
        <v>10</v>
      </c>
      <c r="K366">
        <v>2.5000000000000001E-2</v>
      </c>
      <c r="L366">
        <v>25</v>
      </c>
      <c r="M366" s="1">
        <v>3</v>
      </c>
      <c r="N366">
        <v>0</v>
      </c>
      <c r="O366">
        <v>0</v>
      </c>
      <c r="P366">
        <v>1000</v>
      </c>
      <c r="Q366" s="1">
        <v>1000</v>
      </c>
      <c r="R366">
        <v>2.5000000000000001E-2</v>
      </c>
      <c r="S366" s="2">
        <v>46242</v>
      </c>
      <c r="T366" s="2">
        <v>46263</v>
      </c>
      <c r="U366">
        <v>2000</v>
      </c>
      <c r="V366">
        <v>10000</v>
      </c>
      <c r="W366">
        <v>5250</v>
      </c>
      <c r="X366">
        <v>10000</v>
      </c>
      <c r="Y366">
        <v>2000</v>
      </c>
      <c r="Z366" s="8">
        <v>10000</v>
      </c>
      <c r="AA366">
        <v>6812.5</v>
      </c>
      <c r="AB366">
        <v>0.29357798165137616</v>
      </c>
      <c r="AC366">
        <v>1.4678899082568808</v>
      </c>
      <c r="AD366" s="1">
        <v>3</v>
      </c>
      <c r="AE366" s="2">
        <v>46251</v>
      </c>
      <c r="AF366" s="2">
        <v>46259</v>
      </c>
      <c r="AG366" s="2">
        <v>46266</v>
      </c>
      <c r="AH366">
        <v>19000</v>
      </c>
      <c r="AI366" s="3">
        <v>1.9655172413793105</v>
      </c>
      <c r="AJ366" s="1">
        <v>1</v>
      </c>
      <c r="AK366" s="2">
        <v>46264</v>
      </c>
      <c r="AL366" s="4">
        <v>30</v>
      </c>
      <c r="AM366" s="5">
        <v>15</v>
      </c>
      <c r="AN366" s="4">
        <v>1</v>
      </c>
      <c r="AO366">
        <v>19655.172413793105</v>
      </c>
      <c r="AP366" s="4">
        <v>1</v>
      </c>
      <c r="AQ366">
        <v>11000</v>
      </c>
      <c r="AR366" t="s">
        <v>2215</v>
      </c>
      <c r="AS366" t="s">
        <v>1666</v>
      </c>
      <c r="AT366" s="16" t="str">
        <f>_xlfn.XLOOKUP(B366,'SWiSH Demand Forecast Sep-26'!D:D,'SWiSH Demand Forecast Sep-26'!G:G,"Not Exist")</f>
        <v>Not Exist</v>
      </c>
    </row>
    <row r="367" spans="1:46" x14ac:dyDescent="0.3">
      <c r="A367">
        <v>101400055</v>
      </c>
      <c r="B367" t="s">
        <v>2216</v>
      </c>
      <c r="C367" t="s">
        <v>10</v>
      </c>
      <c r="D367" t="s">
        <v>1613</v>
      </c>
      <c r="E367" t="s">
        <v>2217</v>
      </c>
      <c r="F367" t="s">
        <v>1644</v>
      </c>
      <c r="G367" t="s">
        <v>1624</v>
      </c>
      <c r="H367" t="s">
        <v>1693</v>
      </c>
      <c r="I367" t="s">
        <v>1634</v>
      </c>
      <c r="J367" t="e">
        <v>#N/A</v>
      </c>
      <c r="K367">
        <v>6</v>
      </c>
      <c r="L367">
        <v>84</v>
      </c>
      <c r="M367" s="1">
        <v>3</v>
      </c>
      <c r="N367">
        <v>0</v>
      </c>
      <c r="O367">
        <v>10</v>
      </c>
      <c r="P367">
        <v>14</v>
      </c>
      <c r="Q367" s="1">
        <v>4</v>
      </c>
      <c r="R367">
        <v>6</v>
      </c>
      <c r="S367" s="2">
        <v>46254</v>
      </c>
      <c r="T367" s="2">
        <v>46258</v>
      </c>
      <c r="U367">
        <v>33</v>
      </c>
      <c r="V367">
        <v>21</v>
      </c>
      <c r="W367">
        <v>25</v>
      </c>
      <c r="X367">
        <v>21</v>
      </c>
      <c r="Y367">
        <v>21</v>
      </c>
      <c r="Z367" s="8">
        <v>33</v>
      </c>
      <c r="AA367">
        <v>25</v>
      </c>
      <c r="AB367">
        <v>0.84</v>
      </c>
      <c r="AC367">
        <v>1.32</v>
      </c>
      <c r="AD367" s="1">
        <v>3</v>
      </c>
      <c r="AE367" s="2">
        <v>46251</v>
      </c>
      <c r="AF367" s="2">
        <v>46259</v>
      </c>
      <c r="AG367" s="2">
        <v>46266</v>
      </c>
      <c r="AH367">
        <v>26</v>
      </c>
      <c r="AI367" s="3">
        <v>0.8150470219435737</v>
      </c>
      <c r="AJ367" s="1">
        <v>4</v>
      </c>
      <c r="AK367" s="2">
        <v>46267</v>
      </c>
      <c r="AL367" s="4">
        <v>30</v>
      </c>
      <c r="AM367" s="5">
        <v>15</v>
      </c>
      <c r="AN367" s="4">
        <v>3</v>
      </c>
      <c r="AO367">
        <v>26.896551724137932</v>
      </c>
      <c r="AP367" s="4">
        <v>1</v>
      </c>
      <c r="AQ367" t="s">
        <v>1619</v>
      </c>
      <c r="AR367" t="s">
        <v>1620</v>
      </c>
      <c r="AT367" s="16" t="str">
        <f>_xlfn.XLOOKUP(B367,'SWiSH Demand Forecast Sep-26'!D:D,'SWiSH Demand Forecast Sep-26'!G:G,"Not Exist")</f>
        <v>Not Exist</v>
      </c>
    </row>
    <row r="368" spans="1:46" x14ac:dyDescent="0.3">
      <c r="A368">
        <v>105600015</v>
      </c>
      <c r="B368" t="s">
        <v>2218</v>
      </c>
      <c r="C368" t="s">
        <v>136</v>
      </c>
      <c r="D368" t="s">
        <v>1613</v>
      </c>
      <c r="E368" t="s">
        <v>2091</v>
      </c>
      <c r="F368" t="s">
        <v>1664</v>
      </c>
      <c r="G368" t="s">
        <v>1624</v>
      </c>
      <c r="H368" t="s">
        <v>1679</v>
      </c>
      <c r="I368" t="s">
        <v>1634</v>
      </c>
      <c r="J368" t="s">
        <v>136</v>
      </c>
      <c r="K368">
        <v>0.56499999999999995</v>
      </c>
      <c r="L368">
        <v>146.89999999999998</v>
      </c>
      <c r="M368" s="1">
        <v>30</v>
      </c>
      <c r="N368">
        <v>0</v>
      </c>
      <c r="O368">
        <v>0</v>
      </c>
      <c r="P368">
        <v>260</v>
      </c>
      <c r="Q368" s="1">
        <v>260</v>
      </c>
      <c r="R368">
        <v>0.56499999999999995</v>
      </c>
      <c r="S368" s="2">
        <v>46026</v>
      </c>
      <c r="T368" s="2">
        <v>46263</v>
      </c>
      <c r="U368">
        <v>1040</v>
      </c>
      <c r="V368">
        <v>1897.7</v>
      </c>
      <c r="W368">
        <v>1377.45</v>
      </c>
      <c r="X368">
        <v>1419.73</v>
      </c>
      <c r="Y368">
        <v>1040</v>
      </c>
      <c r="Z368" s="8">
        <v>1897.7</v>
      </c>
      <c r="AA368">
        <v>1433.7199999999998</v>
      </c>
      <c r="AB368">
        <v>0.72538570990151507</v>
      </c>
      <c r="AC368">
        <v>1.3236196746924087</v>
      </c>
      <c r="AD368" s="1">
        <v>4</v>
      </c>
      <c r="AE368" s="2">
        <v>46252</v>
      </c>
      <c r="AF368" s="2">
        <v>46260</v>
      </c>
      <c r="AG368" s="2">
        <v>46267</v>
      </c>
      <c r="AH368">
        <v>1155</v>
      </c>
      <c r="AI368" s="3">
        <v>0.62961879443900326</v>
      </c>
      <c r="AJ368" s="1">
        <v>6</v>
      </c>
      <c r="AK368" s="2">
        <v>46269</v>
      </c>
      <c r="AL368" s="4">
        <v>15</v>
      </c>
      <c r="AM368" s="5">
        <v>15</v>
      </c>
      <c r="AN368" s="4">
        <v>4</v>
      </c>
      <c r="AO368">
        <v>597.41379310344826</v>
      </c>
      <c r="AP368" s="4">
        <v>2</v>
      </c>
      <c r="AQ368" t="s">
        <v>1619</v>
      </c>
      <c r="AR368" t="s">
        <v>1620</v>
      </c>
      <c r="AT368" s="16" t="str">
        <f>_xlfn.XLOOKUP(B368,'SWiSH Demand Forecast Sep-26'!D:D,'SWiSH Demand Forecast Sep-26'!G:G,"Not Exist")</f>
        <v>Not Exist</v>
      </c>
    </row>
    <row r="369" spans="1:46" x14ac:dyDescent="0.3">
      <c r="A369">
        <v>107200083</v>
      </c>
      <c r="B369" t="s">
        <v>2219</v>
      </c>
      <c r="C369" t="s">
        <v>10</v>
      </c>
      <c r="D369" t="s">
        <v>1613</v>
      </c>
      <c r="E369" t="s">
        <v>1655</v>
      </c>
      <c r="F369" t="s">
        <v>1656</v>
      </c>
      <c r="G369" t="s">
        <v>1624</v>
      </c>
      <c r="H369" t="s">
        <v>1657</v>
      </c>
      <c r="I369" t="s">
        <v>1634</v>
      </c>
      <c r="J369" t="s">
        <v>10</v>
      </c>
      <c r="K369">
        <v>2.5</v>
      </c>
      <c r="L369">
        <v>10</v>
      </c>
      <c r="M369" s="1">
        <v>15</v>
      </c>
      <c r="N369">
        <v>0</v>
      </c>
      <c r="O369">
        <v>0</v>
      </c>
      <c r="P369">
        <v>4</v>
      </c>
      <c r="Q369" s="1">
        <v>4</v>
      </c>
      <c r="R369">
        <v>2.5</v>
      </c>
      <c r="S369" s="2">
        <v>46257</v>
      </c>
      <c r="T369" s="2">
        <v>46258</v>
      </c>
      <c r="U369">
        <v>0</v>
      </c>
      <c r="V369">
        <v>30</v>
      </c>
      <c r="W369">
        <v>0</v>
      </c>
      <c r="X369">
        <v>0</v>
      </c>
      <c r="Y369">
        <v>0</v>
      </c>
      <c r="Z369" s="8">
        <v>30</v>
      </c>
      <c r="AA369">
        <v>7.5</v>
      </c>
      <c r="AB369">
        <v>0</v>
      </c>
      <c r="AC369">
        <v>4</v>
      </c>
      <c r="AD369" s="1">
        <v>4</v>
      </c>
      <c r="AE369" s="2">
        <v>46252</v>
      </c>
      <c r="AF369" s="2">
        <v>46260</v>
      </c>
      <c r="AG369" s="2">
        <v>46267</v>
      </c>
      <c r="AH369">
        <v>0</v>
      </c>
      <c r="AI369" s="3">
        <v>0</v>
      </c>
      <c r="AJ369" s="1" t="s">
        <v>1635</v>
      </c>
      <c r="AK369" s="2" t="s">
        <v>1635</v>
      </c>
      <c r="AL369" s="4" t="s">
        <v>1658</v>
      </c>
      <c r="AM369" s="5" t="s">
        <v>1658</v>
      </c>
      <c r="AN369" s="4">
        <v>4</v>
      </c>
      <c r="AO369" t="s">
        <v>1635</v>
      </c>
      <c r="AP369" s="4" t="s">
        <v>1658</v>
      </c>
      <c r="AQ369" t="s">
        <v>1619</v>
      </c>
      <c r="AR369" t="s">
        <v>1620</v>
      </c>
      <c r="AT369" s="16" t="str">
        <f>_xlfn.XLOOKUP(B369,'SWiSH Demand Forecast Sep-26'!D:D,'SWiSH Demand Forecast Sep-26'!G:G,"Not Exist")</f>
        <v>Not Exist</v>
      </c>
    </row>
    <row r="370" spans="1:46" x14ac:dyDescent="0.3">
      <c r="A370">
        <v>101700029</v>
      </c>
      <c r="B370" t="s">
        <v>2220</v>
      </c>
      <c r="C370" t="s">
        <v>136</v>
      </c>
      <c r="D370" t="s">
        <v>1613</v>
      </c>
      <c r="E370" t="s">
        <v>1622</v>
      </c>
      <c r="F370" t="s">
        <v>1833</v>
      </c>
      <c r="G370" t="s">
        <v>1616</v>
      </c>
      <c r="H370" t="s">
        <v>2221</v>
      </c>
      <c r="I370" t="s">
        <v>1626</v>
      </c>
      <c r="J370" t="s">
        <v>136</v>
      </c>
      <c r="K370">
        <v>3.5</v>
      </c>
      <c r="L370">
        <v>34.300000000000004</v>
      </c>
      <c r="M370" s="1">
        <v>3</v>
      </c>
      <c r="N370">
        <v>0</v>
      </c>
      <c r="O370">
        <v>0</v>
      </c>
      <c r="P370">
        <v>9.8000000000000007</v>
      </c>
      <c r="Q370" s="1">
        <v>9.8000000000000007</v>
      </c>
      <c r="R370">
        <v>0.35</v>
      </c>
      <c r="S370" s="2">
        <v>46259</v>
      </c>
      <c r="T370" s="2">
        <v>46258</v>
      </c>
      <c r="U370">
        <v>0</v>
      </c>
      <c r="V370">
        <v>49.2</v>
      </c>
      <c r="W370">
        <v>70.5</v>
      </c>
      <c r="X370">
        <v>39.299999999999997</v>
      </c>
      <c r="Y370">
        <v>0</v>
      </c>
      <c r="Z370" s="8">
        <v>70.5</v>
      </c>
      <c r="AA370">
        <v>39.75</v>
      </c>
      <c r="AB370">
        <v>0</v>
      </c>
      <c r="AC370">
        <v>1.7735849056603774</v>
      </c>
      <c r="AD370" s="1">
        <v>4</v>
      </c>
      <c r="AE370" s="2">
        <v>46252</v>
      </c>
      <c r="AF370" s="2">
        <v>46260</v>
      </c>
      <c r="AG370" s="2">
        <v>46267</v>
      </c>
      <c r="AH370">
        <v>19.600000000000001</v>
      </c>
      <c r="AI370" s="3">
        <v>0.28760088041085841</v>
      </c>
      <c r="AJ370" s="1">
        <v>14</v>
      </c>
      <c r="AK370" s="2">
        <v>46277</v>
      </c>
      <c r="AL370" s="4">
        <v>8</v>
      </c>
      <c r="AM370" s="5">
        <v>5</v>
      </c>
      <c r="AN370" s="4">
        <v>4</v>
      </c>
      <c r="AO370">
        <v>5.4068965517241381</v>
      </c>
      <c r="AP370" s="4">
        <v>4</v>
      </c>
      <c r="AQ370" t="s">
        <v>1619</v>
      </c>
      <c r="AR370" t="s">
        <v>1620</v>
      </c>
      <c r="AT370" s="16" t="str">
        <f>_xlfn.XLOOKUP(B370,'SWiSH Demand Forecast Sep-26'!D:D,'SWiSH Demand Forecast Sep-26'!G:G,"Not Exist")</f>
        <v>Not Exist</v>
      </c>
    </row>
    <row r="371" spans="1:46" x14ac:dyDescent="0.3">
      <c r="A371">
        <v>101000015</v>
      </c>
      <c r="B371" t="s">
        <v>2222</v>
      </c>
      <c r="C371" t="s">
        <v>240</v>
      </c>
      <c r="D371" t="s">
        <v>1613</v>
      </c>
      <c r="E371" t="s">
        <v>1655</v>
      </c>
      <c r="F371" t="s">
        <v>1639</v>
      </c>
      <c r="G371" t="s">
        <v>1616</v>
      </c>
      <c r="H371" t="s">
        <v>1889</v>
      </c>
      <c r="I371" t="s">
        <v>1618</v>
      </c>
      <c r="J371" t="s">
        <v>240</v>
      </c>
      <c r="K371">
        <v>3.9440016899999999</v>
      </c>
      <c r="L371">
        <v>23.664010139999998</v>
      </c>
      <c r="M371" s="1">
        <v>3</v>
      </c>
      <c r="N371">
        <v>0</v>
      </c>
      <c r="O371">
        <v>0</v>
      </c>
      <c r="P371">
        <v>6</v>
      </c>
      <c r="Q371" s="1">
        <v>6</v>
      </c>
      <c r="R371">
        <v>35.5</v>
      </c>
      <c r="S371" s="2">
        <v>46223</v>
      </c>
      <c r="T371" s="2">
        <v>46240</v>
      </c>
      <c r="U371">
        <v>0</v>
      </c>
      <c r="V371">
        <v>0</v>
      </c>
      <c r="W371">
        <v>0</v>
      </c>
      <c r="X371">
        <v>37.75</v>
      </c>
      <c r="Y371">
        <v>0</v>
      </c>
      <c r="Z371" s="8">
        <v>37.75</v>
      </c>
      <c r="AA371">
        <v>9.4375</v>
      </c>
      <c r="AB371">
        <v>0</v>
      </c>
      <c r="AC371">
        <v>4</v>
      </c>
      <c r="AD371" s="1">
        <v>4</v>
      </c>
      <c r="AE371" s="2">
        <v>46252</v>
      </c>
      <c r="AF371" s="2">
        <v>46260</v>
      </c>
      <c r="AG371" s="2">
        <v>46267</v>
      </c>
      <c r="AH371">
        <v>1.5</v>
      </c>
      <c r="AI371" s="3">
        <v>4.1105275176981045E-2</v>
      </c>
      <c r="AJ371" s="1">
        <v>116</v>
      </c>
      <c r="AK371" s="2">
        <v>46379</v>
      </c>
      <c r="AL371" s="4">
        <v>30</v>
      </c>
      <c r="AM371" s="5">
        <v>15</v>
      </c>
      <c r="AN371" s="4">
        <v>4</v>
      </c>
      <c r="AO371">
        <v>1.5517241379310345</v>
      </c>
      <c r="AP371" s="4">
        <v>1</v>
      </c>
      <c r="AQ371" t="s">
        <v>1619</v>
      </c>
      <c r="AR371" t="s">
        <v>1620</v>
      </c>
      <c r="AT371" s="16" t="str">
        <f>_xlfn.XLOOKUP(B371,'SWiSH Demand Forecast Sep-26'!D:D,'SWiSH Demand Forecast Sep-26'!G:G,"Not Exist")</f>
        <v>Not Exist</v>
      </c>
    </row>
    <row r="372" spans="1:46" hidden="1" x14ac:dyDescent="0.3">
      <c r="A372">
        <v>101000008</v>
      </c>
      <c r="B372" t="s">
        <v>1115</v>
      </c>
      <c r="C372" t="s">
        <v>240</v>
      </c>
      <c r="D372" t="s">
        <v>1629</v>
      </c>
      <c r="E372" t="s">
        <v>2108</v>
      </c>
      <c r="F372" t="s">
        <v>1639</v>
      </c>
      <c r="G372" t="s">
        <v>1616</v>
      </c>
      <c r="H372" t="s">
        <v>1889</v>
      </c>
      <c r="I372" t="s">
        <v>1618</v>
      </c>
      <c r="J372" t="s">
        <v>2223</v>
      </c>
      <c r="K372">
        <v>1.52631579</v>
      </c>
      <c r="L372">
        <v>145.00000004999998</v>
      </c>
      <c r="M372" s="1">
        <v>3</v>
      </c>
      <c r="N372">
        <v>0</v>
      </c>
      <c r="O372">
        <v>0</v>
      </c>
      <c r="P372">
        <v>95</v>
      </c>
      <c r="Q372" s="1">
        <v>95</v>
      </c>
      <c r="R372">
        <v>29</v>
      </c>
      <c r="S372" s="2">
        <v>46223</v>
      </c>
      <c r="T372" s="2">
        <v>46230</v>
      </c>
      <c r="U372">
        <v>608</v>
      </c>
      <c r="V372">
        <v>589</v>
      </c>
      <c r="W372">
        <v>551</v>
      </c>
      <c r="X372">
        <v>475</v>
      </c>
      <c r="Y372">
        <v>475</v>
      </c>
      <c r="Z372" s="8">
        <v>608</v>
      </c>
      <c r="AA372">
        <v>555.75</v>
      </c>
      <c r="AB372">
        <v>0.85470085470085466</v>
      </c>
      <c r="AC372">
        <v>1.0940170940170941</v>
      </c>
      <c r="AD372" s="1">
        <v>4</v>
      </c>
      <c r="AE372" s="2">
        <v>46252</v>
      </c>
      <c r="AF372" s="2">
        <v>46260</v>
      </c>
      <c r="AG372" s="2">
        <v>46267</v>
      </c>
      <c r="AH372">
        <v>0</v>
      </c>
      <c r="AI372" s="3">
        <v>0</v>
      </c>
      <c r="AJ372" s="1" t="s">
        <v>1635</v>
      </c>
      <c r="AK372" s="2" t="s">
        <v>1635</v>
      </c>
      <c r="AL372" s="4" t="s">
        <v>1636</v>
      </c>
      <c r="AM372" s="5" t="s">
        <v>1636</v>
      </c>
      <c r="AN372" s="4">
        <v>4</v>
      </c>
      <c r="AO372" t="s">
        <v>1635</v>
      </c>
      <c r="AP372" s="4" t="s">
        <v>1636</v>
      </c>
      <c r="AQ372" t="s">
        <v>1619</v>
      </c>
      <c r="AR372" t="s">
        <v>1794</v>
      </c>
      <c r="AT372" s="16">
        <f>_xlfn.XLOOKUP(B372,'SWiSH Demand Forecast Sep-26'!D:D,'SWiSH Demand Forecast Sep-26'!G:G,"Not Exist")</f>
        <v>98.28</v>
      </c>
    </row>
    <row r="373" spans="1:46" x14ac:dyDescent="0.3">
      <c r="A373">
        <v>100700029</v>
      </c>
      <c r="B373" t="s">
        <v>2224</v>
      </c>
      <c r="C373" t="s">
        <v>136</v>
      </c>
      <c r="D373" t="s">
        <v>1613</v>
      </c>
      <c r="E373" t="s">
        <v>1685</v>
      </c>
      <c r="F373" t="s">
        <v>1875</v>
      </c>
      <c r="G373" t="s">
        <v>1616</v>
      </c>
      <c r="H373" t="s">
        <v>1867</v>
      </c>
      <c r="I373" t="s">
        <v>1618</v>
      </c>
      <c r="J373" t="s">
        <v>136</v>
      </c>
      <c r="K373">
        <v>1.4243300000000001</v>
      </c>
      <c r="L373">
        <v>4.2729900000000001</v>
      </c>
      <c r="M373" s="1">
        <v>3</v>
      </c>
      <c r="N373">
        <v>0</v>
      </c>
      <c r="O373">
        <v>0</v>
      </c>
      <c r="P373">
        <v>3</v>
      </c>
      <c r="Q373" s="1">
        <v>3</v>
      </c>
      <c r="R373">
        <v>15.5</v>
      </c>
      <c r="S373" s="2">
        <v>46244</v>
      </c>
      <c r="T373" s="2">
        <v>46256</v>
      </c>
      <c r="U373">
        <v>21.42</v>
      </c>
      <c r="V373">
        <v>20.149999999999999</v>
      </c>
      <c r="W373">
        <v>20.327999999999996</v>
      </c>
      <c r="X373">
        <v>17.333999999999996</v>
      </c>
      <c r="Y373">
        <v>17.333999999999996</v>
      </c>
      <c r="Z373" s="8">
        <v>21.42</v>
      </c>
      <c r="AA373">
        <v>19.808</v>
      </c>
      <c r="AB373">
        <v>0.87510096930533099</v>
      </c>
      <c r="AC373">
        <v>1.0813812600969306</v>
      </c>
      <c r="AD373" s="1">
        <v>4</v>
      </c>
      <c r="AE373" s="2">
        <v>46252</v>
      </c>
      <c r="AF373" s="2">
        <v>46260</v>
      </c>
      <c r="AG373" s="2">
        <v>46267</v>
      </c>
      <c r="AH373">
        <v>19.950000000000003</v>
      </c>
      <c r="AI373" s="3">
        <v>0.96348884381338751</v>
      </c>
      <c r="AJ373" s="1">
        <v>4</v>
      </c>
      <c r="AK373" s="2">
        <v>46267</v>
      </c>
      <c r="AL373" s="4">
        <v>30</v>
      </c>
      <c r="AM373" s="5">
        <v>15</v>
      </c>
      <c r="AN373" s="4">
        <v>4</v>
      </c>
      <c r="AO373">
        <v>20.637931034482762</v>
      </c>
      <c r="AP373" s="4">
        <v>1</v>
      </c>
      <c r="AQ373" t="s">
        <v>1619</v>
      </c>
      <c r="AR373" t="s">
        <v>1620</v>
      </c>
      <c r="AT373" s="16" t="str">
        <f>_xlfn.XLOOKUP(B373,'SWiSH Demand Forecast Sep-26'!D:D,'SWiSH Demand Forecast Sep-26'!G:G,"Not Exist")</f>
        <v>Not Exist</v>
      </c>
    </row>
    <row r="374" spans="1:46" hidden="1" x14ac:dyDescent="0.3">
      <c r="A374">
        <v>101300013</v>
      </c>
      <c r="B374" t="s">
        <v>177</v>
      </c>
      <c r="C374" t="s">
        <v>136</v>
      </c>
      <c r="D374" t="s">
        <v>1613</v>
      </c>
      <c r="E374" t="s">
        <v>2177</v>
      </c>
      <c r="F374" t="s">
        <v>1752</v>
      </c>
      <c r="G374" t="s">
        <v>1624</v>
      </c>
      <c r="H374" t="s">
        <v>1980</v>
      </c>
      <c r="I374" t="s">
        <v>1754</v>
      </c>
      <c r="J374" t="s">
        <v>2096</v>
      </c>
      <c r="K374">
        <v>1.81688425</v>
      </c>
      <c r="L374">
        <v>5178.1201124999998</v>
      </c>
      <c r="M374" s="1">
        <v>3</v>
      </c>
      <c r="N374">
        <v>0</v>
      </c>
      <c r="O374">
        <v>0</v>
      </c>
      <c r="P374">
        <v>2850</v>
      </c>
      <c r="Q374" s="1">
        <v>2850</v>
      </c>
      <c r="R374">
        <v>18.175000000000001</v>
      </c>
      <c r="S374" s="2">
        <v>46263</v>
      </c>
      <c r="T374" s="2">
        <v>46263</v>
      </c>
      <c r="U374">
        <v>12730</v>
      </c>
      <c r="V374">
        <v>13800</v>
      </c>
      <c r="W374">
        <v>15600</v>
      </c>
      <c r="X374">
        <v>17870</v>
      </c>
      <c r="Y374">
        <v>12730</v>
      </c>
      <c r="Z374" s="8">
        <v>17870</v>
      </c>
      <c r="AA374">
        <v>15000</v>
      </c>
      <c r="AB374">
        <v>0.84866666666666668</v>
      </c>
      <c r="AC374">
        <v>1.1913333333333334</v>
      </c>
      <c r="AD374" s="1">
        <v>4</v>
      </c>
      <c r="AE374" s="2">
        <v>46252</v>
      </c>
      <c r="AF374" s="2">
        <v>46260</v>
      </c>
      <c r="AG374" s="2">
        <v>46267</v>
      </c>
      <c r="AH374">
        <v>17300</v>
      </c>
      <c r="AI374" s="3">
        <v>1.0014858267564595</v>
      </c>
      <c r="AJ374" s="1">
        <v>4</v>
      </c>
      <c r="AK374" s="2">
        <v>46267</v>
      </c>
      <c r="AL374" s="4">
        <v>4</v>
      </c>
      <c r="AM374" s="5">
        <v>3</v>
      </c>
      <c r="AN374" s="4">
        <v>4</v>
      </c>
      <c r="AO374">
        <v>2386.2068965517237</v>
      </c>
      <c r="AP374" s="4">
        <v>9</v>
      </c>
      <c r="AQ374" t="s">
        <v>1619</v>
      </c>
      <c r="AR374" t="s">
        <v>1620</v>
      </c>
      <c r="AT374" s="16">
        <f>_xlfn.XLOOKUP(B374,'SWiSH Demand Forecast Sep-26'!D:D,'SWiSH Demand Forecast Sep-26'!G:G,"Not Exist")</f>
        <v>9944.0588235294108</v>
      </c>
    </row>
    <row r="375" spans="1:46" hidden="1" x14ac:dyDescent="0.3">
      <c r="A375">
        <v>103700115</v>
      </c>
      <c r="B375" t="s">
        <v>1119</v>
      </c>
      <c r="C375" t="s">
        <v>136</v>
      </c>
      <c r="D375" t="s">
        <v>1613</v>
      </c>
      <c r="E375" t="s">
        <v>1732</v>
      </c>
      <c r="F375" t="s">
        <v>1615</v>
      </c>
      <c r="G375" t="s">
        <v>1616</v>
      </c>
      <c r="H375" t="s">
        <v>1617</v>
      </c>
      <c r="I375" t="s">
        <v>1618</v>
      </c>
      <c r="J375" t="s">
        <v>136</v>
      </c>
      <c r="K375">
        <v>9.9402515699999991</v>
      </c>
      <c r="L375">
        <v>417.49056593999995</v>
      </c>
      <c r="M375" s="1">
        <v>7</v>
      </c>
      <c r="N375">
        <v>0</v>
      </c>
      <c r="O375">
        <v>0</v>
      </c>
      <c r="P375">
        <v>42</v>
      </c>
      <c r="Q375" s="1">
        <v>42</v>
      </c>
      <c r="R375">
        <v>10</v>
      </c>
      <c r="S375" s="2">
        <v>46225</v>
      </c>
      <c r="T375" s="2">
        <v>46262</v>
      </c>
      <c r="U375">
        <v>290.5</v>
      </c>
      <c r="V375">
        <v>140</v>
      </c>
      <c r="W375">
        <v>145.5</v>
      </c>
      <c r="X375">
        <v>156.5</v>
      </c>
      <c r="Y375">
        <v>140</v>
      </c>
      <c r="Z375" s="8">
        <v>290.5</v>
      </c>
      <c r="AA375">
        <v>183.125</v>
      </c>
      <c r="AB375">
        <v>0.76450511945392496</v>
      </c>
      <c r="AC375">
        <v>1.5863481228668943</v>
      </c>
      <c r="AD375" s="1">
        <v>4</v>
      </c>
      <c r="AE375" s="2">
        <v>46252</v>
      </c>
      <c r="AF375" s="2">
        <v>46260</v>
      </c>
      <c r="AG375" s="2">
        <v>46267</v>
      </c>
      <c r="AH375">
        <v>130</v>
      </c>
      <c r="AI375" s="3">
        <v>0.46293548578550653</v>
      </c>
      <c r="AJ375" s="1">
        <v>9</v>
      </c>
      <c r="AK375" s="2">
        <v>46272</v>
      </c>
      <c r="AL375" s="4">
        <v>15</v>
      </c>
      <c r="AM375" s="5">
        <v>15</v>
      </c>
      <c r="AN375" s="4">
        <v>4</v>
      </c>
      <c r="AO375">
        <v>67.241379310344826</v>
      </c>
      <c r="AP375" s="4">
        <v>2</v>
      </c>
      <c r="AQ375" t="s">
        <v>1619</v>
      </c>
      <c r="AR375" t="s">
        <v>1620</v>
      </c>
      <c r="AT375" s="16">
        <f>_xlfn.XLOOKUP(B375,'SWiSH Demand Forecast Sep-26'!D:D,'SWiSH Demand Forecast Sep-26'!G:G,"Not Exist")</f>
        <v>96.913278832515005</v>
      </c>
    </row>
    <row r="376" spans="1:46" x14ac:dyDescent="0.3">
      <c r="A376">
        <v>101600057</v>
      </c>
      <c r="B376" t="s">
        <v>2225</v>
      </c>
      <c r="C376" t="s">
        <v>10</v>
      </c>
      <c r="D376" t="s">
        <v>1613</v>
      </c>
      <c r="E376" t="s">
        <v>1685</v>
      </c>
      <c r="F376" t="s">
        <v>1631</v>
      </c>
      <c r="G376" t="s">
        <v>1624</v>
      </c>
      <c r="H376" t="s">
        <v>1768</v>
      </c>
      <c r="I376" t="s">
        <v>1634</v>
      </c>
      <c r="J376" t="s">
        <v>2226</v>
      </c>
      <c r="K376">
        <v>5.3333329999999998E-2</v>
      </c>
      <c r="L376">
        <v>223.99998599999998</v>
      </c>
      <c r="M376" s="1">
        <v>7</v>
      </c>
      <c r="N376">
        <v>0</v>
      </c>
      <c r="O376">
        <v>300</v>
      </c>
      <c r="P376">
        <v>4200</v>
      </c>
      <c r="Q376" s="1">
        <v>3900</v>
      </c>
      <c r="R376">
        <v>16</v>
      </c>
      <c r="S376" s="2">
        <v>46260</v>
      </c>
      <c r="T376" s="2">
        <v>46263</v>
      </c>
      <c r="U376">
        <v>22200</v>
      </c>
      <c r="V376">
        <v>24600</v>
      </c>
      <c r="W376">
        <v>14100</v>
      </c>
      <c r="X376">
        <v>13800</v>
      </c>
      <c r="Y376">
        <v>13800</v>
      </c>
      <c r="Z376" s="8">
        <v>24600</v>
      </c>
      <c r="AA376">
        <v>18675</v>
      </c>
      <c r="AB376">
        <v>0.73895582329317266</v>
      </c>
      <c r="AC376">
        <v>1.3172690763052208</v>
      </c>
      <c r="AD376" s="1">
        <v>4</v>
      </c>
      <c r="AE376" s="2">
        <v>46252</v>
      </c>
      <c r="AF376" s="2">
        <v>46260</v>
      </c>
      <c r="AG376" s="2">
        <v>46267</v>
      </c>
      <c r="AH376">
        <v>12600</v>
      </c>
      <c r="AI376" s="3">
        <v>0.52985702270815815</v>
      </c>
      <c r="AJ376" s="1">
        <v>8</v>
      </c>
      <c r="AK376" s="2">
        <v>46271</v>
      </c>
      <c r="AL376" s="4">
        <v>10</v>
      </c>
      <c r="AM376" s="5">
        <v>10</v>
      </c>
      <c r="AN376" s="4">
        <v>4</v>
      </c>
      <c r="AO376">
        <v>4344.8275862068967</v>
      </c>
      <c r="AP376" s="4">
        <v>3</v>
      </c>
      <c r="AQ376">
        <v>22</v>
      </c>
      <c r="AR376" t="s">
        <v>2146</v>
      </c>
      <c r="AT376" s="16" t="str">
        <f>_xlfn.XLOOKUP(B376,'SWiSH Demand Forecast Sep-26'!D:D,'SWiSH Demand Forecast Sep-26'!G:G,"Not Exist")</f>
        <v>Not Exist</v>
      </c>
    </row>
    <row r="377" spans="1:46" hidden="1" x14ac:dyDescent="0.3">
      <c r="A377">
        <v>101700017</v>
      </c>
      <c r="B377" t="s">
        <v>650</v>
      </c>
      <c r="C377" t="s">
        <v>240</v>
      </c>
      <c r="D377" t="s">
        <v>1613</v>
      </c>
      <c r="E377" t="s">
        <v>2227</v>
      </c>
      <c r="F377" t="s">
        <v>1623</v>
      </c>
      <c r="G377" t="s">
        <v>1616</v>
      </c>
      <c r="H377" t="s">
        <v>2221</v>
      </c>
      <c r="I377" t="s">
        <v>1626</v>
      </c>
      <c r="J377" t="s">
        <v>2228</v>
      </c>
      <c r="K377">
        <v>2.2850000000000001</v>
      </c>
      <c r="L377">
        <v>885.6769680000001</v>
      </c>
      <c r="M377" s="1">
        <v>7</v>
      </c>
      <c r="N377">
        <v>0</v>
      </c>
      <c r="O377">
        <v>0.4</v>
      </c>
      <c r="P377">
        <v>387.60480000000001</v>
      </c>
      <c r="Q377" s="1">
        <v>387.20480000000003</v>
      </c>
      <c r="R377">
        <v>27.384</v>
      </c>
      <c r="S377" s="2">
        <v>46263</v>
      </c>
      <c r="T377" s="2">
        <v>46263</v>
      </c>
      <c r="U377">
        <v>2392.880000000001</v>
      </c>
      <c r="V377">
        <v>2344.6000000000008</v>
      </c>
      <c r="W377">
        <v>2275.400000000001</v>
      </c>
      <c r="X377">
        <v>2274.003000000002</v>
      </c>
      <c r="Y377">
        <v>2274.003000000002</v>
      </c>
      <c r="Z377" s="8">
        <v>2392.880000000001</v>
      </c>
      <c r="AA377">
        <v>2321.7207500000013</v>
      </c>
      <c r="AB377">
        <v>0.97944724833940544</v>
      </c>
      <c r="AC377">
        <v>1.0306493578092886</v>
      </c>
      <c r="AD377" s="1">
        <v>4</v>
      </c>
      <c r="AE377" s="2">
        <v>46252</v>
      </c>
      <c r="AF377" s="2">
        <v>46260</v>
      </c>
      <c r="AG377" s="2">
        <v>46267</v>
      </c>
      <c r="AH377">
        <v>2187.6000000000017</v>
      </c>
      <c r="AI377" s="3">
        <v>0.94573672008567977</v>
      </c>
      <c r="AJ377" s="1">
        <v>5</v>
      </c>
      <c r="AK377" s="2">
        <v>46268</v>
      </c>
      <c r="AL377" s="4">
        <v>8</v>
      </c>
      <c r="AM377" s="5">
        <v>5</v>
      </c>
      <c r="AN377" s="4">
        <v>4</v>
      </c>
      <c r="AO377">
        <v>603.47586206896597</v>
      </c>
      <c r="AP377" s="4">
        <v>4</v>
      </c>
      <c r="AQ377" t="s">
        <v>1619</v>
      </c>
      <c r="AR377" t="s">
        <v>1859</v>
      </c>
      <c r="AT377" s="16">
        <f>_xlfn.XLOOKUP(B377,'SWiSH Demand Forecast Sep-26'!D:D,'SWiSH Demand Forecast Sep-26'!G:G,"Not Exist")</f>
        <v>777.78751399961004</v>
      </c>
    </row>
    <row r="378" spans="1:46" x14ac:dyDescent="0.3">
      <c r="A378">
        <v>104200060</v>
      </c>
      <c r="B378" t="s">
        <v>2229</v>
      </c>
      <c r="C378" t="s">
        <v>136</v>
      </c>
      <c r="D378" t="s">
        <v>1613</v>
      </c>
      <c r="E378" t="s">
        <v>2230</v>
      </c>
      <c r="F378" t="s">
        <v>1631</v>
      </c>
      <c r="G378" t="s">
        <v>1624</v>
      </c>
      <c r="H378" t="s">
        <v>1633</v>
      </c>
      <c r="I378" t="s">
        <v>1634</v>
      </c>
      <c r="J378" t="s">
        <v>136</v>
      </c>
      <c r="K378">
        <v>0.52500000000000002</v>
      </c>
      <c r="L378">
        <v>84</v>
      </c>
      <c r="M378" s="1">
        <v>3</v>
      </c>
      <c r="N378">
        <v>0</v>
      </c>
      <c r="O378">
        <v>0</v>
      </c>
      <c r="P378">
        <v>160</v>
      </c>
      <c r="Q378" s="1">
        <v>160</v>
      </c>
      <c r="R378">
        <v>0.6</v>
      </c>
      <c r="S378" s="2">
        <v>46242</v>
      </c>
      <c r="T378" s="2">
        <v>46263</v>
      </c>
      <c r="U378">
        <v>140</v>
      </c>
      <c r="V378">
        <v>279</v>
      </c>
      <c r="W378">
        <v>0</v>
      </c>
      <c r="X378">
        <v>1125</v>
      </c>
      <c r="Y378">
        <v>0</v>
      </c>
      <c r="Z378" s="8">
        <v>1125</v>
      </c>
      <c r="AA378">
        <v>386</v>
      </c>
      <c r="AB378">
        <v>0</v>
      </c>
      <c r="AC378">
        <v>2.9145077720207255</v>
      </c>
      <c r="AD378" s="1">
        <v>4</v>
      </c>
      <c r="AE378" s="2">
        <v>46252</v>
      </c>
      <c r="AF378" s="2">
        <v>46260</v>
      </c>
      <c r="AG378" s="2">
        <v>46267</v>
      </c>
      <c r="AH378">
        <v>840</v>
      </c>
      <c r="AI378" s="3">
        <v>0.77241379310344827</v>
      </c>
      <c r="AJ378" s="1">
        <v>5</v>
      </c>
      <c r="AK378" s="2">
        <v>46268</v>
      </c>
      <c r="AL378" s="4">
        <v>30</v>
      </c>
      <c r="AM378" s="5">
        <v>15</v>
      </c>
      <c r="AN378" s="4">
        <v>4</v>
      </c>
      <c r="AO378">
        <v>868.9655172413793</v>
      </c>
      <c r="AP378" s="4">
        <v>1</v>
      </c>
      <c r="AQ378">
        <v>400</v>
      </c>
      <c r="AR378" t="s">
        <v>2146</v>
      </c>
      <c r="AT378" s="16" t="str">
        <f>_xlfn.XLOOKUP(B378,'SWiSH Demand Forecast Sep-26'!D:D,'SWiSH Demand Forecast Sep-26'!G:G,"Not Exist")</f>
        <v>Not Exist</v>
      </c>
    </row>
    <row r="379" spans="1:46" hidden="1" x14ac:dyDescent="0.3">
      <c r="A379">
        <v>105300050</v>
      </c>
      <c r="B379" t="s">
        <v>74</v>
      </c>
      <c r="C379" t="s">
        <v>10</v>
      </c>
      <c r="D379" t="s">
        <v>1613</v>
      </c>
      <c r="E379" t="s">
        <v>1701</v>
      </c>
      <c r="F379" t="s">
        <v>1664</v>
      </c>
      <c r="G379" t="s">
        <v>1624</v>
      </c>
      <c r="H379" t="s">
        <v>1978</v>
      </c>
      <c r="I379" t="s">
        <v>1634</v>
      </c>
      <c r="J379" t="s">
        <v>10</v>
      </c>
      <c r="K379">
        <v>4.8000000000000001E-2</v>
      </c>
      <c r="L379">
        <v>360</v>
      </c>
      <c r="M379" s="1">
        <v>30</v>
      </c>
      <c r="N379">
        <v>0</v>
      </c>
      <c r="O379">
        <v>1500</v>
      </c>
      <c r="P379">
        <v>7500</v>
      </c>
      <c r="Q379" s="1">
        <v>6000</v>
      </c>
      <c r="R379">
        <v>7.2</v>
      </c>
      <c r="S379" s="2">
        <v>46253</v>
      </c>
      <c r="T379" s="2">
        <v>46263</v>
      </c>
      <c r="U379">
        <v>40500</v>
      </c>
      <c r="V379">
        <v>43200</v>
      </c>
      <c r="W379">
        <v>30900</v>
      </c>
      <c r="X379">
        <v>36900</v>
      </c>
      <c r="Y379">
        <v>30900</v>
      </c>
      <c r="Z379" s="8">
        <v>43200</v>
      </c>
      <c r="AA379">
        <v>37875</v>
      </c>
      <c r="AB379">
        <v>0.81584158415841579</v>
      </c>
      <c r="AC379">
        <v>1.1405940594059405</v>
      </c>
      <c r="AD379" s="1">
        <v>4</v>
      </c>
      <c r="AE379" s="2">
        <v>46252</v>
      </c>
      <c r="AF379" s="2">
        <v>46260</v>
      </c>
      <c r="AG379" s="2">
        <v>46267</v>
      </c>
      <c r="AH379">
        <v>32400</v>
      </c>
      <c r="AI379" s="3">
        <v>0.77586206896551735</v>
      </c>
      <c r="AJ379" s="1">
        <v>5</v>
      </c>
      <c r="AK379" s="2">
        <v>46268</v>
      </c>
      <c r="AL379" s="4">
        <v>15</v>
      </c>
      <c r="AM379" s="5">
        <v>15</v>
      </c>
      <c r="AN379" s="4">
        <v>4</v>
      </c>
      <c r="AO379">
        <v>16758.620689655174</v>
      </c>
      <c r="AP379" s="4">
        <v>2</v>
      </c>
      <c r="AQ379">
        <v>172</v>
      </c>
      <c r="AR379" t="s">
        <v>2146</v>
      </c>
      <c r="AT379" s="16">
        <f>_xlfn.XLOOKUP(B379,'SWiSH Demand Forecast Sep-26'!D:D,'SWiSH Demand Forecast Sep-26'!G:G,"Not Exist")</f>
        <v>30117</v>
      </c>
    </row>
    <row r="380" spans="1:46" x14ac:dyDescent="0.3">
      <c r="A380">
        <v>104200008</v>
      </c>
      <c r="B380" t="s">
        <v>2231</v>
      </c>
      <c r="C380" t="s">
        <v>10</v>
      </c>
      <c r="D380" t="s">
        <v>1613</v>
      </c>
      <c r="E380" t="s">
        <v>2232</v>
      </c>
      <c r="F380" t="s">
        <v>1631</v>
      </c>
      <c r="G380" t="s">
        <v>1624</v>
      </c>
      <c r="H380" t="s">
        <v>1633</v>
      </c>
      <c r="I380" t="s">
        <v>1634</v>
      </c>
      <c r="J380" t="s">
        <v>2233</v>
      </c>
      <c r="K380">
        <v>3.9500000000000004E-3</v>
      </c>
      <c r="L380">
        <v>28.44</v>
      </c>
      <c r="M380" s="1">
        <v>3</v>
      </c>
      <c r="N380">
        <v>0</v>
      </c>
      <c r="O380">
        <v>2000</v>
      </c>
      <c r="P380">
        <v>7200</v>
      </c>
      <c r="Q380" s="1">
        <v>5200</v>
      </c>
      <c r="R380">
        <v>7.9</v>
      </c>
      <c r="S380" s="2">
        <v>46216</v>
      </c>
      <c r="T380" s="2">
        <v>46263</v>
      </c>
      <c r="U380">
        <v>32800</v>
      </c>
      <c r="V380">
        <v>26600</v>
      </c>
      <c r="W380">
        <v>28300</v>
      </c>
      <c r="X380">
        <v>19100</v>
      </c>
      <c r="Y380">
        <v>19100</v>
      </c>
      <c r="Z380" s="8">
        <v>32800</v>
      </c>
      <c r="AA380">
        <v>26700</v>
      </c>
      <c r="AB380">
        <v>0.71535580524344566</v>
      </c>
      <c r="AC380">
        <v>1.2284644194756553</v>
      </c>
      <c r="AD380" s="1">
        <v>4</v>
      </c>
      <c r="AE380" s="2">
        <v>46252</v>
      </c>
      <c r="AF380" s="2">
        <v>46260</v>
      </c>
      <c r="AG380" s="2">
        <v>46267</v>
      </c>
      <c r="AH380">
        <v>22500</v>
      </c>
      <c r="AI380" s="3">
        <v>0.70962994112699751</v>
      </c>
      <c r="AJ380" s="1">
        <v>6</v>
      </c>
      <c r="AK380" s="2">
        <v>46269</v>
      </c>
      <c r="AL380" s="4">
        <v>30</v>
      </c>
      <c r="AM380" s="5">
        <v>15</v>
      </c>
      <c r="AN380" s="4">
        <v>4</v>
      </c>
      <c r="AO380">
        <v>23275.862068965518</v>
      </c>
      <c r="AP380" s="4">
        <v>1</v>
      </c>
      <c r="AQ380" t="s">
        <v>1619</v>
      </c>
      <c r="AR380" t="s">
        <v>1620</v>
      </c>
      <c r="AT380" s="16" t="str">
        <f>_xlfn.XLOOKUP(B380,'SWiSH Demand Forecast Sep-26'!D:D,'SWiSH Demand Forecast Sep-26'!G:G,"Not Exist")</f>
        <v>Not Exist</v>
      </c>
    </row>
    <row r="381" spans="1:46" x14ac:dyDescent="0.3">
      <c r="A381">
        <v>104800011</v>
      </c>
      <c r="B381" t="s">
        <v>2234</v>
      </c>
      <c r="C381" t="s">
        <v>10</v>
      </c>
      <c r="D381" t="s">
        <v>1613</v>
      </c>
      <c r="E381" t="s">
        <v>2235</v>
      </c>
      <c r="F381" t="s">
        <v>1639</v>
      </c>
      <c r="G381" t="s">
        <v>1616</v>
      </c>
      <c r="H381" t="s">
        <v>1687</v>
      </c>
      <c r="I381" t="s">
        <v>1618</v>
      </c>
      <c r="J381" t="s">
        <v>2236</v>
      </c>
      <c r="K381">
        <v>3.0015839999999998E-2</v>
      </c>
      <c r="L381">
        <v>64.113834240000003</v>
      </c>
      <c r="M381" s="1">
        <v>3</v>
      </c>
      <c r="N381">
        <v>0</v>
      </c>
      <c r="O381">
        <v>0</v>
      </c>
      <c r="P381">
        <v>2136</v>
      </c>
      <c r="Q381" s="1">
        <v>2136</v>
      </c>
      <c r="R381">
        <v>0.625</v>
      </c>
      <c r="S381" s="2">
        <v>46223</v>
      </c>
      <c r="T381" s="2">
        <v>46263</v>
      </c>
      <c r="U381">
        <v>14480</v>
      </c>
      <c r="V381">
        <v>13544</v>
      </c>
      <c r="W381">
        <v>14279.992</v>
      </c>
      <c r="X381">
        <v>15580.008</v>
      </c>
      <c r="Y381">
        <v>13544</v>
      </c>
      <c r="Z381" s="8">
        <v>15580.008</v>
      </c>
      <c r="AA381">
        <v>14471</v>
      </c>
      <c r="AB381">
        <v>0.93594084721166471</v>
      </c>
      <c r="AC381">
        <v>1.0766365835118512</v>
      </c>
      <c r="AD381" s="1">
        <v>4</v>
      </c>
      <c r="AE381" s="2">
        <v>46252</v>
      </c>
      <c r="AF381" s="2">
        <v>46260</v>
      </c>
      <c r="AG381" s="2">
        <v>46267</v>
      </c>
      <c r="AH381">
        <v>14376</v>
      </c>
      <c r="AI381" s="3">
        <v>0.95453892821691966</v>
      </c>
      <c r="AJ381" s="1">
        <v>4</v>
      </c>
      <c r="AK381" s="2">
        <v>46267</v>
      </c>
      <c r="AL381" s="4">
        <v>10</v>
      </c>
      <c r="AM381" s="5">
        <v>10</v>
      </c>
      <c r="AN381" s="4">
        <v>4</v>
      </c>
      <c r="AO381">
        <v>4957.2413793103451</v>
      </c>
      <c r="AP381" s="4">
        <v>3</v>
      </c>
      <c r="AQ381" t="s">
        <v>1619</v>
      </c>
      <c r="AR381" t="s">
        <v>1782</v>
      </c>
      <c r="AT381" s="16" t="str">
        <f>_xlfn.XLOOKUP(B381,'SWiSH Demand Forecast Sep-26'!D:D,'SWiSH Demand Forecast Sep-26'!G:G,"Not Exist")</f>
        <v>Not Exist</v>
      </c>
    </row>
    <row r="382" spans="1:46" hidden="1" x14ac:dyDescent="0.3">
      <c r="A382">
        <v>100400245</v>
      </c>
      <c r="B382" t="s">
        <v>147</v>
      </c>
      <c r="C382" t="s">
        <v>10</v>
      </c>
      <c r="D382" t="s">
        <v>1613</v>
      </c>
      <c r="E382" t="s">
        <v>1638</v>
      </c>
      <c r="F382" t="s">
        <v>1664</v>
      </c>
      <c r="G382" t="s">
        <v>1624</v>
      </c>
      <c r="H382" t="s">
        <v>1810</v>
      </c>
      <c r="I382" t="s">
        <v>1634</v>
      </c>
      <c r="J382" t="s">
        <v>10</v>
      </c>
      <c r="K382">
        <v>0.02</v>
      </c>
      <c r="L382">
        <v>40</v>
      </c>
      <c r="M382" s="1">
        <v>15</v>
      </c>
      <c r="N382">
        <v>0</v>
      </c>
      <c r="O382">
        <v>0</v>
      </c>
      <c r="P382">
        <v>2000</v>
      </c>
      <c r="Q382" s="1">
        <v>2000</v>
      </c>
      <c r="R382">
        <v>0.02</v>
      </c>
      <c r="S382" s="2">
        <v>46208</v>
      </c>
      <c r="T382" s="2">
        <v>46261</v>
      </c>
      <c r="U382">
        <v>10200</v>
      </c>
      <c r="V382">
        <v>14000</v>
      </c>
      <c r="W382">
        <v>6000</v>
      </c>
      <c r="X382">
        <v>5000</v>
      </c>
      <c r="Y382">
        <v>5000</v>
      </c>
      <c r="Z382" s="8">
        <v>14000</v>
      </c>
      <c r="AA382">
        <v>8800</v>
      </c>
      <c r="AB382">
        <v>0.56818181818181823</v>
      </c>
      <c r="AC382">
        <v>1.5909090909090908</v>
      </c>
      <c r="AD382" s="1">
        <v>4</v>
      </c>
      <c r="AE382" s="2">
        <v>46252</v>
      </c>
      <c r="AF382" s="2">
        <v>46260</v>
      </c>
      <c r="AG382" s="2">
        <v>46267</v>
      </c>
      <c r="AH382">
        <v>23000</v>
      </c>
      <c r="AI382" s="3">
        <v>1.6995073891625616</v>
      </c>
      <c r="AJ382" s="1">
        <v>2</v>
      </c>
      <c r="AK382" s="2">
        <v>46265</v>
      </c>
      <c r="AL382" s="4">
        <v>30</v>
      </c>
      <c r="AM382" s="5">
        <v>15</v>
      </c>
      <c r="AN382" s="4">
        <v>2</v>
      </c>
      <c r="AO382">
        <v>23793.103448275862</v>
      </c>
      <c r="AP382" s="4">
        <v>1</v>
      </c>
      <c r="AQ382">
        <v>15000</v>
      </c>
      <c r="AR382" t="s">
        <v>2076</v>
      </c>
      <c r="AS382" t="s">
        <v>1666</v>
      </c>
      <c r="AT382" s="16">
        <f>_xlfn.XLOOKUP(B382,'SWiSH Demand Forecast Sep-26'!D:D,'SWiSH Demand Forecast Sep-26'!G:G,"Not Exist")</f>
        <v>12740</v>
      </c>
    </row>
    <row r="383" spans="1:46" hidden="1" x14ac:dyDescent="0.3">
      <c r="A383">
        <v>101700000</v>
      </c>
      <c r="B383" t="s">
        <v>816</v>
      </c>
      <c r="C383" t="s">
        <v>240</v>
      </c>
      <c r="D383" t="s">
        <v>1613</v>
      </c>
      <c r="E383" t="s">
        <v>1832</v>
      </c>
      <c r="F383" t="s">
        <v>1833</v>
      </c>
      <c r="G383" t="s">
        <v>1616</v>
      </c>
      <c r="H383" t="s">
        <v>2221</v>
      </c>
      <c r="I383" t="s">
        <v>1626</v>
      </c>
      <c r="J383" t="s">
        <v>2237</v>
      </c>
      <c r="K383">
        <v>1.5833333300000001</v>
      </c>
      <c r="L383">
        <v>405.33333248000002</v>
      </c>
      <c r="M383" s="1">
        <v>3</v>
      </c>
      <c r="N383">
        <v>0</v>
      </c>
      <c r="O383">
        <v>0</v>
      </c>
      <c r="P383">
        <v>256</v>
      </c>
      <c r="Q383" s="1">
        <v>256</v>
      </c>
      <c r="R383">
        <v>7.8330000000000002</v>
      </c>
      <c r="S383" s="2">
        <v>46254</v>
      </c>
      <c r="T383" s="2">
        <v>46263</v>
      </c>
      <c r="U383">
        <v>1415</v>
      </c>
      <c r="V383">
        <v>1006</v>
      </c>
      <c r="W383">
        <v>1069</v>
      </c>
      <c r="X383">
        <v>1669</v>
      </c>
      <c r="Y383">
        <v>1006</v>
      </c>
      <c r="Z383" s="8">
        <v>1669</v>
      </c>
      <c r="AA383">
        <v>1289.75</v>
      </c>
      <c r="AB383">
        <v>0.77999612327970536</v>
      </c>
      <c r="AC383">
        <v>1.2940492343477419</v>
      </c>
      <c r="AD383" s="1">
        <v>4</v>
      </c>
      <c r="AE383" s="2">
        <v>46252</v>
      </c>
      <c r="AF383" s="2">
        <v>46260</v>
      </c>
      <c r="AG383" s="2">
        <v>46267</v>
      </c>
      <c r="AH383">
        <v>829</v>
      </c>
      <c r="AI383" s="3">
        <v>0.51383235883556122</v>
      </c>
      <c r="AJ383" s="1">
        <v>8</v>
      </c>
      <c r="AK383" s="2">
        <v>46271</v>
      </c>
      <c r="AL383" s="4">
        <v>15</v>
      </c>
      <c r="AM383" s="5">
        <v>15</v>
      </c>
      <c r="AN383" s="4">
        <v>4</v>
      </c>
      <c r="AO383">
        <v>428.79310344827582</v>
      </c>
      <c r="AP383" s="4">
        <v>2</v>
      </c>
      <c r="AQ383" t="s">
        <v>1619</v>
      </c>
      <c r="AR383" t="s">
        <v>1620</v>
      </c>
      <c r="AT383" s="16">
        <f>_xlfn.XLOOKUP(B383,'SWiSH Demand Forecast Sep-26'!D:D,'SWiSH Demand Forecast Sep-26'!G:G,"Not Exist")</f>
        <v>373.55827199999999</v>
      </c>
    </row>
    <row r="384" spans="1:46" x14ac:dyDescent="0.3">
      <c r="A384">
        <v>107200013</v>
      </c>
      <c r="B384" t="s">
        <v>2238</v>
      </c>
      <c r="C384" t="s">
        <v>10</v>
      </c>
      <c r="D384" t="s">
        <v>1613</v>
      </c>
      <c r="E384" t="s">
        <v>2239</v>
      </c>
      <c r="F384" t="s">
        <v>1631</v>
      </c>
      <c r="G384" t="s">
        <v>1624</v>
      </c>
      <c r="H384" t="s">
        <v>1657</v>
      </c>
      <c r="I384" t="s">
        <v>1634</v>
      </c>
      <c r="J384" t="s">
        <v>10</v>
      </c>
      <c r="K384">
        <v>0.47916667000000002</v>
      </c>
      <c r="L384">
        <v>109.25000076000001</v>
      </c>
      <c r="M384" s="1">
        <v>15</v>
      </c>
      <c r="N384">
        <v>0</v>
      </c>
      <c r="O384">
        <v>36</v>
      </c>
      <c r="P384">
        <v>228</v>
      </c>
      <c r="Q384" s="1">
        <v>192</v>
      </c>
      <c r="R384">
        <v>5.75</v>
      </c>
      <c r="S384" s="2">
        <v>46259</v>
      </c>
      <c r="T384" s="2">
        <v>46263</v>
      </c>
      <c r="U384">
        <v>1020</v>
      </c>
      <c r="V384">
        <v>696</v>
      </c>
      <c r="W384">
        <v>1434</v>
      </c>
      <c r="X384">
        <v>1128</v>
      </c>
      <c r="Y384">
        <v>696</v>
      </c>
      <c r="Z384" s="8">
        <v>1434</v>
      </c>
      <c r="AA384">
        <v>1069.5</v>
      </c>
      <c r="AB384">
        <v>0.65077138849929872</v>
      </c>
      <c r="AC384">
        <v>1.3408134642356242</v>
      </c>
      <c r="AD384" s="1">
        <v>4</v>
      </c>
      <c r="AE384" s="2">
        <v>46252</v>
      </c>
      <c r="AF384" s="2">
        <v>46260</v>
      </c>
      <c r="AG384" s="2">
        <v>46267</v>
      </c>
      <c r="AH384">
        <v>1284</v>
      </c>
      <c r="AI384" s="3">
        <v>0.92627326504111962</v>
      </c>
      <c r="AJ384" s="1">
        <v>4</v>
      </c>
      <c r="AK384" s="2">
        <v>46267</v>
      </c>
      <c r="AL384" s="4">
        <v>30</v>
      </c>
      <c r="AM384" s="5">
        <v>15</v>
      </c>
      <c r="AN384" s="4">
        <v>4</v>
      </c>
      <c r="AO384">
        <v>1328.2758620689656</v>
      </c>
      <c r="AP384" s="4">
        <v>1</v>
      </c>
      <c r="AQ384">
        <v>60</v>
      </c>
      <c r="AR384" t="s">
        <v>1702</v>
      </c>
      <c r="AT384" s="16" t="str">
        <f>_xlfn.XLOOKUP(B384,'SWiSH Demand Forecast Sep-26'!D:D,'SWiSH Demand Forecast Sep-26'!G:G,"Not Exist")</f>
        <v>Not Exist</v>
      </c>
    </row>
    <row r="385" spans="1:46" x14ac:dyDescent="0.3">
      <c r="A385">
        <v>106100004</v>
      </c>
      <c r="B385" t="s">
        <v>2240</v>
      </c>
      <c r="C385" t="s">
        <v>10</v>
      </c>
      <c r="D385" t="s">
        <v>1613</v>
      </c>
      <c r="E385" t="s">
        <v>2241</v>
      </c>
      <c r="F385" t="s">
        <v>1650</v>
      </c>
      <c r="G385" t="s">
        <v>1624</v>
      </c>
      <c r="H385" t="s">
        <v>2242</v>
      </c>
      <c r="I385" t="s">
        <v>1634</v>
      </c>
      <c r="J385" t="s">
        <v>10</v>
      </c>
      <c r="K385">
        <v>0.24</v>
      </c>
      <c r="L385">
        <v>382.8</v>
      </c>
      <c r="M385" s="1">
        <v>3</v>
      </c>
      <c r="N385">
        <v>0</v>
      </c>
      <c r="O385">
        <v>85</v>
      </c>
      <c r="P385">
        <v>1595</v>
      </c>
      <c r="Q385" s="1">
        <v>1510</v>
      </c>
      <c r="R385">
        <v>12</v>
      </c>
      <c r="S385" s="2">
        <v>46258</v>
      </c>
      <c r="T385" s="2">
        <v>46263</v>
      </c>
      <c r="U385">
        <v>8825</v>
      </c>
      <c r="V385">
        <v>9450</v>
      </c>
      <c r="W385">
        <v>8960</v>
      </c>
      <c r="X385">
        <v>9865</v>
      </c>
      <c r="Y385">
        <v>8825</v>
      </c>
      <c r="Z385" s="8">
        <v>9865</v>
      </c>
      <c r="AA385">
        <v>9275</v>
      </c>
      <c r="AB385">
        <v>0.95148247978436662</v>
      </c>
      <c r="AC385">
        <v>1.0636118598382749</v>
      </c>
      <c r="AD385" s="1">
        <v>4</v>
      </c>
      <c r="AE385" s="2">
        <v>46252</v>
      </c>
      <c r="AF385" s="2">
        <v>46260</v>
      </c>
      <c r="AG385" s="2">
        <v>46267</v>
      </c>
      <c r="AH385">
        <v>8000</v>
      </c>
      <c r="AI385" s="3">
        <v>0.83891151231277405</v>
      </c>
      <c r="AJ385" s="1">
        <v>5</v>
      </c>
      <c r="AK385" s="2">
        <v>46268</v>
      </c>
      <c r="AL385" s="4">
        <v>15</v>
      </c>
      <c r="AM385" s="5">
        <v>15</v>
      </c>
      <c r="AN385" s="4">
        <v>4</v>
      </c>
      <c r="AO385">
        <v>4137.9310344827582</v>
      </c>
      <c r="AP385" s="4">
        <v>2</v>
      </c>
      <c r="AQ385" t="s">
        <v>1619</v>
      </c>
      <c r="AR385" t="s">
        <v>2243</v>
      </c>
      <c r="AT385" s="16" t="str">
        <f>_xlfn.XLOOKUP(B385,'SWiSH Demand Forecast Sep-26'!D:D,'SWiSH Demand Forecast Sep-26'!G:G,"Not Exist")</f>
        <v>Not Exist</v>
      </c>
    </row>
    <row r="386" spans="1:46" x14ac:dyDescent="0.3">
      <c r="A386">
        <v>106600097</v>
      </c>
      <c r="B386" t="s">
        <v>2244</v>
      </c>
      <c r="C386" t="s">
        <v>10</v>
      </c>
      <c r="D386" t="s">
        <v>1613</v>
      </c>
      <c r="E386" t="s">
        <v>1663</v>
      </c>
      <c r="F386" t="s">
        <v>1664</v>
      </c>
      <c r="G386" t="s">
        <v>1624</v>
      </c>
      <c r="H386" t="s">
        <v>1723</v>
      </c>
      <c r="I386" t="s">
        <v>1634</v>
      </c>
      <c r="J386" t="s">
        <v>10</v>
      </c>
      <c r="K386">
        <v>5.2065999999999996E-3</v>
      </c>
      <c r="L386">
        <v>26.032999999999998</v>
      </c>
      <c r="M386" s="1">
        <v>15</v>
      </c>
      <c r="N386">
        <v>0</v>
      </c>
      <c r="O386">
        <v>0</v>
      </c>
      <c r="P386">
        <v>5000</v>
      </c>
      <c r="Q386" s="1">
        <v>5000</v>
      </c>
      <c r="R386">
        <v>5.4000000000000003E-3</v>
      </c>
      <c r="S386" s="2">
        <v>46213</v>
      </c>
      <c r="T386" s="2">
        <v>46262</v>
      </c>
      <c r="U386">
        <v>34700</v>
      </c>
      <c r="V386">
        <v>30000</v>
      </c>
      <c r="W386">
        <v>20000</v>
      </c>
      <c r="X386">
        <v>35000</v>
      </c>
      <c r="Y386">
        <v>20000</v>
      </c>
      <c r="Z386" s="8">
        <v>35000</v>
      </c>
      <c r="AA386">
        <v>29925</v>
      </c>
      <c r="AB386">
        <v>0.66833751044277356</v>
      </c>
      <c r="AC386">
        <v>1.1695906432748537</v>
      </c>
      <c r="AD386" s="1">
        <v>4</v>
      </c>
      <c r="AE386" s="2">
        <v>46252</v>
      </c>
      <c r="AF386" s="2">
        <v>46260</v>
      </c>
      <c r="AG386" s="2">
        <v>46267</v>
      </c>
      <c r="AH386">
        <v>50700</v>
      </c>
      <c r="AI386" s="3">
        <v>1.4985221674876847</v>
      </c>
      <c r="AJ386" s="1">
        <v>2</v>
      </c>
      <c r="AK386" s="2">
        <v>46265</v>
      </c>
      <c r="AL386" s="4">
        <v>30</v>
      </c>
      <c r="AM386" s="5">
        <v>15</v>
      </c>
      <c r="AN386" s="4">
        <v>2</v>
      </c>
      <c r="AO386">
        <v>52448.275862068964</v>
      </c>
      <c r="AP386" s="4">
        <v>1</v>
      </c>
      <c r="AQ386">
        <v>429300</v>
      </c>
      <c r="AR386" t="s">
        <v>2034</v>
      </c>
      <c r="AT386" s="16" t="str">
        <f>_xlfn.XLOOKUP(B386,'SWiSH Demand Forecast Sep-26'!D:D,'SWiSH Demand Forecast Sep-26'!G:G,"Not Exist")</f>
        <v>Not Exist</v>
      </c>
    </row>
    <row r="387" spans="1:46" hidden="1" x14ac:dyDescent="0.3">
      <c r="A387">
        <v>101300012</v>
      </c>
      <c r="B387" t="s">
        <v>463</v>
      </c>
      <c r="C387" t="s">
        <v>136</v>
      </c>
      <c r="D387" t="s">
        <v>1613</v>
      </c>
      <c r="E387" t="s">
        <v>1638</v>
      </c>
      <c r="F387" t="s">
        <v>1752</v>
      </c>
      <c r="G387" t="s">
        <v>1616</v>
      </c>
      <c r="H387" t="s">
        <v>1980</v>
      </c>
      <c r="I387" t="s">
        <v>1754</v>
      </c>
      <c r="J387" t="s">
        <v>136</v>
      </c>
      <c r="K387">
        <v>1.3134999999999999</v>
      </c>
      <c r="L387">
        <v>630.4799999999999</v>
      </c>
      <c r="M387" s="1">
        <v>3</v>
      </c>
      <c r="N387">
        <v>0</v>
      </c>
      <c r="O387">
        <v>140</v>
      </c>
      <c r="P387">
        <v>480</v>
      </c>
      <c r="Q387" s="1">
        <v>340</v>
      </c>
      <c r="R387">
        <v>13.135</v>
      </c>
      <c r="S387" s="2">
        <v>46254</v>
      </c>
      <c r="T387" s="2">
        <v>46263</v>
      </c>
      <c r="U387">
        <v>190</v>
      </c>
      <c r="V387">
        <v>2090</v>
      </c>
      <c r="W387">
        <v>680</v>
      </c>
      <c r="X387">
        <v>2240</v>
      </c>
      <c r="Y387">
        <v>190</v>
      </c>
      <c r="Z387" s="8">
        <v>2240</v>
      </c>
      <c r="AA387">
        <v>1300</v>
      </c>
      <c r="AB387">
        <v>0.14615384615384616</v>
      </c>
      <c r="AC387">
        <v>1.7230769230769232</v>
      </c>
      <c r="AD387" s="1">
        <v>4</v>
      </c>
      <c r="AE387" s="2">
        <v>46252</v>
      </c>
      <c r="AF387" s="2">
        <v>46260</v>
      </c>
      <c r="AG387" s="2">
        <v>46267</v>
      </c>
      <c r="AH387">
        <v>2790</v>
      </c>
      <c r="AI387" s="3">
        <v>1.2884852216748768</v>
      </c>
      <c r="AJ387" s="1">
        <v>3</v>
      </c>
      <c r="AK387" s="2">
        <v>46266</v>
      </c>
      <c r="AL387" s="4">
        <v>30</v>
      </c>
      <c r="AM387" s="5">
        <v>15</v>
      </c>
      <c r="AN387" s="4">
        <v>3</v>
      </c>
      <c r="AO387">
        <v>2886.2068965517242</v>
      </c>
      <c r="AP387" s="4">
        <v>1</v>
      </c>
      <c r="AQ387" t="s">
        <v>1619</v>
      </c>
      <c r="AR387" t="s">
        <v>1620</v>
      </c>
      <c r="AS387" t="s">
        <v>1666</v>
      </c>
      <c r="AT387" s="16">
        <f>_xlfn.XLOOKUP(B387,'SWiSH Demand Forecast Sep-26'!D:D,'SWiSH Demand Forecast Sep-26'!G:G,"Not Exist")</f>
        <v>1911</v>
      </c>
    </row>
    <row r="388" spans="1:46" x14ac:dyDescent="0.3">
      <c r="A388">
        <v>104200012</v>
      </c>
      <c r="B388" t="s">
        <v>2245</v>
      </c>
      <c r="C388" t="s">
        <v>10</v>
      </c>
      <c r="D388" t="s">
        <v>1613</v>
      </c>
      <c r="E388" t="s">
        <v>2246</v>
      </c>
      <c r="F388" t="s">
        <v>1631</v>
      </c>
      <c r="G388" t="s">
        <v>1624</v>
      </c>
      <c r="H388" t="s">
        <v>1633</v>
      </c>
      <c r="I388" t="s">
        <v>1634</v>
      </c>
      <c r="J388" t="s">
        <v>10</v>
      </c>
      <c r="K388">
        <v>2.9655935599999999</v>
      </c>
      <c r="L388">
        <v>249.10985903999998</v>
      </c>
      <c r="M388" s="1">
        <v>3</v>
      </c>
      <c r="N388">
        <v>0</v>
      </c>
      <c r="O388">
        <v>7</v>
      </c>
      <c r="P388">
        <v>84</v>
      </c>
      <c r="Q388" s="1">
        <v>77</v>
      </c>
      <c r="R388">
        <v>3.25</v>
      </c>
      <c r="S388" s="2">
        <v>46225</v>
      </c>
      <c r="T388" s="2">
        <v>46263</v>
      </c>
      <c r="U388">
        <v>370</v>
      </c>
      <c r="V388">
        <v>402</v>
      </c>
      <c r="W388">
        <v>458</v>
      </c>
      <c r="X388">
        <v>424</v>
      </c>
      <c r="Y388">
        <v>370</v>
      </c>
      <c r="Z388" s="8">
        <v>458</v>
      </c>
      <c r="AA388">
        <v>413.5</v>
      </c>
      <c r="AB388">
        <v>0.89480048367593712</v>
      </c>
      <c r="AC388">
        <v>1.1076178960096734</v>
      </c>
      <c r="AD388" s="1">
        <v>5</v>
      </c>
      <c r="AE388" s="2">
        <v>46253</v>
      </c>
      <c r="AF388" s="2">
        <v>46261</v>
      </c>
      <c r="AG388" s="2">
        <v>46268</v>
      </c>
      <c r="AH388">
        <v>402</v>
      </c>
      <c r="AI388" s="3">
        <v>0.90799578376750478</v>
      </c>
      <c r="AJ388" s="1">
        <v>5</v>
      </c>
      <c r="AK388" s="2">
        <v>46268</v>
      </c>
      <c r="AL388" s="4">
        <v>30</v>
      </c>
      <c r="AM388" s="5">
        <v>15</v>
      </c>
      <c r="AN388" s="4">
        <v>5</v>
      </c>
      <c r="AO388">
        <v>415.86206896551721</v>
      </c>
      <c r="AP388" s="4">
        <v>1</v>
      </c>
      <c r="AQ388" t="s">
        <v>1619</v>
      </c>
      <c r="AR388" t="s">
        <v>2178</v>
      </c>
      <c r="AT388" s="16" t="str">
        <f>_xlfn.XLOOKUP(B388,'SWiSH Demand Forecast Sep-26'!D:D,'SWiSH Demand Forecast Sep-26'!G:G,"Not Exist")</f>
        <v>Not Exist</v>
      </c>
    </row>
    <row r="389" spans="1:46" x14ac:dyDescent="0.3">
      <c r="A389">
        <v>104200035</v>
      </c>
      <c r="B389" t="s">
        <v>2247</v>
      </c>
      <c r="C389" t="s">
        <v>10</v>
      </c>
      <c r="D389" t="s">
        <v>1613</v>
      </c>
      <c r="E389" t="s">
        <v>2248</v>
      </c>
      <c r="F389" t="s">
        <v>1631</v>
      </c>
      <c r="G389" t="s">
        <v>1624</v>
      </c>
      <c r="H389" t="s">
        <v>1633</v>
      </c>
      <c r="I389" t="s">
        <v>1634</v>
      </c>
      <c r="J389" t="s">
        <v>2145</v>
      </c>
      <c r="K389">
        <v>5.2499900000000004E-3</v>
      </c>
      <c r="L389">
        <v>1543.4970600000001</v>
      </c>
      <c r="M389" s="1">
        <v>3</v>
      </c>
      <c r="N389">
        <v>0</v>
      </c>
      <c r="O389">
        <v>18000</v>
      </c>
      <c r="P389">
        <v>294000</v>
      </c>
      <c r="Q389" s="1">
        <v>276000</v>
      </c>
      <c r="R389">
        <v>5.25</v>
      </c>
      <c r="S389" s="2">
        <v>46261</v>
      </c>
      <c r="T389" s="2">
        <v>46263</v>
      </c>
      <c r="U389">
        <v>1471500</v>
      </c>
      <c r="V389">
        <v>1314000</v>
      </c>
      <c r="W389">
        <v>920500</v>
      </c>
      <c r="X389">
        <v>1303300</v>
      </c>
      <c r="Y389">
        <v>920500</v>
      </c>
      <c r="Z389" s="8">
        <v>1471500</v>
      </c>
      <c r="AA389">
        <v>1252325</v>
      </c>
      <c r="AB389">
        <v>0.73503283891960958</v>
      </c>
      <c r="AC389">
        <v>1.1750144730800711</v>
      </c>
      <c r="AD389" s="1">
        <v>5</v>
      </c>
      <c r="AE389" s="2">
        <v>46253</v>
      </c>
      <c r="AF389" s="2">
        <v>46261</v>
      </c>
      <c r="AG389" s="2">
        <v>46268</v>
      </c>
      <c r="AH389">
        <v>1306800</v>
      </c>
      <c r="AI389" s="3">
        <v>0.91869661499525468</v>
      </c>
      <c r="AJ389" s="1">
        <v>6</v>
      </c>
      <c r="AK389" s="2">
        <v>46269</v>
      </c>
      <c r="AL389" s="4">
        <v>5</v>
      </c>
      <c r="AM389" s="5">
        <v>3</v>
      </c>
      <c r="AN389" s="4">
        <v>5</v>
      </c>
      <c r="AO389">
        <v>225310.3448275862</v>
      </c>
      <c r="AP389" s="4">
        <v>8</v>
      </c>
      <c r="AQ389" t="s">
        <v>1619</v>
      </c>
      <c r="AR389" t="s">
        <v>2249</v>
      </c>
      <c r="AT389" s="16" t="str">
        <f>_xlfn.XLOOKUP(B389,'SWiSH Demand Forecast Sep-26'!D:D,'SWiSH Demand Forecast Sep-26'!G:G,"Not Exist")</f>
        <v>Not Exist</v>
      </c>
    </row>
    <row r="390" spans="1:46" hidden="1" x14ac:dyDescent="0.3">
      <c r="A390">
        <v>100100004</v>
      </c>
      <c r="B390" t="s">
        <v>1072</v>
      </c>
      <c r="C390" t="s">
        <v>136</v>
      </c>
      <c r="D390" t="s">
        <v>1613</v>
      </c>
      <c r="E390" t="s">
        <v>2250</v>
      </c>
      <c r="F390" t="s">
        <v>1941</v>
      </c>
      <c r="G390" t="s">
        <v>1616</v>
      </c>
      <c r="H390" t="s">
        <v>1877</v>
      </c>
      <c r="I390" t="s">
        <v>1618</v>
      </c>
      <c r="J390" t="s">
        <v>2251</v>
      </c>
      <c r="K390">
        <v>2.4514550800000001</v>
      </c>
      <c r="L390">
        <v>26.475714864000004</v>
      </c>
      <c r="M390" s="1">
        <v>3</v>
      </c>
      <c r="N390">
        <v>0</v>
      </c>
      <c r="O390">
        <v>0</v>
      </c>
      <c r="P390">
        <v>10.8</v>
      </c>
      <c r="Q390" s="1">
        <v>10.8</v>
      </c>
      <c r="R390">
        <v>1.1599999999999999</v>
      </c>
      <c r="S390" s="2">
        <v>46261</v>
      </c>
      <c r="T390" s="2">
        <v>46258</v>
      </c>
      <c r="U390">
        <v>4.05</v>
      </c>
      <c r="V390">
        <v>5.4</v>
      </c>
      <c r="W390">
        <v>60.349999999999994</v>
      </c>
      <c r="X390">
        <v>3.6</v>
      </c>
      <c r="Y390">
        <v>3.6</v>
      </c>
      <c r="Z390" s="8">
        <v>60.349999999999994</v>
      </c>
      <c r="AA390">
        <v>18.349999999999998</v>
      </c>
      <c r="AB390">
        <v>0.19618528610354227</v>
      </c>
      <c r="AC390">
        <v>3.2888283378746594</v>
      </c>
      <c r="AD390" s="1">
        <v>5</v>
      </c>
      <c r="AE390" s="2">
        <v>46253</v>
      </c>
      <c r="AF390" s="2">
        <v>46261</v>
      </c>
      <c r="AG390" s="2">
        <v>46268</v>
      </c>
      <c r="AH390">
        <v>9.4499999999999993</v>
      </c>
      <c r="AI390" s="3">
        <v>0.16198611547581634</v>
      </c>
      <c r="AJ390" s="1">
        <v>33</v>
      </c>
      <c r="AK390" s="2">
        <v>46296</v>
      </c>
      <c r="AL390" s="4">
        <v>30</v>
      </c>
      <c r="AM390" s="5">
        <v>15</v>
      </c>
      <c r="AN390" s="4">
        <v>5</v>
      </c>
      <c r="AO390">
        <v>9.7758620689655142</v>
      </c>
      <c r="AP390" s="4">
        <v>1</v>
      </c>
      <c r="AQ390" t="s">
        <v>1619</v>
      </c>
      <c r="AR390" t="s">
        <v>1620</v>
      </c>
      <c r="AT390" s="16">
        <f>_xlfn.XLOOKUP(B390,'SWiSH Demand Forecast Sep-26'!D:D,'SWiSH Demand Forecast Sep-26'!G:G,"Not Exist")</f>
        <v>117.40673538340501</v>
      </c>
    </row>
    <row r="391" spans="1:46" x14ac:dyDescent="0.3">
      <c r="A391">
        <v>100700015</v>
      </c>
      <c r="B391" t="s">
        <v>2252</v>
      </c>
      <c r="C391" t="s">
        <v>136</v>
      </c>
      <c r="D391" t="s">
        <v>1613</v>
      </c>
      <c r="E391" t="s">
        <v>2253</v>
      </c>
      <c r="F391" t="s">
        <v>1833</v>
      </c>
      <c r="G391" t="s">
        <v>1616</v>
      </c>
      <c r="H391" t="s">
        <v>1867</v>
      </c>
      <c r="I391" t="s">
        <v>1626</v>
      </c>
      <c r="J391" t="s">
        <v>2254</v>
      </c>
      <c r="K391">
        <v>0.375</v>
      </c>
      <c r="L391">
        <v>795</v>
      </c>
      <c r="M391" s="1">
        <v>3</v>
      </c>
      <c r="N391">
        <v>0</v>
      </c>
      <c r="O391">
        <v>0</v>
      </c>
      <c r="P391">
        <v>2120</v>
      </c>
      <c r="Q391" s="1">
        <v>2120</v>
      </c>
      <c r="R391">
        <v>1.5</v>
      </c>
      <c r="S391" s="2">
        <v>46124</v>
      </c>
      <c r="T391" s="2">
        <v>46263</v>
      </c>
      <c r="U391">
        <v>10684</v>
      </c>
      <c r="V391">
        <v>8066</v>
      </c>
      <c r="W391">
        <v>6680</v>
      </c>
      <c r="X391">
        <v>7060</v>
      </c>
      <c r="Y391">
        <v>6680</v>
      </c>
      <c r="Z391" s="8">
        <v>10684</v>
      </c>
      <c r="AA391">
        <v>8122.5</v>
      </c>
      <c r="AB391">
        <v>0.82240689442905512</v>
      </c>
      <c r="AC391">
        <v>1.3153585718682672</v>
      </c>
      <c r="AD391" s="1">
        <v>5</v>
      </c>
      <c r="AE391" s="2">
        <v>46253</v>
      </c>
      <c r="AF391" s="2">
        <v>46261</v>
      </c>
      <c r="AG391" s="2">
        <v>46268</v>
      </c>
      <c r="AH391">
        <v>7290</v>
      </c>
      <c r="AI391" s="3">
        <v>0.70585729224492966</v>
      </c>
      <c r="AJ391" s="1">
        <v>8</v>
      </c>
      <c r="AK391" s="2">
        <v>46271</v>
      </c>
      <c r="AL391" s="4">
        <v>4</v>
      </c>
      <c r="AM391" s="5">
        <v>3</v>
      </c>
      <c r="AN391" s="4">
        <v>5</v>
      </c>
      <c r="AO391">
        <v>1005.5172413793105</v>
      </c>
      <c r="AP391" s="4">
        <v>9</v>
      </c>
      <c r="AQ391" t="s">
        <v>1619</v>
      </c>
      <c r="AR391" t="s">
        <v>2255</v>
      </c>
      <c r="AT391" s="16" t="str">
        <f>_xlfn.XLOOKUP(B391,'SWiSH Demand Forecast Sep-26'!D:D,'SWiSH Demand Forecast Sep-26'!G:G,"Not Exist")</f>
        <v>Not Exist</v>
      </c>
    </row>
    <row r="392" spans="1:46" x14ac:dyDescent="0.3">
      <c r="A392">
        <v>106400147</v>
      </c>
      <c r="B392" t="s">
        <v>2256</v>
      </c>
      <c r="C392" t="s">
        <v>136</v>
      </c>
      <c r="D392" t="s">
        <v>1613</v>
      </c>
      <c r="E392" t="s">
        <v>1663</v>
      </c>
      <c r="F392" t="s">
        <v>1812</v>
      </c>
      <c r="G392" t="s">
        <v>1624</v>
      </c>
      <c r="H392" t="s">
        <v>1764</v>
      </c>
      <c r="I392" t="s">
        <v>1618</v>
      </c>
      <c r="J392" t="s">
        <v>136</v>
      </c>
      <c r="K392">
        <v>0.55439000999999999</v>
      </c>
      <c r="L392">
        <v>312.67596564000002</v>
      </c>
      <c r="M392" s="1">
        <v>3</v>
      </c>
      <c r="N392">
        <v>0</v>
      </c>
      <c r="O392">
        <v>36</v>
      </c>
      <c r="P392">
        <v>564</v>
      </c>
      <c r="Q392" s="1">
        <v>528</v>
      </c>
      <c r="R392">
        <v>0</v>
      </c>
      <c r="S392" s="2">
        <v>0</v>
      </c>
      <c r="T392" s="2">
        <v>46263</v>
      </c>
      <c r="U392">
        <v>0</v>
      </c>
      <c r="V392">
        <v>0</v>
      </c>
      <c r="W392">
        <v>1008</v>
      </c>
      <c r="X392">
        <v>3000</v>
      </c>
      <c r="Y392">
        <v>0</v>
      </c>
      <c r="Z392" s="8">
        <v>3000</v>
      </c>
      <c r="AA392">
        <v>1002</v>
      </c>
      <c r="AB392">
        <v>0</v>
      </c>
      <c r="AC392">
        <v>2.9940119760479043</v>
      </c>
      <c r="AD392" s="1">
        <v>5</v>
      </c>
      <c r="AE392" s="2">
        <v>46253</v>
      </c>
      <c r="AF392" s="2">
        <v>46261</v>
      </c>
      <c r="AG392" s="2">
        <v>46268</v>
      </c>
      <c r="AH392">
        <v>2628</v>
      </c>
      <c r="AI392" s="3">
        <v>0.90620689655172415</v>
      </c>
      <c r="AJ392" s="1">
        <v>5</v>
      </c>
      <c r="AK392" s="2">
        <v>46268</v>
      </c>
      <c r="AL392" s="4" t="s">
        <v>1658</v>
      </c>
      <c r="AM392" s="5" t="s">
        <v>1658</v>
      </c>
      <c r="AN392" s="4">
        <v>5</v>
      </c>
      <c r="AO392" t="s">
        <v>1635</v>
      </c>
      <c r="AP392" s="4" t="s">
        <v>1658</v>
      </c>
      <c r="AQ392" t="s">
        <v>1619</v>
      </c>
      <c r="AR392" t="s">
        <v>1620</v>
      </c>
      <c r="AT392" s="16" t="str">
        <f>_xlfn.XLOOKUP(B392,'SWiSH Demand Forecast Sep-26'!D:D,'SWiSH Demand Forecast Sep-26'!G:G,"Not Exist")</f>
        <v>Not Exist</v>
      </c>
    </row>
    <row r="393" spans="1:46" hidden="1" x14ac:dyDescent="0.3">
      <c r="A393">
        <v>103700021</v>
      </c>
      <c r="B393" t="s">
        <v>1515</v>
      </c>
      <c r="C393" t="s">
        <v>136</v>
      </c>
      <c r="D393" t="s">
        <v>1613</v>
      </c>
      <c r="E393" t="s">
        <v>1677</v>
      </c>
      <c r="F393" t="s">
        <v>1615</v>
      </c>
      <c r="G393" t="s">
        <v>1616</v>
      </c>
      <c r="H393" t="s">
        <v>1617</v>
      </c>
      <c r="I393" t="s">
        <v>1618</v>
      </c>
      <c r="J393" t="s">
        <v>136</v>
      </c>
      <c r="K393">
        <v>12.91071429</v>
      </c>
      <c r="L393">
        <v>25.821428579999999</v>
      </c>
      <c r="M393" s="1">
        <v>3</v>
      </c>
      <c r="N393">
        <v>0</v>
      </c>
      <c r="O393">
        <v>0</v>
      </c>
      <c r="P393">
        <v>2</v>
      </c>
      <c r="Q393" s="1">
        <v>2</v>
      </c>
      <c r="R393">
        <v>12.5</v>
      </c>
      <c r="S393" s="2">
        <v>46135</v>
      </c>
      <c r="T393" s="2">
        <v>46257</v>
      </c>
      <c r="U393">
        <v>4</v>
      </c>
      <c r="V393">
        <v>3</v>
      </c>
      <c r="W393">
        <v>11</v>
      </c>
      <c r="X393">
        <v>0</v>
      </c>
      <c r="Y393">
        <v>0</v>
      </c>
      <c r="Z393" s="8">
        <v>11</v>
      </c>
      <c r="AA393">
        <v>4.5</v>
      </c>
      <c r="AB393">
        <v>0</v>
      </c>
      <c r="AC393">
        <v>2.4444444444444446</v>
      </c>
      <c r="AD393" s="1">
        <v>5</v>
      </c>
      <c r="AE393" s="2">
        <v>46253</v>
      </c>
      <c r="AF393" s="2">
        <v>46261</v>
      </c>
      <c r="AG393" s="2">
        <v>46268</v>
      </c>
      <c r="AH393">
        <v>4</v>
      </c>
      <c r="AI393" s="3">
        <v>0.37617554858934171</v>
      </c>
      <c r="AJ393" s="1">
        <v>14</v>
      </c>
      <c r="AK393" s="2">
        <v>46277</v>
      </c>
      <c r="AL393" s="4">
        <v>30</v>
      </c>
      <c r="AM393" s="5">
        <v>15</v>
      </c>
      <c r="AN393" s="4">
        <v>5</v>
      </c>
      <c r="AO393">
        <v>4.1379310344827589</v>
      </c>
      <c r="AP393" s="4">
        <v>1</v>
      </c>
      <c r="AQ393" t="s">
        <v>1619</v>
      </c>
      <c r="AR393" t="s">
        <v>1849</v>
      </c>
      <c r="AT393" s="16">
        <f>_xlfn.XLOOKUP(B393,'SWiSH Demand Forecast Sep-26'!D:D,'SWiSH Demand Forecast Sep-26'!G:G,"Not Exist")</f>
        <v>2.1668993288590599</v>
      </c>
    </row>
    <row r="394" spans="1:46" hidden="1" x14ac:dyDescent="0.3">
      <c r="A394">
        <v>100400012</v>
      </c>
      <c r="B394" t="s">
        <v>1176</v>
      </c>
      <c r="C394" t="s">
        <v>10</v>
      </c>
      <c r="D394" t="s">
        <v>1613</v>
      </c>
      <c r="E394" t="s">
        <v>2257</v>
      </c>
      <c r="F394" t="s">
        <v>1631</v>
      </c>
      <c r="G394" t="s">
        <v>1624</v>
      </c>
      <c r="H394" t="s">
        <v>1810</v>
      </c>
      <c r="I394" t="s">
        <v>1634</v>
      </c>
      <c r="J394" t="s">
        <v>10</v>
      </c>
      <c r="K394">
        <v>1.2471046100000001</v>
      </c>
      <c r="L394">
        <v>164.61780852000001</v>
      </c>
      <c r="M394" s="1">
        <v>3</v>
      </c>
      <c r="N394">
        <v>0</v>
      </c>
      <c r="O394">
        <v>0</v>
      </c>
      <c r="P394">
        <v>132</v>
      </c>
      <c r="Q394" s="1">
        <v>132</v>
      </c>
      <c r="R394">
        <v>1.4750000000000001</v>
      </c>
      <c r="S394" s="2">
        <v>46263</v>
      </c>
      <c r="T394" s="2">
        <v>46262</v>
      </c>
      <c r="U394">
        <v>281</v>
      </c>
      <c r="V394">
        <v>766</v>
      </c>
      <c r="W394">
        <v>134</v>
      </c>
      <c r="X394">
        <v>110</v>
      </c>
      <c r="Y394">
        <v>110</v>
      </c>
      <c r="Z394" s="8">
        <v>766</v>
      </c>
      <c r="AA394">
        <v>322.75</v>
      </c>
      <c r="AB394">
        <v>0.34082106893880715</v>
      </c>
      <c r="AC394">
        <v>2.3733539891556932</v>
      </c>
      <c r="AD394" s="1">
        <v>5</v>
      </c>
      <c r="AE394" s="2">
        <v>46253</v>
      </c>
      <c r="AF394" s="2">
        <v>46261</v>
      </c>
      <c r="AG394" s="2">
        <v>46268</v>
      </c>
      <c r="AH394">
        <v>77</v>
      </c>
      <c r="AI394" s="3">
        <v>0.10398847573602232</v>
      </c>
      <c r="AJ394" s="1">
        <v>49</v>
      </c>
      <c r="AK394" s="2">
        <v>46312</v>
      </c>
      <c r="AL394" s="4">
        <v>10</v>
      </c>
      <c r="AM394" s="5">
        <v>10</v>
      </c>
      <c r="AN394" s="4">
        <v>5</v>
      </c>
      <c r="AO394">
        <v>26.551724137931036</v>
      </c>
      <c r="AP394" s="4">
        <v>3</v>
      </c>
      <c r="AQ394" t="s">
        <v>1619</v>
      </c>
      <c r="AR394" t="s">
        <v>1620</v>
      </c>
      <c r="AT394" s="16">
        <f>_xlfn.XLOOKUP(B394,'SWiSH Demand Forecast Sep-26'!D:D,'SWiSH Demand Forecast Sep-26'!G:G,"Not Exist")</f>
        <v>67</v>
      </c>
    </row>
    <row r="395" spans="1:46" x14ac:dyDescent="0.3">
      <c r="A395">
        <v>106700003</v>
      </c>
      <c r="B395" t="s">
        <v>2258</v>
      </c>
      <c r="C395" t="s">
        <v>10</v>
      </c>
      <c r="D395" t="s">
        <v>1613</v>
      </c>
      <c r="E395" t="s">
        <v>1643</v>
      </c>
      <c r="F395" t="s">
        <v>1650</v>
      </c>
      <c r="G395" t="s">
        <v>1624</v>
      </c>
      <c r="H395" t="s">
        <v>1651</v>
      </c>
      <c r="I395" t="s">
        <v>1634</v>
      </c>
      <c r="J395" t="s">
        <v>1905</v>
      </c>
      <c r="K395">
        <v>4.4999999999999998E-2</v>
      </c>
      <c r="L395">
        <v>4.5</v>
      </c>
      <c r="M395" s="1">
        <v>3</v>
      </c>
      <c r="N395">
        <v>0</v>
      </c>
      <c r="O395">
        <v>0</v>
      </c>
      <c r="P395">
        <v>100</v>
      </c>
      <c r="Q395" s="1">
        <v>100</v>
      </c>
      <c r="R395">
        <v>4.5</v>
      </c>
      <c r="S395" s="2">
        <v>46152</v>
      </c>
      <c r="T395" s="2">
        <v>46231</v>
      </c>
      <c r="U395">
        <v>0</v>
      </c>
      <c r="V395">
        <v>0</v>
      </c>
      <c r="W395">
        <v>0</v>
      </c>
      <c r="X395">
        <v>600</v>
      </c>
      <c r="Y395">
        <v>0</v>
      </c>
      <c r="Z395" s="8">
        <v>600</v>
      </c>
      <c r="AA395">
        <v>150</v>
      </c>
      <c r="AB395">
        <v>0</v>
      </c>
      <c r="AC395">
        <v>4</v>
      </c>
      <c r="AD395" s="1">
        <v>5</v>
      </c>
      <c r="AE395" s="2">
        <v>46253</v>
      </c>
      <c r="AF395" s="2">
        <v>46261</v>
      </c>
      <c r="AG395" s="2">
        <v>46268</v>
      </c>
      <c r="AH395">
        <v>0</v>
      </c>
      <c r="AI395" s="3">
        <v>0</v>
      </c>
      <c r="AJ395" s="1" t="s">
        <v>1635</v>
      </c>
      <c r="AK395" s="2" t="s">
        <v>1635</v>
      </c>
      <c r="AL395" s="4">
        <v>30</v>
      </c>
      <c r="AM395" s="5">
        <v>15</v>
      </c>
      <c r="AN395" s="4">
        <v>5</v>
      </c>
      <c r="AO395">
        <v>0</v>
      </c>
      <c r="AP395" s="4">
        <v>1</v>
      </c>
      <c r="AQ395" t="s">
        <v>1619</v>
      </c>
      <c r="AR395" t="s">
        <v>1620</v>
      </c>
      <c r="AT395" s="16" t="str">
        <f>_xlfn.XLOOKUP(B395,'SWiSH Demand Forecast Sep-26'!D:D,'SWiSH Demand Forecast Sep-26'!G:G,"Not Exist")</f>
        <v>Not Exist</v>
      </c>
    </row>
    <row r="396" spans="1:46" x14ac:dyDescent="0.3">
      <c r="A396">
        <v>100900051</v>
      </c>
      <c r="B396" t="s">
        <v>2259</v>
      </c>
      <c r="C396" t="s">
        <v>10</v>
      </c>
      <c r="D396" t="s">
        <v>1613</v>
      </c>
      <c r="E396" t="s">
        <v>1638</v>
      </c>
      <c r="F396" t="s">
        <v>1639</v>
      </c>
      <c r="G396" t="s">
        <v>1616</v>
      </c>
      <c r="H396" t="s">
        <v>1640</v>
      </c>
      <c r="I396" t="s">
        <v>1618</v>
      </c>
      <c r="J396" t="s">
        <v>1781</v>
      </c>
      <c r="K396">
        <v>7.2916670000000003E-2</v>
      </c>
      <c r="L396">
        <v>8.7500004000000011</v>
      </c>
      <c r="M396" s="1">
        <v>3</v>
      </c>
      <c r="N396">
        <v>0</v>
      </c>
      <c r="O396">
        <v>0</v>
      </c>
      <c r="P396">
        <v>120</v>
      </c>
      <c r="Q396" s="1">
        <v>120</v>
      </c>
      <c r="R396">
        <v>1.75</v>
      </c>
      <c r="S396" s="2">
        <v>46214</v>
      </c>
      <c r="T396" s="2">
        <v>46259</v>
      </c>
      <c r="U396">
        <v>432</v>
      </c>
      <c r="V396">
        <v>312</v>
      </c>
      <c r="W396">
        <v>624</v>
      </c>
      <c r="X396">
        <v>576</v>
      </c>
      <c r="Y396">
        <v>312</v>
      </c>
      <c r="Z396" s="8">
        <v>624</v>
      </c>
      <c r="AA396">
        <v>486</v>
      </c>
      <c r="AB396">
        <v>0.64197530864197527</v>
      </c>
      <c r="AC396">
        <v>1.2839506172839505</v>
      </c>
      <c r="AD396" s="1">
        <v>5</v>
      </c>
      <c r="AE396" s="2">
        <v>46253</v>
      </c>
      <c r="AF396" s="2">
        <v>46261</v>
      </c>
      <c r="AG396" s="2">
        <v>46268</v>
      </c>
      <c r="AH396">
        <v>480</v>
      </c>
      <c r="AI396" s="3">
        <v>0.79575596816976124</v>
      </c>
      <c r="AJ396" s="1">
        <v>7</v>
      </c>
      <c r="AK396" s="2">
        <v>46270</v>
      </c>
      <c r="AL396" s="4">
        <v>10</v>
      </c>
      <c r="AM396" s="5">
        <v>10</v>
      </c>
      <c r="AN396" s="4">
        <v>5</v>
      </c>
      <c r="AO396">
        <v>165.51724137931035</v>
      </c>
      <c r="AP396" s="4">
        <v>3</v>
      </c>
      <c r="AQ396" t="s">
        <v>1619</v>
      </c>
      <c r="AR396" t="s">
        <v>1620</v>
      </c>
      <c r="AT396" s="16" t="str">
        <f>_xlfn.XLOOKUP(B396,'SWiSH Demand Forecast Sep-26'!D:D,'SWiSH Demand Forecast Sep-26'!G:G,"Not Exist")</f>
        <v>Not Exist</v>
      </c>
    </row>
    <row r="397" spans="1:46" hidden="1" x14ac:dyDescent="0.3">
      <c r="A397">
        <v>103700105</v>
      </c>
      <c r="B397" t="s">
        <v>712</v>
      </c>
      <c r="C397" t="s">
        <v>136</v>
      </c>
      <c r="D397" t="s">
        <v>1613</v>
      </c>
      <c r="E397" t="s">
        <v>2260</v>
      </c>
      <c r="F397" t="s">
        <v>1615</v>
      </c>
      <c r="G397" t="s">
        <v>1616</v>
      </c>
      <c r="H397" t="s">
        <v>1617</v>
      </c>
      <c r="I397" t="s">
        <v>1618</v>
      </c>
      <c r="J397" t="s">
        <v>2261</v>
      </c>
      <c r="K397">
        <v>7.4999990000000002E-2</v>
      </c>
      <c r="L397">
        <v>59.849992020000002</v>
      </c>
      <c r="M397" s="1">
        <v>3</v>
      </c>
      <c r="N397">
        <v>0</v>
      </c>
      <c r="O397">
        <v>4</v>
      </c>
      <c r="P397">
        <v>798</v>
      </c>
      <c r="Q397" s="1">
        <v>794</v>
      </c>
      <c r="R397">
        <v>1.5</v>
      </c>
      <c r="S397" s="2">
        <v>46256</v>
      </c>
      <c r="T397" s="2">
        <v>46263</v>
      </c>
      <c r="U397">
        <v>4454</v>
      </c>
      <c r="V397">
        <v>4049</v>
      </c>
      <c r="W397">
        <v>4044</v>
      </c>
      <c r="X397">
        <v>3706</v>
      </c>
      <c r="Y397">
        <v>3706</v>
      </c>
      <c r="Z397" s="8">
        <v>4454</v>
      </c>
      <c r="AA397">
        <v>4063.25</v>
      </c>
      <c r="AB397">
        <v>0.91207777025779857</v>
      </c>
      <c r="AC397">
        <v>1.0961668615024918</v>
      </c>
      <c r="AD397" s="1">
        <v>5</v>
      </c>
      <c r="AE397" s="2">
        <v>46253</v>
      </c>
      <c r="AF397" s="2">
        <v>46261</v>
      </c>
      <c r="AG397" s="2">
        <v>46268</v>
      </c>
      <c r="AH397">
        <v>3530</v>
      </c>
      <c r="AI397" s="3">
        <v>0.81987519935586761</v>
      </c>
      <c r="AJ397" s="1">
        <v>6</v>
      </c>
      <c r="AK397" s="2">
        <v>46269</v>
      </c>
      <c r="AL397" s="4">
        <v>15</v>
      </c>
      <c r="AM397" s="5">
        <v>15</v>
      </c>
      <c r="AN397" s="4">
        <v>5</v>
      </c>
      <c r="AO397">
        <v>1825.8620689655172</v>
      </c>
      <c r="AP397" s="4">
        <v>2</v>
      </c>
      <c r="AQ397" t="s">
        <v>1619</v>
      </c>
      <c r="AR397" t="s">
        <v>1620</v>
      </c>
      <c r="AT397" s="16">
        <f>_xlfn.XLOOKUP(B397,'SWiSH Demand Forecast Sep-26'!D:D,'SWiSH Demand Forecast Sep-26'!G:G,"Not Exist")</f>
        <v>606.27615653140697</v>
      </c>
    </row>
    <row r="398" spans="1:46" hidden="1" x14ac:dyDescent="0.3">
      <c r="A398">
        <v>100500001</v>
      </c>
      <c r="B398" t="s">
        <v>1147</v>
      </c>
      <c r="C398" t="s">
        <v>136</v>
      </c>
      <c r="D398" t="s">
        <v>1613</v>
      </c>
      <c r="E398" t="s">
        <v>2262</v>
      </c>
      <c r="F398" t="s">
        <v>1875</v>
      </c>
      <c r="G398" t="s">
        <v>1616</v>
      </c>
      <c r="H398" t="s">
        <v>1996</v>
      </c>
      <c r="I398" t="s">
        <v>1618</v>
      </c>
      <c r="J398" t="s">
        <v>2263</v>
      </c>
      <c r="K398">
        <v>3.3924098800000002</v>
      </c>
      <c r="L398">
        <v>151.979962624</v>
      </c>
      <c r="M398" s="1">
        <v>3</v>
      </c>
      <c r="N398">
        <v>0</v>
      </c>
      <c r="O398">
        <v>4.8000000000000007</v>
      </c>
      <c r="P398">
        <v>44.8</v>
      </c>
      <c r="Q398" s="1">
        <v>40</v>
      </c>
      <c r="R398">
        <v>32.292000000000002</v>
      </c>
      <c r="S398" s="2">
        <v>46227</v>
      </c>
      <c r="T398" s="2">
        <v>46263</v>
      </c>
      <c r="U398">
        <v>201.59999999999968</v>
      </c>
      <c r="V398">
        <v>209.59999999999965</v>
      </c>
      <c r="W398">
        <v>167.99999999999974</v>
      </c>
      <c r="X398">
        <v>156.79999999999978</v>
      </c>
      <c r="Y398">
        <v>156.79999999999978</v>
      </c>
      <c r="Z398" s="8">
        <v>209.59999999999965</v>
      </c>
      <c r="AA398">
        <v>183.99999999999972</v>
      </c>
      <c r="AB398">
        <v>0.85217391304347845</v>
      </c>
      <c r="AC398">
        <v>1.1391304347826086</v>
      </c>
      <c r="AD398" s="1">
        <v>5</v>
      </c>
      <c r="AE398" s="2">
        <v>46253</v>
      </c>
      <c r="AF398" s="2">
        <v>46261</v>
      </c>
      <c r="AG398" s="2">
        <v>46268</v>
      </c>
      <c r="AH398">
        <v>163.1999999999997</v>
      </c>
      <c r="AI398" s="3">
        <v>0.80547512503290331</v>
      </c>
      <c r="AJ398" s="1">
        <v>7</v>
      </c>
      <c r="AK398" s="2">
        <v>46270</v>
      </c>
      <c r="AL398" s="4">
        <v>15</v>
      </c>
      <c r="AM398" s="5">
        <v>15</v>
      </c>
      <c r="AN398" s="4">
        <v>5</v>
      </c>
      <c r="AO398">
        <v>84.413793103448128</v>
      </c>
      <c r="AP398" s="4">
        <v>2</v>
      </c>
      <c r="AQ398" t="s">
        <v>1619</v>
      </c>
      <c r="AR398" t="s">
        <v>1620</v>
      </c>
      <c r="AT398" s="16">
        <f>_xlfn.XLOOKUP(B398,'SWiSH Demand Forecast Sep-26'!D:D,'SWiSH Demand Forecast Sep-26'!G:G,"Not Exist")</f>
        <v>85.128325506453706</v>
      </c>
    </row>
    <row r="399" spans="1:46" hidden="1" x14ac:dyDescent="0.3">
      <c r="A399">
        <v>106200131</v>
      </c>
      <c r="B399" t="s">
        <v>490</v>
      </c>
      <c r="C399" t="s">
        <v>136</v>
      </c>
      <c r="D399" t="s">
        <v>1613</v>
      </c>
      <c r="E399" t="s">
        <v>1832</v>
      </c>
      <c r="F399" t="s">
        <v>1671</v>
      </c>
      <c r="G399" t="s">
        <v>1616</v>
      </c>
      <c r="H399" t="s">
        <v>1672</v>
      </c>
      <c r="I399" t="s">
        <v>1618</v>
      </c>
      <c r="J399" t="s">
        <v>2264</v>
      </c>
      <c r="K399">
        <v>1.8996039</v>
      </c>
      <c r="L399">
        <v>1356.3171846</v>
      </c>
      <c r="M399" s="1">
        <v>3</v>
      </c>
      <c r="N399">
        <v>0</v>
      </c>
      <c r="O399">
        <v>0</v>
      </c>
      <c r="P399">
        <v>714</v>
      </c>
      <c r="Q399" s="1">
        <v>714</v>
      </c>
      <c r="R399">
        <v>26.6</v>
      </c>
      <c r="S399" s="2">
        <v>46261</v>
      </c>
      <c r="T399" s="2">
        <v>46263</v>
      </c>
      <c r="U399">
        <v>2548</v>
      </c>
      <c r="V399">
        <v>2436</v>
      </c>
      <c r="W399">
        <v>3960</v>
      </c>
      <c r="X399">
        <v>3353</v>
      </c>
      <c r="Y399">
        <v>2436</v>
      </c>
      <c r="Z399" s="8">
        <v>3960</v>
      </c>
      <c r="AA399">
        <v>3074.25</v>
      </c>
      <c r="AB399">
        <v>0.79238838741156381</v>
      </c>
      <c r="AC399">
        <v>1.2881190534276652</v>
      </c>
      <c r="AD399" s="1">
        <v>5</v>
      </c>
      <c r="AE399" s="2">
        <v>46253</v>
      </c>
      <c r="AF399" s="2">
        <v>46261</v>
      </c>
      <c r="AG399" s="2">
        <v>46268</v>
      </c>
      <c r="AH399">
        <v>3094</v>
      </c>
      <c r="AI399" s="3">
        <v>0.80825496342737724</v>
      </c>
      <c r="AJ399" s="1">
        <v>6</v>
      </c>
      <c r="AK399" s="2">
        <v>46269</v>
      </c>
      <c r="AL399" s="4">
        <v>15</v>
      </c>
      <c r="AM399" s="5">
        <v>15</v>
      </c>
      <c r="AN399" s="4">
        <v>5</v>
      </c>
      <c r="AO399">
        <v>1600.344827586207</v>
      </c>
      <c r="AP399" s="4">
        <v>2</v>
      </c>
      <c r="AQ399" t="s">
        <v>1619</v>
      </c>
      <c r="AR399" t="s">
        <v>2265</v>
      </c>
      <c r="AT399" s="16">
        <f>_xlfn.XLOOKUP(B399,'SWiSH Demand Forecast Sep-26'!D:D,'SWiSH Demand Forecast Sep-26'!G:G,"Not Exist")</f>
        <v>1647.3882926163101</v>
      </c>
    </row>
    <row r="400" spans="1:46" hidden="1" x14ac:dyDescent="0.3">
      <c r="A400">
        <v>106400041</v>
      </c>
      <c r="B400" t="s">
        <v>230</v>
      </c>
      <c r="C400" t="s">
        <v>10</v>
      </c>
      <c r="D400" t="s">
        <v>1613</v>
      </c>
      <c r="E400" t="s">
        <v>2266</v>
      </c>
      <c r="F400" t="s">
        <v>1664</v>
      </c>
      <c r="G400" t="s">
        <v>1624</v>
      </c>
      <c r="H400" t="s">
        <v>1764</v>
      </c>
      <c r="I400" t="s">
        <v>1634</v>
      </c>
      <c r="J400" t="s">
        <v>10</v>
      </c>
      <c r="K400">
        <v>6.5716659999999996E-2</v>
      </c>
      <c r="L400">
        <v>162.64873349999999</v>
      </c>
      <c r="M400" s="1">
        <v>15</v>
      </c>
      <c r="N400">
        <v>0</v>
      </c>
      <c r="O400">
        <v>50</v>
      </c>
      <c r="P400">
        <v>2475</v>
      </c>
      <c r="Q400" s="1">
        <v>2425</v>
      </c>
      <c r="R400">
        <v>0</v>
      </c>
      <c r="S400" s="2">
        <v>0</v>
      </c>
      <c r="T400" s="2">
        <v>46263</v>
      </c>
      <c r="U400">
        <v>12470</v>
      </c>
      <c r="V400">
        <v>10855</v>
      </c>
      <c r="W400">
        <v>11550</v>
      </c>
      <c r="X400">
        <v>11970</v>
      </c>
      <c r="Y400">
        <v>10855</v>
      </c>
      <c r="Z400" s="8">
        <v>12470</v>
      </c>
      <c r="AA400">
        <v>11711.25</v>
      </c>
      <c r="AB400">
        <v>0.92688654071939369</v>
      </c>
      <c r="AC400">
        <v>1.0647881310705518</v>
      </c>
      <c r="AD400" s="1">
        <v>5</v>
      </c>
      <c r="AE400" s="2">
        <v>46253</v>
      </c>
      <c r="AF400" s="2">
        <v>46261</v>
      </c>
      <c r="AG400" s="2">
        <v>46268</v>
      </c>
      <c r="AH400">
        <v>9125</v>
      </c>
      <c r="AI400" s="3">
        <v>0.75698918784392888</v>
      </c>
      <c r="AJ400" s="1">
        <v>7</v>
      </c>
      <c r="AK400" s="2">
        <v>46270</v>
      </c>
      <c r="AL400" s="4">
        <v>30</v>
      </c>
      <c r="AM400" s="5">
        <v>15</v>
      </c>
      <c r="AN400" s="4">
        <v>5</v>
      </c>
      <c r="AO400">
        <v>9439.6551724137935</v>
      </c>
      <c r="AP400" s="4">
        <v>1</v>
      </c>
      <c r="AQ400" t="s">
        <v>1619</v>
      </c>
      <c r="AR400" t="s">
        <v>1620</v>
      </c>
      <c r="AT400" s="16">
        <f>_xlfn.XLOOKUP(B400,'SWiSH Demand Forecast Sep-26'!D:D,'SWiSH Demand Forecast Sep-26'!G:G,"Not Exist")</f>
        <v>7451</v>
      </c>
    </row>
    <row r="401" spans="1:46" x14ac:dyDescent="0.3">
      <c r="A401">
        <v>105300017</v>
      </c>
      <c r="B401" t="s">
        <v>2267</v>
      </c>
      <c r="C401" t="s">
        <v>10</v>
      </c>
      <c r="D401" t="s">
        <v>1613</v>
      </c>
      <c r="E401" t="s">
        <v>1663</v>
      </c>
      <c r="F401" t="s">
        <v>1664</v>
      </c>
      <c r="G401" t="s">
        <v>1624</v>
      </c>
      <c r="H401" t="s">
        <v>1978</v>
      </c>
      <c r="I401" t="s">
        <v>1634</v>
      </c>
      <c r="J401" t="s">
        <v>2113</v>
      </c>
      <c r="K401">
        <v>2.1000000000000001E-2</v>
      </c>
      <c r="L401">
        <v>63.000000000000007</v>
      </c>
      <c r="M401" s="1">
        <v>30</v>
      </c>
      <c r="N401">
        <v>0</v>
      </c>
      <c r="O401">
        <v>1000</v>
      </c>
      <c r="P401">
        <v>3000</v>
      </c>
      <c r="Q401" s="1">
        <v>2000</v>
      </c>
      <c r="R401">
        <v>21</v>
      </c>
      <c r="S401" s="2">
        <v>46209</v>
      </c>
      <c r="T401" s="2">
        <v>46258</v>
      </c>
      <c r="U401">
        <v>8000</v>
      </c>
      <c r="V401">
        <v>9000</v>
      </c>
      <c r="W401">
        <v>11000</v>
      </c>
      <c r="X401">
        <v>9000</v>
      </c>
      <c r="Y401">
        <v>8000</v>
      </c>
      <c r="Z401" s="8">
        <v>11000</v>
      </c>
      <c r="AA401">
        <v>9250</v>
      </c>
      <c r="AB401">
        <v>0.86486486486486491</v>
      </c>
      <c r="AC401">
        <v>1.1891891891891893</v>
      </c>
      <c r="AD401" s="1">
        <v>5</v>
      </c>
      <c r="AE401" s="2">
        <v>46253</v>
      </c>
      <c r="AF401" s="2">
        <v>46261</v>
      </c>
      <c r="AG401" s="2">
        <v>46268</v>
      </c>
      <c r="AH401">
        <v>10000</v>
      </c>
      <c r="AI401" s="3">
        <v>0.94043887147335425</v>
      </c>
      <c r="AJ401" s="1">
        <v>5</v>
      </c>
      <c r="AK401" s="2">
        <v>46268</v>
      </c>
      <c r="AL401" s="4">
        <v>15</v>
      </c>
      <c r="AM401" s="5">
        <v>15</v>
      </c>
      <c r="AN401" s="4">
        <v>5</v>
      </c>
      <c r="AO401">
        <v>5172.4137931034484</v>
      </c>
      <c r="AP401" s="4">
        <v>2</v>
      </c>
      <c r="AQ401">
        <v>13</v>
      </c>
      <c r="AR401" t="s">
        <v>2098</v>
      </c>
      <c r="AT401" s="16" t="str">
        <f>_xlfn.XLOOKUP(B401,'SWiSH Demand Forecast Sep-26'!D:D,'SWiSH Demand Forecast Sep-26'!G:G,"Not Exist")</f>
        <v>Not Exist</v>
      </c>
    </row>
    <row r="402" spans="1:46" x14ac:dyDescent="0.3">
      <c r="A402">
        <v>101800019</v>
      </c>
      <c r="B402" t="s">
        <v>2268</v>
      </c>
      <c r="C402" t="s">
        <v>10</v>
      </c>
      <c r="D402" t="s">
        <v>1613</v>
      </c>
      <c r="E402" t="s">
        <v>2269</v>
      </c>
      <c r="F402" t="s">
        <v>1631</v>
      </c>
      <c r="G402" t="s">
        <v>1624</v>
      </c>
      <c r="H402" t="s">
        <v>2144</v>
      </c>
      <c r="I402" t="s">
        <v>1634</v>
      </c>
      <c r="J402" t="s">
        <v>2113</v>
      </c>
      <c r="K402">
        <v>5.4998699999999996E-3</v>
      </c>
      <c r="L402">
        <v>24.474421499999998</v>
      </c>
      <c r="M402" s="1">
        <v>3</v>
      </c>
      <c r="N402">
        <v>0</v>
      </c>
      <c r="O402">
        <v>0</v>
      </c>
      <c r="P402">
        <v>4450</v>
      </c>
      <c r="Q402" s="1">
        <v>4450</v>
      </c>
      <c r="R402">
        <v>5.5</v>
      </c>
      <c r="S402" s="2">
        <v>46247</v>
      </c>
      <c r="T402" s="2">
        <v>46263</v>
      </c>
      <c r="U402">
        <v>25000</v>
      </c>
      <c r="V402">
        <v>26000</v>
      </c>
      <c r="W402">
        <v>25000</v>
      </c>
      <c r="X402">
        <v>24000</v>
      </c>
      <c r="Y402">
        <v>24000</v>
      </c>
      <c r="Z402" s="8">
        <v>26000</v>
      </c>
      <c r="AA402">
        <v>25000</v>
      </c>
      <c r="AB402">
        <v>0.96</v>
      </c>
      <c r="AC402">
        <v>1.04</v>
      </c>
      <c r="AD402" s="1">
        <v>5</v>
      </c>
      <c r="AE402" s="2">
        <v>46253</v>
      </c>
      <c r="AF402" s="2">
        <v>46261</v>
      </c>
      <c r="AG402" s="2">
        <v>46268</v>
      </c>
      <c r="AH402">
        <v>22550</v>
      </c>
      <c r="AI402" s="3">
        <v>0.89721485411140578</v>
      </c>
      <c r="AJ402" s="1">
        <v>5</v>
      </c>
      <c r="AK402" s="2">
        <v>46268</v>
      </c>
      <c r="AL402" s="4">
        <v>30</v>
      </c>
      <c r="AM402" s="5">
        <v>15</v>
      </c>
      <c r="AN402" s="4">
        <v>5</v>
      </c>
      <c r="AO402">
        <v>23327.586206896551</v>
      </c>
      <c r="AP402" s="4">
        <v>1</v>
      </c>
      <c r="AQ402" t="s">
        <v>1619</v>
      </c>
      <c r="AR402" t="s">
        <v>1620</v>
      </c>
      <c r="AT402" s="16" t="str">
        <f>_xlfn.XLOOKUP(B402,'SWiSH Demand Forecast Sep-26'!D:D,'SWiSH Demand Forecast Sep-26'!G:G,"Not Exist")</f>
        <v>Not Exist</v>
      </c>
    </row>
    <row r="403" spans="1:46" hidden="1" x14ac:dyDescent="0.3">
      <c r="A403">
        <v>103700108</v>
      </c>
      <c r="B403" t="s">
        <v>1409</v>
      </c>
      <c r="C403" t="s">
        <v>136</v>
      </c>
      <c r="D403" t="s">
        <v>1613</v>
      </c>
      <c r="E403" t="s">
        <v>2270</v>
      </c>
      <c r="F403" t="s">
        <v>1615</v>
      </c>
      <c r="G403" t="s">
        <v>1616</v>
      </c>
      <c r="H403" t="s">
        <v>1617</v>
      </c>
      <c r="I403" t="s">
        <v>1618</v>
      </c>
      <c r="J403" t="s">
        <v>136</v>
      </c>
      <c r="K403">
        <v>9.5238100000000006E-2</v>
      </c>
      <c r="L403">
        <v>10.000000500000001</v>
      </c>
      <c r="M403" s="1">
        <v>3</v>
      </c>
      <c r="N403">
        <v>0</v>
      </c>
      <c r="O403">
        <v>19.95</v>
      </c>
      <c r="P403">
        <v>105</v>
      </c>
      <c r="Q403" s="1">
        <v>85.05</v>
      </c>
      <c r="R403">
        <v>2.1</v>
      </c>
      <c r="S403" s="2">
        <v>44636</v>
      </c>
      <c r="T403" s="2">
        <v>46263</v>
      </c>
      <c r="U403">
        <v>393.75000000000068</v>
      </c>
      <c r="V403">
        <v>331.80000000000058</v>
      </c>
      <c r="W403">
        <v>442.05000000000081</v>
      </c>
      <c r="X403">
        <v>397.95000000000061</v>
      </c>
      <c r="Y403">
        <v>331.80000000000058</v>
      </c>
      <c r="Z403" s="8">
        <v>442.05000000000081</v>
      </c>
      <c r="AA403">
        <v>391.38750000000073</v>
      </c>
      <c r="AB403">
        <v>0.84775318578135472</v>
      </c>
      <c r="AC403">
        <v>1.1294433266264252</v>
      </c>
      <c r="AD403" s="1">
        <v>5</v>
      </c>
      <c r="AE403" s="2">
        <v>46253</v>
      </c>
      <c r="AF403" s="2">
        <v>46261</v>
      </c>
      <c r="AG403" s="2">
        <v>46268</v>
      </c>
      <c r="AH403">
        <v>366.45000000000056</v>
      </c>
      <c r="AI403" s="3">
        <v>0.85756409206323181</v>
      </c>
      <c r="AJ403" s="1">
        <v>6</v>
      </c>
      <c r="AK403" s="2">
        <v>46269</v>
      </c>
      <c r="AL403" s="4">
        <v>30</v>
      </c>
      <c r="AM403" s="5">
        <v>15</v>
      </c>
      <c r="AN403" s="4">
        <v>5</v>
      </c>
      <c r="AO403">
        <v>379.08620689655231</v>
      </c>
      <c r="AP403" s="4">
        <v>1</v>
      </c>
      <c r="AQ403" t="s">
        <v>1619</v>
      </c>
      <c r="AR403" t="s">
        <v>1620</v>
      </c>
      <c r="AT403" s="16">
        <f>_xlfn.XLOOKUP(B403,'SWiSH Demand Forecast Sep-26'!D:D,'SWiSH Demand Forecast Sep-26'!G:G,"Not Exist")</f>
        <v>12.592000000000001</v>
      </c>
    </row>
    <row r="404" spans="1:46" x14ac:dyDescent="0.3">
      <c r="A404">
        <v>103700085</v>
      </c>
      <c r="B404" t="s">
        <v>2271</v>
      </c>
      <c r="C404" t="s">
        <v>136</v>
      </c>
      <c r="D404" t="s">
        <v>1613</v>
      </c>
      <c r="E404" t="s">
        <v>1958</v>
      </c>
      <c r="F404" t="s">
        <v>1615</v>
      </c>
      <c r="G404" t="s">
        <v>1616</v>
      </c>
      <c r="H404" t="s">
        <v>1617</v>
      </c>
      <c r="I404" t="s">
        <v>1618</v>
      </c>
      <c r="J404" t="s">
        <v>136</v>
      </c>
      <c r="K404">
        <v>2.1</v>
      </c>
      <c r="L404">
        <v>2.1</v>
      </c>
      <c r="M404" s="1">
        <v>3</v>
      </c>
      <c r="N404">
        <v>0</v>
      </c>
      <c r="O404">
        <v>0</v>
      </c>
      <c r="P404">
        <v>1</v>
      </c>
      <c r="Q404" s="1">
        <v>1</v>
      </c>
      <c r="R404">
        <v>2.1</v>
      </c>
      <c r="S404" s="2">
        <v>46237</v>
      </c>
      <c r="T404" s="2">
        <v>46263</v>
      </c>
      <c r="U404">
        <v>2</v>
      </c>
      <c r="V404">
        <v>2</v>
      </c>
      <c r="W404">
        <v>5</v>
      </c>
      <c r="X404">
        <v>6</v>
      </c>
      <c r="Y404">
        <v>2</v>
      </c>
      <c r="Z404" s="8">
        <v>6</v>
      </c>
      <c r="AA404">
        <v>3.75</v>
      </c>
      <c r="AB404">
        <v>0.53333333333333333</v>
      </c>
      <c r="AC404">
        <v>1.6</v>
      </c>
      <c r="AD404" s="1">
        <v>5</v>
      </c>
      <c r="AE404" s="2">
        <v>46253</v>
      </c>
      <c r="AF404" s="2">
        <v>46261</v>
      </c>
      <c r="AG404" s="2">
        <v>46268</v>
      </c>
      <c r="AH404">
        <v>5</v>
      </c>
      <c r="AI404" s="3">
        <v>0.86206896551724144</v>
      </c>
      <c r="AJ404" s="1">
        <v>5</v>
      </c>
      <c r="AK404" s="2">
        <v>46268</v>
      </c>
      <c r="AL404" s="4">
        <v>30</v>
      </c>
      <c r="AM404" s="5">
        <v>15</v>
      </c>
      <c r="AN404" s="4">
        <v>5</v>
      </c>
      <c r="AO404">
        <v>5.1724137931034484</v>
      </c>
      <c r="AP404" s="4">
        <v>1</v>
      </c>
      <c r="AQ404" t="s">
        <v>1619</v>
      </c>
      <c r="AR404" t="s">
        <v>1620</v>
      </c>
      <c r="AT404" s="16" t="str">
        <f>_xlfn.XLOOKUP(B404,'SWiSH Demand Forecast Sep-26'!D:D,'SWiSH Demand Forecast Sep-26'!G:G,"Not Exist")</f>
        <v>Not Exist</v>
      </c>
    </row>
    <row r="405" spans="1:46" hidden="1" x14ac:dyDescent="0.3">
      <c r="A405">
        <v>101800028</v>
      </c>
      <c r="B405" t="s">
        <v>65</v>
      </c>
      <c r="C405" t="s">
        <v>10</v>
      </c>
      <c r="D405" t="s">
        <v>1613</v>
      </c>
      <c r="E405" t="s">
        <v>2272</v>
      </c>
      <c r="F405" t="s">
        <v>1664</v>
      </c>
      <c r="G405" t="s">
        <v>1624</v>
      </c>
      <c r="H405" t="s">
        <v>2144</v>
      </c>
      <c r="I405" t="s">
        <v>1634</v>
      </c>
      <c r="J405" t="s">
        <v>2273</v>
      </c>
      <c r="K405">
        <v>7.0000000000000001E-3</v>
      </c>
      <c r="L405">
        <v>73.5</v>
      </c>
      <c r="M405" s="1">
        <v>30</v>
      </c>
      <c r="N405">
        <v>0</v>
      </c>
      <c r="O405">
        <v>0</v>
      </c>
      <c r="P405">
        <v>10500</v>
      </c>
      <c r="Q405" s="1">
        <v>10500</v>
      </c>
      <c r="R405">
        <v>3.5</v>
      </c>
      <c r="S405" s="2">
        <v>46263</v>
      </c>
      <c r="T405" s="2">
        <v>46261</v>
      </c>
      <c r="U405">
        <v>30500</v>
      </c>
      <c r="V405">
        <v>47500</v>
      </c>
      <c r="W405">
        <v>36500</v>
      </c>
      <c r="X405">
        <v>37000</v>
      </c>
      <c r="Y405">
        <v>30500</v>
      </c>
      <c r="Z405" s="8">
        <v>47500</v>
      </c>
      <c r="AA405">
        <v>37875</v>
      </c>
      <c r="AB405">
        <v>0.80528052805280526</v>
      </c>
      <c r="AC405">
        <v>1.2541254125412542</v>
      </c>
      <c r="AD405" s="1">
        <v>6</v>
      </c>
      <c r="AE405" s="2">
        <v>46254</v>
      </c>
      <c r="AF405" s="2">
        <v>46262</v>
      </c>
      <c r="AG405" s="2">
        <v>46269</v>
      </c>
      <c r="AH405">
        <v>31000</v>
      </c>
      <c r="AI405" s="3">
        <v>0.67513611615245006</v>
      </c>
      <c r="AJ405" s="1">
        <v>9</v>
      </c>
      <c r="AK405" s="2">
        <v>46272</v>
      </c>
      <c r="AL405" s="4">
        <v>15</v>
      </c>
      <c r="AM405" s="5">
        <v>15</v>
      </c>
      <c r="AN405" s="4">
        <v>6</v>
      </c>
      <c r="AO405">
        <v>16034.482758620688</v>
      </c>
      <c r="AP405" s="4">
        <v>2</v>
      </c>
      <c r="AQ405">
        <v>159</v>
      </c>
      <c r="AR405" t="s">
        <v>2150</v>
      </c>
      <c r="AT405" s="16">
        <f>_xlfn.XLOOKUP(B405,'SWiSH Demand Forecast Sep-26'!D:D,'SWiSH Demand Forecast Sep-26'!G:G,"Not Exist")</f>
        <v>34801</v>
      </c>
    </row>
    <row r="406" spans="1:46" hidden="1" x14ac:dyDescent="0.3">
      <c r="A406">
        <v>101300006</v>
      </c>
      <c r="B406" t="s">
        <v>135</v>
      </c>
      <c r="C406" t="s">
        <v>136</v>
      </c>
      <c r="D406" t="s">
        <v>1613</v>
      </c>
      <c r="E406" t="s">
        <v>2111</v>
      </c>
      <c r="F406" t="s">
        <v>1752</v>
      </c>
      <c r="G406" t="s">
        <v>1624</v>
      </c>
      <c r="H406" t="s">
        <v>1980</v>
      </c>
      <c r="I406" t="s">
        <v>1754</v>
      </c>
      <c r="J406" t="s">
        <v>2096</v>
      </c>
      <c r="K406">
        <v>1.40276063</v>
      </c>
      <c r="L406">
        <v>16889.237985199998</v>
      </c>
      <c r="M406" s="1">
        <v>3</v>
      </c>
      <c r="N406">
        <v>0</v>
      </c>
      <c r="O406">
        <v>0</v>
      </c>
      <c r="P406">
        <v>12040</v>
      </c>
      <c r="Q406" s="1">
        <v>12040</v>
      </c>
      <c r="R406">
        <v>13.5</v>
      </c>
      <c r="S406" s="2">
        <v>46263</v>
      </c>
      <c r="T406" s="2">
        <v>46263</v>
      </c>
      <c r="U406">
        <v>56760</v>
      </c>
      <c r="V406">
        <v>53550</v>
      </c>
      <c r="W406">
        <v>49550</v>
      </c>
      <c r="X406">
        <v>51040</v>
      </c>
      <c r="Y406">
        <v>49550</v>
      </c>
      <c r="Z406" s="8">
        <v>56760</v>
      </c>
      <c r="AA406">
        <v>52725</v>
      </c>
      <c r="AB406">
        <v>0.93978188715030819</v>
      </c>
      <c r="AC406">
        <v>1.076529160739687</v>
      </c>
      <c r="AD406" s="1">
        <v>6</v>
      </c>
      <c r="AE406" s="2">
        <v>46254</v>
      </c>
      <c r="AF406" s="2">
        <v>46262</v>
      </c>
      <c r="AG406" s="2">
        <v>46269</v>
      </c>
      <c r="AH406">
        <v>48370</v>
      </c>
      <c r="AI406" s="3">
        <v>0.88157031420864629</v>
      </c>
      <c r="AJ406" s="1">
        <v>7</v>
      </c>
      <c r="AK406" s="2">
        <v>46270</v>
      </c>
      <c r="AL406" s="4">
        <v>4</v>
      </c>
      <c r="AM406" s="5">
        <v>3</v>
      </c>
      <c r="AN406" s="4">
        <v>6</v>
      </c>
      <c r="AO406">
        <v>6671.7241379310353</v>
      </c>
      <c r="AP406" s="4">
        <v>9</v>
      </c>
      <c r="AQ406" t="s">
        <v>1619</v>
      </c>
      <c r="AR406" t="s">
        <v>2274</v>
      </c>
      <c r="AT406" s="16">
        <f>_xlfn.XLOOKUP(B406,'SWiSH Demand Forecast Sep-26'!D:D,'SWiSH Demand Forecast Sep-26'!G:G,"Not Exist")</f>
        <v>13939.001084256999</v>
      </c>
    </row>
    <row r="407" spans="1:46" hidden="1" x14ac:dyDescent="0.3">
      <c r="A407">
        <v>103700102</v>
      </c>
      <c r="B407" t="s">
        <v>1540</v>
      </c>
      <c r="C407" t="s">
        <v>136</v>
      </c>
      <c r="D407" t="s">
        <v>1613</v>
      </c>
      <c r="E407" t="s">
        <v>1732</v>
      </c>
      <c r="F407" t="s">
        <v>1615</v>
      </c>
      <c r="G407" t="s">
        <v>1616</v>
      </c>
      <c r="H407" t="s">
        <v>1617</v>
      </c>
      <c r="I407" t="s">
        <v>1618</v>
      </c>
      <c r="J407" t="s">
        <v>1858</v>
      </c>
      <c r="K407">
        <v>1.75</v>
      </c>
      <c r="L407">
        <v>1.75</v>
      </c>
      <c r="M407" s="1">
        <v>3</v>
      </c>
      <c r="N407">
        <v>0</v>
      </c>
      <c r="O407">
        <v>0</v>
      </c>
      <c r="P407">
        <v>1</v>
      </c>
      <c r="Q407" s="1">
        <v>1</v>
      </c>
      <c r="R407">
        <v>2</v>
      </c>
      <c r="S407" s="2">
        <v>46260</v>
      </c>
      <c r="T407" s="2">
        <v>46261</v>
      </c>
      <c r="U407">
        <v>1</v>
      </c>
      <c r="V407">
        <v>5</v>
      </c>
      <c r="W407">
        <v>1</v>
      </c>
      <c r="X407">
        <v>3</v>
      </c>
      <c r="Y407">
        <v>1</v>
      </c>
      <c r="Z407" s="8">
        <v>5</v>
      </c>
      <c r="AA407">
        <v>2.5</v>
      </c>
      <c r="AB407">
        <v>0.4</v>
      </c>
      <c r="AC407">
        <v>2</v>
      </c>
      <c r="AD407" s="1">
        <v>6</v>
      </c>
      <c r="AE407" s="2">
        <v>46254</v>
      </c>
      <c r="AF407" s="2">
        <v>46262</v>
      </c>
      <c r="AG407" s="2">
        <v>46269</v>
      </c>
      <c r="AH407">
        <v>1</v>
      </c>
      <c r="AI407" s="3">
        <v>0.20689655172413796</v>
      </c>
      <c r="AJ407" s="1">
        <v>29</v>
      </c>
      <c r="AK407" s="2">
        <v>46292</v>
      </c>
      <c r="AL407" s="4">
        <v>30</v>
      </c>
      <c r="AM407" s="5">
        <v>15</v>
      </c>
      <c r="AN407" s="4">
        <v>6</v>
      </c>
      <c r="AO407">
        <v>1.0344827586206897</v>
      </c>
      <c r="AP407" s="4">
        <v>1</v>
      </c>
      <c r="AQ407" t="s">
        <v>1619</v>
      </c>
      <c r="AR407" t="s">
        <v>1620</v>
      </c>
      <c r="AT407" s="16">
        <f>_xlfn.XLOOKUP(B407,'SWiSH Demand Forecast Sep-26'!D:D,'SWiSH Demand Forecast Sep-26'!G:G,"Not Exist")</f>
        <v>0.95864267352185095</v>
      </c>
    </row>
    <row r="408" spans="1:46" x14ac:dyDescent="0.3">
      <c r="A408">
        <v>106400914</v>
      </c>
      <c r="B408" t="s">
        <v>2275</v>
      </c>
      <c r="C408" t="s">
        <v>29</v>
      </c>
      <c r="D408" t="s">
        <v>1613</v>
      </c>
      <c r="E408" t="s">
        <v>1762</v>
      </c>
      <c r="F408" t="s">
        <v>1763</v>
      </c>
      <c r="G408" t="s">
        <v>1624</v>
      </c>
      <c r="H408" t="s">
        <v>1764</v>
      </c>
      <c r="I408" t="s">
        <v>1754</v>
      </c>
      <c r="J408" t="s">
        <v>10</v>
      </c>
      <c r="K408">
        <v>0.83477847999999999</v>
      </c>
      <c r="L408">
        <v>419.05879696</v>
      </c>
      <c r="M408" s="1">
        <v>3</v>
      </c>
      <c r="N408">
        <v>0</v>
      </c>
      <c r="O408">
        <v>0</v>
      </c>
      <c r="P408">
        <v>502</v>
      </c>
      <c r="Q408" s="1">
        <v>502</v>
      </c>
      <c r="R408">
        <v>0</v>
      </c>
      <c r="S408" s="2">
        <v>0</v>
      </c>
      <c r="T408" s="2">
        <v>46260</v>
      </c>
      <c r="U408">
        <v>2491</v>
      </c>
      <c r="V408">
        <v>1991</v>
      </c>
      <c r="W408">
        <v>2429</v>
      </c>
      <c r="X408">
        <v>2482</v>
      </c>
      <c r="Y408">
        <v>1991</v>
      </c>
      <c r="Z408" s="8">
        <v>2491</v>
      </c>
      <c r="AA408">
        <v>2348.25</v>
      </c>
      <c r="AB408">
        <v>0.84786543170446071</v>
      </c>
      <c r="AC408">
        <v>1.0607899499627382</v>
      </c>
      <c r="AD408" s="1">
        <v>6</v>
      </c>
      <c r="AE408" s="2">
        <v>46254</v>
      </c>
      <c r="AF408" s="2">
        <v>46262</v>
      </c>
      <c r="AG408" s="2">
        <v>46269</v>
      </c>
      <c r="AH408">
        <v>1980</v>
      </c>
      <c r="AI408" s="3">
        <v>0.82227051869488788</v>
      </c>
      <c r="AJ408" s="1">
        <v>7</v>
      </c>
      <c r="AK408" s="2">
        <v>46270</v>
      </c>
      <c r="AL408" s="4" t="s">
        <v>1658</v>
      </c>
      <c r="AM408" s="5" t="s">
        <v>1658</v>
      </c>
      <c r="AN408" s="4">
        <v>6</v>
      </c>
      <c r="AO408" t="s">
        <v>1635</v>
      </c>
      <c r="AP408" s="4" t="s">
        <v>1658</v>
      </c>
      <c r="AQ408" t="s">
        <v>1619</v>
      </c>
      <c r="AR408" t="s">
        <v>1620</v>
      </c>
      <c r="AT408" s="16" t="str">
        <f>_xlfn.XLOOKUP(B408,'SWiSH Demand Forecast Sep-26'!D:D,'SWiSH Demand Forecast Sep-26'!G:G,"Not Exist")</f>
        <v>Not Exist</v>
      </c>
    </row>
    <row r="409" spans="1:46" x14ac:dyDescent="0.3">
      <c r="A409">
        <v>106200162</v>
      </c>
      <c r="B409" t="s">
        <v>2276</v>
      </c>
      <c r="C409" t="s">
        <v>136</v>
      </c>
      <c r="D409" t="s">
        <v>1613</v>
      </c>
      <c r="E409" t="s">
        <v>1622</v>
      </c>
      <c r="F409" t="s">
        <v>1840</v>
      </c>
      <c r="G409" t="s">
        <v>1616</v>
      </c>
      <c r="H409" t="s">
        <v>1672</v>
      </c>
      <c r="I409" t="s">
        <v>1618</v>
      </c>
      <c r="J409" t="s">
        <v>136</v>
      </c>
      <c r="K409">
        <v>1.4875</v>
      </c>
      <c r="L409">
        <v>8.9250000000000007</v>
      </c>
      <c r="M409" s="1">
        <v>3</v>
      </c>
      <c r="N409">
        <v>0</v>
      </c>
      <c r="O409">
        <v>0</v>
      </c>
      <c r="P409">
        <v>6</v>
      </c>
      <c r="Q409" s="1">
        <v>6</v>
      </c>
      <c r="R409">
        <v>0.6</v>
      </c>
      <c r="S409" s="2">
        <v>46249</v>
      </c>
      <c r="T409" s="2">
        <v>46249</v>
      </c>
      <c r="U409">
        <v>0</v>
      </c>
      <c r="V409">
        <v>27.200000000000003</v>
      </c>
      <c r="W409">
        <v>19.2</v>
      </c>
      <c r="X409">
        <v>13.6</v>
      </c>
      <c r="Y409">
        <v>0</v>
      </c>
      <c r="Z409" s="8">
        <v>27.200000000000003</v>
      </c>
      <c r="AA409">
        <v>15.000000000000002</v>
      </c>
      <c r="AB409">
        <v>0</v>
      </c>
      <c r="AC409">
        <v>1.8133333333333332</v>
      </c>
      <c r="AD409" s="1">
        <v>6</v>
      </c>
      <c r="AE409" s="2">
        <v>46254</v>
      </c>
      <c r="AF409" s="2">
        <v>46262</v>
      </c>
      <c r="AG409" s="2">
        <v>46269</v>
      </c>
      <c r="AH409">
        <v>9.6</v>
      </c>
      <c r="AI409" s="3">
        <v>0.36511156186612576</v>
      </c>
      <c r="AJ409" s="1">
        <v>18</v>
      </c>
      <c r="AK409" s="2">
        <v>46281</v>
      </c>
      <c r="AL409" s="4">
        <v>30</v>
      </c>
      <c r="AM409" s="5">
        <v>15</v>
      </c>
      <c r="AN409" s="4">
        <v>6</v>
      </c>
      <c r="AO409">
        <v>9.931034482758621</v>
      </c>
      <c r="AP409" s="4">
        <v>1</v>
      </c>
      <c r="AQ409" t="s">
        <v>1619</v>
      </c>
      <c r="AR409" t="s">
        <v>1620</v>
      </c>
      <c r="AT409" s="16" t="str">
        <f>_xlfn.XLOOKUP(B409,'SWiSH Demand Forecast Sep-26'!D:D,'SWiSH Demand Forecast Sep-26'!G:G,"Not Exist")</f>
        <v>Not Exist</v>
      </c>
    </row>
    <row r="410" spans="1:46" hidden="1" x14ac:dyDescent="0.3">
      <c r="A410">
        <v>100700006</v>
      </c>
      <c r="B410" t="s">
        <v>864</v>
      </c>
      <c r="C410" t="s">
        <v>136</v>
      </c>
      <c r="D410" t="s">
        <v>1613</v>
      </c>
      <c r="E410" t="s">
        <v>2277</v>
      </c>
      <c r="F410" t="s">
        <v>1875</v>
      </c>
      <c r="G410" t="s">
        <v>1616</v>
      </c>
      <c r="H410" t="s">
        <v>1867</v>
      </c>
      <c r="I410" t="s">
        <v>1618</v>
      </c>
      <c r="J410" t="s">
        <v>2278</v>
      </c>
      <c r="K410">
        <v>0.49288955000000001</v>
      </c>
      <c r="L410">
        <v>80.912748527999995</v>
      </c>
      <c r="M410" s="1">
        <v>3</v>
      </c>
      <c r="N410">
        <v>0</v>
      </c>
      <c r="O410">
        <v>0</v>
      </c>
      <c r="P410">
        <v>164.16</v>
      </c>
      <c r="Q410" s="1">
        <v>164.16</v>
      </c>
      <c r="R410">
        <v>4.5</v>
      </c>
      <c r="S410" s="2">
        <v>46226</v>
      </c>
      <c r="T410" s="2">
        <v>46263</v>
      </c>
      <c r="U410">
        <v>355.68000000000012</v>
      </c>
      <c r="V410">
        <v>756.96000000000026</v>
      </c>
      <c r="W410">
        <v>620.1600000000002</v>
      </c>
      <c r="X410">
        <v>510.7200000000002</v>
      </c>
      <c r="Y410">
        <v>355.68000000000012</v>
      </c>
      <c r="Z410" s="8">
        <v>756.96000000000026</v>
      </c>
      <c r="AA410">
        <v>560.88000000000022</v>
      </c>
      <c r="AB410">
        <v>0.63414634146341464</v>
      </c>
      <c r="AC410">
        <v>1.3495934959349594</v>
      </c>
      <c r="AD410" s="1">
        <v>6</v>
      </c>
      <c r="AE410" s="2">
        <v>46254</v>
      </c>
      <c r="AF410" s="2">
        <v>46262</v>
      </c>
      <c r="AG410" s="2">
        <v>46269</v>
      </c>
      <c r="AH410">
        <v>410.40000000000015</v>
      </c>
      <c r="AI410" s="3">
        <v>0.56086414624013292</v>
      </c>
      <c r="AJ410" s="1">
        <v>11</v>
      </c>
      <c r="AK410" s="2">
        <v>46274</v>
      </c>
      <c r="AL410" s="4">
        <v>15</v>
      </c>
      <c r="AM410" s="5">
        <v>15</v>
      </c>
      <c r="AN410" s="4">
        <v>6</v>
      </c>
      <c r="AO410">
        <v>212.27586206896558</v>
      </c>
      <c r="AP410" s="4">
        <v>2</v>
      </c>
      <c r="AQ410" t="s">
        <v>1619</v>
      </c>
      <c r="AR410" t="s">
        <v>1620</v>
      </c>
      <c r="AT410" s="16">
        <f>_xlfn.XLOOKUP(B410,'SWiSH Demand Forecast Sep-26'!D:D,'SWiSH Demand Forecast Sep-26'!G:G,"Not Exist")</f>
        <v>284.76699999999897</v>
      </c>
    </row>
    <row r="411" spans="1:46" hidden="1" x14ac:dyDescent="0.3">
      <c r="A411">
        <v>101600031</v>
      </c>
      <c r="B411" t="s">
        <v>516</v>
      </c>
      <c r="C411" t="s">
        <v>10</v>
      </c>
      <c r="D411" t="s">
        <v>1613</v>
      </c>
      <c r="E411" t="s">
        <v>1745</v>
      </c>
      <c r="F411" t="s">
        <v>1631</v>
      </c>
      <c r="G411" t="s">
        <v>1624</v>
      </c>
      <c r="H411" t="s">
        <v>1768</v>
      </c>
      <c r="I411" t="s">
        <v>1634</v>
      </c>
      <c r="J411" t="s">
        <v>2279</v>
      </c>
      <c r="K411">
        <v>4.2500000000000003E-2</v>
      </c>
      <c r="L411">
        <v>34</v>
      </c>
      <c r="M411" s="1">
        <v>3</v>
      </c>
      <c r="N411">
        <v>0</v>
      </c>
      <c r="O411">
        <v>0</v>
      </c>
      <c r="P411">
        <v>800</v>
      </c>
      <c r="Q411" s="1">
        <v>800</v>
      </c>
      <c r="R411">
        <v>17</v>
      </c>
      <c r="S411" s="2">
        <v>46253</v>
      </c>
      <c r="T411" s="2">
        <v>46259</v>
      </c>
      <c r="U411">
        <v>3600</v>
      </c>
      <c r="V411">
        <v>2800</v>
      </c>
      <c r="W411">
        <v>2400</v>
      </c>
      <c r="X411">
        <v>3200</v>
      </c>
      <c r="Y411">
        <v>2400</v>
      </c>
      <c r="Z411" s="8">
        <v>3600</v>
      </c>
      <c r="AA411">
        <v>3000</v>
      </c>
      <c r="AB411">
        <v>0.8</v>
      </c>
      <c r="AC411">
        <v>1.2</v>
      </c>
      <c r="AD411" s="1">
        <v>6</v>
      </c>
      <c r="AE411" s="2">
        <v>46254</v>
      </c>
      <c r="AF411" s="2">
        <v>46262</v>
      </c>
      <c r="AG411" s="2">
        <v>46269</v>
      </c>
      <c r="AH411">
        <v>2400</v>
      </c>
      <c r="AI411" s="3">
        <v>0.68965517241379315</v>
      </c>
      <c r="AJ411" s="1">
        <v>9</v>
      </c>
      <c r="AK411" s="2">
        <v>46272</v>
      </c>
      <c r="AL411" s="4">
        <v>30</v>
      </c>
      <c r="AM411" s="5">
        <v>15</v>
      </c>
      <c r="AN411" s="4">
        <v>6</v>
      </c>
      <c r="AO411">
        <v>2482.7586206896553</v>
      </c>
      <c r="AP411" s="4">
        <v>1</v>
      </c>
      <c r="AQ411" t="s">
        <v>1619</v>
      </c>
      <c r="AR411" t="s">
        <v>1620</v>
      </c>
      <c r="AT411" s="16">
        <f>_xlfn.XLOOKUP(B411,'SWiSH Demand Forecast Sep-26'!D:D,'SWiSH Demand Forecast Sep-26'!G:G,"Not Exist")</f>
        <v>1435</v>
      </c>
    </row>
    <row r="412" spans="1:46" hidden="1" x14ac:dyDescent="0.3">
      <c r="A412">
        <v>100200010</v>
      </c>
      <c r="B412" t="s">
        <v>804</v>
      </c>
      <c r="C412" t="s">
        <v>136</v>
      </c>
      <c r="D412" t="s">
        <v>1613</v>
      </c>
      <c r="E412" t="s">
        <v>1949</v>
      </c>
      <c r="F412" t="s">
        <v>1752</v>
      </c>
      <c r="G412" t="s">
        <v>1616</v>
      </c>
      <c r="H412" t="s">
        <v>1988</v>
      </c>
      <c r="I412" t="s">
        <v>1754</v>
      </c>
      <c r="J412" t="s">
        <v>2280</v>
      </c>
      <c r="K412">
        <v>2.2000000000000002</v>
      </c>
      <c r="L412">
        <v>1276</v>
      </c>
      <c r="M412" s="1">
        <v>3</v>
      </c>
      <c r="N412">
        <v>0</v>
      </c>
      <c r="O412">
        <v>10</v>
      </c>
      <c r="P412">
        <v>580</v>
      </c>
      <c r="Q412" s="1">
        <v>570</v>
      </c>
      <c r="R412">
        <v>22</v>
      </c>
      <c r="S412" s="2">
        <v>46250</v>
      </c>
      <c r="T412" s="2">
        <v>46263</v>
      </c>
      <c r="U412">
        <v>0</v>
      </c>
      <c r="V412">
        <v>720</v>
      </c>
      <c r="W412">
        <v>560</v>
      </c>
      <c r="X412">
        <v>2710</v>
      </c>
      <c r="Y412">
        <v>0</v>
      </c>
      <c r="Z412" s="8">
        <v>2710</v>
      </c>
      <c r="AA412">
        <v>997.5</v>
      </c>
      <c r="AB412">
        <v>0</v>
      </c>
      <c r="AC412">
        <v>2.7167919799498748</v>
      </c>
      <c r="AD412" s="1">
        <v>6</v>
      </c>
      <c r="AE412" s="2">
        <v>46254</v>
      </c>
      <c r="AF412" s="2">
        <v>46262</v>
      </c>
      <c r="AG412" s="2">
        <v>46269</v>
      </c>
      <c r="AH412">
        <v>500</v>
      </c>
      <c r="AI412" s="3">
        <v>0.19086397760529328</v>
      </c>
      <c r="AJ412" s="1">
        <v>33</v>
      </c>
      <c r="AK412" s="2">
        <v>46296</v>
      </c>
      <c r="AL412" s="4">
        <v>30</v>
      </c>
      <c r="AM412" s="5">
        <v>15</v>
      </c>
      <c r="AN412" s="4">
        <v>6</v>
      </c>
      <c r="AO412">
        <v>517.24137931034477</v>
      </c>
      <c r="AP412" s="4">
        <v>1</v>
      </c>
      <c r="AQ412">
        <v>50</v>
      </c>
      <c r="AR412" t="s">
        <v>2019</v>
      </c>
      <c r="AS412" t="s">
        <v>1666</v>
      </c>
      <c r="AT412" s="16">
        <f>_xlfn.XLOOKUP(B412,'SWiSH Demand Forecast Sep-26'!D:D,'SWiSH Demand Forecast Sep-26'!G:G,"Not Exist")</f>
        <v>389.02</v>
      </c>
    </row>
    <row r="413" spans="1:46" x14ac:dyDescent="0.3">
      <c r="A413">
        <v>101400036</v>
      </c>
      <c r="B413" t="s">
        <v>2281</v>
      </c>
      <c r="C413" t="s">
        <v>240</v>
      </c>
      <c r="D413" t="s">
        <v>1613</v>
      </c>
      <c r="E413" t="s">
        <v>2282</v>
      </c>
      <c r="F413" t="s">
        <v>1644</v>
      </c>
      <c r="G413" t="s">
        <v>1624</v>
      </c>
      <c r="H413" t="s">
        <v>1693</v>
      </c>
      <c r="I413" t="s">
        <v>1634</v>
      </c>
      <c r="J413" t="s">
        <v>1743</v>
      </c>
      <c r="K413">
        <v>1.5</v>
      </c>
      <c r="L413">
        <v>82.5</v>
      </c>
      <c r="M413" s="1">
        <v>3</v>
      </c>
      <c r="N413">
        <v>0</v>
      </c>
      <c r="O413">
        <v>0</v>
      </c>
      <c r="P413">
        <v>55</v>
      </c>
      <c r="Q413" s="1">
        <v>55</v>
      </c>
      <c r="R413">
        <v>15</v>
      </c>
      <c r="S413" s="2">
        <v>46254</v>
      </c>
      <c r="T413" s="2">
        <v>46262</v>
      </c>
      <c r="U413">
        <v>120</v>
      </c>
      <c r="V413">
        <v>175</v>
      </c>
      <c r="W413">
        <v>200</v>
      </c>
      <c r="X413">
        <v>275</v>
      </c>
      <c r="Y413">
        <v>120</v>
      </c>
      <c r="Z413" s="8">
        <v>275</v>
      </c>
      <c r="AA413">
        <v>192.5</v>
      </c>
      <c r="AB413">
        <v>0.62337662337662336</v>
      </c>
      <c r="AC413">
        <v>1.4285714285714286</v>
      </c>
      <c r="AD413" s="1">
        <v>6</v>
      </c>
      <c r="AE413" s="2">
        <v>46254</v>
      </c>
      <c r="AF413" s="2">
        <v>46262</v>
      </c>
      <c r="AG413" s="2">
        <v>46269</v>
      </c>
      <c r="AH413">
        <v>205</v>
      </c>
      <c r="AI413" s="3">
        <v>0.77115987460815039</v>
      </c>
      <c r="AJ413" s="1">
        <v>7</v>
      </c>
      <c r="AK413" s="2">
        <v>46270</v>
      </c>
      <c r="AL413" s="4">
        <v>30</v>
      </c>
      <c r="AM413" s="5">
        <v>15</v>
      </c>
      <c r="AN413" s="4">
        <v>6</v>
      </c>
      <c r="AO413">
        <v>212.06896551724137</v>
      </c>
      <c r="AP413" s="4">
        <v>1</v>
      </c>
      <c r="AQ413" t="s">
        <v>1619</v>
      </c>
      <c r="AR413" t="s">
        <v>1620</v>
      </c>
      <c r="AT413" s="16" t="str">
        <f>_xlfn.XLOOKUP(B413,'SWiSH Demand Forecast Sep-26'!D:D,'SWiSH Demand Forecast Sep-26'!G:G,"Not Exist")</f>
        <v>Not Exist</v>
      </c>
    </row>
    <row r="414" spans="1:46" x14ac:dyDescent="0.3">
      <c r="A414">
        <v>101800015</v>
      </c>
      <c r="B414" t="s">
        <v>2283</v>
      </c>
      <c r="C414" t="s">
        <v>10</v>
      </c>
      <c r="D414" t="s">
        <v>1613</v>
      </c>
      <c r="E414" t="s">
        <v>2108</v>
      </c>
      <c r="F414" t="s">
        <v>1631</v>
      </c>
      <c r="G414" t="s">
        <v>1624</v>
      </c>
      <c r="H414" t="s">
        <v>2144</v>
      </c>
      <c r="I414" t="s">
        <v>1634</v>
      </c>
      <c r="J414" t="s">
        <v>2113</v>
      </c>
      <c r="K414">
        <v>5.0000000000000001E-3</v>
      </c>
      <c r="L414">
        <v>5</v>
      </c>
      <c r="M414" s="1">
        <v>3</v>
      </c>
      <c r="N414">
        <v>0</v>
      </c>
      <c r="O414">
        <v>0</v>
      </c>
      <c r="P414">
        <v>1000</v>
      </c>
      <c r="Q414" s="1">
        <v>1000</v>
      </c>
      <c r="R414">
        <v>5</v>
      </c>
      <c r="S414" s="2">
        <v>46228</v>
      </c>
      <c r="T414" s="2">
        <v>46260</v>
      </c>
      <c r="U414">
        <v>5000</v>
      </c>
      <c r="V414">
        <v>3000</v>
      </c>
      <c r="W414">
        <v>5000</v>
      </c>
      <c r="X414">
        <v>3000</v>
      </c>
      <c r="Y414">
        <v>3000</v>
      </c>
      <c r="Z414" s="8">
        <v>5000</v>
      </c>
      <c r="AA414">
        <v>4000</v>
      </c>
      <c r="AB414">
        <v>0.75</v>
      </c>
      <c r="AC414">
        <v>1.25</v>
      </c>
      <c r="AD414" s="1">
        <v>6</v>
      </c>
      <c r="AE414" s="2">
        <v>46254</v>
      </c>
      <c r="AF414" s="2">
        <v>46262</v>
      </c>
      <c r="AG414" s="2">
        <v>46269</v>
      </c>
      <c r="AH414">
        <v>5000</v>
      </c>
      <c r="AI414" s="3">
        <v>1.0344827586206897</v>
      </c>
      <c r="AJ414" s="1">
        <v>5</v>
      </c>
      <c r="AK414" s="2">
        <v>46268</v>
      </c>
      <c r="AL414" s="4">
        <v>30</v>
      </c>
      <c r="AM414" s="5">
        <v>15</v>
      </c>
      <c r="AN414" s="4">
        <v>5</v>
      </c>
      <c r="AO414">
        <v>5172.4137931034484</v>
      </c>
      <c r="AP414" s="4">
        <v>1</v>
      </c>
      <c r="AQ414" t="s">
        <v>1619</v>
      </c>
      <c r="AR414" t="s">
        <v>1620</v>
      </c>
      <c r="AT414" s="16" t="str">
        <f>_xlfn.XLOOKUP(B414,'SWiSH Demand Forecast Sep-26'!D:D,'SWiSH Demand Forecast Sep-26'!G:G,"Not Exist")</f>
        <v>Not Exist</v>
      </c>
    </row>
    <row r="415" spans="1:46" hidden="1" x14ac:dyDescent="0.3">
      <c r="A415">
        <v>101200001</v>
      </c>
      <c r="B415" t="s">
        <v>1079</v>
      </c>
      <c r="C415" t="s">
        <v>136</v>
      </c>
      <c r="D415" t="s">
        <v>1613</v>
      </c>
      <c r="E415" t="s">
        <v>1677</v>
      </c>
      <c r="F415" t="s">
        <v>1833</v>
      </c>
      <c r="G415" t="s">
        <v>1616</v>
      </c>
      <c r="H415" t="s">
        <v>1625</v>
      </c>
      <c r="I415" t="s">
        <v>1626</v>
      </c>
      <c r="J415" t="s">
        <v>136</v>
      </c>
      <c r="K415">
        <v>2.75321477</v>
      </c>
      <c r="L415">
        <v>328.43098991330004</v>
      </c>
      <c r="M415" s="1">
        <v>3</v>
      </c>
      <c r="N415">
        <v>0</v>
      </c>
      <c r="O415">
        <v>4.74</v>
      </c>
      <c r="P415">
        <v>119.29</v>
      </c>
      <c r="Q415" s="1">
        <v>114.55000000000001</v>
      </c>
      <c r="R415">
        <v>2.75</v>
      </c>
      <c r="S415" s="2">
        <v>46251</v>
      </c>
      <c r="T415" s="2">
        <v>46261</v>
      </c>
      <c r="U415">
        <v>59.772000000000006</v>
      </c>
      <c r="V415">
        <v>279.69799999999998</v>
      </c>
      <c r="W415">
        <v>510.19</v>
      </c>
      <c r="X415">
        <v>513.72500000000002</v>
      </c>
      <c r="Y415">
        <v>59.772000000000006</v>
      </c>
      <c r="Z415" s="8">
        <v>513.72500000000002</v>
      </c>
      <c r="AA415">
        <v>340.84625</v>
      </c>
      <c r="AB415">
        <v>0.17536352534317162</v>
      </c>
      <c r="AC415">
        <v>1.5072044946951888</v>
      </c>
      <c r="AD415" s="1">
        <v>6</v>
      </c>
      <c r="AE415" s="2">
        <v>46254</v>
      </c>
      <c r="AF415" s="2">
        <v>46262</v>
      </c>
      <c r="AG415" s="2">
        <v>46269</v>
      </c>
      <c r="AH415">
        <v>470.05999999999995</v>
      </c>
      <c r="AI415" s="3">
        <v>0.94655499638374874</v>
      </c>
      <c r="AJ415" s="1">
        <v>7</v>
      </c>
      <c r="AK415" s="2">
        <v>46270</v>
      </c>
      <c r="AL415" s="4">
        <v>30</v>
      </c>
      <c r="AM415" s="5">
        <v>15</v>
      </c>
      <c r="AN415" s="4">
        <v>6</v>
      </c>
      <c r="AO415">
        <v>486.26896551724133</v>
      </c>
      <c r="AP415" s="4">
        <v>1</v>
      </c>
      <c r="AQ415" t="s">
        <v>1619</v>
      </c>
      <c r="AR415" t="s">
        <v>1620</v>
      </c>
      <c r="AT415" s="16">
        <f>_xlfn.XLOOKUP(B415,'SWiSH Demand Forecast Sep-26'!D:D,'SWiSH Demand Forecast Sep-26'!G:G,"Not Exist")</f>
        <v>113.570677290836</v>
      </c>
    </row>
    <row r="416" spans="1:46" x14ac:dyDescent="0.3">
      <c r="A416">
        <v>105200038</v>
      </c>
      <c r="B416" t="s">
        <v>2284</v>
      </c>
      <c r="C416" t="s">
        <v>10</v>
      </c>
      <c r="D416" t="s">
        <v>1613</v>
      </c>
      <c r="E416" t="s">
        <v>1796</v>
      </c>
      <c r="F416" t="s">
        <v>1664</v>
      </c>
      <c r="G416" t="s">
        <v>1624</v>
      </c>
      <c r="H416" t="s">
        <v>1779</v>
      </c>
      <c r="I416" t="s">
        <v>1634</v>
      </c>
      <c r="J416" t="s">
        <v>10</v>
      </c>
      <c r="K416">
        <v>3.2000000000000001E-2</v>
      </c>
      <c r="L416">
        <v>115.2</v>
      </c>
      <c r="M416" s="1">
        <v>30</v>
      </c>
      <c r="N416">
        <v>0</v>
      </c>
      <c r="O416">
        <v>0</v>
      </c>
      <c r="P416">
        <v>3600</v>
      </c>
      <c r="Q416" s="1">
        <v>3600</v>
      </c>
      <c r="R416">
        <v>3.2000000000000001E-2</v>
      </c>
      <c r="S416" s="2">
        <v>46215</v>
      </c>
      <c r="T416" s="2">
        <v>46263</v>
      </c>
      <c r="U416">
        <v>10200</v>
      </c>
      <c r="V416">
        <v>12200</v>
      </c>
      <c r="W416">
        <v>16000</v>
      </c>
      <c r="X416">
        <v>15600</v>
      </c>
      <c r="Y416">
        <v>10200</v>
      </c>
      <c r="Z416" s="8">
        <v>16000</v>
      </c>
      <c r="AA416">
        <v>13500</v>
      </c>
      <c r="AB416">
        <v>0.75555555555555554</v>
      </c>
      <c r="AC416">
        <v>1.1851851851851851</v>
      </c>
      <c r="AD416" s="1">
        <v>6</v>
      </c>
      <c r="AE416" s="2">
        <v>46254</v>
      </c>
      <c r="AF416" s="2">
        <v>46262</v>
      </c>
      <c r="AG416" s="2">
        <v>46269</v>
      </c>
      <c r="AH416">
        <v>8400</v>
      </c>
      <c r="AI416" s="3">
        <v>0.5431034482758621</v>
      </c>
      <c r="AJ416" s="1">
        <v>12</v>
      </c>
      <c r="AK416" s="2">
        <v>46275</v>
      </c>
      <c r="AL416" s="4">
        <v>30</v>
      </c>
      <c r="AM416" s="5">
        <v>15</v>
      </c>
      <c r="AN416" s="4">
        <v>6</v>
      </c>
      <c r="AO416">
        <v>8689.6551724137953</v>
      </c>
      <c r="AP416" s="4">
        <v>1</v>
      </c>
      <c r="AQ416">
        <v>25000</v>
      </c>
      <c r="AR416" t="s">
        <v>2285</v>
      </c>
      <c r="AS416" t="s">
        <v>1666</v>
      </c>
      <c r="AT416" s="16" t="str">
        <f>_xlfn.XLOOKUP(B416,'SWiSH Demand Forecast Sep-26'!D:D,'SWiSH Demand Forecast Sep-26'!G:G,"Not Exist")</f>
        <v>Not Exist</v>
      </c>
    </row>
    <row r="417" spans="1:46" x14ac:dyDescent="0.3">
      <c r="A417">
        <v>101600069</v>
      </c>
      <c r="B417" t="s">
        <v>2286</v>
      </c>
      <c r="C417" t="s">
        <v>10</v>
      </c>
      <c r="D417" t="s">
        <v>1613</v>
      </c>
      <c r="E417" t="s">
        <v>1685</v>
      </c>
      <c r="F417" t="s">
        <v>1631</v>
      </c>
      <c r="G417" t="s">
        <v>1624</v>
      </c>
      <c r="H417" t="s">
        <v>1768</v>
      </c>
      <c r="I417" t="s">
        <v>1634</v>
      </c>
      <c r="J417" t="s">
        <v>2287</v>
      </c>
      <c r="K417">
        <v>7.1999999999999995E-2</v>
      </c>
      <c r="L417">
        <v>180</v>
      </c>
      <c r="M417" s="1">
        <v>7</v>
      </c>
      <c r="N417">
        <v>0</v>
      </c>
      <c r="O417">
        <v>0</v>
      </c>
      <c r="P417">
        <v>2500</v>
      </c>
      <c r="Q417" s="1">
        <v>2500</v>
      </c>
      <c r="R417">
        <v>20</v>
      </c>
      <c r="S417" s="2">
        <v>46177</v>
      </c>
      <c r="T417" s="2">
        <v>46263</v>
      </c>
      <c r="U417">
        <v>12250</v>
      </c>
      <c r="V417">
        <v>5750</v>
      </c>
      <c r="W417">
        <v>5000</v>
      </c>
      <c r="X417">
        <v>4250</v>
      </c>
      <c r="Y417">
        <v>4250</v>
      </c>
      <c r="Z417" s="8">
        <v>12250</v>
      </c>
      <c r="AA417">
        <v>6812.5</v>
      </c>
      <c r="AB417">
        <v>0.62385321100917435</v>
      </c>
      <c r="AC417">
        <v>1.798165137614679</v>
      </c>
      <c r="AD417" s="1">
        <v>6</v>
      </c>
      <c r="AE417" s="2">
        <v>46254</v>
      </c>
      <c r="AF417" s="2">
        <v>46262</v>
      </c>
      <c r="AG417" s="2">
        <v>46269</v>
      </c>
      <c r="AH417">
        <v>5000</v>
      </c>
      <c r="AI417" s="3">
        <v>0.42223786066150598</v>
      </c>
      <c r="AJ417" s="1">
        <v>14</v>
      </c>
      <c r="AK417" s="2">
        <v>46277</v>
      </c>
      <c r="AL417" s="4">
        <v>15</v>
      </c>
      <c r="AM417" s="5">
        <v>15</v>
      </c>
      <c r="AN417" s="4">
        <v>6</v>
      </c>
      <c r="AO417">
        <v>2586.2068965517242</v>
      </c>
      <c r="AP417" s="4">
        <v>2</v>
      </c>
      <c r="AQ417">
        <v>24</v>
      </c>
      <c r="AR417" t="s">
        <v>2288</v>
      </c>
      <c r="AT417" s="16" t="str">
        <f>_xlfn.XLOOKUP(B417,'SWiSH Demand Forecast Sep-26'!D:D,'SWiSH Demand Forecast Sep-26'!G:G,"Not Exist")</f>
        <v>Not Exist</v>
      </c>
    </row>
    <row r="418" spans="1:46" hidden="1" x14ac:dyDescent="0.3">
      <c r="A418">
        <v>103700039</v>
      </c>
      <c r="B418" t="s">
        <v>1444</v>
      </c>
      <c r="C418" t="s">
        <v>136</v>
      </c>
      <c r="D418" t="s">
        <v>1613</v>
      </c>
      <c r="E418" t="s">
        <v>2289</v>
      </c>
      <c r="F418" t="s">
        <v>1615</v>
      </c>
      <c r="G418" t="s">
        <v>1616</v>
      </c>
      <c r="H418" t="s">
        <v>1617</v>
      </c>
      <c r="I418" t="s">
        <v>1618</v>
      </c>
      <c r="J418" t="s">
        <v>136</v>
      </c>
      <c r="K418">
        <v>2.8</v>
      </c>
      <c r="L418">
        <v>42</v>
      </c>
      <c r="M418" s="1">
        <v>3</v>
      </c>
      <c r="N418">
        <v>0</v>
      </c>
      <c r="O418">
        <v>0</v>
      </c>
      <c r="P418">
        <v>15</v>
      </c>
      <c r="Q418" s="1">
        <v>15</v>
      </c>
      <c r="R418">
        <v>2.8</v>
      </c>
      <c r="S418" s="2">
        <v>46256</v>
      </c>
      <c r="T418" s="2">
        <v>46263</v>
      </c>
      <c r="U418">
        <v>44</v>
      </c>
      <c r="V418">
        <v>67</v>
      </c>
      <c r="W418">
        <v>49</v>
      </c>
      <c r="X418">
        <v>55</v>
      </c>
      <c r="Y418">
        <v>44</v>
      </c>
      <c r="Z418" s="8">
        <v>67</v>
      </c>
      <c r="AA418">
        <v>53.75</v>
      </c>
      <c r="AB418">
        <v>0.81860465116279069</v>
      </c>
      <c r="AC418">
        <v>1.2465116279069768</v>
      </c>
      <c r="AD418" s="1">
        <v>6</v>
      </c>
      <c r="AE418" s="2">
        <v>46254</v>
      </c>
      <c r="AF418" s="2">
        <v>46262</v>
      </c>
      <c r="AG418" s="2">
        <v>46269</v>
      </c>
      <c r="AH418">
        <v>50</v>
      </c>
      <c r="AI418" s="3">
        <v>0.77200205867215643</v>
      </c>
      <c r="AJ418" s="1">
        <v>8</v>
      </c>
      <c r="AK418" s="2">
        <v>46271</v>
      </c>
      <c r="AL418" s="4">
        <v>30</v>
      </c>
      <c r="AM418" s="5">
        <v>15</v>
      </c>
      <c r="AN418" s="4">
        <v>6</v>
      </c>
      <c r="AO418">
        <v>51.724137931034484</v>
      </c>
      <c r="AP418" s="4">
        <v>1</v>
      </c>
      <c r="AQ418" t="s">
        <v>1619</v>
      </c>
      <c r="AR418" t="s">
        <v>1620</v>
      </c>
      <c r="AT418" s="16">
        <f>_xlfn.XLOOKUP(B418,'SWiSH Demand Forecast Sep-26'!D:D,'SWiSH Demand Forecast Sep-26'!G:G,"Not Exist")</f>
        <v>8.1925172701681195</v>
      </c>
    </row>
    <row r="419" spans="1:46" hidden="1" x14ac:dyDescent="0.3">
      <c r="A419">
        <v>100100130</v>
      </c>
      <c r="B419" t="s">
        <v>1280</v>
      </c>
      <c r="C419" t="s">
        <v>136</v>
      </c>
      <c r="D419" t="s">
        <v>1613</v>
      </c>
      <c r="E419" t="s">
        <v>2290</v>
      </c>
      <c r="F419" t="s">
        <v>1941</v>
      </c>
      <c r="G419" t="s">
        <v>1624</v>
      </c>
      <c r="H419" t="s">
        <v>1877</v>
      </c>
      <c r="I419" t="s">
        <v>1618</v>
      </c>
      <c r="J419" t="s">
        <v>2291</v>
      </c>
      <c r="K419">
        <v>0.35</v>
      </c>
      <c r="L419">
        <v>27.65</v>
      </c>
      <c r="M419" s="1">
        <v>3</v>
      </c>
      <c r="N419">
        <v>0</v>
      </c>
      <c r="O419">
        <v>10</v>
      </c>
      <c r="P419">
        <v>79</v>
      </c>
      <c r="Q419" s="1">
        <v>69</v>
      </c>
      <c r="R419">
        <v>1.75</v>
      </c>
      <c r="S419" s="2">
        <v>46219</v>
      </c>
      <c r="T419" s="2">
        <v>46263</v>
      </c>
      <c r="U419">
        <v>210</v>
      </c>
      <c r="V419">
        <v>310</v>
      </c>
      <c r="W419">
        <v>230</v>
      </c>
      <c r="X419">
        <v>175</v>
      </c>
      <c r="Y419">
        <v>175</v>
      </c>
      <c r="Z419" s="8">
        <v>310</v>
      </c>
      <c r="AA419">
        <v>231.25</v>
      </c>
      <c r="AB419">
        <v>0.7567567567567568</v>
      </c>
      <c r="AC419">
        <v>1.3405405405405406</v>
      </c>
      <c r="AD419" s="1">
        <v>6</v>
      </c>
      <c r="AE419" s="2">
        <v>46254</v>
      </c>
      <c r="AF419" s="2">
        <v>46262</v>
      </c>
      <c r="AG419" s="2">
        <v>46269</v>
      </c>
      <c r="AH419">
        <v>201</v>
      </c>
      <c r="AI419" s="3">
        <v>0.6707452725250278</v>
      </c>
      <c r="AJ419" s="1">
        <v>9</v>
      </c>
      <c r="AK419" s="2">
        <v>46272</v>
      </c>
      <c r="AL419" s="4">
        <v>30</v>
      </c>
      <c r="AM419" s="5">
        <v>15</v>
      </c>
      <c r="AN419" s="4">
        <v>6</v>
      </c>
      <c r="AO419">
        <v>207.93103448275861</v>
      </c>
      <c r="AP419" s="4">
        <v>1</v>
      </c>
      <c r="AQ419" t="s">
        <v>1619</v>
      </c>
      <c r="AR419" t="s">
        <v>1620</v>
      </c>
      <c r="AT419" s="16">
        <f>_xlfn.XLOOKUP(B419,'SWiSH Demand Forecast Sep-26'!D:D,'SWiSH Demand Forecast Sep-26'!G:G,"Not Exist")</f>
        <v>35.979999999999997</v>
      </c>
    </row>
    <row r="420" spans="1:46" hidden="1" x14ac:dyDescent="0.3">
      <c r="A420">
        <v>106200145</v>
      </c>
      <c r="B420" t="s">
        <v>680</v>
      </c>
      <c r="C420" t="s">
        <v>240</v>
      </c>
      <c r="D420" t="s">
        <v>1613</v>
      </c>
      <c r="E420" t="s">
        <v>1732</v>
      </c>
      <c r="F420" t="s">
        <v>1671</v>
      </c>
      <c r="G420" t="s">
        <v>1616</v>
      </c>
      <c r="H420" t="s">
        <v>1672</v>
      </c>
      <c r="I420" t="s">
        <v>1618</v>
      </c>
      <c r="J420" t="s">
        <v>2292</v>
      </c>
      <c r="K420">
        <v>0.52475061999999995</v>
      </c>
      <c r="L420">
        <v>110.32357034879999</v>
      </c>
      <c r="M420" s="1">
        <v>3</v>
      </c>
      <c r="N420">
        <v>0</v>
      </c>
      <c r="O420">
        <v>0</v>
      </c>
      <c r="P420">
        <v>210.24</v>
      </c>
      <c r="Q420" s="1">
        <v>210.24</v>
      </c>
      <c r="R420">
        <v>4.5999999999999996</v>
      </c>
      <c r="S420" s="2">
        <v>46256</v>
      </c>
      <c r="T420" s="2">
        <v>46263</v>
      </c>
      <c r="U420">
        <v>946.0799999999997</v>
      </c>
      <c r="V420">
        <v>858.47999999999968</v>
      </c>
      <c r="W420">
        <v>963.59999999999957</v>
      </c>
      <c r="X420">
        <v>779.63999999999965</v>
      </c>
      <c r="Y420">
        <v>779.63999999999965</v>
      </c>
      <c r="Z420" s="8">
        <v>963.59999999999957</v>
      </c>
      <c r="AA420">
        <v>886.94999999999959</v>
      </c>
      <c r="AB420">
        <v>0.87901234567901232</v>
      </c>
      <c r="AC420">
        <v>1.0864197530864197</v>
      </c>
      <c r="AD420" s="1">
        <v>6</v>
      </c>
      <c r="AE420" s="2">
        <v>46254</v>
      </c>
      <c r="AF420" s="2">
        <v>46262</v>
      </c>
      <c r="AG420" s="2">
        <v>46269</v>
      </c>
      <c r="AH420">
        <v>727.0799999999997</v>
      </c>
      <c r="AI420" s="3">
        <v>0.78056426332288409</v>
      </c>
      <c r="AJ420" s="1">
        <v>8</v>
      </c>
      <c r="AK420" s="2">
        <v>46271</v>
      </c>
      <c r="AL420" s="4">
        <v>30</v>
      </c>
      <c r="AM420" s="5">
        <v>15</v>
      </c>
      <c r="AN420" s="4">
        <v>6</v>
      </c>
      <c r="AO420">
        <v>752.15172413793073</v>
      </c>
      <c r="AP420" s="4">
        <v>1</v>
      </c>
      <c r="AQ420" t="s">
        <v>1619</v>
      </c>
      <c r="AR420" t="s">
        <v>1620</v>
      </c>
      <c r="AT420" s="16">
        <f>_xlfn.XLOOKUP(B420,'SWiSH Demand Forecast Sep-26'!D:D,'SWiSH Demand Forecast Sep-26'!G:G,"Not Exist")</f>
        <v>650.25916013581696</v>
      </c>
    </row>
    <row r="421" spans="1:46" hidden="1" x14ac:dyDescent="0.3">
      <c r="A421">
        <v>103700035</v>
      </c>
      <c r="B421" t="s">
        <v>1217</v>
      </c>
      <c r="C421" t="s">
        <v>136</v>
      </c>
      <c r="D421" t="s">
        <v>1613</v>
      </c>
      <c r="E421" t="s">
        <v>1732</v>
      </c>
      <c r="F421" t="s">
        <v>1615</v>
      </c>
      <c r="G421" t="s">
        <v>1616</v>
      </c>
      <c r="H421" t="s">
        <v>1617</v>
      </c>
      <c r="I421" t="s">
        <v>1618</v>
      </c>
      <c r="J421" t="s">
        <v>1858</v>
      </c>
      <c r="K421">
        <v>1.75</v>
      </c>
      <c r="L421">
        <v>80.5</v>
      </c>
      <c r="M421" s="1">
        <v>3</v>
      </c>
      <c r="N421">
        <v>0</v>
      </c>
      <c r="O421">
        <v>0</v>
      </c>
      <c r="P421">
        <v>46</v>
      </c>
      <c r="Q421" s="1">
        <v>46</v>
      </c>
      <c r="R421">
        <v>1.75</v>
      </c>
      <c r="S421" s="2">
        <v>46257</v>
      </c>
      <c r="T421" s="2">
        <v>46263</v>
      </c>
      <c r="U421">
        <v>202</v>
      </c>
      <c r="V421">
        <v>223</v>
      </c>
      <c r="W421">
        <v>197</v>
      </c>
      <c r="X421">
        <v>160</v>
      </c>
      <c r="Y421">
        <v>160</v>
      </c>
      <c r="Z421" s="8">
        <v>223</v>
      </c>
      <c r="AA421">
        <v>195.5</v>
      </c>
      <c r="AB421">
        <v>0.81841432225063937</v>
      </c>
      <c r="AC421">
        <v>1.1406649616368287</v>
      </c>
      <c r="AD421" s="1">
        <v>6</v>
      </c>
      <c r="AE421" s="2">
        <v>46254</v>
      </c>
      <c r="AF421" s="2">
        <v>46262</v>
      </c>
      <c r="AG421" s="2">
        <v>46269</v>
      </c>
      <c r="AH421">
        <v>175</v>
      </c>
      <c r="AI421" s="3">
        <v>0.81181382402968927</v>
      </c>
      <c r="AJ421" s="1">
        <v>7</v>
      </c>
      <c r="AK421" s="2">
        <v>46270</v>
      </c>
      <c r="AL421" s="4">
        <v>30</v>
      </c>
      <c r="AM421" s="5">
        <v>15</v>
      </c>
      <c r="AN421" s="4">
        <v>6</v>
      </c>
      <c r="AO421">
        <v>181.0344827586207</v>
      </c>
      <c r="AP421" s="4">
        <v>1</v>
      </c>
      <c r="AQ421" t="s">
        <v>1619</v>
      </c>
      <c r="AR421" t="s">
        <v>2293</v>
      </c>
      <c r="AT421" s="16">
        <f>_xlfn.XLOOKUP(B421,'SWiSH Demand Forecast Sep-26'!D:D,'SWiSH Demand Forecast Sep-26'!G:G,"Not Exist")</f>
        <v>51.184966382363598</v>
      </c>
    </row>
    <row r="422" spans="1:46" x14ac:dyDescent="0.3">
      <c r="A422">
        <v>105200065</v>
      </c>
      <c r="B422" t="s">
        <v>2294</v>
      </c>
      <c r="C422" t="s">
        <v>10</v>
      </c>
      <c r="D422" t="s">
        <v>1613</v>
      </c>
      <c r="E422" t="s">
        <v>1845</v>
      </c>
      <c r="F422" t="s">
        <v>1664</v>
      </c>
      <c r="G422" t="s">
        <v>1624</v>
      </c>
      <c r="H422" t="s">
        <v>1779</v>
      </c>
      <c r="I422" t="s">
        <v>1634</v>
      </c>
      <c r="J422" t="s">
        <v>10</v>
      </c>
      <c r="K422">
        <v>2.7E-2</v>
      </c>
      <c r="L422">
        <v>318.60000000000002</v>
      </c>
      <c r="M422" s="1">
        <v>30</v>
      </c>
      <c r="N422">
        <v>0</v>
      </c>
      <c r="O422">
        <v>1200</v>
      </c>
      <c r="P422">
        <v>11800</v>
      </c>
      <c r="Q422" s="1">
        <v>10600</v>
      </c>
      <c r="R422">
        <v>3.5999999999999997E-2</v>
      </c>
      <c r="S422" s="2">
        <v>46259</v>
      </c>
      <c r="T422" s="2">
        <v>46263</v>
      </c>
      <c r="U422">
        <v>25100</v>
      </c>
      <c r="V422">
        <v>47000</v>
      </c>
      <c r="W422">
        <v>22800</v>
      </c>
      <c r="X422">
        <v>24575</v>
      </c>
      <c r="Y422">
        <v>22800</v>
      </c>
      <c r="Z422" s="8">
        <v>47000</v>
      </c>
      <c r="AA422">
        <v>29868.75</v>
      </c>
      <c r="AB422">
        <v>0.76333961079723789</v>
      </c>
      <c r="AC422">
        <v>1.5735509520820254</v>
      </c>
      <c r="AD422" s="1">
        <v>6</v>
      </c>
      <c r="AE422" s="2">
        <v>46254</v>
      </c>
      <c r="AF422" s="2">
        <v>46262</v>
      </c>
      <c r="AG422" s="2">
        <v>46269</v>
      </c>
      <c r="AH422">
        <v>13800</v>
      </c>
      <c r="AI422" s="3">
        <v>0.30374174614820248</v>
      </c>
      <c r="AJ422" s="1">
        <v>22</v>
      </c>
      <c r="AK422" s="2">
        <v>46285</v>
      </c>
      <c r="AL422" s="4">
        <v>15</v>
      </c>
      <c r="AM422" s="5">
        <v>15</v>
      </c>
      <c r="AN422" s="4">
        <v>6</v>
      </c>
      <c r="AO422">
        <v>7137.9310344827582</v>
      </c>
      <c r="AP422" s="4">
        <v>2</v>
      </c>
      <c r="AQ422">
        <v>65025</v>
      </c>
      <c r="AR422" t="s">
        <v>2034</v>
      </c>
      <c r="AT422" s="16" t="str">
        <f>_xlfn.XLOOKUP(B422,'SWiSH Demand Forecast Sep-26'!D:D,'SWiSH Demand Forecast Sep-26'!G:G,"Not Exist")</f>
        <v>Not Exist</v>
      </c>
    </row>
    <row r="423" spans="1:46" hidden="1" x14ac:dyDescent="0.3">
      <c r="A423">
        <v>100300025</v>
      </c>
      <c r="B423" t="s">
        <v>532</v>
      </c>
      <c r="C423" t="s">
        <v>136</v>
      </c>
      <c r="D423" t="s">
        <v>1613</v>
      </c>
      <c r="E423" t="s">
        <v>1677</v>
      </c>
      <c r="F423" t="s">
        <v>1752</v>
      </c>
      <c r="G423" t="s">
        <v>1616</v>
      </c>
      <c r="H423" t="s">
        <v>2018</v>
      </c>
      <c r="I423" t="s">
        <v>1754</v>
      </c>
      <c r="J423" t="s">
        <v>136</v>
      </c>
      <c r="K423">
        <v>4.6661190399999999</v>
      </c>
      <c r="L423">
        <v>3085.7978435328</v>
      </c>
      <c r="M423" s="1">
        <v>3</v>
      </c>
      <c r="N423">
        <v>0</v>
      </c>
      <c r="O423">
        <v>0</v>
      </c>
      <c r="P423">
        <v>661.32</v>
      </c>
      <c r="Q423" s="1">
        <v>661.32</v>
      </c>
      <c r="R423">
        <v>4.75</v>
      </c>
      <c r="S423" s="2">
        <v>46226</v>
      </c>
      <c r="T423" s="2">
        <v>46263</v>
      </c>
      <c r="U423">
        <v>714.68000000000006</v>
      </c>
      <c r="V423">
        <v>2253.56</v>
      </c>
      <c r="W423">
        <v>3121.9300000000003</v>
      </c>
      <c r="X423">
        <v>1258.2</v>
      </c>
      <c r="Y423">
        <v>714.68000000000006</v>
      </c>
      <c r="Z423" s="8">
        <v>3121.9300000000003</v>
      </c>
      <c r="AA423">
        <v>1837.0925</v>
      </c>
      <c r="AB423">
        <v>0.38902777078454137</v>
      </c>
      <c r="AC423">
        <v>1.699386394533754</v>
      </c>
      <c r="AD423" s="1">
        <v>6</v>
      </c>
      <c r="AE423" s="2">
        <v>46254</v>
      </c>
      <c r="AF423" s="2">
        <v>46262</v>
      </c>
      <c r="AG423" s="2">
        <v>46269</v>
      </c>
      <c r="AH423">
        <v>4001.8799999999992</v>
      </c>
      <c r="AI423" s="3">
        <v>1.3260630001534195</v>
      </c>
      <c r="AJ423" s="1">
        <v>4</v>
      </c>
      <c r="AK423" s="2">
        <v>46267</v>
      </c>
      <c r="AL423" s="4">
        <v>7</v>
      </c>
      <c r="AM423" s="5">
        <v>7</v>
      </c>
      <c r="AN423" s="4">
        <v>4</v>
      </c>
      <c r="AO423">
        <v>965.97103448275845</v>
      </c>
      <c r="AP423" s="4">
        <v>5</v>
      </c>
      <c r="AQ423" t="s">
        <v>1619</v>
      </c>
      <c r="AR423" t="s">
        <v>2295</v>
      </c>
      <c r="AT423" s="16">
        <f>_xlfn.XLOOKUP(B423,'SWiSH Demand Forecast Sep-26'!D:D,'SWiSH Demand Forecast Sep-26'!G:G,"Not Exist")</f>
        <v>1345.70491450042</v>
      </c>
    </row>
    <row r="424" spans="1:46" hidden="1" x14ac:dyDescent="0.3">
      <c r="A424">
        <v>103400004</v>
      </c>
      <c r="B424" t="s">
        <v>202</v>
      </c>
      <c r="C424" t="s">
        <v>136</v>
      </c>
      <c r="D424" t="s">
        <v>1613</v>
      </c>
      <c r="E424" t="s">
        <v>2296</v>
      </c>
      <c r="F424" t="s">
        <v>1752</v>
      </c>
      <c r="G424" t="s">
        <v>1616</v>
      </c>
      <c r="H424" t="s">
        <v>1931</v>
      </c>
      <c r="I424" t="s">
        <v>1754</v>
      </c>
      <c r="J424" t="s">
        <v>1959</v>
      </c>
      <c r="K424">
        <v>0.61382700999999995</v>
      </c>
      <c r="L424">
        <v>4151.0051551249999</v>
      </c>
      <c r="M424" s="1">
        <v>3</v>
      </c>
      <c r="N424">
        <v>0</v>
      </c>
      <c r="O424">
        <v>1470</v>
      </c>
      <c r="P424">
        <v>6762.5</v>
      </c>
      <c r="Q424" s="1">
        <v>5292.5</v>
      </c>
      <c r="R424">
        <v>7.98</v>
      </c>
      <c r="S424" s="2">
        <v>46261</v>
      </c>
      <c r="T424" s="2">
        <v>46263</v>
      </c>
      <c r="U424">
        <v>21470</v>
      </c>
      <c r="V424">
        <v>25040</v>
      </c>
      <c r="W424">
        <v>26150</v>
      </c>
      <c r="X424">
        <v>24961</v>
      </c>
      <c r="Y424">
        <v>21470</v>
      </c>
      <c r="Z424" s="8">
        <v>26150</v>
      </c>
      <c r="AA424">
        <v>24405.25</v>
      </c>
      <c r="AB424">
        <v>0.87972874688847691</v>
      </c>
      <c r="AC424">
        <v>1.071490765306645</v>
      </c>
      <c r="AD424" s="1">
        <v>6</v>
      </c>
      <c r="AE424" s="2">
        <v>46254</v>
      </c>
      <c r="AF424" s="2">
        <v>46262</v>
      </c>
      <c r="AG424" s="2">
        <v>46269</v>
      </c>
      <c r="AH424">
        <v>20900</v>
      </c>
      <c r="AI424" s="3">
        <v>0.8267950154941649</v>
      </c>
      <c r="AJ424" s="1">
        <v>7</v>
      </c>
      <c r="AK424" s="2">
        <v>46270</v>
      </c>
      <c r="AL424" s="4">
        <v>4</v>
      </c>
      <c r="AM424" s="5">
        <v>3</v>
      </c>
      <c r="AN424" s="4">
        <v>6</v>
      </c>
      <c r="AO424">
        <v>2882.7586206896549</v>
      </c>
      <c r="AP424" s="4">
        <v>9</v>
      </c>
      <c r="AQ424">
        <v>50</v>
      </c>
      <c r="AR424" t="s">
        <v>2297</v>
      </c>
      <c r="AT424" s="16">
        <f>_xlfn.XLOOKUP(B424,'SWiSH Demand Forecast Sep-26'!D:D,'SWiSH Demand Forecast Sep-26'!G:G,"Not Exist")</f>
        <v>8448.9</v>
      </c>
    </row>
    <row r="425" spans="1:46" hidden="1" x14ac:dyDescent="0.3">
      <c r="A425">
        <v>106200058</v>
      </c>
      <c r="B425" t="s">
        <v>395</v>
      </c>
      <c r="C425" t="s">
        <v>136</v>
      </c>
      <c r="D425" t="s">
        <v>1613</v>
      </c>
      <c r="E425" t="s">
        <v>2298</v>
      </c>
      <c r="F425" t="s">
        <v>1671</v>
      </c>
      <c r="G425" t="s">
        <v>1616</v>
      </c>
      <c r="H425" t="s">
        <v>1672</v>
      </c>
      <c r="I425" t="s">
        <v>1618</v>
      </c>
      <c r="J425" t="s">
        <v>2299</v>
      </c>
      <c r="K425">
        <v>0.42584432</v>
      </c>
      <c r="L425">
        <v>579.28028693919998</v>
      </c>
      <c r="M425" s="1">
        <v>3</v>
      </c>
      <c r="N425">
        <v>0</v>
      </c>
      <c r="O425">
        <v>70</v>
      </c>
      <c r="P425">
        <v>1360.31</v>
      </c>
      <c r="Q425" s="1">
        <v>1290.31</v>
      </c>
      <c r="R425">
        <v>8.5</v>
      </c>
      <c r="S425" s="2">
        <v>46261</v>
      </c>
      <c r="T425" s="2">
        <v>46263</v>
      </c>
      <c r="U425">
        <v>4851.4600000000009</v>
      </c>
      <c r="V425">
        <v>4781.6800000000039</v>
      </c>
      <c r="W425">
        <v>5089.3499999999985</v>
      </c>
      <c r="X425">
        <v>5878.3000000000047</v>
      </c>
      <c r="Y425">
        <v>4781.6800000000039</v>
      </c>
      <c r="Z425" s="8">
        <v>5878.3000000000047</v>
      </c>
      <c r="AA425">
        <v>5150.197500000002</v>
      </c>
      <c r="AB425">
        <v>0.9284459479466568</v>
      </c>
      <c r="AC425">
        <v>1.1413737046006494</v>
      </c>
      <c r="AD425" s="1">
        <v>6</v>
      </c>
      <c r="AE425" s="2">
        <v>46254</v>
      </c>
      <c r="AF425" s="2">
        <v>46262</v>
      </c>
      <c r="AG425" s="2">
        <v>46269</v>
      </c>
      <c r="AH425">
        <v>5554.6899999999987</v>
      </c>
      <c r="AI425" s="3">
        <v>0.97753279595848341</v>
      </c>
      <c r="AJ425" s="1">
        <v>6</v>
      </c>
      <c r="AK425" s="2">
        <v>46269</v>
      </c>
      <c r="AL425" s="4">
        <v>8</v>
      </c>
      <c r="AM425" s="5">
        <v>5</v>
      </c>
      <c r="AN425" s="4">
        <v>6</v>
      </c>
      <c r="AO425">
        <v>1532.3282758620687</v>
      </c>
      <c r="AP425" s="4">
        <v>4</v>
      </c>
      <c r="AQ425" t="s">
        <v>1619</v>
      </c>
      <c r="AR425" t="s">
        <v>1620</v>
      </c>
      <c r="AT425" s="16">
        <f>_xlfn.XLOOKUP(B425,'SWiSH Demand Forecast Sep-26'!D:D,'SWiSH Demand Forecast Sep-26'!G:G,"Not Exist")</f>
        <v>2763.5161433836201</v>
      </c>
    </row>
    <row r="426" spans="1:46" hidden="1" x14ac:dyDescent="0.3">
      <c r="A426">
        <v>101600032</v>
      </c>
      <c r="B426" t="s">
        <v>356</v>
      </c>
      <c r="C426" t="s">
        <v>10</v>
      </c>
      <c r="D426" t="s">
        <v>1613</v>
      </c>
      <c r="E426" t="s">
        <v>1655</v>
      </c>
      <c r="F426" t="s">
        <v>1631</v>
      </c>
      <c r="G426" t="s">
        <v>1624</v>
      </c>
      <c r="H426" t="s">
        <v>1768</v>
      </c>
      <c r="I426" t="s">
        <v>1634</v>
      </c>
      <c r="J426" t="s">
        <v>10</v>
      </c>
      <c r="K426">
        <v>0.06</v>
      </c>
      <c r="L426">
        <v>60</v>
      </c>
      <c r="M426" s="1">
        <v>7</v>
      </c>
      <c r="N426">
        <v>0</v>
      </c>
      <c r="O426">
        <v>0</v>
      </c>
      <c r="P426">
        <v>1000</v>
      </c>
      <c r="Q426" s="1">
        <v>1000</v>
      </c>
      <c r="R426">
        <v>12</v>
      </c>
      <c r="S426" s="2">
        <v>46245</v>
      </c>
      <c r="T426" s="2">
        <v>46261</v>
      </c>
      <c r="U426">
        <v>4600</v>
      </c>
      <c r="V426">
        <v>5000</v>
      </c>
      <c r="W426">
        <v>4000</v>
      </c>
      <c r="X426">
        <v>4400</v>
      </c>
      <c r="Y426">
        <v>4000</v>
      </c>
      <c r="Z426" s="8">
        <v>5000</v>
      </c>
      <c r="AA426">
        <v>4500</v>
      </c>
      <c r="AB426">
        <v>0.88888888888888884</v>
      </c>
      <c r="AC426">
        <v>1.1111111111111112</v>
      </c>
      <c r="AD426" s="1">
        <v>6</v>
      </c>
      <c r="AE426" s="2">
        <v>46254</v>
      </c>
      <c r="AF426" s="2">
        <v>46262</v>
      </c>
      <c r="AG426" s="2">
        <v>46269</v>
      </c>
      <c r="AH426">
        <v>3000</v>
      </c>
      <c r="AI426" s="3">
        <v>0.62068965517241381</v>
      </c>
      <c r="AJ426" s="1">
        <v>9</v>
      </c>
      <c r="AK426" s="2">
        <v>46272</v>
      </c>
      <c r="AL426" s="4">
        <v>30</v>
      </c>
      <c r="AM426" s="5">
        <v>15</v>
      </c>
      <c r="AN426" s="4">
        <v>6</v>
      </c>
      <c r="AO426">
        <v>3103.4482758620688</v>
      </c>
      <c r="AP426" s="4">
        <v>1</v>
      </c>
      <c r="AQ426">
        <v>26</v>
      </c>
      <c r="AR426" t="s">
        <v>2300</v>
      </c>
      <c r="AT426" s="16">
        <f>_xlfn.XLOOKUP(B426,'SWiSH Demand Forecast Sep-26'!D:D,'SWiSH Demand Forecast Sep-26'!G:G,"Not Exist")</f>
        <v>3543</v>
      </c>
    </row>
    <row r="427" spans="1:46" hidden="1" x14ac:dyDescent="0.3">
      <c r="A427">
        <v>106200142</v>
      </c>
      <c r="B427" t="s">
        <v>1121</v>
      </c>
      <c r="C427" t="s">
        <v>240</v>
      </c>
      <c r="D427" t="s">
        <v>1613</v>
      </c>
      <c r="E427" t="s">
        <v>1832</v>
      </c>
      <c r="F427" t="s">
        <v>1671</v>
      </c>
      <c r="G427" t="s">
        <v>1616</v>
      </c>
      <c r="H427" t="s">
        <v>1672</v>
      </c>
      <c r="I427" t="s">
        <v>1618</v>
      </c>
      <c r="J427" t="s">
        <v>2301</v>
      </c>
      <c r="K427">
        <v>1.3333333300000001</v>
      </c>
      <c r="L427">
        <v>79.999999800000012</v>
      </c>
      <c r="M427" s="1">
        <v>3</v>
      </c>
      <c r="N427">
        <v>0</v>
      </c>
      <c r="O427">
        <v>0</v>
      </c>
      <c r="P427">
        <v>60</v>
      </c>
      <c r="Q427" s="1">
        <v>60</v>
      </c>
      <c r="R427">
        <v>16.5</v>
      </c>
      <c r="S427" s="2">
        <v>46232</v>
      </c>
      <c r="T427" s="2">
        <v>46262</v>
      </c>
      <c r="U427">
        <v>108</v>
      </c>
      <c r="V427">
        <v>276</v>
      </c>
      <c r="W427">
        <v>240</v>
      </c>
      <c r="X427">
        <v>227.2</v>
      </c>
      <c r="Y427">
        <v>108</v>
      </c>
      <c r="Z427" s="8">
        <v>276</v>
      </c>
      <c r="AA427">
        <v>212.8</v>
      </c>
      <c r="AB427">
        <v>0.50751879699248115</v>
      </c>
      <c r="AC427">
        <v>1.2969924812030074</v>
      </c>
      <c r="AD427" s="1">
        <v>6</v>
      </c>
      <c r="AE427" s="2">
        <v>46254</v>
      </c>
      <c r="AF427" s="2">
        <v>46262</v>
      </c>
      <c r="AG427" s="2">
        <v>46269</v>
      </c>
      <c r="AH427">
        <v>216</v>
      </c>
      <c r="AI427" s="3">
        <v>0.80959520239880056</v>
      </c>
      <c r="AJ427" s="1">
        <v>8</v>
      </c>
      <c r="AK427" s="2">
        <v>46271</v>
      </c>
      <c r="AL427" s="4">
        <v>30</v>
      </c>
      <c r="AM427" s="5">
        <v>15</v>
      </c>
      <c r="AN427" s="4">
        <v>6</v>
      </c>
      <c r="AO427">
        <v>223.44827586206895</v>
      </c>
      <c r="AP427" s="4">
        <v>1</v>
      </c>
      <c r="AQ427" t="s">
        <v>1619</v>
      </c>
      <c r="AR427" t="s">
        <v>1859</v>
      </c>
      <c r="AT427" s="16">
        <f>_xlfn.XLOOKUP(B427,'SWiSH Demand Forecast Sep-26'!D:D,'SWiSH Demand Forecast Sep-26'!G:G,"Not Exist")</f>
        <v>96.360171973410104</v>
      </c>
    </row>
    <row r="428" spans="1:46" hidden="1" x14ac:dyDescent="0.3">
      <c r="A428">
        <v>103200006</v>
      </c>
      <c r="B428" t="s">
        <v>1367</v>
      </c>
      <c r="C428" t="s">
        <v>136</v>
      </c>
      <c r="D428" t="s">
        <v>1613</v>
      </c>
      <c r="E428" t="s">
        <v>1638</v>
      </c>
      <c r="F428" t="s">
        <v>1752</v>
      </c>
      <c r="G428" t="s">
        <v>1616</v>
      </c>
      <c r="H428" t="s">
        <v>1753</v>
      </c>
      <c r="I428" t="s">
        <v>1754</v>
      </c>
      <c r="J428" t="s">
        <v>2172</v>
      </c>
      <c r="K428">
        <v>3.75</v>
      </c>
      <c r="L428">
        <v>22.5</v>
      </c>
      <c r="M428" s="1">
        <v>3</v>
      </c>
      <c r="N428">
        <v>0</v>
      </c>
      <c r="O428">
        <v>0</v>
      </c>
      <c r="P428">
        <v>6</v>
      </c>
      <c r="Q428" s="1">
        <v>6</v>
      </c>
      <c r="R428">
        <v>3.75</v>
      </c>
      <c r="S428" s="2">
        <v>46221</v>
      </c>
      <c r="T428" s="2">
        <v>46263</v>
      </c>
      <c r="U428">
        <v>15</v>
      </c>
      <c r="V428">
        <v>26</v>
      </c>
      <c r="W428">
        <v>28</v>
      </c>
      <c r="X428">
        <v>20</v>
      </c>
      <c r="Y428">
        <v>15</v>
      </c>
      <c r="Z428" s="8">
        <v>28</v>
      </c>
      <c r="AA428">
        <v>22.25</v>
      </c>
      <c r="AB428">
        <v>0.6741573033707865</v>
      </c>
      <c r="AC428">
        <v>1.2584269662921348</v>
      </c>
      <c r="AD428" s="1">
        <v>6</v>
      </c>
      <c r="AE428" s="2">
        <v>46254</v>
      </c>
      <c r="AF428" s="2">
        <v>46262</v>
      </c>
      <c r="AG428" s="2">
        <v>46269</v>
      </c>
      <c r="AH428">
        <v>16</v>
      </c>
      <c r="AI428" s="3">
        <v>0.59113300492610843</v>
      </c>
      <c r="AJ428" s="1">
        <v>10</v>
      </c>
      <c r="AK428" s="2">
        <v>46273</v>
      </c>
      <c r="AL428" s="4">
        <v>30</v>
      </c>
      <c r="AM428" s="5">
        <v>15</v>
      </c>
      <c r="AN428" s="4">
        <v>6</v>
      </c>
      <c r="AO428">
        <v>16.551724137931036</v>
      </c>
      <c r="AP428" s="4">
        <v>1</v>
      </c>
      <c r="AQ428">
        <v>6</v>
      </c>
      <c r="AR428" t="s">
        <v>2302</v>
      </c>
      <c r="AT428" s="16">
        <f>_xlfn.XLOOKUP(B428,'SWiSH Demand Forecast Sep-26'!D:D,'SWiSH Demand Forecast Sep-26'!G:G,"Not Exist")</f>
        <v>20.23</v>
      </c>
    </row>
    <row r="429" spans="1:46" x14ac:dyDescent="0.3">
      <c r="A429">
        <v>103400006</v>
      </c>
      <c r="B429" t="s">
        <v>2303</v>
      </c>
      <c r="C429" t="s">
        <v>136</v>
      </c>
      <c r="D429" t="s">
        <v>1613</v>
      </c>
      <c r="E429" t="s">
        <v>2161</v>
      </c>
      <c r="F429" t="s">
        <v>1752</v>
      </c>
      <c r="G429" t="s">
        <v>1616</v>
      </c>
      <c r="H429" t="s">
        <v>1931</v>
      </c>
      <c r="I429" t="s">
        <v>1754</v>
      </c>
      <c r="J429" t="s">
        <v>2304</v>
      </c>
      <c r="K429">
        <v>1.75</v>
      </c>
      <c r="L429">
        <v>37.800000000000004</v>
      </c>
      <c r="M429" s="1">
        <v>3</v>
      </c>
      <c r="N429">
        <v>0</v>
      </c>
      <c r="O429">
        <v>2</v>
      </c>
      <c r="P429">
        <v>21.6</v>
      </c>
      <c r="Q429" s="1">
        <v>19.600000000000001</v>
      </c>
      <c r="R429">
        <v>14</v>
      </c>
      <c r="S429" s="2">
        <v>46254</v>
      </c>
      <c r="T429" s="2">
        <v>46263</v>
      </c>
      <c r="U429">
        <v>75.999999999999986</v>
      </c>
      <c r="V429">
        <v>87.59999999999998</v>
      </c>
      <c r="W429">
        <v>83.59999999999998</v>
      </c>
      <c r="X429">
        <v>80.000000000000014</v>
      </c>
      <c r="Y429">
        <v>75.999999999999986</v>
      </c>
      <c r="Z429" s="8">
        <v>87.59999999999998</v>
      </c>
      <c r="AA429">
        <v>81.799999999999983</v>
      </c>
      <c r="AB429">
        <v>0.92909535452322745</v>
      </c>
      <c r="AC429">
        <v>1.0709046454767726</v>
      </c>
      <c r="AD429" s="1">
        <v>6</v>
      </c>
      <c r="AE429" s="2">
        <v>46254</v>
      </c>
      <c r="AF429" s="2">
        <v>46262</v>
      </c>
      <c r="AG429" s="2">
        <v>46269</v>
      </c>
      <c r="AH429">
        <v>61.999999999999993</v>
      </c>
      <c r="AI429" s="3">
        <v>0.73216816249409544</v>
      </c>
      <c r="AJ429" s="1">
        <v>9</v>
      </c>
      <c r="AK429" s="2">
        <v>46272</v>
      </c>
      <c r="AL429" s="4">
        <v>30</v>
      </c>
      <c r="AM429" s="5">
        <v>15</v>
      </c>
      <c r="AN429" s="4">
        <v>6</v>
      </c>
      <c r="AO429">
        <v>64.137931034482747</v>
      </c>
      <c r="AP429" s="4">
        <v>1</v>
      </c>
      <c r="AQ429" t="s">
        <v>1619</v>
      </c>
      <c r="AR429" t="s">
        <v>1620</v>
      </c>
      <c r="AT429" s="16" t="str">
        <f>_xlfn.XLOOKUP(B429,'SWiSH Demand Forecast Sep-26'!D:D,'SWiSH Demand Forecast Sep-26'!G:G,"Not Exist")</f>
        <v>Not Exist</v>
      </c>
    </row>
    <row r="430" spans="1:46" hidden="1" x14ac:dyDescent="0.3">
      <c r="A430">
        <v>107000006</v>
      </c>
      <c r="B430" t="s">
        <v>380</v>
      </c>
      <c r="C430" t="s">
        <v>10</v>
      </c>
      <c r="D430" t="s">
        <v>1613</v>
      </c>
      <c r="E430" t="s">
        <v>1638</v>
      </c>
      <c r="F430" t="s">
        <v>1631</v>
      </c>
      <c r="G430" t="s">
        <v>1624</v>
      </c>
      <c r="H430" t="s">
        <v>2305</v>
      </c>
      <c r="I430" t="s">
        <v>1634</v>
      </c>
      <c r="J430" t="s">
        <v>2306</v>
      </c>
      <c r="K430">
        <v>2.5999999999999999E-3</v>
      </c>
      <c r="L430">
        <v>14.95</v>
      </c>
      <c r="M430" s="1">
        <v>7</v>
      </c>
      <c r="N430">
        <v>0</v>
      </c>
      <c r="O430">
        <v>0</v>
      </c>
      <c r="P430">
        <v>5750</v>
      </c>
      <c r="Q430" s="1">
        <v>5750</v>
      </c>
      <c r="R430">
        <v>13</v>
      </c>
      <c r="S430" s="2">
        <v>46253</v>
      </c>
      <c r="T430" s="2">
        <v>46263</v>
      </c>
      <c r="U430">
        <v>25750</v>
      </c>
      <c r="V430">
        <v>16750</v>
      </c>
      <c r="W430">
        <v>27250</v>
      </c>
      <c r="X430">
        <v>22750</v>
      </c>
      <c r="Y430">
        <v>16750</v>
      </c>
      <c r="Z430" s="8">
        <v>27250</v>
      </c>
      <c r="AA430">
        <v>23125</v>
      </c>
      <c r="AB430">
        <v>0.72432432432432436</v>
      </c>
      <c r="AC430">
        <v>1.1783783783783783</v>
      </c>
      <c r="AD430" s="1">
        <v>6</v>
      </c>
      <c r="AE430" s="2">
        <v>46254</v>
      </c>
      <c r="AF430" s="2">
        <v>46262</v>
      </c>
      <c r="AG430" s="2">
        <v>46269</v>
      </c>
      <c r="AH430">
        <v>16250</v>
      </c>
      <c r="AI430" s="3">
        <v>0.61689338816830119</v>
      </c>
      <c r="AJ430" s="1">
        <v>10</v>
      </c>
      <c r="AK430" s="2">
        <v>46273</v>
      </c>
      <c r="AL430" s="4">
        <v>30</v>
      </c>
      <c r="AM430" s="5">
        <v>15</v>
      </c>
      <c r="AN430" s="4">
        <v>6</v>
      </c>
      <c r="AO430">
        <v>16810.344827586207</v>
      </c>
      <c r="AP430" s="4">
        <v>1</v>
      </c>
      <c r="AQ430" t="s">
        <v>1619</v>
      </c>
      <c r="AR430" t="s">
        <v>1620</v>
      </c>
      <c r="AT430" s="16">
        <f>_xlfn.XLOOKUP(B430,'SWiSH Demand Forecast Sep-26'!D:D,'SWiSH Demand Forecast Sep-26'!G:G,"Not Exist")</f>
        <v>3030</v>
      </c>
    </row>
    <row r="431" spans="1:46" x14ac:dyDescent="0.3">
      <c r="A431">
        <v>107200012</v>
      </c>
      <c r="B431" t="s">
        <v>2307</v>
      </c>
      <c r="C431" t="s">
        <v>10</v>
      </c>
      <c r="D431" t="s">
        <v>1613</v>
      </c>
      <c r="E431" t="s">
        <v>2308</v>
      </c>
      <c r="F431" t="s">
        <v>1631</v>
      </c>
      <c r="G431" t="s">
        <v>1624</v>
      </c>
      <c r="H431" t="s">
        <v>1657</v>
      </c>
      <c r="I431" t="s">
        <v>1634</v>
      </c>
      <c r="J431" t="s">
        <v>10</v>
      </c>
      <c r="K431">
        <v>1</v>
      </c>
      <c r="L431">
        <v>120</v>
      </c>
      <c r="M431" s="1">
        <v>15</v>
      </c>
      <c r="N431">
        <v>0</v>
      </c>
      <c r="O431">
        <v>0</v>
      </c>
      <c r="P431">
        <v>120</v>
      </c>
      <c r="Q431" s="1">
        <v>120</v>
      </c>
      <c r="R431">
        <v>5.75</v>
      </c>
      <c r="S431" s="2">
        <v>46231</v>
      </c>
      <c r="T431" s="2">
        <v>46262</v>
      </c>
      <c r="U431">
        <v>576</v>
      </c>
      <c r="V431">
        <v>396</v>
      </c>
      <c r="W431">
        <v>504</v>
      </c>
      <c r="X431">
        <v>468</v>
      </c>
      <c r="Y431">
        <v>396</v>
      </c>
      <c r="Z431" s="8">
        <v>576</v>
      </c>
      <c r="AA431">
        <v>486</v>
      </c>
      <c r="AB431">
        <v>0.81481481481481477</v>
      </c>
      <c r="AC431">
        <v>1.1851851851851851</v>
      </c>
      <c r="AD431" s="1">
        <v>6</v>
      </c>
      <c r="AE431" s="2">
        <v>46254</v>
      </c>
      <c r="AF431" s="2">
        <v>46262</v>
      </c>
      <c r="AG431" s="2">
        <v>46269</v>
      </c>
      <c r="AH431">
        <v>660</v>
      </c>
      <c r="AI431" s="3">
        <v>1.1853448275862069</v>
      </c>
      <c r="AJ431" s="1">
        <v>5</v>
      </c>
      <c r="AK431" s="2">
        <v>46268</v>
      </c>
      <c r="AL431" s="4">
        <v>30</v>
      </c>
      <c r="AM431" s="5">
        <v>15</v>
      </c>
      <c r="AN431" s="4">
        <v>5</v>
      </c>
      <c r="AO431">
        <v>682.75862068965512</v>
      </c>
      <c r="AP431" s="4">
        <v>1</v>
      </c>
      <c r="AQ431" t="s">
        <v>1619</v>
      </c>
      <c r="AR431" t="s">
        <v>1620</v>
      </c>
      <c r="AT431" s="16" t="str">
        <f>_xlfn.XLOOKUP(B431,'SWiSH Demand Forecast Sep-26'!D:D,'SWiSH Demand Forecast Sep-26'!G:G,"Not Exist")</f>
        <v>Not Exist</v>
      </c>
    </row>
    <row r="432" spans="1:46" x14ac:dyDescent="0.3">
      <c r="A432">
        <v>106300068</v>
      </c>
      <c r="B432" t="s">
        <v>2309</v>
      </c>
      <c r="C432" t="s">
        <v>136</v>
      </c>
      <c r="D432" t="s">
        <v>1613</v>
      </c>
      <c r="E432" t="s">
        <v>2310</v>
      </c>
      <c r="F432" t="s">
        <v>1615</v>
      </c>
      <c r="G432" t="s">
        <v>1616</v>
      </c>
      <c r="H432" t="s">
        <v>1860</v>
      </c>
      <c r="I432" t="s">
        <v>1618</v>
      </c>
      <c r="J432" t="s">
        <v>1878</v>
      </c>
      <c r="K432">
        <v>0.45</v>
      </c>
      <c r="L432">
        <v>47.25</v>
      </c>
      <c r="M432" s="1">
        <v>3</v>
      </c>
      <c r="N432">
        <v>0</v>
      </c>
      <c r="O432">
        <v>0</v>
      </c>
      <c r="P432">
        <v>105</v>
      </c>
      <c r="Q432" s="1">
        <v>105</v>
      </c>
      <c r="R432">
        <v>6.75</v>
      </c>
      <c r="S432" s="2">
        <v>46242</v>
      </c>
      <c r="T432" s="2">
        <v>46263</v>
      </c>
      <c r="U432">
        <v>135</v>
      </c>
      <c r="V432">
        <v>225</v>
      </c>
      <c r="W432">
        <v>375</v>
      </c>
      <c r="X432">
        <v>495</v>
      </c>
      <c r="Y432">
        <v>135</v>
      </c>
      <c r="Z432" s="8">
        <v>495</v>
      </c>
      <c r="AA432">
        <v>307.5</v>
      </c>
      <c r="AB432">
        <v>0.43902439024390244</v>
      </c>
      <c r="AC432">
        <v>1.6097560975609757</v>
      </c>
      <c r="AD432" s="1">
        <v>6</v>
      </c>
      <c r="AE432" s="2">
        <v>46254</v>
      </c>
      <c r="AF432" s="2">
        <v>46262</v>
      </c>
      <c r="AG432" s="2">
        <v>46269</v>
      </c>
      <c r="AH432">
        <v>285</v>
      </c>
      <c r="AI432" s="3">
        <v>0.59561128526645768</v>
      </c>
      <c r="AJ432" s="1">
        <v>10</v>
      </c>
      <c r="AK432" s="2">
        <v>46273</v>
      </c>
      <c r="AL432" s="4">
        <v>30</v>
      </c>
      <c r="AM432" s="5">
        <v>15</v>
      </c>
      <c r="AN432" s="4">
        <v>6</v>
      </c>
      <c r="AO432">
        <v>294.82758620689657</v>
      </c>
      <c r="AP432" s="4">
        <v>1</v>
      </c>
      <c r="AQ432" t="s">
        <v>1619</v>
      </c>
      <c r="AR432" t="s">
        <v>1620</v>
      </c>
      <c r="AT432" s="16" t="str">
        <f>_xlfn.XLOOKUP(B432,'SWiSH Demand Forecast Sep-26'!D:D,'SWiSH Demand Forecast Sep-26'!G:G,"Not Exist")</f>
        <v>Not Exist</v>
      </c>
    </row>
    <row r="433" spans="1:46" x14ac:dyDescent="0.3">
      <c r="A433">
        <v>106700091</v>
      </c>
      <c r="B433" t="s">
        <v>2311</v>
      </c>
      <c r="C433" t="s">
        <v>10</v>
      </c>
      <c r="D433" t="s">
        <v>1613</v>
      </c>
      <c r="E433" t="s">
        <v>2312</v>
      </c>
      <c r="F433" t="s">
        <v>1650</v>
      </c>
      <c r="G433" t="s">
        <v>1624</v>
      </c>
      <c r="H433" t="s">
        <v>1651</v>
      </c>
      <c r="I433" t="s">
        <v>1634</v>
      </c>
      <c r="J433" t="s">
        <v>10</v>
      </c>
      <c r="K433">
        <v>5.6250000000000001E-2</v>
      </c>
      <c r="L433">
        <v>11.137500000000001</v>
      </c>
      <c r="M433" s="1">
        <v>3</v>
      </c>
      <c r="N433">
        <v>0</v>
      </c>
      <c r="O433">
        <v>8</v>
      </c>
      <c r="P433">
        <v>198</v>
      </c>
      <c r="Q433" s="1">
        <v>190</v>
      </c>
      <c r="R433">
        <v>0.45</v>
      </c>
      <c r="S433" s="2">
        <v>46231</v>
      </c>
      <c r="T433" s="2">
        <v>46263</v>
      </c>
      <c r="U433">
        <v>928</v>
      </c>
      <c r="V433">
        <v>936</v>
      </c>
      <c r="W433">
        <v>872</v>
      </c>
      <c r="X433">
        <v>873</v>
      </c>
      <c r="Y433">
        <v>872</v>
      </c>
      <c r="Z433" s="8">
        <v>936</v>
      </c>
      <c r="AA433">
        <v>902.25</v>
      </c>
      <c r="AB433">
        <v>0.96647270712108613</v>
      </c>
      <c r="AC433">
        <v>1.0374064837905237</v>
      </c>
      <c r="AD433" s="1">
        <v>6</v>
      </c>
      <c r="AE433" s="2">
        <v>46254</v>
      </c>
      <c r="AF433" s="2">
        <v>46262</v>
      </c>
      <c r="AG433" s="2">
        <v>46269</v>
      </c>
      <c r="AH433">
        <v>736</v>
      </c>
      <c r="AI433" s="3">
        <v>0.81343943412908926</v>
      </c>
      <c r="AJ433" s="1">
        <v>7</v>
      </c>
      <c r="AK433" s="2">
        <v>46270</v>
      </c>
      <c r="AL433" s="4">
        <v>30</v>
      </c>
      <c r="AM433" s="5">
        <v>15</v>
      </c>
      <c r="AN433" s="4">
        <v>6</v>
      </c>
      <c r="AO433">
        <v>761.37931034482756</v>
      </c>
      <c r="AP433" s="4">
        <v>1</v>
      </c>
      <c r="AQ433" t="s">
        <v>1619</v>
      </c>
      <c r="AR433" t="s">
        <v>1620</v>
      </c>
      <c r="AT433" s="16" t="str">
        <f>_xlfn.XLOOKUP(B433,'SWiSH Demand Forecast Sep-26'!D:D,'SWiSH Demand Forecast Sep-26'!G:G,"Not Exist")</f>
        <v>Not Exist</v>
      </c>
    </row>
    <row r="434" spans="1:46" hidden="1" x14ac:dyDescent="0.3">
      <c r="A434">
        <v>100100077</v>
      </c>
      <c r="B434" t="s">
        <v>1276</v>
      </c>
      <c r="C434" t="s">
        <v>136</v>
      </c>
      <c r="D434" t="s">
        <v>1613</v>
      </c>
      <c r="E434" t="s">
        <v>1677</v>
      </c>
      <c r="F434" t="s">
        <v>1833</v>
      </c>
      <c r="G434" t="s">
        <v>1616</v>
      </c>
      <c r="H434" t="s">
        <v>1877</v>
      </c>
      <c r="I434" t="s">
        <v>1626</v>
      </c>
      <c r="J434" t="s">
        <v>2291</v>
      </c>
      <c r="K434">
        <v>5.25</v>
      </c>
      <c r="L434">
        <v>157.5</v>
      </c>
      <c r="M434" s="1">
        <v>3</v>
      </c>
      <c r="N434">
        <v>0</v>
      </c>
      <c r="O434">
        <v>0</v>
      </c>
      <c r="P434">
        <v>30</v>
      </c>
      <c r="Q434" s="1">
        <v>30</v>
      </c>
      <c r="R434">
        <v>26.25</v>
      </c>
      <c r="S434" s="2">
        <v>46240</v>
      </c>
      <c r="T434" s="2">
        <v>46263</v>
      </c>
      <c r="U434">
        <v>115</v>
      </c>
      <c r="V434">
        <v>130</v>
      </c>
      <c r="W434">
        <v>70</v>
      </c>
      <c r="X434">
        <v>80</v>
      </c>
      <c r="Y434">
        <v>70</v>
      </c>
      <c r="Z434" s="8">
        <v>130</v>
      </c>
      <c r="AA434">
        <v>98.75</v>
      </c>
      <c r="AB434">
        <v>0.70886075949367089</v>
      </c>
      <c r="AC434">
        <v>1.3164556962025316</v>
      </c>
      <c r="AD434" s="1">
        <v>6</v>
      </c>
      <c r="AE434" s="2">
        <v>46254</v>
      </c>
      <c r="AF434" s="2">
        <v>46262</v>
      </c>
      <c r="AG434" s="2">
        <v>46269</v>
      </c>
      <c r="AH434">
        <v>140</v>
      </c>
      <c r="AI434" s="3">
        <v>1.1140583554376657</v>
      </c>
      <c r="AJ434" s="1">
        <v>6</v>
      </c>
      <c r="AK434" s="2">
        <v>46269</v>
      </c>
      <c r="AL434" s="4">
        <v>30</v>
      </c>
      <c r="AM434" s="5">
        <v>15</v>
      </c>
      <c r="AN434" s="4">
        <v>6</v>
      </c>
      <c r="AO434">
        <v>144.82758620689654</v>
      </c>
      <c r="AP434" s="4">
        <v>1</v>
      </c>
      <c r="AQ434" t="s">
        <v>1619</v>
      </c>
      <c r="AR434" t="s">
        <v>1620</v>
      </c>
      <c r="AT434" s="16">
        <f>_xlfn.XLOOKUP(B434,'SWiSH Demand Forecast Sep-26'!D:D,'SWiSH Demand Forecast Sep-26'!G:G,"Not Exist")</f>
        <v>36.197718631178702</v>
      </c>
    </row>
    <row r="435" spans="1:46" hidden="1" x14ac:dyDescent="0.3">
      <c r="A435">
        <v>103100005</v>
      </c>
      <c r="B435" t="s">
        <v>452</v>
      </c>
      <c r="C435" t="s">
        <v>10</v>
      </c>
      <c r="D435" t="s">
        <v>1613</v>
      </c>
      <c r="E435" t="s">
        <v>2313</v>
      </c>
      <c r="F435" t="s">
        <v>1752</v>
      </c>
      <c r="G435" t="s">
        <v>1616</v>
      </c>
      <c r="H435" t="s">
        <v>1869</v>
      </c>
      <c r="I435" t="s">
        <v>1754</v>
      </c>
      <c r="J435" t="s">
        <v>2314</v>
      </c>
      <c r="K435">
        <v>0.11805556</v>
      </c>
      <c r="L435">
        <v>841.50003168000001</v>
      </c>
      <c r="M435" s="1">
        <v>3</v>
      </c>
      <c r="N435">
        <v>0</v>
      </c>
      <c r="O435">
        <v>288</v>
      </c>
      <c r="P435">
        <v>7128</v>
      </c>
      <c r="Q435" s="1">
        <v>6840</v>
      </c>
      <c r="R435">
        <v>8.5</v>
      </c>
      <c r="S435" s="2">
        <v>46163</v>
      </c>
      <c r="T435" s="2">
        <v>46263</v>
      </c>
      <c r="U435">
        <v>3136</v>
      </c>
      <c r="V435">
        <v>13824</v>
      </c>
      <c r="W435">
        <v>26016</v>
      </c>
      <c r="X435">
        <v>17376</v>
      </c>
      <c r="Y435">
        <v>3136</v>
      </c>
      <c r="Z435" s="8">
        <v>26016</v>
      </c>
      <c r="AA435">
        <v>15088</v>
      </c>
      <c r="AB435">
        <v>0.20784729586426298</v>
      </c>
      <c r="AC435">
        <v>1.7242841993637328</v>
      </c>
      <c r="AD435" s="1">
        <v>7</v>
      </c>
      <c r="AE435" s="2">
        <v>46255</v>
      </c>
      <c r="AF435" s="2">
        <v>46263</v>
      </c>
      <c r="AG435" s="2">
        <v>46270</v>
      </c>
      <c r="AH435">
        <v>9792</v>
      </c>
      <c r="AI435" s="3">
        <v>0.38936251431479835</v>
      </c>
      <c r="AJ435" s="1">
        <v>20</v>
      </c>
      <c r="AK435" s="2">
        <v>46283</v>
      </c>
      <c r="AL435" s="4">
        <v>8</v>
      </c>
      <c r="AM435" s="5">
        <v>5</v>
      </c>
      <c r="AN435" s="4">
        <v>7</v>
      </c>
      <c r="AO435">
        <v>2701.2413793103451</v>
      </c>
      <c r="AP435" s="4">
        <v>4</v>
      </c>
      <c r="AQ435" t="s">
        <v>1619</v>
      </c>
      <c r="AR435" t="s">
        <v>1620</v>
      </c>
      <c r="AT435" s="16">
        <f>_xlfn.XLOOKUP(B435,'SWiSH Demand Forecast Sep-26'!D:D,'SWiSH Demand Forecast Sep-26'!G:G,"Not Exist")</f>
        <v>2019</v>
      </c>
    </row>
    <row r="436" spans="1:46" hidden="1" x14ac:dyDescent="0.3">
      <c r="A436">
        <v>106300072</v>
      </c>
      <c r="B436" t="s">
        <v>1191</v>
      </c>
      <c r="C436" t="s">
        <v>136</v>
      </c>
      <c r="D436" t="s">
        <v>1613</v>
      </c>
      <c r="E436" t="s">
        <v>2315</v>
      </c>
      <c r="F436" t="s">
        <v>1615</v>
      </c>
      <c r="G436" t="s">
        <v>1616</v>
      </c>
      <c r="H436" t="s">
        <v>1860</v>
      </c>
      <c r="I436" t="s">
        <v>1618</v>
      </c>
      <c r="J436" t="s">
        <v>136</v>
      </c>
      <c r="K436">
        <v>1.2</v>
      </c>
      <c r="L436">
        <v>50.4</v>
      </c>
      <c r="M436" s="1">
        <v>3</v>
      </c>
      <c r="N436">
        <v>0</v>
      </c>
      <c r="O436">
        <v>0</v>
      </c>
      <c r="P436">
        <v>42</v>
      </c>
      <c r="Q436" s="1">
        <v>42</v>
      </c>
      <c r="R436">
        <v>16</v>
      </c>
      <c r="S436" s="2">
        <v>46257</v>
      </c>
      <c r="T436" s="2">
        <v>46263</v>
      </c>
      <c r="U436">
        <v>90</v>
      </c>
      <c r="V436">
        <v>106</v>
      </c>
      <c r="W436">
        <v>121</v>
      </c>
      <c r="X436">
        <v>165.5</v>
      </c>
      <c r="Y436">
        <v>90</v>
      </c>
      <c r="Z436" s="8">
        <v>165.5</v>
      </c>
      <c r="AA436">
        <v>120.625</v>
      </c>
      <c r="AB436">
        <v>0.74611398963730569</v>
      </c>
      <c r="AC436">
        <v>1.372020725388601</v>
      </c>
      <c r="AD436" s="1">
        <v>7</v>
      </c>
      <c r="AE436" s="2">
        <v>46255</v>
      </c>
      <c r="AF436" s="2">
        <v>46263</v>
      </c>
      <c r="AG436" s="2">
        <v>46270</v>
      </c>
      <c r="AH436">
        <v>145</v>
      </c>
      <c r="AI436" s="3">
        <v>0.90634441087613293</v>
      </c>
      <c r="AJ436" s="1">
        <v>8</v>
      </c>
      <c r="AK436" s="2">
        <v>46271</v>
      </c>
      <c r="AL436" s="4">
        <v>30</v>
      </c>
      <c r="AM436" s="5">
        <v>15</v>
      </c>
      <c r="AN436" s="4">
        <v>7</v>
      </c>
      <c r="AO436">
        <v>150</v>
      </c>
      <c r="AP436" s="4">
        <v>1</v>
      </c>
      <c r="AQ436" t="s">
        <v>1619</v>
      </c>
      <c r="AR436" t="s">
        <v>1620</v>
      </c>
      <c r="AT436" s="16">
        <f>_xlfn.XLOOKUP(B436,'SWiSH Demand Forecast Sep-26'!D:D,'SWiSH Demand Forecast Sep-26'!G:G,"Not Exist")</f>
        <v>60.2614736842105</v>
      </c>
    </row>
    <row r="437" spans="1:46" x14ac:dyDescent="0.3">
      <c r="A437">
        <v>101000012</v>
      </c>
      <c r="B437" t="s">
        <v>2316</v>
      </c>
      <c r="C437" t="s">
        <v>240</v>
      </c>
      <c r="D437" t="s">
        <v>1613</v>
      </c>
      <c r="E437" t="s">
        <v>1655</v>
      </c>
      <c r="F437" t="s">
        <v>1639</v>
      </c>
      <c r="G437" t="s">
        <v>1616</v>
      </c>
      <c r="H437" t="s">
        <v>1889</v>
      </c>
      <c r="I437" t="s">
        <v>1618</v>
      </c>
      <c r="J437" t="s">
        <v>240</v>
      </c>
      <c r="K437">
        <v>3.9433330199999999</v>
      </c>
      <c r="L437">
        <v>41.404996709999999</v>
      </c>
      <c r="M437" s="1">
        <v>3</v>
      </c>
      <c r="N437">
        <v>0</v>
      </c>
      <c r="O437">
        <v>0</v>
      </c>
      <c r="P437">
        <v>10.5</v>
      </c>
      <c r="Q437" s="1">
        <v>10.5</v>
      </c>
      <c r="R437">
        <v>35.5</v>
      </c>
      <c r="S437" s="2">
        <v>46212</v>
      </c>
      <c r="T437" s="2">
        <v>46233</v>
      </c>
      <c r="U437">
        <v>0</v>
      </c>
      <c r="V437">
        <v>0</v>
      </c>
      <c r="W437">
        <v>0</v>
      </c>
      <c r="X437">
        <v>44</v>
      </c>
      <c r="Y437">
        <v>0</v>
      </c>
      <c r="Z437" s="8">
        <v>44</v>
      </c>
      <c r="AA437">
        <v>11</v>
      </c>
      <c r="AB437">
        <v>0</v>
      </c>
      <c r="AC437">
        <v>4</v>
      </c>
      <c r="AD437" s="1">
        <v>7</v>
      </c>
      <c r="AE437" s="2">
        <v>46255</v>
      </c>
      <c r="AF437" s="2">
        <v>46263</v>
      </c>
      <c r="AG437" s="2">
        <v>46270</v>
      </c>
      <c r="AH437">
        <v>0</v>
      </c>
      <c r="AI437" s="3">
        <v>0</v>
      </c>
      <c r="AJ437" s="1" t="s">
        <v>1635</v>
      </c>
      <c r="AK437" s="2" t="s">
        <v>1635</v>
      </c>
      <c r="AL437" s="4">
        <v>30</v>
      </c>
      <c r="AM437" s="5">
        <v>15</v>
      </c>
      <c r="AN437" s="4">
        <v>7</v>
      </c>
      <c r="AO437">
        <v>0</v>
      </c>
      <c r="AP437" s="4">
        <v>1</v>
      </c>
      <c r="AQ437" t="s">
        <v>1619</v>
      </c>
      <c r="AR437" t="s">
        <v>1620</v>
      </c>
      <c r="AT437" s="16" t="str">
        <f>_xlfn.XLOOKUP(B437,'SWiSH Demand Forecast Sep-26'!D:D,'SWiSH Demand Forecast Sep-26'!G:G,"Not Exist")</f>
        <v>Not Exist</v>
      </c>
    </row>
    <row r="438" spans="1:46" hidden="1" x14ac:dyDescent="0.3">
      <c r="A438">
        <v>101000007</v>
      </c>
      <c r="B438" t="s">
        <v>1084</v>
      </c>
      <c r="C438" t="s">
        <v>240</v>
      </c>
      <c r="D438" t="s">
        <v>1629</v>
      </c>
      <c r="E438" t="s">
        <v>2108</v>
      </c>
      <c r="F438" t="s">
        <v>1639</v>
      </c>
      <c r="G438" t="s">
        <v>1616</v>
      </c>
      <c r="H438" t="s">
        <v>1889</v>
      </c>
      <c r="I438" t="s">
        <v>1618</v>
      </c>
      <c r="J438" t="s">
        <v>2223</v>
      </c>
      <c r="K438">
        <v>1.52631579</v>
      </c>
      <c r="L438">
        <v>290.00000009999997</v>
      </c>
      <c r="M438" s="1">
        <v>3</v>
      </c>
      <c r="N438">
        <v>0</v>
      </c>
      <c r="O438">
        <v>0</v>
      </c>
      <c r="P438">
        <v>190</v>
      </c>
      <c r="Q438" s="1">
        <v>190</v>
      </c>
      <c r="R438">
        <v>29</v>
      </c>
      <c r="S438" s="2">
        <v>46223</v>
      </c>
      <c r="T438" s="2">
        <v>46230</v>
      </c>
      <c r="U438">
        <v>646</v>
      </c>
      <c r="V438">
        <v>589</v>
      </c>
      <c r="W438">
        <v>722</v>
      </c>
      <c r="X438">
        <v>437</v>
      </c>
      <c r="Y438">
        <v>437</v>
      </c>
      <c r="Z438" s="8">
        <v>722</v>
      </c>
      <c r="AA438">
        <v>598.5</v>
      </c>
      <c r="AB438">
        <v>0.73015873015873012</v>
      </c>
      <c r="AC438">
        <v>1.2063492063492063</v>
      </c>
      <c r="AD438" s="1">
        <v>7</v>
      </c>
      <c r="AE438" s="2">
        <v>46255</v>
      </c>
      <c r="AF438" s="2">
        <v>46263</v>
      </c>
      <c r="AG438" s="2">
        <v>46270</v>
      </c>
      <c r="AH438">
        <v>0</v>
      </c>
      <c r="AI438" s="3">
        <v>0</v>
      </c>
      <c r="AJ438" s="1" t="s">
        <v>1635</v>
      </c>
      <c r="AK438" s="2" t="s">
        <v>1635</v>
      </c>
      <c r="AL438" s="4" t="s">
        <v>1636</v>
      </c>
      <c r="AM438" s="5" t="s">
        <v>1636</v>
      </c>
      <c r="AN438" s="4">
        <v>7</v>
      </c>
      <c r="AO438" t="s">
        <v>1635</v>
      </c>
      <c r="AP438" s="4" t="s">
        <v>1636</v>
      </c>
      <c r="AQ438" t="s">
        <v>1619</v>
      </c>
      <c r="AR438" t="s">
        <v>1794</v>
      </c>
      <c r="AT438" s="16">
        <f>_xlfn.XLOOKUP(B438,'SWiSH Demand Forecast Sep-26'!D:D,'SWiSH Demand Forecast Sep-26'!G:G,"Not Exist")</f>
        <v>112.41</v>
      </c>
    </row>
    <row r="439" spans="1:46" x14ac:dyDescent="0.3">
      <c r="A439">
        <v>102500005</v>
      </c>
      <c r="B439" t="s">
        <v>2317</v>
      </c>
      <c r="C439" t="s">
        <v>136</v>
      </c>
      <c r="D439" t="s">
        <v>1613</v>
      </c>
      <c r="E439" t="s">
        <v>2161</v>
      </c>
      <c r="F439" t="s">
        <v>1927</v>
      </c>
      <c r="G439" t="s">
        <v>1616</v>
      </c>
      <c r="H439" t="s">
        <v>1928</v>
      </c>
      <c r="I439" t="s">
        <v>1618</v>
      </c>
      <c r="J439" t="s">
        <v>2318</v>
      </c>
      <c r="K439">
        <v>0.50263031999999996</v>
      </c>
      <c r="L439">
        <v>4.423146816</v>
      </c>
      <c r="M439" s="1">
        <v>3</v>
      </c>
      <c r="N439">
        <v>0</v>
      </c>
      <c r="O439">
        <v>0</v>
      </c>
      <c r="P439">
        <v>8.8000000000000007</v>
      </c>
      <c r="Q439" s="1">
        <v>8.8000000000000007</v>
      </c>
      <c r="R439">
        <v>4.8</v>
      </c>
      <c r="S439" s="2">
        <v>46149</v>
      </c>
      <c r="T439" s="2">
        <v>46253</v>
      </c>
      <c r="U439">
        <v>33.119999999999997</v>
      </c>
      <c r="V439">
        <v>23.2</v>
      </c>
      <c r="W439">
        <v>9.6000000000000014</v>
      </c>
      <c r="X439">
        <v>27.199999999999996</v>
      </c>
      <c r="Y439">
        <v>9.6000000000000014</v>
      </c>
      <c r="Z439" s="8">
        <v>33.119999999999997</v>
      </c>
      <c r="AA439">
        <v>23.279999999999994</v>
      </c>
      <c r="AB439">
        <v>0.4123711340206187</v>
      </c>
      <c r="AC439">
        <v>1.4226804123711343</v>
      </c>
      <c r="AD439" s="1">
        <v>7</v>
      </c>
      <c r="AE439" s="2">
        <v>46255</v>
      </c>
      <c r="AF439" s="2">
        <v>46263</v>
      </c>
      <c r="AG439" s="2">
        <v>46270</v>
      </c>
      <c r="AH439">
        <v>12</v>
      </c>
      <c r="AI439" s="3">
        <v>0.37481259370314846</v>
      </c>
      <c r="AJ439" s="1">
        <v>21</v>
      </c>
      <c r="AK439" s="2">
        <v>46284</v>
      </c>
      <c r="AL439" s="4">
        <v>30</v>
      </c>
      <c r="AM439" s="5">
        <v>15</v>
      </c>
      <c r="AN439" s="4">
        <v>7</v>
      </c>
      <c r="AO439">
        <v>12.413793103448276</v>
      </c>
      <c r="AP439" s="4">
        <v>1</v>
      </c>
      <c r="AQ439">
        <v>2</v>
      </c>
      <c r="AR439" t="s">
        <v>2319</v>
      </c>
      <c r="AT439" s="16" t="str">
        <f>_xlfn.XLOOKUP(B439,'SWiSH Demand Forecast Sep-26'!D:D,'SWiSH Demand Forecast Sep-26'!G:G,"Not Exist")</f>
        <v>Not Exist</v>
      </c>
    </row>
    <row r="440" spans="1:46" x14ac:dyDescent="0.3">
      <c r="A440">
        <v>106400731</v>
      </c>
      <c r="B440" t="s">
        <v>2320</v>
      </c>
      <c r="C440" t="s">
        <v>10</v>
      </c>
      <c r="D440" t="s">
        <v>1613</v>
      </c>
      <c r="E440" t="s">
        <v>1762</v>
      </c>
      <c r="F440" t="s">
        <v>1763</v>
      </c>
      <c r="G440" t="s">
        <v>1624</v>
      </c>
      <c r="H440" t="s">
        <v>1764</v>
      </c>
      <c r="I440" t="s">
        <v>1754</v>
      </c>
      <c r="J440" t="s">
        <v>10</v>
      </c>
      <c r="K440">
        <v>0.82826745999999996</v>
      </c>
      <c r="L440">
        <v>51.352582519999999</v>
      </c>
      <c r="M440" s="1">
        <v>3</v>
      </c>
      <c r="N440">
        <v>0</v>
      </c>
      <c r="O440">
        <v>0</v>
      </c>
      <c r="P440">
        <v>62</v>
      </c>
      <c r="Q440" s="1">
        <v>62</v>
      </c>
      <c r="R440">
        <v>0</v>
      </c>
      <c r="S440" s="2">
        <v>0</v>
      </c>
      <c r="T440" s="2">
        <v>46258</v>
      </c>
      <c r="U440">
        <v>246</v>
      </c>
      <c r="V440">
        <v>64</v>
      </c>
      <c r="W440">
        <v>180</v>
      </c>
      <c r="X440">
        <v>120</v>
      </c>
      <c r="Y440">
        <v>64</v>
      </c>
      <c r="Z440" s="8">
        <v>246</v>
      </c>
      <c r="AA440">
        <v>152.5</v>
      </c>
      <c r="AB440">
        <v>0.41967213114754098</v>
      </c>
      <c r="AC440">
        <v>1.6131147540983606</v>
      </c>
      <c r="AD440" s="1">
        <v>7</v>
      </c>
      <c r="AE440" s="2">
        <v>46255</v>
      </c>
      <c r="AF440" s="2">
        <v>46263</v>
      </c>
      <c r="AG440" s="2">
        <v>46270</v>
      </c>
      <c r="AH440">
        <v>196</v>
      </c>
      <c r="AI440" s="3">
        <v>0.82422203532380156</v>
      </c>
      <c r="AJ440" s="1">
        <v>9</v>
      </c>
      <c r="AK440" s="2">
        <v>46272</v>
      </c>
      <c r="AL440" s="4" t="s">
        <v>1658</v>
      </c>
      <c r="AM440" s="5" t="s">
        <v>1658</v>
      </c>
      <c r="AN440" s="4">
        <v>7</v>
      </c>
      <c r="AO440" t="s">
        <v>1635</v>
      </c>
      <c r="AP440" s="4" t="s">
        <v>1658</v>
      </c>
      <c r="AQ440" t="s">
        <v>1619</v>
      </c>
      <c r="AR440" t="s">
        <v>1620</v>
      </c>
      <c r="AT440" s="16" t="str">
        <f>_xlfn.XLOOKUP(B440,'SWiSH Demand Forecast Sep-26'!D:D,'SWiSH Demand Forecast Sep-26'!G:G,"Not Exist")</f>
        <v>Not Exist</v>
      </c>
    </row>
    <row r="441" spans="1:46" hidden="1" x14ac:dyDescent="0.3">
      <c r="A441">
        <v>105300029</v>
      </c>
      <c r="B441" t="s">
        <v>379</v>
      </c>
      <c r="C441" t="s">
        <v>10</v>
      </c>
      <c r="D441" t="s">
        <v>1613</v>
      </c>
      <c r="E441" t="s">
        <v>1638</v>
      </c>
      <c r="F441" t="s">
        <v>1664</v>
      </c>
      <c r="G441" t="s">
        <v>1624</v>
      </c>
      <c r="H441" t="s">
        <v>1978</v>
      </c>
      <c r="I441" t="s">
        <v>1634</v>
      </c>
      <c r="J441" t="s">
        <v>10</v>
      </c>
      <c r="K441">
        <v>2.8000000000000001E-2</v>
      </c>
      <c r="L441">
        <v>70</v>
      </c>
      <c r="M441" s="1">
        <v>30</v>
      </c>
      <c r="N441">
        <v>0</v>
      </c>
      <c r="O441">
        <v>0</v>
      </c>
      <c r="P441">
        <v>2500</v>
      </c>
      <c r="Q441" s="1">
        <v>2500</v>
      </c>
      <c r="R441">
        <v>3.2000000000000001E-2</v>
      </c>
      <c r="S441" s="2">
        <v>46147</v>
      </c>
      <c r="T441" s="2">
        <v>46251</v>
      </c>
      <c r="U441">
        <v>10000</v>
      </c>
      <c r="V441">
        <v>9000</v>
      </c>
      <c r="W441">
        <v>7000</v>
      </c>
      <c r="X441">
        <v>9000</v>
      </c>
      <c r="Y441">
        <v>7000</v>
      </c>
      <c r="Z441" s="8">
        <v>10000</v>
      </c>
      <c r="AA441">
        <v>8750</v>
      </c>
      <c r="AB441">
        <v>0.8</v>
      </c>
      <c r="AC441">
        <v>1.1428571428571428</v>
      </c>
      <c r="AD441" s="1">
        <v>7</v>
      </c>
      <c r="AE441" s="2">
        <v>46255</v>
      </c>
      <c r="AF441" s="2">
        <v>46263</v>
      </c>
      <c r="AG441" s="2">
        <v>46270</v>
      </c>
      <c r="AH441">
        <v>7000</v>
      </c>
      <c r="AI441" s="3">
        <v>0.72413793103448276</v>
      </c>
      <c r="AJ441" s="1">
        <v>10</v>
      </c>
      <c r="AK441" s="2">
        <v>46273</v>
      </c>
      <c r="AL441" s="4">
        <v>15</v>
      </c>
      <c r="AM441" s="5">
        <v>15</v>
      </c>
      <c r="AN441" s="4">
        <v>7</v>
      </c>
      <c r="AO441">
        <v>3620.6896551724139</v>
      </c>
      <c r="AP441" s="4">
        <v>2</v>
      </c>
      <c r="AQ441">
        <v>34000</v>
      </c>
      <c r="AR441" t="s">
        <v>2098</v>
      </c>
      <c r="AT441" s="16">
        <f>_xlfn.XLOOKUP(B441,'SWiSH Demand Forecast Sep-26'!D:D,'SWiSH Demand Forecast Sep-26'!G:G,"Not Exist")</f>
        <v>3030</v>
      </c>
    </row>
    <row r="442" spans="1:46" x14ac:dyDescent="0.3">
      <c r="A442">
        <v>100100070</v>
      </c>
      <c r="B442" t="s">
        <v>2321</v>
      </c>
      <c r="C442" t="s">
        <v>136</v>
      </c>
      <c r="D442" t="s">
        <v>1613</v>
      </c>
      <c r="E442" t="s">
        <v>1732</v>
      </c>
      <c r="F442" t="s">
        <v>1840</v>
      </c>
      <c r="G442" t="s">
        <v>1616</v>
      </c>
      <c r="H442" t="s">
        <v>1877</v>
      </c>
      <c r="I442" t="s">
        <v>1618</v>
      </c>
      <c r="J442" t="s">
        <v>2322</v>
      </c>
      <c r="K442">
        <v>3.75</v>
      </c>
      <c r="L442">
        <v>18.75</v>
      </c>
      <c r="M442" s="1">
        <v>3</v>
      </c>
      <c r="N442">
        <v>0</v>
      </c>
      <c r="O442">
        <v>0</v>
      </c>
      <c r="P442">
        <v>5</v>
      </c>
      <c r="Q442" s="1">
        <v>5</v>
      </c>
      <c r="R442">
        <v>11.55</v>
      </c>
      <c r="S442" s="2">
        <v>46238</v>
      </c>
      <c r="T442" s="2">
        <v>46261</v>
      </c>
      <c r="U442">
        <v>0</v>
      </c>
      <c r="V442">
        <v>12</v>
      </c>
      <c r="W442">
        <v>19.2</v>
      </c>
      <c r="X442">
        <v>2.8</v>
      </c>
      <c r="Y442">
        <v>0</v>
      </c>
      <c r="Z442" s="8">
        <v>19.2</v>
      </c>
      <c r="AA442">
        <v>8.5</v>
      </c>
      <c r="AB442">
        <v>0</v>
      </c>
      <c r="AC442">
        <v>2.2588235294117647</v>
      </c>
      <c r="AD442" s="1">
        <v>7</v>
      </c>
      <c r="AE442" s="2">
        <v>46255</v>
      </c>
      <c r="AF442" s="2">
        <v>46263</v>
      </c>
      <c r="AG442" s="2">
        <v>46270</v>
      </c>
      <c r="AH442">
        <v>10</v>
      </c>
      <c r="AI442" s="3">
        <v>0.53879310344827591</v>
      </c>
      <c r="AJ442" s="1">
        <v>14</v>
      </c>
      <c r="AK442" s="2">
        <v>46277</v>
      </c>
      <c r="AL442" s="4">
        <v>30</v>
      </c>
      <c r="AM442" s="5">
        <v>15</v>
      </c>
      <c r="AN442" s="4">
        <v>7</v>
      </c>
      <c r="AO442">
        <v>10.344827586206897</v>
      </c>
      <c r="AP442" s="4">
        <v>1</v>
      </c>
      <c r="AQ442" t="s">
        <v>1619</v>
      </c>
      <c r="AR442" t="s">
        <v>1620</v>
      </c>
      <c r="AT442" s="16" t="str">
        <f>_xlfn.XLOOKUP(B442,'SWiSH Demand Forecast Sep-26'!D:D,'SWiSH Demand Forecast Sep-26'!G:G,"Not Exist")</f>
        <v>Not Exist</v>
      </c>
    </row>
    <row r="443" spans="1:46" hidden="1" x14ac:dyDescent="0.3">
      <c r="A443">
        <v>100900053</v>
      </c>
      <c r="B443" t="s">
        <v>681</v>
      </c>
      <c r="C443" t="s">
        <v>10</v>
      </c>
      <c r="D443" t="s">
        <v>1613</v>
      </c>
      <c r="E443" t="s">
        <v>2323</v>
      </c>
      <c r="F443" t="s">
        <v>1639</v>
      </c>
      <c r="G443" t="s">
        <v>1616</v>
      </c>
      <c r="H443" t="s">
        <v>1640</v>
      </c>
      <c r="I443" t="s">
        <v>1618</v>
      </c>
      <c r="J443" t="s">
        <v>1641</v>
      </c>
      <c r="K443">
        <v>6.1666720000000001E-2</v>
      </c>
      <c r="L443">
        <v>24.050020800000002</v>
      </c>
      <c r="M443" s="1">
        <v>3</v>
      </c>
      <c r="N443">
        <v>0</v>
      </c>
      <c r="O443">
        <v>0</v>
      </c>
      <c r="P443">
        <v>390</v>
      </c>
      <c r="Q443" s="1">
        <v>390</v>
      </c>
      <c r="R443">
        <v>1.85</v>
      </c>
      <c r="S443" s="2">
        <v>46223</v>
      </c>
      <c r="T443" s="2">
        <v>46262</v>
      </c>
      <c r="U443">
        <v>1470</v>
      </c>
      <c r="V443">
        <v>1410</v>
      </c>
      <c r="W443">
        <v>1050</v>
      </c>
      <c r="X443">
        <v>1650</v>
      </c>
      <c r="Y443">
        <v>1050</v>
      </c>
      <c r="Z443" s="8">
        <v>1650</v>
      </c>
      <c r="AA443">
        <v>1395</v>
      </c>
      <c r="AB443">
        <v>0.75268817204301075</v>
      </c>
      <c r="AC443">
        <v>1.1827956989247312</v>
      </c>
      <c r="AD443" s="1">
        <v>7</v>
      </c>
      <c r="AE443" s="2">
        <v>46255</v>
      </c>
      <c r="AF443" s="2">
        <v>46263</v>
      </c>
      <c r="AG443" s="2">
        <v>46270</v>
      </c>
      <c r="AH443">
        <v>750</v>
      </c>
      <c r="AI443" s="3">
        <v>0.47021943573667707</v>
      </c>
      <c r="AJ443" s="1">
        <v>15</v>
      </c>
      <c r="AK443" s="2">
        <v>46278</v>
      </c>
      <c r="AL443" s="4">
        <v>10</v>
      </c>
      <c r="AM443" s="5">
        <v>10</v>
      </c>
      <c r="AN443" s="4">
        <v>7</v>
      </c>
      <c r="AO443">
        <v>258.62068965517238</v>
      </c>
      <c r="AP443" s="4">
        <v>3</v>
      </c>
      <c r="AQ443" t="s">
        <v>1619</v>
      </c>
      <c r="AR443" t="s">
        <v>1620</v>
      </c>
      <c r="AT443" s="16">
        <f>_xlfn.XLOOKUP(B443,'SWiSH Demand Forecast Sep-26'!D:D,'SWiSH Demand Forecast Sep-26'!G:G,"Not Exist")</f>
        <v>650</v>
      </c>
    </row>
    <row r="444" spans="1:46" x14ac:dyDescent="0.3">
      <c r="A444">
        <v>101500017</v>
      </c>
      <c r="B444" t="s">
        <v>2324</v>
      </c>
      <c r="C444" t="s">
        <v>10</v>
      </c>
      <c r="D444" t="s">
        <v>1613</v>
      </c>
      <c r="E444" t="s">
        <v>2325</v>
      </c>
      <c r="F444" t="s">
        <v>1644</v>
      </c>
      <c r="G444" t="s">
        <v>1624</v>
      </c>
      <c r="H444" t="s">
        <v>1647</v>
      </c>
      <c r="I444" t="s">
        <v>1634</v>
      </c>
      <c r="J444" t="s">
        <v>10</v>
      </c>
      <c r="K444">
        <v>1.34</v>
      </c>
      <c r="L444">
        <v>49.580000000000005</v>
      </c>
      <c r="M444" s="1">
        <v>3</v>
      </c>
      <c r="N444">
        <v>0</v>
      </c>
      <c r="O444">
        <v>2</v>
      </c>
      <c r="P444">
        <v>37</v>
      </c>
      <c r="Q444" s="1">
        <v>35</v>
      </c>
      <c r="R444">
        <v>1.34</v>
      </c>
      <c r="S444" s="2">
        <v>46250</v>
      </c>
      <c r="T444" s="2">
        <v>46263</v>
      </c>
      <c r="U444">
        <v>142</v>
      </c>
      <c r="V444">
        <v>130</v>
      </c>
      <c r="W444">
        <v>114</v>
      </c>
      <c r="X444">
        <v>142</v>
      </c>
      <c r="Y444">
        <v>114</v>
      </c>
      <c r="Z444" s="8">
        <v>142</v>
      </c>
      <c r="AA444">
        <v>132</v>
      </c>
      <c r="AB444">
        <v>0.86363636363636365</v>
      </c>
      <c r="AC444">
        <v>1.0757575757575757</v>
      </c>
      <c r="AD444" s="1">
        <v>7</v>
      </c>
      <c r="AE444" s="2">
        <v>46255</v>
      </c>
      <c r="AF444" s="2">
        <v>46263</v>
      </c>
      <c r="AG444" s="2">
        <v>46270</v>
      </c>
      <c r="AH444">
        <v>94</v>
      </c>
      <c r="AI444" s="3">
        <v>0.68479844584749883</v>
      </c>
      <c r="AJ444" s="1">
        <v>10</v>
      </c>
      <c r="AK444" s="2">
        <v>46273</v>
      </c>
      <c r="AL444" s="4">
        <v>15</v>
      </c>
      <c r="AM444" s="5">
        <v>15</v>
      </c>
      <c r="AN444" s="4">
        <v>7</v>
      </c>
      <c r="AO444">
        <v>48.62068965517242</v>
      </c>
      <c r="AP444" s="4">
        <v>2</v>
      </c>
      <c r="AQ444" t="s">
        <v>1619</v>
      </c>
      <c r="AR444" t="s">
        <v>1620</v>
      </c>
      <c r="AT444" s="16" t="str">
        <f>_xlfn.XLOOKUP(B444,'SWiSH Demand Forecast Sep-26'!D:D,'SWiSH Demand Forecast Sep-26'!G:G,"Not Exist")</f>
        <v>Not Exist</v>
      </c>
    </row>
    <row r="445" spans="1:46" hidden="1" x14ac:dyDescent="0.3">
      <c r="A445">
        <v>106200150</v>
      </c>
      <c r="B445" t="s">
        <v>832</v>
      </c>
      <c r="C445" t="s">
        <v>240</v>
      </c>
      <c r="D445" t="s">
        <v>1613</v>
      </c>
      <c r="E445" t="s">
        <v>1677</v>
      </c>
      <c r="F445" t="s">
        <v>1671</v>
      </c>
      <c r="G445" t="s">
        <v>1616</v>
      </c>
      <c r="H445" t="s">
        <v>1672</v>
      </c>
      <c r="I445" t="s">
        <v>1618</v>
      </c>
      <c r="J445" t="s">
        <v>1673</v>
      </c>
      <c r="K445">
        <v>0.14880952</v>
      </c>
      <c r="L445">
        <v>33.749999136</v>
      </c>
      <c r="M445" s="1">
        <v>3</v>
      </c>
      <c r="N445">
        <v>0</v>
      </c>
      <c r="O445">
        <v>0</v>
      </c>
      <c r="P445">
        <v>226.8</v>
      </c>
      <c r="Q445" s="1">
        <v>226.8</v>
      </c>
      <c r="R445">
        <v>2.25</v>
      </c>
      <c r="S445" s="2">
        <v>46249</v>
      </c>
      <c r="T445" s="2">
        <v>46263</v>
      </c>
      <c r="U445">
        <v>797.58000000000015</v>
      </c>
      <c r="V445">
        <v>907.20000000000016</v>
      </c>
      <c r="W445">
        <v>786.24000000000012</v>
      </c>
      <c r="X445">
        <v>695.5200000000001</v>
      </c>
      <c r="Y445">
        <v>695.5200000000001</v>
      </c>
      <c r="Z445" s="8">
        <v>907.20000000000016</v>
      </c>
      <c r="AA445">
        <v>796.6350000000001</v>
      </c>
      <c r="AB445">
        <v>0.87307236061684457</v>
      </c>
      <c r="AC445">
        <v>1.1387900355871887</v>
      </c>
      <c r="AD445" s="1">
        <v>7</v>
      </c>
      <c r="AE445" s="2">
        <v>46255</v>
      </c>
      <c r="AF445" s="2">
        <v>46263</v>
      </c>
      <c r="AG445" s="2">
        <v>46270</v>
      </c>
      <c r="AH445">
        <v>680.40000000000009</v>
      </c>
      <c r="AI445" s="3">
        <v>0.77586206896551724</v>
      </c>
      <c r="AJ445" s="1">
        <v>9</v>
      </c>
      <c r="AK445" s="2">
        <v>46272</v>
      </c>
      <c r="AL445" s="4">
        <v>30</v>
      </c>
      <c r="AM445" s="5">
        <v>15</v>
      </c>
      <c r="AN445" s="4">
        <v>7</v>
      </c>
      <c r="AO445">
        <v>703.86206896551732</v>
      </c>
      <c r="AP445" s="4">
        <v>1</v>
      </c>
      <c r="AQ445" t="s">
        <v>1619</v>
      </c>
      <c r="AR445" t="s">
        <v>1620</v>
      </c>
      <c r="AT445" s="16">
        <f>_xlfn.XLOOKUP(B445,'SWiSH Demand Forecast Sep-26'!D:D,'SWiSH Demand Forecast Sep-26'!G:G,"Not Exist")</f>
        <v>347.65409856950703</v>
      </c>
    </row>
    <row r="446" spans="1:46" x14ac:dyDescent="0.3">
      <c r="A446">
        <v>100400199</v>
      </c>
      <c r="B446" t="s">
        <v>2326</v>
      </c>
      <c r="C446" t="s">
        <v>10</v>
      </c>
      <c r="D446" t="s">
        <v>1629</v>
      </c>
      <c r="E446" t="s">
        <v>1663</v>
      </c>
      <c r="F446" t="s">
        <v>1664</v>
      </c>
      <c r="G446" t="s">
        <v>1624</v>
      </c>
      <c r="H446" t="s">
        <v>1810</v>
      </c>
      <c r="I446" t="s">
        <v>1634</v>
      </c>
      <c r="J446" t="s">
        <v>10</v>
      </c>
      <c r="K446">
        <v>5.9499639999999999E-2</v>
      </c>
      <c r="L446">
        <v>214.19870399999999</v>
      </c>
      <c r="M446" s="1">
        <v>30</v>
      </c>
      <c r="N446">
        <v>0</v>
      </c>
      <c r="O446">
        <v>300</v>
      </c>
      <c r="P446">
        <v>3600</v>
      </c>
      <c r="Q446" s="1">
        <v>3300</v>
      </c>
      <c r="R446">
        <v>6.3E-2</v>
      </c>
      <c r="S446" s="2">
        <v>46166</v>
      </c>
      <c r="T446" s="2">
        <v>46263</v>
      </c>
      <c r="U446">
        <v>670</v>
      </c>
      <c r="V446">
        <v>8000</v>
      </c>
      <c r="W446">
        <v>14105</v>
      </c>
      <c r="X446">
        <v>13800</v>
      </c>
      <c r="Y446">
        <v>670</v>
      </c>
      <c r="Z446" s="8">
        <v>14105</v>
      </c>
      <c r="AA446">
        <v>9143.75</v>
      </c>
      <c r="AB446">
        <v>7.3274094326725908E-2</v>
      </c>
      <c r="AC446">
        <v>1.5425837320574163</v>
      </c>
      <c r="AD446" s="1">
        <v>7</v>
      </c>
      <c r="AE446" s="2">
        <v>46255</v>
      </c>
      <c r="AF446" s="2">
        <v>46263</v>
      </c>
      <c r="AG446" s="2">
        <v>46270</v>
      </c>
      <c r="AH446">
        <v>9300</v>
      </c>
      <c r="AI446" s="3">
        <v>0.68207654414550956</v>
      </c>
      <c r="AJ446" s="1">
        <v>10</v>
      </c>
      <c r="AK446" s="2">
        <v>46273</v>
      </c>
      <c r="AL446" s="4" t="s">
        <v>1636</v>
      </c>
      <c r="AM446" s="5" t="s">
        <v>1636</v>
      </c>
      <c r="AN446" s="4">
        <v>7</v>
      </c>
      <c r="AO446" t="s">
        <v>1635</v>
      </c>
      <c r="AP446" s="4" t="s">
        <v>1636</v>
      </c>
      <c r="AQ446" t="s">
        <v>1619</v>
      </c>
      <c r="AR446" t="s">
        <v>1620</v>
      </c>
      <c r="AS446" t="s">
        <v>1666</v>
      </c>
      <c r="AT446" s="16" t="str">
        <f>_xlfn.XLOOKUP(B446,'SWiSH Demand Forecast Sep-26'!D:D,'SWiSH Demand Forecast Sep-26'!G:G,"Not Exist")</f>
        <v>Not Exist</v>
      </c>
    </row>
    <row r="447" spans="1:46" x14ac:dyDescent="0.3">
      <c r="A447">
        <v>102200005</v>
      </c>
      <c r="B447" t="s">
        <v>2327</v>
      </c>
      <c r="C447" t="s">
        <v>10</v>
      </c>
      <c r="D447" t="s">
        <v>1613</v>
      </c>
      <c r="E447" t="s">
        <v>2328</v>
      </c>
      <c r="F447" t="s">
        <v>1650</v>
      </c>
      <c r="G447" t="s">
        <v>1624</v>
      </c>
      <c r="H447" t="s">
        <v>2329</v>
      </c>
      <c r="I447" t="s">
        <v>1634</v>
      </c>
      <c r="J447" t="s">
        <v>10</v>
      </c>
      <c r="K447">
        <v>0.6</v>
      </c>
      <c r="L447">
        <v>13.2</v>
      </c>
      <c r="M447" s="1">
        <v>3</v>
      </c>
      <c r="N447">
        <v>0</v>
      </c>
      <c r="O447">
        <v>0</v>
      </c>
      <c r="P447">
        <v>22</v>
      </c>
      <c r="Q447" s="1">
        <v>22</v>
      </c>
      <c r="R447">
        <v>0.6</v>
      </c>
      <c r="S447" s="2">
        <v>46259</v>
      </c>
      <c r="T447" s="2">
        <v>46262</v>
      </c>
      <c r="U447">
        <v>94</v>
      </c>
      <c r="V447">
        <v>48</v>
      </c>
      <c r="W447">
        <v>62</v>
      </c>
      <c r="X447">
        <v>52</v>
      </c>
      <c r="Y447">
        <v>48</v>
      </c>
      <c r="Z447" s="8">
        <v>94</v>
      </c>
      <c r="AA447">
        <v>64</v>
      </c>
      <c r="AB447">
        <v>0.75</v>
      </c>
      <c r="AC447">
        <v>1.46875</v>
      </c>
      <c r="AD447" s="1">
        <v>7</v>
      </c>
      <c r="AE447" s="2">
        <v>46255</v>
      </c>
      <c r="AF447" s="2">
        <v>46263</v>
      </c>
      <c r="AG447" s="2">
        <v>46270</v>
      </c>
      <c r="AH447">
        <v>70</v>
      </c>
      <c r="AI447" s="3">
        <v>0.77035950110051354</v>
      </c>
      <c r="AJ447" s="1">
        <v>9</v>
      </c>
      <c r="AK447" s="2">
        <v>46272</v>
      </c>
      <c r="AL447" s="4">
        <v>30</v>
      </c>
      <c r="AM447" s="5">
        <v>15</v>
      </c>
      <c r="AN447" s="4">
        <v>7</v>
      </c>
      <c r="AO447">
        <v>72.41379310344827</v>
      </c>
      <c r="AP447" s="4">
        <v>1</v>
      </c>
      <c r="AQ447" t="s">
        <v>1619</v>
      </c>
      <c r="AR447" t="s">
        <v>1620</v>
      </c>
      <c r="AT447" s="16" t="str">
        <f>_xlfn.XLOOKUP(B447,'SWiSH Demand Forecast Sep-26'!D:D,'SWiSH Demand Forecast Sep-26'!G:G,"Not Exist")</f>
        <v>Not Exist</v>
      </c>
    </row>
    <row r="448" spans="1:46" hidden="1" x14ac:dyDescent="0.3">
      <c r="A448">
        <v>101200043</v>
      </c>
      <c r="B448" t="s">
        <v>665</v>
      </c>
      <c r="C448" t="s">
        <v>136</v>
      </c>
      <c r="D448" t="s">
        <v>1613</v>
      </c>
      <c r="E448" t="s">
        <v>1655</v>
      </c>
      <c r="F448" t="s">
        <v>1752</v>
      </c>
      <c r="G448" t="s">
        <v>1616</v>
      </c>
      <c r="H448" t="s">
        <v>1625</v>
      </c>
      <c r="I448" t="s">
        <v>1754</v>
      </c>
      <c r="J448" t="s">
        <v>136</v>
      </c>
      <c r="K448">
        <v>3.8904498599999999</v>
      </c>
      <c r="L448">
        <v>791.31750152400002</v>
      </c>
      <c r="M448" s="1">
        <v>3</v>
      </c>
      <c r="N448">
        <v>0</v>
      </c>
      <c r="O448">
        <v>54.24</v>
      </c>
      <c r="P448">
        <v>203.4</v>
      </c>
      <c r="Q448" s="1">
        <v>149.16</v>
      </c>
      <c r="R448">
        <v>26.4</v>
      </c>
      <c r="S448" s="2">
        <v>46259</v>
      </c>
      <c r="T448" s="2">
        <v>46263</v>
      </c>
      <c r="U448">
        <v>583.07999999999868</v>
      </c>
      <c r="V448">
        <v>630.53999999999849</v>
      </c>
      <c r="W448">
        <v>576.2999999999987</v>
      </c>
      <c r="X448">
        <v>610.19999999999857</v>
      </c>
      <c r="Y448">
        <v>576.2999999999987</v>
      </c>
      <c r="Z448" s="8">
        <v>630.53999999999849</v>
      </c>
      <c r="AA448">
        <v>600.02999999999861</v>
      </c>
      <c r="AB448">
        <v>0.96045197740112997</v>
      </c>
      <c r="AC448">
        <v>1.0508474576271185</v>
      </c>
      <c r="AD448" s="1">
        <v>7</v>
      </c>
      <c r="AE448" s="2">
        <v>46255</v>
      </c>
      <c r="AF448" s="2">
        <v>46263</v>
      </c>
      <c r="AG448" s="2">
        <v>46270</v>
      </c>
      <c r="AH448">
        <v>549.17999999999893</v>
      </c>
      <c r="AI448" s="3">
        <v>0.90100111234705271</v>
      </c>
      <c r="AJ448" s="1">
        <v>7</v>
      </c>
      <c r="AK448" s="2">
        <v>46270</v>
      </c>
      <c r="AL448" s="4">
        <v>30</v>
      </c>
      <c r="AM448" s="5">
        <v>15</v>
      </c>
      <c r="AN448" s="4">
        <v>7</v>
      </c>
      <c r="AO448">
        <v>568.11724137930923</v>
      </c>
      <c r="AP448" s="4">
        <v>1</v>
      </c>
      <c r="AQ448" t="s">
        <v>1619</v>
      </c>
      <c r="AR448" t="s">
        <v>1620</v>
      </c>
      <c r="AT448" s="16">
        <f>_xlfn.XLOOKUP(B448,'SWiSH Demand Forecast Sep-26'!D:D,'SWiSH Demand Forecast Sep-26'!G:G,"Not Exist")</f>
        <v>696.68</v>
      </c>
    </row>
    <row r="449" spans="1:46" hidden="1" x14ac:dyDescent="0.3">
      <c r="A449">
        <v>102500025</v>
      </c>
      <c r="B449" t="s">
        <v>911</v>
      </c>
      <c r="C449" t="s">
        <v>136</v>
      </c>
      <c r="D449" t="s">
        <v>1613</v>
      </c>
      <c r="E449" t="s">
        <v>2147</v>
      </c>
      <c r="F449" t="s">
        <v>1927</v>
      </c>
      <c r="G449" t="s">
        <v>1616</v>
      </c>
      <c r="H449" t="s">
        <v>1928</v>
      </c>
      <c r="I449" t="s">
        <v>1618</v>
      </c>
      <c r="J449" t="s">
        <v>1878</v>
      </c>
      <c r="K449">
        <v>0.39227677</v>
      </c>
      <c r="L449">
        <v>152.98794029999999</v>
      </c>
      <c r="M449" s="1">
        <v>3</v>
      </c>
      <c r="N449">
        <v>0</v>
      </c>
      <c r="O449">
        <v>60</v>
      </c>
      <c r="P449">
        <v>390</v>
      </c>
      <c r="Q449" s="1">
        <v>330</v>
      </c>
      <c r="R449">
        <v>5.75</v>
      </c>
      <c r="S449" s="2">
        <v>46251</v>
      </c>
      <c r="T449" s="2">
        <v>46263</v>
      </c>
      <c r="U449">
        <v>1050</v>
      </c>
      <c r="V449">
        <v>1110</v>
      </c>
      <c r="W449">
        <v>1090</v>
      </c>
      <c r="X449">
        <v>1290</v>
      </c>
      <c r="Y449">
        <v>1050</v>
      </c>
      <c r="Z449" s="8">
        <v>1290</v>
      </c>
      <c r="AA449">
        <v>1135</v>
      </c>
      <c r="AB449">
        <v>0.92511013215859028</v>
      </c>
      <c r="AC449">
        <v>1.1365638766519823</v>
      </c>
      <c r="AD449" s="1">
        <v>7</v>
      </c>
      <c r="AE449" s="2">
        <v>46255</v>
      </c>
      <c r="AF449" s="2">
        <v>46263</v>
      </c>
      <c r="AG449" s="2">
        <v>46270</v>
      </c>
      <c r="AH449">
        <v>1065</v>
      </c>
      <c r="AI449" s="3">
        <v>0.85404971932638329</v>
      </c>
      <c r="AJ449" s="1">
        <v>8</v>
      </c>
      <c r="AK449" s="2">
        <v>46271</v>
      </c>
      <c r="AL449" s="4">
        <v>15</v>
      </c>
      <c r="AM449" s="5">
        <v>15</v>
      </c>
      <c r="AN449" s="4">
        <v>7</v>
      </c>
      <c r="AO449">
        <v>550.86206896551721</v>
      </c>
      <c r="AP449" s="4">
        <v>2</v>
      </c>
      <c r="AQ449" t="s">
        <v>1619</v>
      </c>
      <c r="AR449" t="s">
        <v>1620</v>
      </c>
      <c r="AT449" s="16">
        <f>_xlfn.XLOOKUP(B449,'SWiSH Demand Forecast Sep-26'!D:D,'SWiSH Demand Forecast Sep-26'!G:G,"Not Exist")</f>
        <v>231.498999999999</v>
      </c>
    </row>
    <row r="450" spans="1:46" x14ac:dyDescent="0.3">
      <c r="A450">
        <v>103800010</v>
      </c>
      <c r="B450" t="s">
        <v>2330</v>
      </c>
      <c r="C450" t="s">
        <v>136</v>
      </c>
      <c r="D450" t="s">
        <v>1613</v>
      </c>
      <c r="E450" t="s">
        <v>2331</v>
      </c>
      <c r="F450" t="s">
        <v>1615</v>
      </c>
      <c r="G450" t="s">
        <v>1616</v>
      </c>
      <c r="H450" t="s">
        <v>1822</v>
      </c>
      <c r="I450" t="s">
        <v>1618</v>
      </c>
      <c r="J450" t="s">
        <v>136</v>
      </c>
      <c r="K450">
        <v>1.8043076899999999</v>
      </c>
      <c r="L450">
        <v>3.6086153799999998</v>
      </c>
      <c r="M450" s="1">
        <v>3</v>
      </c>
      <c r="N450">
        <v>0</v>
      </c>
      <c r="O450">
        <v>0</v>
      </c>
      <c r="P450">
        <v>2</v>
      </c>
      <c r="Q450" s="1">
        <v>2</v>
      </c>
      <c r="R450">
        <v>0.9</v>
      </c>
      <c r="S450" s="2">
        <v>46246</v>
      </c>
      <c r="T450" s="2">
        <v>46263</v>
      </c>
      <c r="U450">
        <v>5</v>
      </c>
      <c r="V450">
        <v>8</v>
      </c>
      <c r="W450">
        <v>2.5</v>
      </c>
      <c r="X450">
        <v>7.5</v>
      </c>
      <c r="Y450">
        <v>2.5</v>
      </c>
      <c r="Z450" s="8">
        <v>8</v>
      </c>
      <c r="AA450">
        <v>5.75</v>
      </c>
      <c r="AB450">
        <v>0.43478260869565216</v>
      </c>
      <c r="AC450">
        <v>1.3913043478260869</v>
      </c>
      <c r="AD450" s="1">
        <v>7</v>
      </c>
      <c r="AE450" s="2">
        <v>46255</v>
      </c>
      <c r="AF450" s="2">
        <v>46263</v>
      </c>
      <c r="AG450" s="2">
        <v>46270</v>
      </c>
      <c r="AH450">
        <v>7</v>
      </c>
      <c r="AI450" s="3">
        <v>0.90517241379310343</v>
      </c>
      <c r="AJ450" s="1">
        <v>8</v>
      </c>
      <c r="AK450" s="2">
        <v>46271</v>
      </c>
      <c r="AL450" s="4">
        <v>30</v>
      </c>
      <c r="AM450" s="5">
        <v>15</v>
      </c>
      <c r="AN450" s="4">
        <v>7</v>
      </c>
      <c r="AO450">
        <v>7.2413793103448274</v>
      </c>
      <c r="AP450" s="4">
        <v>1</v>
      </c>
      <c r="AQ450" t="s">
        <v>1619</v>
      </c>
      <c r="AR450" t="s">
        <v>1620</v>
      </c>
      <c r="AT450" s="16" t="str">
        <f>_xlfn.XLOOKUP(B450,'SWiSH Demand Forecast Sep-26'!D:D,'SWiSH Demand Forecast Sep-26'!G:G,"Not Exist")</f>
        <v>Not Exist</v>
      </c>
    </row>
    <row r="451" spans="1:46" x14ac:dyDescent="0.3">
      <c r="A451">
        <v>106700004</v>
      </c>
      <c r="B451" t="s">
        <v>2332</v>
      </c>
      <c r="C451" t="s">
        <v>10</v>
      </c>
      <c r="D451" t="s">
        <v>1613</v>
      </c>
      <c r="E451" t="s">
        <v>2333</v>
      </c>
      <c r="F451" t="s">
        <v>1650</v>
      </c>
      <c r="G451" t="s">
        <v>1624</v>
      </c>
      <c r="H451" t="s">
        <v>1651</v>
      </c>
      <c r="I451" t="s">
        <v>1634</v>
      </c>
      <c r="J451" t="s">
        <v>2334</v>
      </c>
      <c r="K451">
        <v>0.99</v>
      </c>
      <c r="L451">
        <v>87.12</v>
      </c>
      <c r="M451" s="1">
        <v>3</v>
      </c>
      <c r="N451">
        <v>0</v>
      </c>
      <c r="O451">
        <v>1</v>
      </c>
      <c r="P451">
        <v>88</v>
      </c>
      <c r="Q451" s="1">
        <v>87</v>
      </c>
      <c r="R451">
        <v>4.95</v>
      </c>
      <c r="S451" s="2">
        <v>46242</v>
      </c>
      <c r="T451" s="2">
        <v>46263</v>
      </c>
      <c r="U451">
        <v>288</v>
      </c>
      <c r="V451">
        <v>321</v>
      </c>
      <c r="W451">
        <v>322</v>
      </c>
      <c r="X451">
        <v>364</v>
      </c>
      <c r="Y451">
        <v>288</v>
      </c>
      <c r="Z451" s="8">
        <v>364</v>
      </c>
      <c r="AA451">
        <v>323.75</v>
      </c>
      <c r="AB451">
        <v>0.88957528957528953</v>
      </c>
      <c r="AC451">
        <v>1.1243243243243244</v>
      </c>
      <c r="AD451" s="1">
        <v>7</v>
      </c>
      <c r="AE451" s="2">
        <v>46255</v>
      </c>
      <c r="AF451" s="2">
        <v>46263</v>
      </c>
      <c r="AG451" s="2">
        <v>46270</v>
      </c>
      <c r="AH451">
        <v>212</v>
      </c>
      <c r="AI451" s="3">
        <v>0.60250094732853354</v>
      </c>
      <c r="AJ451" s="1">
        <v>11</v>
      </c>
      <c r="AK451" s="2">
        <v>46274</v>
      </c>
      <c r="AL451" s="4">
        <v>30</v>
      </c>
      <c r="AM451" s="5">
        <v>15</v>
      </c>
      <c r="AN451" s="4">
        <v>7</v>
      </c>
      <c r="AO451">
        <v>219.31034482758622</v>
      </c>
      <c r="AP451" s="4">
        <v>1</v>
      </c>
      <c r="AQ451" t="s">
        <v>1619</v>
      </c>
      <c r="AR451" t="s">
        <v>2335</v>
      </c>
      <c r="AT451" s="16" t="str">
        <f>_xlfn.XLOOKUP(B451,'SWiSH Demand Forecast Sep-26'!D:D,'SWiSH Demand Forecast Sep-26'!G:G,"Not Exist")</f>
        <v>Not Exist</v>
      </c>
    </row>
    <row r="452" spans="1:46" hidden="1" x14ac:dyDescent="0.3">
      <c r="A452">
        <v>105600034</v>
      </c>
      <c r="B452" t="s">
        <v>889</v>
      </c>
      <c r="C452" t="s">
        <v>10</v>
      </c>
      <c r="D452" t="s">
        <v>1613</v>
      </c>
      <c r="E452" t="s">
        <v>2111</v>
      </c>
      <c r="F452" t="s">
        <v>1631</v>
      </c>
      <c r="G452" t="s">
        <v>1616</v>
      </c>
      <c r="H452" t="s">
        <v>1679</v>
      </c>
      <c r="I452" t="s">
        <v>1634</v>
      </c>
      <c r="J452" t="s">
        <v>2145</v>
      </c>
      <c r="K452">
        <v>2.866279E-2</v>
      </c>
      <c r="L452">
        <v>630.58137999999997</v>
      </c>
      <c r="M452" s="1">
        <v>30</v>
      </c>
      <c r="N452">
        <v>0</v>
      </c>
      <c r="O452">
        <v>0</v>
      </c>
      <c r="P452">
        <v>22000</v>
      </c>
      <c r="Q452" s="1">
        <v>22000</v>
      </c>
      <c r="R452">
        <v>29</v>
      </c>
      <c r="S452" s="2">
        <v>46225</v>
      </c>
      <c r="T452" s="2">
        <v>46263</v>
      </c>
      <c r="U452">
        <v>73000</v>
      </c>
      <c r="V452">
        <v>77000</v>
      </c>
      <c r="W452">
        <v>86000</v>
      </c>
      <c r="X452">
        <v>80000</v>
      </c>
      <c r="Y452">
        <v>73000</v>
      </c>
      <c r="Z452" s="8">
        <v>86000</v>
      </c>
      <c r="AA452">
        <v>79000</v>
      </c>
      <c r="AB452">
        <v>0.92405063291139244</v>
      </c>
      <c r="AC452">
        <v>1.0886075949367089</v>
      </c>
      <c r="AD452" s="1">
        <v>7</v>
      </c>
      <c r="AE452" s="2">
        <v>46255</v>
      </c>
      <c r="AF452" s="2">
        <v>46263</v>
      </c>
      <c r="AG452" s="2">
        <v>46270</v>
      </c>
      <c r="AH452">
        <v>81000</v>
      </c>
      <c r="AI452" s="3">
        <v>0.9743384121892541</v>
      </c>
      <c r="AJ452" s="1">
        <v>7</v>
      </c>
      <c r="AK452" s="2">
        <v>46270</v>
      </c>
      <c r="AL452" s="4">
        <v>15</v>
      </c>
      <c r="AM452" s="5">
        <v>15</v>
      </c>
      <c r="AN452" s="4">
        <v>7</v>
      </c>
      <c r="AO452">
        <v>41896.551724137928</v>
      </c>
      <c r="AP452" s="4">
        <v>2</v>
      </c>
      <c r="AQ452" t="s">
        <v>1619</v>
      </c>
      <c r="AR452" t="s">
        <v>2178</v>
      </c>
      <c r="AT452" s="16">
        <f>_xlfn.XLOOKUP(B452,'SWiSH Demand Forecast Sep-26'!D:D,'SWiSH Demand Forecast Sep-26'!G:G,"Not Exist")</f>
        <v>254.49871465295601</v>
      </c>
    </row>
    <row r="453" spans="1:46" x14ac:dyDescent="0.3">
      <c r="A453">
        <v>106700037</v>
      </c>
      <c r="B453" t="s">
        <v>2336</v>
      </c>
      <c r="C453" t="s">
        <v>10</v>
      </c>
      <c r="D453" t="s">
        <v>1613</v>
      </c>
      <c r="E453" t="s">
        <v>2337</v>
      </c>
      <c r="F453" t="s">
        <v>1650</v>
      </c>
      <c r="G453" t="s">
        <v>1624</v>
      </c>
      <c r="H453" t="s">
        <v>1651</v>
      </c>
      <c r="I453" t="s">
        <v>1634</v>
      </c>
      <c r="J453" t="s">
        <v>2338</v>
      </c>
      <c r="K453">
        <v>0.21527743999999999</v>
      </c>
      <c r="L453">
        <v>61.999902719999994</v>
      </c>
      <c r="M453" s="1">
        <v>3</v>
      </c>
      <c r="N453">
        <v>0</v>
      </c>
      <c r="O453">
        <v>12</v>
      </c>
      <c r="P453">
        <v>288</v>
      </c>
      <c r="Q453" s="1">
        <v>276</v>
      </c>
      <c r="R453">
        <v>7.75</v>
      </c>
      <c r="S453" s="2">
        <v>46258</v>
      </c>
      <c r="T453" s="2">
        <v>46263</v>
      </c>
      <c r="U453">
        <v>1140</v>
      </c>
      <c r="V453">
        <v>872</v>
      </c>
      <c r="W453">
        <v>994</v>
      </c>
      <c r="X453">
        <v>972</v>
      </c>
      <c r="Y453">
        <v>872</v>
      </c>
      <c r="Z453" s="8">
        <v>1140</v>
      </c>
      <c r="AA453">
        <v>994.5</v>
      </c>
      <c r="AB453">
        <v>0.8768225238813474</v>
      </c>
      <c r="AC453">
        <v>1.1463046757164403</v>
      </c>
      <c r="AD453" s="1">
        <v>7</v>
      </c>
      <c r="AE453" s="2">
        <v>46255</v>
      </c>
      <c r="AF453" s="2">
        <v>46263</v>
      </c>
      <c r="AG453" s="2">
        <v>46270</v>
      </c>
      <c r="AH453">
        <v>1272</v>
      </c>
      <c r="AI453" s="3">
        <v>1.1542649727767695</v>
      </c>
      <c r="AJ453" s="1">
        <v>6</v>
      </c>
      <c r="AK453" s="2">
        <v>46269</v>
      </c>
      <c r="AL453" s="4">
        <v>30</v>
      </c>
      <c r="AM453" s="5">
        <v>15</v>
      </c>
      <c r="AN453" s="4">
        <v>6</v>
      </c>
      <c r="AO453">
        <v>1315.8620689655172</v>
      </c>
      <c r="AP453" s="4">
        <v>1</v>
      </c>
      <c r="AQ453" t="s">
        <v>1619</v>
      </c>
      <c r="AR453" t="s">
        <v>1620</v>
      </c>
      <c r="AT453" s="16" t="str">
        <f>_xlfn.XLOOKUP(B453,'SWiSH Demand Forecast Sep-26'!D:D,'SWiSH Demand Forecast Sep-26'!G:G,"Not Exist")</f>
        <v>Not Exist</v>
      </c>
    </row>
    <row r="454" spans="1:46" x14ac:dyDescent="0.3">
      <c r="A454">
        <v>106400241</v>
      </c>
      <c r="B454" t="s">
        <v>2339</v>
      </c>
      <c r="C454" t="s">
        <v>136</v>
      </c>
      <c r="D454" t="s">
        <v>1613</v>
      </c>
      <c r="E454" t="s">
        <v>2340</v>
      </c>
      <c r="F454" t="s">
        <v>1812</v>
      </c>
      <c r="G454" t="s">
        <v>1624</v>
      </c>
      <c r="H454" t="s">
        <v>1764</v>
      </c>
      <c r="I454" t="s">
        <v>1618</v>
      </c>
      <c r="J454" t="s">
        <v>136</v>
      </c>
      <c r="K454">
        <v>0.34514887</v>
      </c>
      <c r="L454">
        <v>6.21267966</v>
      </c>
      <c r="M454" s="1">
        <v>3</v>
      </c>
      <c r="N454">
        <v>0</v>
      </c>
      <c r="O454">
        <v>0</v>
      </c>
      <c r="P454">
        <v>18</v>
      </c>
      <c r="Q454" s="1">
        <v>18</v>
      </c>
      <c r="R454">
        <v>0</v>
      </c>
      <c r="S454" s="2">
        <v>0</v>
      </c>
      <c r="T454" s="2">
        <v>46262</v>
      </c>
      <c r="U454">
        <v>0</v>
      </c>
      <c r="V454">
        <v>0</v>
      </c>
      <c r="W454">
        <v>0</v>
      </c>
      <c r="X454">
        <v>66</v>
      </c>
      <c r="Y454">
        <v>0</v>
      </c>
      <c r="Z454" s="8">
        <v>66</v>
      </c>
      <c r="AA454">
        <v>16.5</v>
      </c>
      <c r="AB454">
        <v>0</v>
      </c>
      <c r="AC454">
        <v>4</v>
      </c>
      <c r="AD454" s="1">
        <v>8</v>
      </c>
      <c r="AE454" s="2">
        <v>46256</v>
      </c>
      <c r="AF454" s="2">
        <v>46264</v>
      </c>
      <c r="AG454" s="2">
        <v>46271</v>
      </c>
      <c r="AH454">
        <v>28</v>
      </c>
      <c r="AI454" s="3">
        <v>0.43887147335423199</v>
      </c>
      <c r="AJ454" s="1">
        <v>18</v>
      </c>
      <c r="AK454" s="2">
        <v>46281</v>
      </c>
      <c r="AL454" s="4" t="s">
        <v>1658</v>
      </c>
      <c r="AM454" s="5" t="s">
        <v>1658</v>
      </c>
      <c r="AN454" s="4">
        <v>8</v>
      </c>
      <c r="AO454" t="s">
        <v>1635</v>
      </c>
      <c r="AP454" s="4" t="s">
        <v>1658</v>
      </c>
      <c r="AQ454" t="s">
        <v>1619</v>
      </c>
      <c r="AR454" t="s">
        <v>1620</v>
      </c>
      <c r="AT454" s="16" t="str">
        <f>_xlfn.XLOOKUP(B454,'SWiSH Demand Forecast Sep-26'!D:D,'SWiSH Demand Forecast Sep-26'!G:G,"Not Exist")</f>
        <v>Not Exist</v>
      </c>
    </row>
    <row r="455" spans="1:46" x14ac:dyDescent="0.3">
      <c r="A455">
        <v>107500007</v>
      </c>
      <c r="B455" t="s">
        <v>2341</v>
      </c>
      <c r="C455" t="s">
        <v>136</v>
      </c>
      <c r="D455" t="s">
        <v>1613</v>
      </c>
      <c r="E455" t="s">
        <v>1732</v>
      </c>
      <c r="F455" t="s">
        <v>1623</v>
      </c>
      <c r="G455" t="s">
        <v>1616</v>
      </c>
      <c r="H455" t="s">
        <v>2030</v>
      </c>
      <c r="I455" t="s">
        <v>1626</v>
      </c>
      <c r="J455" t="s">
        <v>2342</v>
      </c>
      <c r="K455">
        <v>1.8823529400000001</v>
      </c>
      <c r="L455">
        <v>340.79999978700005</v>
      </c>
      <c r="M455" s="1">
        <v>3</v>
      </c>
      <c r="N455">
        <v>0</v>
      </c>
      <c r="O455">
        <v>0</v>
      </c>
      <c r="P455">
        <v>181.05</v>
      </c>
      <c r="Q455" s="1">
        <v>181.05</v>
      </c>
      <c r="R455">
        <v>0.83</v>
      </c>
      <c r="S455" s="2">
        <v>46069</v>
      </c>
      <c r="T455" s="2">
        <v>46262</v>
      </c>
      <c r="U455">
        <v>614.04</v>
      </c>
      <c r="V455">
        <v>660.95999999999981</v>
      </c>
      <c r="W455">
        <v>458.99999999999994</v>
      </c>
      <c r="X455">
        <v>345.78</v>
      </c>
      <c r="Y455">
        <v>345.78</v>
      </c>
      <c r="Z455" s="8">
        <v>660.95999999999981</v>
      </c>
      <c r="AA455">
        <v>519.94499999999994</v>
      </c>
      <c r="AB455">
        <v>0.66503187837175093</v>
      </c>
      <c r="AC455">
        <v>1.2712113781265324</v>
      </c>
      <c r="AD455" s="1">
        <v>8</v>
      </c>
      <c r="AE455" s="2">
        <v>46256</v>
      </c>
      <c r="AF455" s="2">
        <v>46264</v>
      </c>
      <c r="AG455" s="2">
        <v>46271</v>
      </c>
      <c r="AH455">
        <v>343.4</v>
      </c>
      <c r="AI455" s="3">
        <v>0.53746275010642841</v>
      </c>
      <c r="AJ455" s="1">
        <v>15</v>
      </c>
      <c r="AK455" s="2">
        <v>46278</v>
      </c>
      <c r="AL455" s="4">
        <v>8</v>
      </c>
      <c r="AM455" s="5">
        <v>5</v>
      </c>
      <c r="AN455" s="4">
        <v>8</v>
      </c>
      <c r="AO455">
        <v>94.731034482758616</v>
      </c>
      <c r="AP455" s="4">
        <v>4</v>
      </c>
      <c r="AQ455" t="s">
        <v>1619</v>
      </c>
      <c r="AR455" t="s">
        <v>1620</v>
      </c>
      <c r="AT455" s="16" t="str">
        <f>_xlfn.XLOOKUP(B455,'SWiSH Demand Forecast Sep-26'!D:D,'SWiSH Demand Forecast Sep-26'!G:G,"Not Exist")</f>
        <v>Not Exist</v>
      </c>
    </row>
    <row r="456" spans="1:46" hidden="1" x14ac:dyDescent="0.3">
      <c r="A456">
        <v>101200047</v>
      </c>
      <c r="B456" t="s">
        <v>1077</v>
      </c>
      <c r="C456" t="s">
        <v>136</v>
      </c>
      <c r="D456" t="s">
        <v>1613</v>
      </c>
      <c r="E456" t="s">
        <v>1677</v>
      </c>
      <c r="F456" t="s">
        <v>1833</v>
      </c>
      <c r="G456" t="s">
        <v>1616</v>
      </c>
      <c r="H456" t="s">
        <v>1625</v>
      </c>
      <c r="I456" t="s">
        <v>1626</v>
      </c>
      <c r="J456" t="s">
        <v>2343</v>
      </c>
      <c r="K456">
        <v>1.0454545500000001</v>
      </c>
      <c r="L456">
        <v>333.50000145000001</v>
      </c>
      <c r="M456" s="1">
        <v>3</v>
      </c>
      <c r="N456">
        <v>0</v>
      </c>
      <c r="O456">
        <v>0</v>
      </c>
      <c r="P456">
        <v>319</v>
      </c>
      <c r="Q456" s="1">
        <v>319</v>
      </c>
      <c r="R456">
        <v>11.5</v>
      </c>
      <c r="S456" s="2">
        <v>46263</v>
      </c>
      <c r="T456" s="2">
        <v>46263</v>
      </c>
      <c r="U456">
        <v>1067</v>
      </c>
      <c r="V456">
        <v>1078</v>
      </c>
      <c r="W456">
        <v>803</v>
      </c>
      <c r="X456">
        <v>814</v>
      </c>
      <c r="Y456">
        <v>803</v>
      </c>
      <c r="Z456" s="8">
        <v>1078</v>
      </c>
      <c r="AA456">
        <v>940.5</v>
      </c>
      <c r="AB456">
        <v>0.85380116959064323</v>
      </c>
      <c r="AC456">
        <v>1.1461988304093567</v>
      </c>
      <c r="AD456" s="1">
        <v>8</v>
      </c>
      <c r="AE456" s="2">
        <v>46256</v>
      </c>
      <c r="AF456" s="2">
        <v>46264</v>
      </c>
      <c r="AG456" s="2">
        <v>46271</v>
      </c>
      <c r="AH456">
        <v>638</v>
      </c>
      <c r="AI456" s="3">
        <v>0.61224489795918369</v>
      </c>
      <c r="AJ456" s="1">
        <v>14</v>
      </c>
      <c r="AK456" s="2">
        <v>46277</v>
      </c>
      <c r="AL456" s="4">
        <v>8</v>
      </c>
      <c r="AM456" s="5">
        <v>5</v>
      </c>
      <c r="AN456" s="4">
        <v>8</v>
      </c>
      <c r="AO456">
        <v>176</v>
      </c>
      <c r="AP456" s="4">
        <v>4</v>
      </c>
      <c r="AQ456" t="s">
        <v>1619</v>
      </c>
      <c r="AR456" t="s">
        <v>1620</v>
      </c>
      <c r="AT456" s="16">
        <f>_xlfn.XLOOKUP(B456,'SWiSH Demand Forecast Sep-26'!D:D,'SWiSH Demand Forecast Sep-26'!G:G,"Not Exist")</f>
        <v>114.33001839136401</v>
      </c>
    </row>
    <row r="457" spans="1:46" hidden="1" x14ac:dyDescent="0.3">
      <c r="A457">
        <v>101200028</v>
      </c>
      <c r="B457" t="s">
        <v>453</v>
      </c>
      <c r="C457" t="s">
        <v>136</v>
      </c>
      <c r="D457" t="s">
        <v>1613</v>
      </c>
      <c r="E457" t="s">
        <v>2344</v>
      </c>
      <c r="F457" t="s">
        <v>1833</v>
      </c>
      <c r="G457" t="s">
        <v>1616</v>
      </c>
      <c r="H457" t="s">
        <v>1625</v>
      </c>
      <c r="I457" t="s">
        <v>1626</v>
      </c>
      <c r="J457" t="s">
        <v>2116</v>
      </c>
      <c r="K457">
        <v>2.3015385500000001</v>
      </c>
      <c r="L457">
        <v>3082.450580015</v>
      </c>
      <c r="M457" s="1">
        <v>3</v>
      </c>
      <c r="N457">
        <v>0</v>
      </c>
      <c r="O457">
        <v>93.07</v>
      </c>
      <c r="P457">
        <v>1339.3</v>
      </c>
      <c r="Q457" s="1">
        <v>1246.23</v>
      </c>
      <c r="R457">
        <v>1.5969199999999999</v>
      </c>
      <c r="S457" s="2">
        <v>45968</v>
      </c>
      <c r="T457" s="2">
        <v>46263</v>
      </c>
      <c r="U457">
        <v>4110.9699999999839</v>
      </c>
      <c r="V457">
        <v>3915.7499999999832</v>
      </c>
      <c r="W457">
        <v>4478.7099999999837</v>
      </c>
      <c r="X457">
        <v>4437.8499999999849</v>
      </c>
      <c r="Y457">
        <v>3915.7499999999832</v>
      </c>
      <c r="Z457" s="8">
        <v>4478.7099999999837</v>
      </c>
      <c r="AA457">
        <v>4235.8199999999833</v>
      </c>
      <c r="AB457">
        <v>0.92443729903536942</v>
      </c>
      <c r="AC457">
        <v>1.0573419078242232</v>
      </c>
      <c r="AD457" s="1">
        <v>8</v>
      </c>
      <c r="AE457" s="2">
        <v>46256</v>
      </c>
      <c r="AF457" s="2">
        <v>46264</v>
      </c>
      <c r="AG457" s="2">
        <v>46271</v>
      </c>
      <c r="AH457">
        <v>3858.9999999999823</v>
      </c>
      <c r="AI457" s="3">
        <v>0.8913434818323217</v>
      </c>
      <c r="AJ457" s="1">
        <v>9</v>
      </c>
      <c r="AK457" s="2">
        <v>46272</v>
      </c>
      <c r="AL457" s="4">
        <v>15</v>
      </c>
      <c r="AM457" s="5">
        <v>15</v>
      </c>
      <c r="AN457" s="4">
        <v>8</v>
      </c>
      <c r="AO457">
        <v>1996.0344827586116</v>
      </c>
      <c r="AP457" s="4">
        <v>2</v>
      </c>
      <c r="AQ457" t="s">
        <v>1619</v>
      </c>
      <c r="AR457" t="s">
        <v>1620</v>
      </c>
      <c r="AT457" s="16">
        <f>_xlfn.XLOOKUP(B457,'SWiSH Demand Forecast Sep-26'!D:D,'SWiSH Demand Forecast Sep-26'!G:G,"Not Exist")</f>
        <v>2016.9479999999901</v>
      </c>
    </row>
    <row r="458" spans="1:46" x14ac:dyDescent="0.3">
      <c r="A458">
        <v>100400089</v>
      </c>
      <c r="B458" t="s">
        <v>2345</v>
      </c>
      <c r="C458" t="s">
        <v>10</v>
      </c>
      <c r="D458" t="s">
        <v>1613</v>
      </c>
      <c r="E458" t="s">
        <v>2346</v>
      </c>
      <c r="F458" t="s">
        <v>1631</v>
      </c>
      <c r="G458" t="s">
        <v>1624</v>
      </c>
      <c r="H458" t="s">
        <v>1810</v>
      </c>
      <c r="I458" t="s">
        <v>1634</v>
      </c>
      <c r="J458" t="s">
        <v>1905</v>
      </c>
      <c r="K458">
        <v>2.75E-2</v>
      </c>
      <c r="L458">
        <v>321.75</v>
      </c>
      <c r="M458" s="1">
        <v>3</v>
      </c>
      <c r="N458">
        <v>0</v>
      </c>
      <c r="O458">
        <v>2200</v>
      </c>
      <c r="P458">
        <v>11700</v>
      </c>
      <c r="Q458" s="1">
        <v>9500</v>
      </c>
      <c r="R458">
        <v>2.75</v>
      </c>
      <c r="S458" s="2">
        <v>46263</v>
      </c>
      <c r="T458" s="2">
        <v>46263</v>
      </c>
      <c r="U458">
        <v>34800</v>
      </c>
      <c r="V458">
        <v>23300</v>
      </c>
      <c r="W458">
        <v>16800</v>
      </c>
      <c r="X458">
        <v>21100</v>
      </c>
      <c r="Y458">
        <v>16800</v>
      </c>
      <c r="Z458" s="8">
        <v>34800</v>
      </c>
      <c r="AA458">
        <v>24000</v>
      </c>
      <c r="AB458">
        <v>0.7</v>
      </c>
      <c r="AC458">
        <v>1.45</v>
      </c>
      <c r="AD458" s="1">
        <v>8</v>
      </c>
      <c r="AE458" s="2">
        <v>46256</v>
      </c>
      <c r="AF458" s="2">
        <v>46264</v>
      </c>
      <c r="AG458" s="2">
        <v>46271</v>
      </c>
      <c r="AH458">
        <v>21300</v>
      </c>
      <c r="AI458" s="3">
        <v>0.63317479191438764</v>
      </c>
      <c r="AJ458" s="1">
        <v>12</v>
      </c>
      <c r="AK458" s="2">
        <v>46275</v>
      </c>
      <c r="AL458" s="4">
        <v>15</v>
      </c>
      <c r="AM458" s="5">
        <v>15</v>
      </c>
      <c r="AN458" s="4">
        <v>8</v>
      </c>
      <c r="AO458">
        <v>11017.241379310344</v>
      </c>
      <c r="AP458" s="4">
        <v>2</v>
      </c>
      <c r="AQ458" t="s">
        <v>1619</v>
      </c>
      <c r="AR458" t="s">
        <v>1620</v>
      </c>
      <c r="AT458" s="16" t="str">
        <f>_xlfn.XLOOKUP(B458,'SWiSH Demand Forecast Sep-26'!D:D,'SWiSH Demand Forecast Sep-26'!G:G,"Not Exist")</f>
        <v>Not Exist</v>
      </c>
    </row>
    <row r="459" spans="1:46" hidden="1" x14ac:dyDescent="0.3">
      <c r="A459">
        <v>100100027</v>
      </c>
      <c r="B459" t="s">
        <v>1453</v>
      </c>
      <c r="C459" t="s">
        <v>136</v>
      </c>
      <c r="D459" t="s">
        <v>1613</v>
      </c>
      <c r="E459" t="s">
        <v>1732</v>
      </c>
      <c r="F459" t="s">
        <v>1840</v>
      </c>
      <c r="G459" t="s">
        <v>1616</v>
      </c>
      <c r="H459" t="s">
        <v>1877</v>
      </c>
      <c r="I459" t="s">
        <v>1618</v>
      </c>
      <c r="J459" t="s">
        <v>136</v>
      </c>
      <c r="K459">
        <v>9.5</v>
      </c>
      <c r="L459">
        <v>47.5</v>
      </c>
      <c r="M459" s="1">
        <v>3</v>
      </c>
      <c r="N459">
        <v>0</v>
      </c>
      <c r="O459">
        <v>0</v>
      </c>
      <c r="P459">
        <v>5</v>
      </c>
      <c r="Q459" s="1">
        <v>5</v>
      </c>
      <c r="R459">
        <v>9.5</v>
      </c>
      <c r="S459" s="2">
        <v>46233</v>
      </c>
      <c r="T459" s="2">
        <v>46260</v>
      </c>
      <c r="U459">
        <v>0</v>
      </c>
      <c r="V459">
        <v>17</v>
      </c>
      <c r="W459">
        <v>10</v>
      </c>
      <c r="X459">
        <v>4</v>
      </c>
      <c r="Y459">
        <v>0</v>
      </c>
      <c r="Z459" s="8">
        <v>17</v>
      </c>
      <c r="AA459">
        <v>7.75</v>
      </c>
      <c r="AB459">
        <v>0</v>
      </c>
      <c r="AC459">
        <v>2.193548387096774</v>
      </c>
      <c r="AD459" s="1">
        <v>8</v>
      </c>
      <c r="AE459" s="2">
        <v>46256</v>
      </c>
      <c r="AF459" s="2">
        <v>46264</v>
      </c>
      <c r="AG459" s="2">
        <v>46271</v>
      </c>
      <c r="AH459">
        <v>13</v>
      </c>
      <c r="AI459" s="3">
        <v>0.79107505070993922</v>
      </c>
      <c r="AJ459" s="1">
        <v>11</v>
      </c>
      <c r="AK459" s="2">
        <v>46274</v>
      </c>
      <c r="AL459" s="4">
        <v>30</v>
      </c>
      <c r="AM459" s="5">
        <v>15</v>
      </c>
      <c r="AN459" s="4">
        <v>8</v>
      </c>
      <c r="AO459">
        <v>13.448275862068966</v>
      </c>
      <c r="AP459" s="4">
        <v>1</v>
      </c>
      <c r="AQ459" t="s">
        <v>1619</v>
      </c>
      <c r="AR459" t="s">
        <v>1620</v>
      </c>
      <c r="AT459" s="16">
        <f>_xlfn.XLOOKUP(B459,'SWiSH Demand Forecast Sep-26'!D:D,'SWiSH Demand Forecast Sep-26'!G:G,"Not Exist")</f>
        <v>7.2896551724137897</v>
      </c>
    </row>
    <row r="460" spans="1:46" x14ac:dyDescent="0.3">
      <c r="A460">
        <v>106200102</v>
      </c>
      <c r="B460" t="s">
        <v>2347</v>
      </c>
      <c r="C460" t="s">
        <v>136</v>
      </c>
      <c r="D460" t="s">
        <v>1613</v>
      </c>
      <c r="E460" t="s">
        <v>1732</v>
      </c>
      <c r="F460" t="s">
        <v>1671</v>
      </c>
      <c r="G460" t="s">
        <v>1616</v>
      </c>
      <c r="H460" t="s">
        <v>1672</v>
      </c>
      <c r="I460" t="s">
        <v>1618</v>
      </c>
      <c r="J460" t="s">
        <v>2348</v>
      </c>
      <c r="K460">
        <v>3.08</v>
      </c>
      <c r="L460">
        <v>18.48</v>
      </c>
      <c r="M460" s="1">
        <v>3</v>
      </c>
      <c r="N460">
        <v>0</v>
      </c>
      <c r="O460">
        <v>0</v>
      </c>
      <c r="P460">
        <v>6</v>
      </c>
      <c r="Q460" s="1">
        <v>6</v>
      </c>
      <c r="R460">
        <v>18.48</v>
      </c>
      <c r="S460" s="2">
        <v>46234</v>
      </c>
      <c r="T460" s="2">
        <v>46258</v>
      </c>
      <c r="U460">
        <v>14.4</v>
      </c>
      <c r="V460">
        <v>21.6</v>
      </c>
      <c r="W460">
        <v>15.6</v>
      </c>
      <c r="X460">
        <v>12</v>
      </c>
      <c r="Y460">
        <v>12</v>
      </c>
      <c r="Z460" s="8">
        <v>21.6</v>
      </c>
      <c r="AA460">
        <v>15.9</v>
      </c>
      <c r="AB460">
        <v>0.75471698113207542</v>
      </c>
      <c r="AC460">
        <v>1.358490566037736</v>
      </c>
      <c r="AD460" s="1">
        <v>8</v>
      </c>
      <c r="AE460" s="2">
        <v>46256</v>
      </c>
      <c r="AF460" s="2">
        <v>46264</v>
      </c>
      <c r="AG460" s="2">
        <v>46271</v>
      </c>
      <c r="AH460">
        <v>24</v>
      </c>
      <c r="AI460" s="3">
        <v>1.1494252873563218</v>
      </c>
      <c r="AJ460" s="1">
        <v>7</v>
      </c>
      <c r="AK460" s="2">
        <v>46270</v>
      </c>
      <c r="AL460" s="4">
        <v>30</v>
      </c>
      <c r="AM460" s="5">
        <v>15</v>
      </c>
      <c r="AN460" s="4">
        <v>7</v>
      </c>
      <c r="AO460">
        <v>24.827586206896552</v>
      </c>
      <c r="AP460" s="4">
        <v>1</v>
      </c>
      <c r="AQ460" t="s">
        <v>1619</v>
      </c>
      <c r="AR460" t="s">
        <v>1620</v>
      </c>
      <c r="AT460" s="16" t="str">
        <f>_xlfn.XLOOKUP(B460,'SWiSH Demand Forecast Sep-26'!D:D,'SWiSH Demand Forecast Sep-26'!G:G,"Not Exist")</f>
        <v>Not Exist</v>
      </c>
    </row>
    <row r="461" spans="1:46" x14ac:dyDescent="0.3">
      <c r="A461">
        <v>101100011</v>
      </c>
      <c r="B461" t="s">
        <v>2349</v>
      </c>
      <c r="C461" t="s">
        <v>10</v>
      </c>
      <c r="D461" t="s">
        <v>1613</v>
      </c>
      <c r="E461" t="s">
        <v>2350</v>
      </c>
      <c r="F461" t="s">
        <v>1650</v>
      </c>
      <c r="G461" t="s">
        <v>1624</v>
      </c>
      <c r="H461" t="s">
        <v>1953</v>
      </c>
      <c r="I461" t="s">
        <v>1634</v>
      </c>
      <c r="J461" t="s">
        <v>10</v>
      </c>
      <c r="K461">
        <v>23.5</v>
      </c>
      <c r="L461">
        <v>117.5</v>
      </c>
      <c r="M461" s="1">
        <v>3</v>
      </c>
      <c r="N461">
        <v>0</v>
      </c>
      <c r="O461">
        <v>3</v>
      </c>
      <c r="P461">
        <v>5</v>
      </c>
      <c r="Q461" s="1">
        <v>2</v>
      </c>
      <c r="R461">
        <v>23.5</v>
      </c>
      <c r="S461" s="2">
        <v>46228</v>
      </c>
      <c r="T461" s="2">
        <v>46243</v>
      </c>
      <c r="U461">
        <v>7</v>
      </c>
      <c r="V461">
        <v>2</v>
      </c>
      <c r="W461">
        <v>5</v>
      </c>
      <c r="X461">
        <v>6</v>
      </c>
      <c r="Y461">
        <v>2</v>
      </c>
      <c r="Z461" s="8">
        <v>7</v>
      </c>
      <c r="AA461">
        <v>5</v>
      </c>
      <c r="AB461">
        <v>0.4</v>
      </c>
      <c r="AC461">
        <v>1.4</v>
      </c>
      <c r="AD461" s="1">
        <v>8</v>
      </c>
      <c r="AE461" s="2">
        <v>46256</v>
      </c>
      <c r="AF461" s="2">
        <v>46264</v>
      </c>
      <c r="AG461" s="2">
        <v>46271</v>
      </c>
      <c r="AH461">
        <v>2</v>
      </c>
      <c r="AI461" s="3">
        <v>0.29556650246305421</v>
      </c>
      <c r="AJ461" s="1">
        <v>29</v>
      </c>
      <c r="AK461" s="2">
        <v>46292</v>
      </c>
      <c r="AL461" s="4">
        <v>30</v>
      </c>
      <c r="AM461" s="5">
        <v>15</v>
      </c>
      <c r="AN461" s="4">
        <v>8</v>
      </c>
      <c r="AO461">
        <v>2.0689655172413794</v>
      </c>
      <c r="AP461" s="4">
        <v>1</v>
      </c>
      <c r="AQ461" t="s">
        <v>1619</v>
      </c>
      <c r="AR461" t="s">
        <v>1620</v>
      </c>
      <c r="AT461" s="16" t="str">
        <f>_xlfn.XLOOKUP(B461,'SWiSH Demand Forecast Sep-26'!D:D,'SWiSH Demand Forecast Sep-26'!G:G,"Not Exist")</f>
        <v>Not Exist</v>
      </c>
    </row>
    <row r="462" spans="1:46" hidden="1" x14ac:dyDescent="0.3">
      <c r="A462">
        <v>103700090</v>
      </c>
      <c r="B462" t="s">
        <v>1237</v>
      </c>
      <c r="C462" t="s">
        <v>136</v>
      </c>
      <c r="D462" t="s">
        <v>1613</v>
      </c>
      <c r="E462" t="s">
        <v>2351</v>
      </c>
      <c r="F462" t="s">
        <v>1615</v>
      </c>
      <c r="G462" t="s">
        <v>1616</v>
      </c>
      <c r="H462" t="s">
        <v>1617</v>
      </c>
      <c r="I462" t="s">
        <v>1618</v>
      </c>
      <c r="J462" t="s">
        <v>2125</v>
      </c>
      <c r="K462">
        <v>1.5000077700000001</v>
      </c>
      <c r="L462">
        <v>81.000419579999999</v>
      </c>
      <c r="M462" s="1">
        <v>3</v>
      </c>
      <c r="N462">
        <v>0</v>
      </c>
      <c r="O462">
        <v>0</v>
      </c>
      <c r="P462">
        <v>54</v>
      </c>
      <c r="Q462" s="1">
        <v>54</v>
      </c>
      <c r="R462">
        <v>0.75</v>
      </c>
      <c r="S462" s="2">
        <v>46246</v>
      </c>
      <c r="T462" s="2">
        <v>46261</v>
      </c>
      <c r="U462">
        <v>200</v>
      </c>
      <c r="V462">
        <v>120</v>
      </c>
      <c r="W462">
        <v>139</v>
      </c>
      <c r="X462">
        <v>161</v>
      </c>
      <c r="Y462">
        <v>120</v>
      </c>
      <c r="Z462" s="8">
        <v>200</v>
      </c>
      <c r="AA462">
        <v>155</v>
      </c>
      <c r="AB462">
        <v>0.77419354838709675</v>
      </c>
      <c r="AC462">
        <v>1.2903225806451613</v>
      </c>
      <c r="AD462" s="1">
        <v>8</v>
      </c>
      <c r="AE462" s="2">
        <v>46256</v>
      </c>
      <c r="AF462" s="2">
        <v>46264</v>
      </c>
      <c r="AG462" s="2">
        <v>46271</v>
      </c>
      <c r="AH462">
        <v>135</v>
      </c>
      <c r="AI462" s="3">
        <v>0.69827586206896552</v>
      </c>
      <c r="AJ462" s="1">
        <v>11</v>
      </c>
      <c r="AK462" s="2">
        <v>46274</v>
      </c>
      <c r="AL462" s="4">
        <v>30</v>
      </c>
      <c r="AM462" s="5">
        <v>15</v>
      </c>
      <c r="AN462" s="4">
        <v>8</v>
      </c>
      <c r="AO462">
        <v>139.65517241379311</v>
      </c>
      <c r="AP462" s="4">
        <v>1</v>
      </c>
      <c r="AQ462" t="s">
        <v>1619</v>
      </c>
      <c r="AR462" t="s">
        <v>1620</v>
      </c>
      <c r="AT462" s="16">
        <f>_xlfn.XLOOKUP(B462,'SWiSH Demand Forecast Sep-26'!D:D,'SWiSH Demand Forecast Sep-26'!G:G,"Not Exist")</f>
        <v>46.313193429019002</v>
      </c>
    </row>
    <row r="463" spans="1:46" hidden="1" x14ac:dyDescent="0.3">
      <c r="A463">
        <v>101300004</v>
      </c>
      <c r="B463" t="s">
        <v>906</v>
      </c>
      <c r="C463" t="s">
        <v>136</v>
      </c>
      <c r="D463" t="s">
        <v>1613</v>
      </c>
      <c r="E463" t="s">
        <v>1732</v>
      </c>
      <c r="F463" t="s">
        <v>1752</v>
      </c>
      <c r="G463" t="s">
        <v>1616</v>
      </c>
      <c r="H463" t="s">
        <v>1980</v>
      </c>
      <c r="I463" t="s">
        <v>1754</v>
      </c>
      <c r="J463" t="s">
        <v>136</v>
      </c>
      <c r="K463">
        <v>1.38768113</v>
      </c>
      <c r="L463">
        <v>305.28984860000003</v>
      </c>
      <c r="M463" s="1">
        <v>3</v>
      </c>
      <c r="N463">
        <v>0</v>
      </c>
      <c r="O463">
        <v>0</v>
      </c>
      <c r="P463">
        <v>220</v>
      </c>
      <c r="Q463" s="1">
        <v>220</v>
      </c>
      <c r="R463">
        <v>14</v>
      </c>
      <c r="S463" s="2">
        <v>46194</v>
      </c>
      <c r="T463" s="2">
        <v>46261</v>
      </c>
      <c r="U463">
        <v>750</v>
      </c>
      <c r="V463">
        <v>650</v>
      </c>
      <c r="W463">
        <v>800</v>
      </c>
      <c r="X463">
        <v>700</v>
      </c>
      <c r="Y463">
        <v>650</v>
      </c>
      <c r="Z463" s="8">
        <v>800</v>
      </c>
      <c r="AA463">
        <v>725</v>
      </c>
      <c r="AB463">
        <v>0.89655172413793105</v>
      </c>
      <c r="AC463">
        <v>1.103448275862069</v>
      </c>
      <c r="AD463" s="1">
        <v>8</v>
      </c>
      <c r="AE463" s="2">
        <v>46256</v>
      </c>
      <c r="AF463" s="2">
        <v>46264</v>
      </c>
      <c r="AG463" s="2">
        <v>46271</v>
      </c>
      <c r="AH463">
        <v>500</v>
      </c>
      <c r="AI463" s="3">
        <v>0.64655172413793094</v>
      </c>
      <c r="AJ463" s="1">
        <v>12</v>
      </c>
      <c r="AK463" s="2">
        <v>46275</v>
      </c>
      <c r="AL463" s="4">
        <v>15</v>
      </c>
      <c r="AM463" s="5">
        <v>15</v>
      </c>
      <c r="AN463" s="4">
        <v>8</v>
      </c>
      <c r="AO463">
        <v>258.62068965517238</v>
      </c>
      <c r="AP463" s="4">
        <v>2</v>
      </c>
      <c r="AQ463" t="s">
        <v>1619</v>
      </c>
      <c r="AR463" t="s">
        <v>1620</v>
      </c>
      <c r="AT463" s="16">
        <f>_xlfn.XLOOKUP(B463,'SWiSH Demand Forecast Sep-26'!D:D,'SWiSH Demand Forecast Sep-26'!G:G,"Not Exist")</f>
        <v>235.11211061877901</v>
      </c>
    </row>
    <row r="464" spans="1:46" x14ac:dyDescent="0.3">
      <c r="A464">
        <v>101100003</v>
      </c>
      <c r="B464" t="s">
        <v>2352</v>
      </c>
      <c r="C464" t="s">
        <v>10</v>
      </c>
      <c r="D464" t="s">
        <v>1613</v>
      </c>
      <c r="E464" t="s">
        <v>2353</v>
      </c>
      <c r="F464" t="s">
        <v>1650</v>
      </c>
      <c r="G464" t="s">
        <v>1624</v>
      </c>
      <c r="H464" t="s">
        <v>1953</v>
      </c>
      <c r="I464" t="s">
        <v>1634</v>
      </c>
      <c r="J464" t="s">
        <v>10</v>
      </c>
      <c r="K464">
        <v>9.5</v>
      </c>
      <c r="L464">
        <v>275.5</v>
      </c>
      <c r="M464" s="1">
        <v>3</v>
      </c>
      <c r="N464">
        <v>0</v>
      </c>
      <c r="O464">
        <v>5</v>
      </c>
      <c r="P464">
        <v>29</v>
      </c>
      <c r="Q464" s="1">
        <v>24</v>
      </c>
      <c r="R464">
        <v>9.5</v>
      </c>
      <c r="S464" s="2">
        <v>46216</v>
      </c>
      <c r="T464" s="2">
        <v>46263</v>
      </c>
      <c r="U464">
        <v>63</v>
      </c>
      <c r="V464">
        <v>79</v>
      </c>
      <c r="W464">
        <v>89</v>
      </c>
      <c r="X464">
        <v>64</v>
      </c>
      <c r="Y464">
        <v>63</v>
      </c>
      <c r="Z464" s="8">
        <v>89</v>
      </c>
      <c r="AA464">
        <v>73.75</v>
      </c>
      <c r="AB464">
        <v>0.85423728813559319</v>
      </c>
      <c r="AC464">
        <v>1.2067796610169492</v>
      </c>
      <c r="AD464" s="1">
        <v>8</v>
      </c>
      <c r="AE464" s="2">
        <v>46256</v>
      </c>
      <c r="AF464" s="2">
        <v>46264</v>
      </c>
      <c r="AG464" s="2">
        <v>46271</v>
      </c>
      <c r="AH464">
        <v>52</v>
      </c>
      <c r="AI464" s="3">
        <v>0.60441689267725696</v>
      </c>
      <c r="AJ464" s="1">
        <v>13</v>
      </c>
      <c r="AK464" s="2">
        <v>46276</v>
      </c>
      <c r="AL464" s="4">
        <v>30</v>
      </c>
      <c r="AM464" s="5">
        <v>15</v>
      </c>
      <c r="AN464" s="4">
        <v>8</v>
      </c>
      <c r="AO464">
        <v>53.793103448275872</v>
      </c>
      <c r="AP464" s="4">
        <v>1</v>
      </c>
      <c r="AQ464" t="s">
        <v>1619</v>
      </c>
      <c r="AR464" t="s">
        <v>1620</v>
      </c>
      <c r="AT464" s="16" t="str">
        <f>_xlfn.XLOOKUP(B464,'SWiSH Demand Forecast Sep-26'!D:D,'SWiSH Demand Forecast Sep-26'!G:G,"Not Exist")</f>
        <v>Not Exist</v>
      </c>
    </row>
    <row r="465" spans="1:46" x14ac:dyDescent="0.3">
      <c r="A465">
        <v>101400047</v>
      </c>
      <c r="B465" t="s">
        <v>2354</v>
      </c>
      <c r="C465" t="s">
        <v>240</v>
      </c>
      <c r="D465" t="s">
        <v>1613</v>
      </c>
      <c r="E465" t="s">
        <v>1701</v>
      </c>
      <c r="F465" t="s">
        <v>1644</v>
      </c>
      <c r="G465" t="s">
        <v>1624</v>
      </c>
      <c r="H465" t="s">
        <v>1693</v>
      </c>
      <c r="I465" t="s">
        <v>1634</v>
      </c>
      <c r="J465" t="s">
        <v>2039</v>
      </c>
      <c r="K465">
        <v>1.1200000000000001</v>
      </c>
      <c r="L465">
        <v>89.600000000000009</v>
      </c>
      <c r="M465" s="1">
        <v>3</v>
      </c>
      <c r="N465">
        <v>0</v>
      </c>
      <c r="O465">
        <v>0</v>
      </c>
      <c r="P465">
        <v>80</v>
      </c>
      <c r="Q465" s="1">
        <v>80</v>
      </c>
      <c r="R465">
        <v>22.4</v>
      </c>
      <c r="S465" s="2">
        <v>46259</v>
      </c>
      <c r="T465" s="2">
        <v>46263</v>
      </c>
      <c r="U465">
        <v>35</v>
      </c>
      <c r="V465">
        <v>210</v>
      </c>
      <c r="W465">
        <v>255</v>
      </c>
      <c r="X465">
        <v>300</v>
      </c>
      <c r="Y465">
        <v>35</v>
      </c>
      <c r="Z465" s="8">
        <v>300</v>
      </c>
      <c r="AA465">
        <v>200</v>
      </c>
      <c r="AB465">
        <v>0.17499999999999999</v>
      </c>
      <c r="AC465">
        <v>1.5</v>
      </c>
      <c r="AD465" s="1">
        <v>8</v>
      </c>
      <c r="AE465" s="2">
        <v>46256</v>
      </c>
      <c r="AF465" s="2">
        <v>46264</v>
      </c>
      <c r="AG465" s="2">
        <v>46271</v>
      </c>
      <c r="AH465">
        <v>240</v>
      </c>
      <c r="AI465" s="3">
        <v>0.82758620689655171</v>
      </c>
      <c r="AJ465" s="1">
        <v>9</v>
      </c>
      <c r="AK465" s="2">
        <v>46272</v>
      </c>
      <c r="AL465" s="4">
        <v>30</v>
      </c>
      <c r="AM465" s="5">
        <v>15</v>
      </c>
      <c r="AN465" s="4">
        <v>8</v>
      </c>
      <c r="AO465">
        <v>248.27586206896552</v>
      </c>
      <c r="AP465" s="4">
        <v>1</v>
      </c>
      <c r="AQ465">
        <v>6</v>
      </c>
      <c r="AR465" t="s">
        <v>2040</v>
      </c>
      <c r="AT465" s="16" t="str">
        <f>_xlfn.XLOOKUP(B465,'SWiSH Demand Forecast Sep-26'!D:D,'SWiSH Demand Forecast Sep-26'!G:G,"Not Exist")</f>
        <v>Not Exist</v>
      </c>
    </row>
    <row r="466" spans="1:46" x14ac:dyDescent="0.3">
      <c r="A466">
        <v>106700102</v>
      </c>
      <c r="B466" t="s">
        <v>2355</v>
      </c>
      <c r="C466" t="s">
        <v>10</v>
      </c>
      <c r="D466" t="s">
        <v>1613</v>
      </c>
      <c r="E466" t="s">
        <v>2356</v>
      </c>
      <c r="F466" t="s">
        <v>1650</v>
      </c>
      <c r="G466" t="s">
        <v>1624</v>
      </c>
      <c r="H466" t="s">
        <v>1651</v>
      </c>
      <c r="I466" t="s">
        <v>1634</v>
      </c>
      <c r="J466" t="s">
        <v>10</v>
      </c>
      <c r="K466">
        <v>3.25</v>
      </c>
      <c r="L466">
        <v>32.5</v>
      </c>
      <c r="M466" s="1">
        <v>3</v>
      </c>
      <c r="N466">
        <v>0</v>
      </c>
      <c r="O466">
        <v>1</v>
      </c>
      <c r="P466">
        <v>10</v>
      </c>
      <c r="Q466" s="1">
        <v>9</v>
      </c>
      <c r="R466">
        <v>3.25</v>
      </c>
      <c r="S466" s="2">
        <v>46244</v>
      </c>
      <c r="T466" s="2">
        <v>46260</v>
      </c>
      <c r="U466">
        <v>21</v>
      </c>
      <c r="V466">
        <v>32</v>
      </c>
      <c r="W466">
        <v>19</v>
      </c>
      <c r="X466">
        <v>32</v>
      </c>
      <c r="Y466">
        <v>19</v>
      </c>
      <c r="Z466" s="8">
        <v>32</v>
      </c>
      <c r="AA466">
        <v>26</v>
      </c>
      <c r="AB466">
        <v>0.73076923076923073</v>
      </c>
      <c r="AC466">
        <v>1.2307692307692308</v>
      </c>
      <c r="AD466" s="1">
        <v>8</v>
      </c>
      <c r="AE466" s="2">
        <v>46256</v>
      </c>
      <c r="AF466" s="2">
        <v>46264</v>
      </c>
      <c r="AG466" s="2">
        <v>46271</v>
      </c>
      <c r="AH466">
        <v>16</v>
      </c>
      <c r="AI466" s="3">
        <v>0.51724137931034486</v>
      </c>
      <c r="AJ466" s="1">
        <v>16</v>
      </c>
      <c r="AK466" s="2">
        <v>46279</v>
      </c>
      <c r="AL466" s="4">
        <v>30</v>
      </c>
      <c r="AM466" s="5">
        <v>15</v>
      </c>
      <c r="AN466" s="4">
        <v>8</v>
      </c>
      <c r="AO466">
        <v>16.551724137931036</v>
      </c>
      <c r="AP466" s="4">
        <v>1</v>
      </c>
      <c r="AQ466" t="s">
        <v>1619</v>
      </c>
      <c r="AR466" t="s">
        <v>2335</v>
      </c>
      <c r="AT466" s="16" t="str">
        <f>_xlfn.XLOOKUP(B466,'SWiSH Demand Forecast Sep-26'!D:D,'SWiSH Demand Forecast Sep-26'!G:G,"Not Exist")</f>
        <v>Not Exist</v>
      </c>
    </row>
    <row r="467" spans="1:46" hidden="1" x14ac:dyDescent="0.3">
      <c r="A467">
        <v>105000018</v>
      </c>
      <c r="B467" t="s">
        <v>563</v>
      </c>
      <c r="C467" t="s">
        <v>240</v>
      </c>
      <c r="D467" t="s">
        <v>1613</v>
      </c>
      <c r="E467" t="s">
        <v>2357</v>
      </c>
      <c r="F467" t="s">
        <v>1671</v>
      </c>
      <c r="G467" t="s">
        <v>1616</v>
      </c>
      <c r="H467" t="s">
        <v>2002</v>
      </c>
      <c r="I467" t="s">
        <v>1618</v>
      </c>
      <c r="J467" t="s">
        <v>240</v>
      </c>
      <c r="K467">
        <v>1.5896660899999999</v>
      </c>
      <c r="L467">
        <v>2268.4535104299998</v>
      </c>
      <c r="M467" s="1">
        <v>3</v>
      </c>
      <c r="N467">
        <v>0</v>
      </c>
      <c r="O467">
        <v>52</v>
      </c>
      <c r="P467">
        <v>1427</v>
      </c>
      <c r="Q467" s="1">
        <v>1375</v>
      </c>
      <c r="R467">
        <v>23.75</v>
      </c>
      <c r="S467" s="2">
        <v>46261</v>
      </c>
      <c r="T467" s="2">
        <v>46263</v>
      </c>
      <c r="U467">
        <v>4190</v>
      </c>
      <c r="V467">
        <v>4615</v>
      </c>
      <c r="W467">
        <v>3931</v>
      </c>
      <c r="X467">
        <v>4252</v>
      </c>
      <c r="Y467">
        <v>3931</v>
      </c>
      <c r="Z467" s="8">
        <v>4615</v>
      </c>
      <c r="AA467">
        <v>4247</v>
      </c>
      <c r="AB467">
        <v>0.92559453732046149</v>
      </c>
      <c r="AC467">
        <v>1.0866493995761715</v>
      </c>
      <c r="AD467" s="1">
        <v>8</v>
      </c>
      <c r="AE467" s="2">
        <v>46256</v>
      </c>
      <c r="AF467" s="2">
        <v>46264</v>
      </c>
      <c r="AG467" s="2">
        <v>46271</v>
      </c>
      <c r="AH467">
        <v>3599</v>
      </c>
      <c r="AI467" s="3">
        <v>0.80673964209661142</v>
      </c>
      <c r="AJ467" s="1">
        <v>11</v>
      </c>
      <c r="AK467" s="2">
        <v>46274</v>
      </c>
      <c r="AL467" s="4">
        <v>10</v>
      </c>
      <c r="AM467" s="5">
        <v>10</v>
      </c>
      <c r="AN467" s="4">
        <v>8</v>
      </c>
      <c r="AO467">
        <v>1241.0344827586207</v>
      </c>
      <c r="AP467" s="4">
        <v>3</v>
      </c>
      <c r="AQ467" t="s">
        <v>1619</v>
      </c>
      <c r="AR467" t="s">
        <v>1620</v>
      </c>
      <c r="AT467" s="16">
        <f>_xlfn.XLOOKUP(B467,'SWiSH Demand Forecast Sep-26'!D:D,'SWiSH Demand Forecast Sep-26'!G:G,"Not Exist")</f>
        <v>1175.9288654766201</v>
      </c>
    </row>
    <row r="468" spans="1:46" hidden="1" x14ac:dyDescent="0.3">
      <c r="A468">
        <v>103700092</v>
      </c>
      <c r="B468" t="s">
        <v>1097</v>
      </c>
      <c r="C468" t="s">
        <v>136</v>
      </c>
      <c r="D468" t="s">
        <v>1613</v>
      </c>
      <c r="E468" t="s">
        <v>2358</v>
      </c>
      <c r="F468" t="s">
        <v>1615</v>
      </c>
      <c r="G468" t="s">
        <v>1616</v>
      </c>
      <c r="H468" t="s">
        <v>1617</v>
      </c>
      <c r="I468" t="s">
        <v>1618</v>
      </c>
      <c r="J468" t="s">
        <v>136</v>
      </c>
      <c r="K468">
        <v>2.5000001100000002</v>
      </c>
      <c r="L468">
        <v>475.00002090000004</v>
      </c>
      <c r="M468" s="1">
        <v>3</v>
      </c>
      <c r="N468">
        <v>0</v>
      </c>
      <c r="O468">
        <v>0</v>
      </c>
      <c r="P468">
        <v>190</v>
      </c>
      <c r="Q468" s="1">
        <v>190</v>
      </c>
      <c r="R468">
        <v>2.5</v>
      </c>
      <c r="S468" s="2">
        <v>46261</v>
      </c>
      <c r="T468" s="2">
        <v>46263</v>
      </c>
      <c r="U468">
        <v>501.5</v>
      </c>
      <c r="V468">
        <v>526</v>
      </c>
      <c r="W468">
        <v>687</v>
      </c>
      <c r="X468">
        <v>481</v>
      </c>
      <c r="Y468">
        <v>481</v>
      </c>
      <c r="Z468" s="8">
        <v>687</v>
      </c>
      <c r="AA468">
        <v>548.875</v>
      </c>
      <c r="AB468">
        <v>0.87633796401730812</v>
      </c>
      <c r="AC468">
        <v>1.2516511045319973</v>
      </c>
      <c r="AD468" s="1">
        <v>8</v>
      </c>
      <c r="AE468" s="2">
        <v>46256</v>
      </c>
      <c r="AF468" s="2">
        <v>46264</v>
      </c>
      <c r="AG468" s="2">
        <v>46271</v>
      </c>
      <c r="AH468">
        <v>492</v>
      </c>
      <c r="AI468" s="3">
        <v>0.74085228128293934</v>
      </c>
      <c r="AJ468" s="1">
        <v>11</v>
      </c>
      <c r="AK468" s="2">
        <v>46274</v>
      </c>
      <c r="AL468" s="4">
        <v>30</v>
      </c>
      <c r="AM468" s="5">
        <v>15</v>
      </c>
      <c r="AN468" s="4">
        <v>8</v>
      </c>
      <c r="AO468">
        <v>508.9655172413793</v>
      </c>
      <c r="AP468" s="4">
        <v>1</v>
      </c>
      <c r="AQ468" t="s">
        <v>1619</v>
      </c>
      <c r="AR468" t="s">
        <v>1620</v>
      </c>
      <c r="AT468" s="16">
        <f>_xlfn.XLOOKUP(B468,'SWiSH Demand Forecast Sep-26'!D:D,'SWiSH Demand Forecast Sep-26'!G:G,"Not Exist")</f>
        <v>105.51475170317499</v>
      </c>
    </row>
    <row r="469" spans="1:46" hidden="1" x14ac:dyDescent="0.3">
      <c r="A469">
        <v>101600019</v>
      </c>
      <c r="B469" t="s">
        <v>73</v>
      </c>
      <c r="C469" t="s">
        <v>10</v>
      </c>
      <c r="D469" t="s">
        <v>1613</v>
      </c>
      <c r="E469" t="s">
        <v>1732</v>
      </c>
      <c r="F469" t="s">
        <v>1631</v>
      </c>
      <c r="G469" t="s">
        <v>1616</v>
      </c>
      <c r="H469" t="s">
        <v>1768</v>
      </c>
      <c r="I469" t="s">
        <v>1634</v>
      </c>
      <c r="J469" t="s">
        <v>10</v>
      </c>
      <c r="K469">
        <v>5.4916180000000002E-2</v>
      </c>
      <c r="L469">
        <v>631.53607</v>
      </c>
      <c r="M469" s="1">
        <v>15</v>
      </c>
      <c r="N469">
        <v>0</v>
      </c>
      <c r="O469">
        <v>0</v>
      </c>
      <c r="P469">
        <v>11500</v>
      </c>
      <c r="Q469" s="1">
        <v>11500</v>
      </c>
      <c r="R469">
        <v>27.5</v>
      </c>
      <c r="S469" s="2">
        <v>46258</v>
      </c>
      <c r="T469" s="2">
        <v>46263</v>
      </c>
      <c r="U469">
        <v>41500</v>
      </c>
      <c r="V469">
        <v>42000</v>
      </c>
      <c r="W469">
        <v>35500</v>
      </c>
      <c r="X469">
        <v>33500</v>
      </c>
      <c r="Y469">
        <v>33500</v>
      </c>
      <c r="Z469" s="8">
        <v>42000</v>
      </c>
      <c r="AA469">
        <v>38125</v>
      </c>
      <c r="AB469">
        <v>0.87868852459016389</v>
      </c>
      <c r="AC469">
        <v>1.1016393442622952</v>
      </c>
      <c r="AD469" s="1">
        <v>8</v>
      </c>
      <c r="AE469" s="2">
        <v>46256</v>
      </c>
      <c r="AF469" s="2">
        <v>46264</v>
      </c>
      <c r="AG469" s="2">
        <v>46271</v>
      </c>
      <c r="AH469">
        <v>29500</v>
      </c>
      <c r="AI469" s="3">
        <v>0.72660098522167482</v>
      </c>
      <c r="AJ469" s="1">
        <v>11</v>
      </c>
      <c r="AK469" s="2">
        <v>46274</v>
      </c>
      <c r="AL469" s="4">
        <v>15</v>
      </c>
      <c r="AM469" s="5">
        <v>15</v>
      </c>
      <c r="AN469" s="4">
        <v>8</v>
      </c>
      <c r="AO469">
        <v>15258.620689655172</v>
      </c>
      <c r="AP469" s="4">
        <v>2</v>
      </c>
      <c r="AQ469" t="s">
        <v>1619</v>
      </c>
      <c r="AR469" t="s">
        <v>1620</v>
      </c>
      <c r="AT469" s="16">
        <f>_xlfn.XLOOKUP(B469,'SWiSH Demand Forecast Sep-26'!D:D,'SWiSH Demand Forecast Sep-26'!G:G,"Not Exist")</f>
        <v>30209</v>
      </c>
    </row>
    <row r="470" spans="1:46" x14ac:dyDescent="0.3">
      <c r="A470">
        <v>106200057</v>
      </c>
      <c r="B470" t="s">
        <v>2359</v>
      </c>
      <c r="C470" t="s">
        <v>10</v>
      </c>
      <c r="D470" t="s">
        <v>1613</v>
      </c>
      <c r="E470" t="s">
        <v>2360</v>
      </c>
      <c r="F470" t="s">
        <v>1671</v>
      </c>
      <c r="G470" t="s">
        <v>1616</v>
      </c>
      <c r="H470" t="s">
        <v>1672</v>
      </c>
      <c r="I470" t="s">
        <v>1618</v>
      </c>
      <c r="J470" t="s">
        <v>10</v>
      </c>
      <c r="K470">
        <v>5.7499999999999999E-3</v>
      </c>
      <c r="L470">
        <v>1592.75</v>
      </c>
      <c r="M470" s="1">
        <v>3</v>
      </c>
      <c r="N470">
        <v>0</v>
      </c>
      <c r="O470">
        <v>24000</v>
      </c>
      <c r="P470">
        <v>277000</v>
      </c>
      <c r="Q470" s="1">
        <v>253000</v>
      </c>
      <c r="R470">
        <v>5.75</v>
      </c>
      <c r="S470" s="2">
        <v>46232</v>
      </c>
      <c r="T470" s="2">
        <v>46263</v>
      </c>
      <c r="U470">
        <v>910000</v>
      </c>
      <c r="V470">
        <v>895000</v>
      </c>
      <c r="W470">
        <v>732000</v>
      </c>
      <c r="X470">
        <v>524000</v>
      </c>
      <c r="Y470">
        <v>524000</v>
      </c>
      <c r="Z470" s="8">
        <v>910000</v>
      </c>
      <c r="AA470">
        <v>765250</v>
      </c>
      <c r="AB470">
        <v>0.68474354786017644</v>
      </c>
      <c r="AC470">
        <v>1.189153871283894</v>
      </c>
      <c r="AD470" s="1">
        <v>8</v>
      </c>
      <c r="AE470" s="2">
        <v>46256</v>
      </c>
      <c r="AF470" s="2">
        <v>46264</v>
      </c>
      <c r="AG470" s="2">
        <v>46271</v>
      </c>
      <c r="AH470">
        <v>445000</v>
      </c>
      <c r="AI470" s="3">
        <v>0.50587343690791964</v>
      </c>
      <c r="AJ470" s="1">
        <v>16</v>
      </c>
      <c r="AK470" s="2">
        <v>46279</v>
      </c>
      <c r="AL470" s="4">
        <v>8</v>
      </c>
      <c r="AM470" s="5">
        <v>5</v>
      </c>
      <c r="AN470" s="4">
        <v>8</v>
      </c>
      <c r="AO470">
        <v>122758.62068965516</v>
      </c>
      <c r="AP470" s="4">
        <v>4</v>
      </c>
      <c r="AQ470" t="s">
        <v>1619</v>
      </c>
      <c r="AR470" t="s">
        <v>1620</v>
      </c>
      <c r="AT470" s="16" t="str">
        <f>_xlfn.XLOOKUP(B470,'SWiSH Demand Forecast Sep-26'!D:D,'SWiSH Demand Forecast Sep-26'!G:G,"Not Exist")</f>
        <v>Not Exist</v>
      </c>
    </row>
    <row r="471" spans="1:46" x14ac:dyDescent="0.3">
      <c r="A471">
        <v>102000003</v>
      </c>
      <c r="B471" t="s">
        <v>2361</v>
      </c>
      <c r="C471" t="s">
        <v>136</v>
      </c>
      <c r="D471" t="s">
        <v>1613</v>
      </c>
      <c r="E471" t="s">
        <v>2193</v>
      </c>
      <c r="F471" t="s">
        <v>1840</v>
      </c>
      <c r="G471" t="s">
        <v>1616</v>
      </c>
      <c r="H471" t="s">
        <v>2000</v>
      </c>
      <c r="I471" t="s">
        <v>1618</v>
      </c>
      <c r="J471" t="s">
        <v>136</v>
      </c>
      <c r="K471">
        <v>1.25</v>
      </c>
      <c r="L471">
        <v>6.25</v>
      </c>
      <c r="M471" s="1">
        <v>3</v>
      </c>
      <c r="N471">
        <v>0</v>
      </c>
      <c r="O471">
        <v>0</v>
      </c>
      <c r="P471">
        <v>5</v>
      </c>
      <c r="Q471" s="1">
        <v>5</v>
      </c>
      <c r="R471">
        <v>1.75</v>
      </c>
      <c r="S471" s="2">
        <v>46197</v>
      </c>
      <c r="T471" s="2">
        <v>46263</v>
      </c>
      <c r="U471">
        <v>17</v>
      </c>
      <c r="V471">
        <v>7</v>
      </c>
      <c r="W471">
        <v>11</v>
      </c>
      <c r="X471">
        <v>9</v>
      </c>
      <c r="Y471">
        <v>7</v>
      </c>
      <c r="Z471" s="8">
        <v>17</v>
      </c>
      <c r="AA471">
        <v>11</v>
      </c>
      <c r="AB471">
        <v>0.63636363636363635</v>
      </c>
      <c r="AC471">
        <v>1.5454545454545454</v>
      </c>
      <c r="AD471" s="1">
        <v>8</v>
      </c>
      <c r="AE471" s="2">
        <v>46256</v>
      </c>
      <c r="AF471" s="2">
        <v>46264</v>
      </c>
      <c r="AG471" s="2">
        <v>46271</v>
      </c>
      <c r="AH471">
        <v>16</v>
      </c>
      <c r="AI471" s="3">
        <v>0.97363083164300213</v>
      </c>
      <c r="AJ471" s="1">
        <v>9</v>
      </c>
      <c r="AK471" s="2">
        <v>46272</v>
      </c>
      <c r="AL471" s="4">
        <v>30</v>
      </c>
      <c r="AM471" s="5">
        <v>15</v>
      </c>
      <c r="AN471" s="4">
        <v>8</v>
      </c>
      <c r="AO471">
        <v>16.551724137931036</v>
      </c>
      <c r="AP471" s="4">
        <v>1</v>
      </c>
      <c r="AQ471" t="s">
        <v>1619</v>
      </c>
      <c r="AR471" t="s">
        <v>1620</v>
      </c>
      <c r="AT471" s="16" t="str">
        <f>_xlfn.XLOOKUP(B471,'SWiSH Demand Forecast Sep-26'!D:D,'SWiSH Demand Forecast Sep-26'!G:G,"Not Exist")</f>
        <v>Not Exist</v>
      </c>
    </row>
    <row r="472" spans="1:46" x14ac:dyDescent="0.3">
      <c r="A472">
        <v>106200046</v>
      </c>
      <c r="B472" t="s">
        <v>2362</v>
      </c>
      <c r="C472" t="s">
        <v>240</v>
      </c>
      <c r="D472" t="s">
        <v>1613</v>
      </c>
      <c r="E472" t="s">
        <v>1677</v>
      </c>
      <c r="F472" t="s">
        <v>1671</v>
      </c>
      <c r="G472" t="s">
        <v>1616</v>
      </c>
      <c r="H472" t="s">
        <v>1672</v>
      </c>
      <c r="I472" t="s">
        <v>1618</v>
      </c>
      <c r="J472" t="s">
        <v>2363</v>
      </c>
      <c r="K472">
        <v>1.94128788</v>
      </c>
      <c r="L472">
        <v>73.800000046080001</v>
      </c>
      <c r="M472" s="1">
        <v>3</v>
      </c>
      <c r="N472">
        <v>0</v>
      </c>
      <c r="O472">
        <v>0</v>
      </c>
      <c r="P472">
        <v>38.015999999999998</v>
      </c>
      <c r="Q472" s="1">
        <v>38.015999999999998</v>
      </c>
      <c r="R472">
        <v>8.1999999999999993</v>
      </c>
      <c r="S472" s="2">
        <v>46239</v>
      </c>
      <c r="T472" s="2">
        <v>46263</v>
      </c>
      <c r="U472">
        <v>108.416</v>
      </c>
      <c r="V472">
        <v>136.57599999999999</v>
      </c>
      <c r="W472">
        <v>16.896000000000001</v>
      </c>
      <c r="X472">
        <v>71.808000000000007</v>
      </c>
      <c r="Y472">
        <v>16.896000000000001</v>
      </c>
      <c r="Z472" s="8">
        <v>136.57599999999999</v>
      </c>
      <c r="AA472">
        <v>83.423999999999992</v>
      </c>
      <c r="AB472">
        <v>0.20253164556962028</v>
      </c>
      <c r="AC472">
        <v>1.6371308016877637</v>
      </c>
      <c r="AD472" s="1">
        <v>8</v>
      </c>
      <c r="AE472" s="2">
        <v>46256</v>
      </c>
      <c r="AF472" s="2">
        <v>46264</v>
      </c>
      <c r="AG472" s="2">
        <v>46271</v>
      </c>
      <c r="AH472">
        <v>97.152000000000015</v>
      </c>
      <c r="AI472" s="3">
        <v>0.73586917881265568</v>
      </c>
      <c r="AJ472" s="1">
        <v>11</v>
      </c>
      <c r="AK472" s="2">
        <v>46274</v>
      </c>
      <c r="AL472" s="4">
        <v>30</v>
      </c>
      <c r="AM472" s="5">
        <v>15</v>
      </c>
      <c r="AN472" s="4">
        <v>8</v>
      </c>
      <c r="AO472">
        <v>100.50206896551725</v>
      </c>
      <c r="AP472" s="4">
        <v>1</v>
      </c>
      <c r="AQ472" t="s">
        <v>1619</v>
      </c>
      <c r="AR472" t="s">
        <v>1620</v>
      </c>
      <c r="AT472" s="16" t="str">
        <f>_xlfn.XLOOKUP(B472,'SWiSH Demand Forecast Sep-26'!D:D,'SWiSH Demand Forecast Sep-26'!G:G,"Not Exist")</f>
        <v>Not Exist</v>
      </c>
    </row>
    <row r="473" spans="1:46" hidden="1" x14ac:dyDescent="0.3">
      <c r="A473">
        <v>100500000</v>
      </c>
      <c r="B473" t="s">
        <v>535</v>
      </c>
      <c r="C473" t="s">
        <v>136</v>
      </c>
      <c r="D473" t="s">
        <v>1613</v>
      </c>
      <c r="E473" t="s">
        <v>2364</v>
      </c>
      <c r="F473" t="s">
        <v>1833</v>
      </c>
      <c r="G473" t="s">
        <v>1616</v>
      </c>
      <c r="H473" t="s">
        <v>1996</v>
      </c>
      <c r="I473" t="s">
        <v>1626</v>
      </c>
      <c r="J473" t="s">
        <v>1982</v>
      </c>
      <c r="K473">
        <v>1.61111111</v>
      </c>
      <c r="L473">
        <v>1957.49999865</v>
      </c>
      <c r="M473" s="1">
        <v>3</v>
      </c>
      <c r="N473">
        <v>0</v>
      </c>
      <c r="O473">
        <v>37</v>
      </c>
      <c r="P473">
        <v>1215</v>
      </c>
      <c r="Q473" s="1">
        <v>1178</v>
      </c>
      <c r="R473">
        <v>29</v>
      </c>
      <c r="S473" s="2">
        <v>46259</v>
      </c>
      <c r="T473" s="2">
        <v>46263</v>
      </c>
      <c r="U473">
        <v>4037.1999999999939</v>
      </c>
      <c r="V473">
        <v>3932</v>
      </c>
      <c r="W473">
        <v>3897</v>
      </c>
      <c r="X473">
        <v>4345</v>
      </c>
      <c r="Y473">
        <v>3897</v>
      </c>
      <c r="Z473" s="8">
        <v>4345</v>
      </c>
      <c r="AA473">
        <v>4052.7999999999984</v>
      </c>
      <c r="AB473">
        <v>0.96155744176865421</v>
      </c>
      <c r="AC473">
        <v>1.072098302408212</v>
      </c>
      <c r="AD473" s="1">
        <v>8</v>
      </c>
      <c r="AE473" s="2">
        <v>46256</v>
      </c>
      <c r="AF473" s="2">
        <v>46264</v>
      </c>
      <c r="AG473" s="2">
        <v>46271</v>
      </c>
      <c r="AH473">
        <v>3771</v>
      </c>
      <c r="AI473" s="3">
        <v>0.89782151501924523</v>
      </c>
      <c r="AJ473" s="1">
        <v>9</v>
      </c>
      <c r="AK473" s="2">
        <v>46272</v>
      </c>
      <c r="AL473" s="4">
        <v>8</v>
      </c>
      <c r="AM473" s="5">
        <v>5</v>
      </c>
      <c r="AN473" s="4">
        <v>8</v>
      </c>
      <c r="AO473">
        <v>1040.2758620689656</v>
      </c>
      <c r="AP473" s="4">
        <v>4</v>
      </c>
      <c r="AQ473" t="s">
        <v>1619</v>
      </c>
      <c r="AR473" t="s">
        <v>1620</v>
      </c>
      <c r="AT473" s="16">
        <f>_xlfn.XLOOKUP(B473,'SWiSH Demand Forecast Sep-26'!D:D,'SWiSH Demand Forecast Sep-26'!G:G,"Not Exist")</f>
        <v>1337.49815789473</v>
      </c>
    </row>
    <row r="474" spans="1:46" hidden="1" x14ac:dyDescent="0.3">
      <c r="A474">
        <v>105000014</v>
      </c>
      <c r="B474" t="s">
        <v>1170</v>
      </c>
      <c r="C474" t="s">
        <v>240</v>
      </c>
      <c r="D474" t="s">
        <v>1613</v>
      </c>
      <c r="E474" t="s">
        <v>1663</v>
      </c>
      <c r="F474" t="s">
        <v>1999</v>
      </c>
      <c r="G474" t="s">
        <v>1616</v>
      </c>
      <c r="H474" t="s">
        <v>1640</v>
      </c>
      <c r="I474" t="s">
        <v>1618</v>
      </c>
      <c r="J474" t="s">
        <v>2365</v>
      </c>
      <c r="K474">
        <v>1.1999552600000001</v>
      </c>
      <c r="L474">
        <v>197.9926179</v>
      </c>
      <c r="M474" s="1">
        <v>3</v>
      </c>
      <c r="N474">
        <v>0</v>
      </c>
      <c r="O474">
        <v>14</v>
      </c>
      <c r="P474">
        <v>165</v>
      </c>
      <c r="Q474" s="1">
        <v>151</v>
      </c>
      <c r="R474">
        <v>19.84</v>
      </c>
      <c r="S474" s="2">
        <v>46258</v>
      </c>
      <c r="T474" s="2">
        <v>46263</v>
      </c>
      <c r="U474">
        <v>523.5</v>
      </c>
      <c r="V474">
        <v>375</v>
      </c>
      <c r="W474">
        <v>387.5</v>
      </c>
      <c r="X474">
        <v>350</v>
      </c>
      <c r="Y474">
        <v>350</v>
      </c>
      <c r="Z474" s="8">
        <v>523.5</v>
      </c>
      <c r="AA474">
        <v>409</v>
      </c>
      <c r="AB474">
        <v>0.85574572127139359</v>
      </c>
      <c r="AC474">
        <v>1.2799511002444988</v>
      </c>
      <c r="AD474" s="1">
        <v>8</v>
      </c>
      <c r="AE474" s="2">
        <v>46256</v>
      </c>
      <c r="AF474" s="2">
        <v>46264</v>
      </c>
      <c r="AG474" s="2">
        <v>46271</v>
      </c>
      <c r="AH474">
        <v>284</v>
      </c>
      <c r="AI474" s="3">
        <v>0.56120936666337318</v>
      </c>
      <c r="AJ474" s="1">
        <v>15</v>
      </c>
      <c r="AK474" s="2">
        <v>46278</v>
      </c>
      <c r="AL474" s="4">
        <v>30</v>
      </c>
      <c r="AM474" s="5">
        <v>15</v>
      </c>
      <c r="AN474" s="4">
        <v>8</v>
      </c>
      <c r="AO474">
        <v>293.79310344827587</v>
      </c>
      <c r="AP474" s="4">
        <v>1</v>
      </c>
      <c r="AQ474" t="s">
        <v>1619</v>
      </c>
      <c r="AR474" t="s">
        <v>2366</v>
      </c>
      <c r="AT474" s="16">
        <f>_xlfn.XLOOKUP(B474,'SWiSH Demand Forecast Sep-26'!D:D,'SWiSH Demand Forecast Sep-26'!G:G,"Not Exist")</f>
        <v>70.293073619631798</v>
      </c>
    </row>
    <row r="475" spans="1:46" x14ac:dyDescent="0.3">
      <c r="A475">
        <v>101500005</v>
      </c>
      <c r="B475" t="s">
        <v>2367</v>
      </c>
      <c r="C475" t="s">
        <v>10</v>
      </c>
      <c r="D475" t="s">
        <v>1613</v>
      </c>
      <c r="E475" t="s">
        <v>2368</v>
      </c>
      <c r="F475" t="s">
        <v>1644</v>
      </c>
      <c r="G475" t="s">
        <v>1624</v>
      </c>
      <c r="H475" t="s">
        <v>1647</v>
      </c>
      <c r="I475" t="s">
        <v>1634</v>
      </c>
      <c r="J475" t="s">
        <v>10</v>
      </c>
      <c r="K475">
        <v>0.28762629000000001</v>
      </c>
      <c r="L475">
        <v>231.25153716</v>
      </c>
      <c r="M475" s="1">
        <v>3</v>
      </c>
      <c r="N475">
        <v>0</v>
      </c>
      <c r="O475">
        <v>21</v>
      </c>
      <c r="P475">
        <v>804</v>
      </c>
      <c r="Q475" s="1">
        <v>783</v>
      </c>
      <c r="R475">
        <v>0.85</v>
      </c>
      <c r="S475" s="2">
        <v>46254</v>
      </c>
      <c r="T475" s="2">
        <v>46263</v>
      </c>
      <c r="U475">
        <v>1803</v>
      </c>
      <c r="V475">
        <v>1975</v>
      </c>
      <c r="W475">
        <v>2274</v>
      </c>
      <c r="X475">
        <v>2749</v>
      </c>
      <c r="Y475">
        <v>1803</v>
      </c>
      <c r="Z475" s="8">
        <v>2749</v>
      </c>
      <c r="AA475">
        <v>2200.25</v>
      </c>
      <c r="AB475">
        <v>0.81945233496193615</v>
      </c>
      <c r="AC475">
        <v>1.2494034768776277</v>
      </c>
      <c r="AD475" s="1">
        <v>8</v>
      </c>
      <c r="AE475" s="2">
        <v>46256</v>
      </c>
      <c r="AF475" s="2">
        <v>46264</v>
      </c>
      <c r="AG475" s="2">
        <v>46271</v>
      </c>
      <c r="AH475">
        <v>2484</v>
      </c>
      <c r="AI475" s="3">
        <v>0.93475997541425715</v>
      </c>
      <c r="AJ475" s="1">
        <v>9</v>
      </c>
      <c r="AK475" s="2">
        <v>46272</v>
      </c>
      <c r="AL475" s="4">
        <v>30</v>
      </c>
      <c r="AM475" s="5">
        <v>15</v>
      </c>
      <c r="AN475" s="4">
        <v>8</v>
      </c>
      <c r="AO475">
        <v>2569.655172413793</v>
      </c>
      <c r="AP475" s="4">
        <v>1</v>
      </c>
      <c r="AQ475" t="s">
        <v>1619</v>
      </c>
      <c r="AR475" t="s">
        <v>2178</v>
      </c>
      <c r="AT475" s="16" t="str">
        <f>_xlfn.XLOOKUP(B475,'SWiSH Demand Forecast Sep-26'!D:D,'SWiSH Demand Forecast Sep-26'!G:G,"Not Exist")</f>
        <v>Not Exist</v>
      </c>
    </row>
    <row r="476" spans="1:46" hidden="1" x14ac:dyDescent="0.3">
      <c r="A476">
        <v>100400213</v>
      </c>
      <c r="B476" t="s">
        <v>64</v>
      </c>
      <c r="C476" t="s">
        <v>10</v>
      </c>
      <c r="D476" t="s">
        <v>1613</v>
      </c>
      <c r="E476" t="s">
        <v>2049</v>
      </c>
      <c r="F476" t="s">
        <v>1664</v>
      </c>
      <c r="G476" t="s">
        <v>1616</v>
      </c>
      <c r="H476" t="s">
        <v>1810</v>
      </c>
      <c r="I476" t="s">
        <v>1634</v>
      </c>
      <c r="J476" t="s">
        <v>10</v>
      </c>
      <c r="K476">
        <v>7.799652E-2</v>
      </c>
      <c r="L476">
        <v>1435.135968</v>
      </c>
      <c r="M476" s="1">
        <v>30</v>
      </c>
      <c r="N476">
        <v>0</v>
      </c>
      <c r="O476">
        <v>1300</v>
      </c>
      <c r="P476">
        <v>18400</v>
      </c>
      <c r="Q476" s="1">
        <v>17100</v>
      </c>
      <c r="R476">
        <v>7.8E-2</v>
      </c>
      <c r="S476" s="2">
        <v>46251</v>
      </c>
      <c r="T476" s="2">
        <v>46263</v>
      </c>
      <c r="U476">
        <v>46450</v>
      </c>
      <c r="V476">
        <v>58550</v>
      </c>
      <c r="W476">
        <v>43250</v>
      </c>
      <c r="X476">
        <v>45650</v>
      </c>
      <c r="Y476">
        <v>43250</v>
      </c>
      <c r="Z476" s="8">
        <v>58550</v>
      </c>
      <c r="AA476">
        <v>48475</v>
      </c>
      <c r="AB476">
        <v>0.89221248066013414</v>
      </c>
      <c r="AC476">
        <v>1.2078390923156266</v>
      </c>
      <c r="AD476" s="1">
        <v>8</v>
      </c>
      <c r="AE476" s="2">
        <v>46256</v>
      </c>
      <c r="AF476" s="2">
        <v>46264</v>
      </c>
      <c r="AG476" s="2">
        <v>46271</v>
      </c>
      <c r="AH476">
        <v>37100</v>
      </c>
      <c r="AI476" s="3">
        <v>0.6554963338143055</v>
      </c>
      <c r="AJ476" s="1">
        <v>13</v>
      </c>
      <c r="AK476" s="2">
        <v>46276</v>
      </c>
      <c r="AL476" s="4">
        <v>15</v>
      </c>
      <c r="AM476" s="5">
        <v>15</v>
      </c>
      <c r="AN476" s="4">
        <v>8</v>
      </c>
      <c r="AO476">
        <v>19189.655172413793</v>
      </c>
      <c r="AP476" s="4">
        <v>2</v>
      </c>
      <c r="AQ476">
        <v>95735</v>
      </c>
      <c r="AR476" t="s">
        <v>2202</v>
      </c>
      <c r="AT476" s="16">
        <f>_xlfn.XLOOKUP(B476,'SWiSH Demand Forecast Sep-26'!D:D,'SWiSH Demand Forecast Sep-26'!G:G,"Not Exist")</f>
        <v>36250</v>
      </c>
    </row>
    <row r="477" spans="1:46" hidden="1" x14ac:dyDescent="0.3">
      <c r="A477">
        <v>100300005</v>
      </c>
      <c r="B477" t="s">
        <v>518</v>
      </c>
      <c r="C477" t="s">
        <v>136</v>
      </c>
      <c r="D477" t="s">
        <v>1613</v>
      </c>
      <c r="E477" t="s">
        <v>2369</v>
      </c>
      <c r="F477" t="s">
        <v>1752</v>
      </c>
      <c r="G477" t="s">
        <v>1616</v>
      </c>
      <c r="H477" t="s">
        <v>2018</v>
      </c>
      <c r="I477" t="s">
        <v>1754</v>
      </c>
      <c r="J477" t="s">
        <v>2370</v>
      </c>
      <c r="K477">
        <v>2.0959206199999998</v>
      </c>
      <c r="L477">
        <v>1520.8000018719999</v>
      </c>
      <c r="M477" s="1">
        <v>3</v>
      </c>
      <c r="N477">
        <v>0</v>
      </c>
      <c r="O477">
        <v>18.14</v>
      </c>
      <c r="P477">
        <v>725.6</v>
      </c>
      <c r="Q477" s="1">
        <v>707.46</v>
      </c>
      <c r="R477">
        <v>54.48</v>
      </c>
      <c r="S477" s="2">
        <v>46258</v>
      </c>
      <c r="T477" s="2">
        <v>46263</v>
      </c>
      <c r="U477">
        <v>2412.6200000000017</v>
      </c>
      <c r="V477">
        <v>2394.4800000000014</v>
      </c>
      <c r="W477">
        <v>1405.8500000000013</v>
      </c>
      <c r="X477">
        <v>2086.1000000000035</v>
      </c>
      <c r="Y477">
        <v>1405.8500000000013</v>
      </c>
      <c r="Z477" s="8">
        <v>2412.6200000000017</v>
      </c>
      <c r="AA477">
        <v>2074.7625000000021</v>
      </c>
      <c r="AB477">
        <v>0.67759562841530052</v>
      </c>
      <c r="AC477">
        <v>1.1628415300546444</v>
      </c>
      <c r="AD477" s="1">
        <v>8</v>
      </c>
      <c r="AE477" s="2">
        <v>46256</v>
      </c>
      <c r="AF477" s="2">
        <v>46264</v>
      </c>
      <c r="AG477" s="2">
        <v>46271</v>
      </c>
      <c r="AH477">
        <v>1614.4600000000023</v>
      </c>
      <c r="AI477" s="3">
        <v>0.69224786103189051</v>
      </c>
      <c r="AJ477" s="1">
        <v>12</v>
      </c>
      <c r="AK477" s="2">
        <v>46275</v>
      </c>
      <c r="AL477" s="4">
        <v>10</v>
      </c>
      <c r="AM477" s="5">
        <v>10</v>
      </c>
      <c r="AN477" s="4">
        <v>8</v>
      </c>
      <c r="AO477">
        <v>556.71034482758694</v>
      </c>
      <c r="AP477" s="4">
        <v>3</v>
      </c>
      <c r="AQ477" t="s">
        <v>1619</v>
      </c>
      <c r="AR477" t="s">
        <v>1620</v>
      </c>
      <c r="AT477" s="16">
        <f>_xlfn.XLOOKUP(B477,'SWiSH Demand Forecast Sep-26'!D:D,'SWiSH Demand Forecast Sep-26'!G:G,"Not Exist")</f>
        <v>1411.4866666666601</v>
      </c>
    </row>
    <row r="478" spans="1:46" hidden="1" x14ac:dyDescent="0.3">
      <c r="A478">
        <v>101300011</v>
      </c>
      <c r="B478" t="s">
        <v>587</v>
      </c>
      <c r="C478" t="s">
        <v>136</v>
      </c>
      <c r="D478" t="s">
        <v>1613</v>
      </c>
      <c r="E478" t="s">
        <v>2091</v>
      </c>
      <c r="F478" t="s">
        <v>1752</v>
      </c>
      <c r="G478" t="s">
        <v>1616</v>
      </c>
      <c r="H478" t="s">
        <v>1980</v>
      </c>
      <c r="I478" t="s">
        <v>1754</v>
      </c>
      <c r="J478" t="s">
        <v>1997</v>
      </c>
      <c r="K478">
        <v>2.0000002399999999</v>
      </c>
      <c r="L478">
        <v>1280.0001536</v>
      </c>
      <c r="M478" s="1">
        <v>3</v>
      </c>
      <c r="N478">
        <v>0</v>
      </c>
      <c r="O478">
        <v>80</v>
      </c>
      <c r="P478">
        <v>640</v>
      </c>
      <c r="Q478" s="1">
        <v>560</v>
      </c>
      <c r="R478">
        <v>20</v>
      </c>
      <c r="S478" s="2">
        <v>46261</v>
      </c>
      <c r="T478" s="2">
        <v>46263</v>
      </c>
      <c r="U478">
        <v>1920</v>
      </c>
      <c r="V478">
        <v>1520</v>
      </c>
      <c r="W478">
        <v>1740</v>
      </c>
      <c r="X478">
        <v>1690</v>
      </c>
      <c r="Y478">
        <v>1520</v>
      </c>
      <c r="Z478" s="8">
        <v>1920</v>
      </c>
      <c r="AA478">
        <v>1717.5</v>
      </c>
      <c r="AB478">
        <v>0.88500727802037849</v>
      </c>
      <c r="AC478">
        <v>1.1179039301310043</v>
      </c>
      <c r="AD478" s="1">
        <v>8</v>
      </c>
      <c r="AE478" s="2">
        <v>46256</v>
      </c>
      <c r="AF478" s="2">
        <v>46264</v>
      </c>
      <c r="AG478" s="2">
        <v>46271</v>
      </c>
      <c r="AH478">
        <v>1400</v>
      </c>
      <c r="AI478" s="3">
        <v>0.75431034482758619</v>
      </c>
      <c r="AJ478" s="1">
        <v>11</v>
      </c>
      <c r="AK478" s="2">
        <v>46274</v>
      </c>
      <c r="AL478" s="4">
        <v>15</v>
      </c>
      <c r="AM478" s="5">
        <v>15</v>
      </c>
      <c r="AN478" s="4">
        <v>8</v>
      </c>
      <c r="AO478">
        <v>724.13793103448279</v>
      </c>
      <c r="AP478" s="4">
        <v>2</v>
      </c>
      <c r="AQ478" t="s">
        <v>1619</v>
      </c>
      <c r="AR478" t="s">
        <v>1620</v>
      </c>
      <c r="AT478" s="16">
        <f>_xlfn.XLOOKUP(B478,'SWiSH Demand Forecast Sep-26'!D:D,'SWiSH Demand Forecast Sep-26'!G:G,"Not Exist")</f>
        <v>1073.6400000000001</v>
      </c>
    </row>
    <row r="479" spans="1:46" hidden="1" x14ac:dyDescent="0.3">
      <c r="A479">
        <v>100500013</v>
      </c>
      <c r="B479" t="s">
        <v>1321</v>
      </c>
      <c r="C479" t="s">
        <v>136</v>
      </c>
      <c r="D479" t="s">
        <v>1613</v>
      </c>
      <c r="E479" t="s">
        <v>1638</v>
      </c>
      <c r="F479" t="s">
        <v>1840</v>
      </c>
      <c r="G479" t="s">
        <v>1616</v>
      </c>
      <c r="H479" t="s">
        <v>1996</v>
      </c>
      <c r="I479" t="s">
        <v>1618</v>
      </c>
      <c r="J479" t="s">
        <v>2371</v>
      </c>
      <c r="K479">
        <v>3.0038546300000002</v>
      </c>
      <c r="L479">
        <v>24.211068317800002</v>
      </c>
      <c r="M479" s="1">
        <v>3</v>
      </c>
      <c r="N479">
        <v>0</v>
      </c>
      <c r="O479">
        <v>0.51</v>
      </c>
      <c r="P479">
        <v>8.06</v>
      </c>
      <c r="Q479" s="1">
        <v>7.5500000000000007</v>
      </c>
      <c r="R479">
        <v>16.364999999999998</v>
      </c>
      <c r="S479" s="2">
        <v>46260</v>
      </c>
      <c r="T479" s="2">
        <v>46263</v>
      </c>
      <c r="U479">
        <v>23.820000000000007</v>
      </c>
      <c r="V479">
        <v>25.408000000000005</v>
      </c>
      <c r="W479">
        <v>25.408000000000008</v>
      </c>
      <c r="X479">
        <v>19.056000000000004</v>
      </c>
      <c r="Y479">
        <v>19.056000000000004</v>
      </c>
      <c r="Z479" s="8">
        <v>25.408000000000008</v>
      </c>
      <c r="AA479">
        <v>23.423000000000009</v>
      </c>
      <c r="AB479">
        <v>0.81355932203389814</v>
      </c>
      <c r="AC479">
        <v>1.0847457627118644</v>
      </c>
      <c r="AD479" s="1">
        <v>8</v>
      </c>
      <c r="AE479" s="2">
        <v>46256</v>
      </c>
      <c r="AF479" s="2">
        <v>46264</v>
      </c>
      <c r="AG479" s="2">
        <v>46271</v>
      </c>
      <c r="AH479">
        <v>24.952000000000012</v>
      </c>
      <c r="AI479" s="3">
        <v>1.0159167897159733</v>
      </c>
      <c r="AJ479" s="1">
        <v>8</v>
      </c>
      <c r="AK479" s="2">
        <v>46271</v>
      </c>
      <c r="AL479" s="4">
        <v>30</v>
      </c>
      <c r="AM479" s="5">
        <v>15</v>
      </c>
      <c r="AN479" s="4">
        <v>8</v>
      </c>
      <c r="AO479">
        <v>25.81241379310346</v>
      </c>
      <c r="AP479" s="4">
        <v>1</v>
      </c>
      <c r="AQ479">
        <v>2</v>
      </c>
      <c r="AR479" t="s">
        <v>2372</v>
      </c>
      <c r="AT479" s="16">
        <f>_xlfn.XLOOKUP(B479,'SWiSH Demand Forecast Sep-26'!D:D,'SWiSH Demand Forecast Sep-26'!G:G,"Not Exist")</f>
        <v>27.495000000000001</v>
      </c>
    </row>
    <row r="480" spans="1:46" x14ac:dyDescent="0.3">
      <c r="A480">
        <v>104200042</v>
      </c>
      <c r="B480" t="s">
        <v>2373</v>
      </c>
      <c r="C480" t="s">
        <v>10</v>
      </c>
      <c r="D480" t="s">
        <v>1613</v>
      </c>
      <c r="E480" t="s">
        <v>1638</v>
      </c>
      <c r="F480" t="s">
        <v>1631</v>
      </c>
      <c r="G480" t="s">
        <v>1624</v>
      </c>
      <c r="H480" t="s">
        <v>1633</v>
      </c>
      <c r="I480" t="s">
        <v>1634</v>
      </c>
      <c r="J480" t="s">
        <v>2374</v>
      </c>
      <c r="K480">
        <v>5.25</v>
      </c>
      <c r="L480">
        <v>52.5</v>
      </c>
      <c r="M480" s="1">
        <v>3</v>
      </c>
      <c r="N480">
        <v>0</v>
      </c>
      <c r="O480">
        <v>0</v>
      </c>
      <c r="P480">
        <v>10</v>
      </c>
      <c r="Q480" s="1">
        <v>10</v>
      </c>
      <c r="R480">
        <v>26.25</v>
      </c>
      <c r="S480" s="2">
        <v>46258</v>
      </c>
      <c r="T480" s="2">
        <v>46262</v>
      </c>
      <c r="U480">
        <v>35</v>
      </c>
      <c r="V480">
        <v>25</v>
      </c>
      <c r="W480">
        <v>20</v>
      </c>
      <c r="X480">
        <v>20</v>
      </c>
      <c r="Y480">
        <v>20</v>
      </c>
      <c r="Z480" s="8">
        <v>35</v>
      </c>
      <c r="AA480">
        <v>25</v>
      </c>
      <c r="AB480">
        <v>0.8</v>
      </c>
      <c r="AC480">
        <v>1.4</v>
      </c>
      <c r="AD480" s="1">
        <v>8</v>
      </c>
      <c r="AE480" s="2">
        <v>46256</v>
      </c>
      <c r="AF480" s="2">
        <v>46264</v>
      </c>
      <c r="AG480" s="2">
        <v>46271</v>
      </c>
      <c r="AH480">
        <v>20</v>
      </c>
      <c r="AI480" s="3">
        <v>0.59113300492610843</v>
      </c>
      <c r="AJ480" s="1">
        <v>14</v>
      </c>
      <c r="AK480" s="2">
        <v>46277</v>
      </c>
      <c r="AL480" s="4">
        <v>30</v>
      </c>
      <c r="AM480" s="5">
        <v>15</v>
      </c>
      <c r="AN480" s="4">
        <v>8</v>
      </c>
      <c r="AO480">
        <v>20.689655172413794</v>
      </c>
      <c r="AP480" s="4">
        <v>1</v>
      </c>
      <c r="AQ480" t="s">
        <v>1619</v>
      </c>
      <c r="AR480" t="s">
        <v>1620</v>
      </c>
      <c r="AT480" s="16" t="str">
        <f>_xlfn.XLOOKUP(B480,'SWiSH Demand Forecast Sep-26'!D:D,'SWiSH Demand Forecast Sep-26'!G:G,"Not Exist")</f>
        <v>Not Exist</v>
      </c>
    </row>
    <row r="481" spans="1:46" x14ac:dyDescent="0.3">
      <c r="A481">
        <v>105500016</v>
      </c>
      <c r="B481" t="s">
        <v>2375</v>
      </c>
      <c r="C481" t="s">
        <v>136</v>
      </c>
      <c r="D481" t="s">
        <v>1613</v>
      </c>
      <c r="E481" t="s">
        <v>1732</v>
      </c>
      <c r="F481" t="s">
        <v>1927</v>
      </c>
      <c r="G481" t="s">
        <v>1616</v>
      </c>
      <c r="H481" t="s">
        <v>1841</v>
      </c>
      <c r="I481" t="s">
        <v>1618</v>
      </c>
      <c r="J481" t="s">
        <v>136</v>
      </c>
      <c r="K481">
        <v>0.35</v>
      </c>
      <c r="L481">
        <v>133</v>
      </c>
      <c r="M481" s="1">
        <v>3</v>
      </c>
      <c r="N481">
        <v>0</v>
      </c>
      <c r="O481">
        <v>0</v>
      </c>
      <c r="P481">
        <v>380</v>
      </c>
      <c r="Q481" s="1">
        <v>380</v>
      </c>
      <c r="R481">
        <v>3.5</v>
      </c>
      <c r="S481" s="2">
        <v>46252</v>
      </c>
      <c r="T481" s="2">
        <v>46263</v>
      </c>
      <c r="U481">
        <v>250</v>
      </c>
      <c r="V481">
        <v>850</v>
      </c>
      <c r="W481">
        <v>1180</v>
      </c>
      <c r="X481">
        <v>1270</v>
      </c>
      <c r="Y481">
        <v>250</v>
      </c>
      <c r="Z481" s="8">
        <v>1270</v>
      </c>
      <c r="AA481">
        <v>887.5</v>
      </c>
      <c r="AB481">
        <v>0.28169014084507044</v>
      </c>
      <c r="AC481">
        <v>1.4309859154929578</v>
      </c>
      <c r="AD481" s="1">
        <v>8</v>
      </c>
      <c r="AE481" s="2">
        <v>46256</v>
      </c>
      <c r="AF481" s="2">
        <v>46264</v>
      </c>
      <c r="AG481" s="2">
        <v>46271</v>
      </c>
      <c r="AH481">
        <v>1420</v>
      </c>
      <c r="AI481" s="3">
        <v>1.1566657616073852</v>
      </c>
      <c r="AJ481" s="1">
        <v>7</v>
      </c>
      <c r="AK481" s="2">
        <v>46270</v>
      </c>
      <c r="AL481" s="4">
        <v>15</v>
      </c>
      <c r="AM481" s="5">
        <v>15</v>
      </c>
      <c r="AN481" s="4">
        <v>7</v>
      </c>
      <c r="AO481">
        <v>734.48275862068965</v>
      </c>
      <c r="AP481" s="4">
        <v>2</v>
      </c>
      <c r="AQ481" t="s">
        <v>1619</v>
      </c>
      <c r="AR481" t="s">
        <v>1620</v>
      </c>
      <c r="AS481" t="s">
        <v>1666</v>
      </c>
      <c r="AT481" s="16" t="str">
        <f>_xlfn.XLOOKUP(B481,'SWiSH Demand Forecast Sep-26'!D:D,'SWiSH Demand Forecast Sep-26'!G:G,"Not Exist")</f>
        <v>Not Exist</v>
      </c>
    </row>
    <row r="482" spans="1:46" hidden="1" x14ac:dyDescent="0.3">
      <c r="A482">
        <v>100400095</v>
      </c>
      <c r="B482" t="s">
        <v>174</v>
      </c>
      <c r="C482" t="s">
        <v>10</v>
      </c>
      <c r="D482" t="s">
        <v>1613</v>
      </c>
      <c r="E482" t="s">
        <v>1638</v>
      </c>
      <c r="F482" t="s">
        <v>1664</v>
      </c>
      <c r="G482" t="s">
        <v>1624</v>
      </c>
      <c r="H482" t="s">
        <v>1810</v>
      </c>
      <c r="I482" t="s">
        <v>1634</v>
      </c>
      <c r="J482" t="s">
        <v>10</v>
      </c>
      <c r="K482">
        <v>5.3299999999999997E-3</v>
      </c>
      <c r="L482">
        <v>69.289999999999992</v>
      </c>
      <c r="M482" s="1">
        <v>30</v>
      </c>
      <c r="N482">
        <v>0</v>
      </c>
      <c r="O482">
        <v>650</v>
      </c>
      <c r="P482">
        <v>13000</v>
      </c>
      <c r="Q482" s="1">
        <v>12350</v>
      </c>
      <c r="R482">
        <v>5.3299999999999997E-3</v>
      </c>
      <c r="S482" s="2">
        <v>46237</v>
      </c>
      <c r="T482" s="2">
        <v>46263</v>
      </c>
      <c r="U482">
        <v>38950</v>
      </c>
      <c r="V482">
        <v>27300</v>
      </c>
      <c r="W482">
        <v>44200</v>
      </c>
      <c r="X482">
        <v>40050</v>
      </c>
      <c r="Y482">
        <v>27300</v>
      </c>
      <c r="Z482" s="8">
        <v>44200</v>
      </c>
      <c r="AA482">
        <v>37625</v>
      </c>
      <c r="AB482">
        <v>0.72558139534883725</v>
      </c>
      <c r="AC482">
        <v>1.174750830564784</v>
      </c>
      <c r="AD482" s="1">
        <v>8</v>
      </c>
      <c r="AE482" s="2">
        <v>46256</v>
      </c>
      <c r="AF482" s="2">
        <v>46264</v>
      </c>
      <c r="AG482" s="2">
        <v>46271</v>
      </c>
      <c r="AH482">
        <v>40950</v>
      </c>
      <c r="AI482" s="3">
        <v>0.95841784989858003</v>
      </c>
      <c r="AJ482" s="1">
        <v>8</v>
      </c>
      <c r="AK482" s="2">
        <v>46271</v>
      </c>
      <c r="AL482" s="4">
        <v>10</v>
      </c>
      <c r="AM482" s="5">
        <v>10</v>
      </c>
      <c r="AN482" s="4">
        <v>8</v>
      </c>
      <c r="AO482">
        <v>14120.689655172411</v>
      </c>
      <c r="AP482" s="4">
        <v>3</v>
      </c>
      <c r="AQ482">
        <v>63850</v>
      </c>
      <c r="AR482" t="s">
        <v>2076</v>
      </c>
      <c r="AT482" s="16">
        <f>_xlfn.XLOOKUP(B482,'SWiSH Demand Forecast Sep-26'!D:D,'SWiSH Demand Forecast Sep-26'!G:G,"Not Exist")</f>
        <v>10226</v>
      </c>
    </row>
    <row r="483" spans="1:46" hidden="1" x14ac:dyDescent="0.3">
      <c r="A483">
        <v>103400005</v>
      </c>
      <c r="B483" t="s">
        <v>655</v>
      </c>
      <c r="C483" t="s">
        <v>136</v>
      </c>
      <c r="D483" t="s">
        <v>1613</v>
      </c>
      <c r="E483" t="s">
        <v>2376</v>
      </c>
      <c r="F483" t="s">
        <v>1752</v>
      </c>
      <c r="G483" t="s">
        <v>1616</v>
      </c>
      <c r="H483" t="s">
        <v>1931</v>
      </c>
      <c r="I483" t="s">
        <v>1754</v>
      </c>
      <c r="J483" t="s">
        <v>1959</v>
      </c>
      <c r="K483">
        <v>0.8</v>
      </c>
      <c r="L483">
        <v>2072</v>
      </c>
      <c r="M483" s="1">
        <v>3</v>
      </c>
      <c r="N483">
        <v>0</v>
      </c>
      <c r="O483">
        <v>320</v>
      </c>
      <c r="P483">
        <v>2590</v>
      </c>
      <c r="Q483" s="1">
        <v>2270</v>
      </c>
      <c r="R483">
        <v>9.6</v>
      </c>
      <c r="S483" s="2">
        <v>46263</v>
      </c>
      <c r="T483" s="2">
        <v>46263</v>
      </c>
      <c r="U483">
        <v>6613</v>
      </c>
      <c r="V483">
        <v>6047</v>
      </c>
      <c r="W483">
        <v>680</v>
      </c>
      <c r="X483">
        <v>7250</v>
      </c>
      <c r="Y483">
        <v>680</v>
      </c>
      <c r="Z483" s="8">
        <v>7250</v>
      </c>
      <c r="AA483">
        <v>5147.5</v>
      </c>
      <c r="AB483">
        <v>0.13210296260320545</v>
      </c>
      <c r="AC483">
        <v>1.408450704225352</v>
      </c>
      <c r="AD483" s="1">
        <v>9</v>
      </c>
      <c r="AE483" s="2">
        <v>46257</v>
      </c>
      <c r="AF483" s="2">
        <v>46265</v>
      </c>
      <c r="AG483" s="2">
        <v>46272</v>
      </c>
      <c r="AH483">
        <v>7380</v>
      </c>
      <c r="AI483" s="3">
        <v>1.0530321046373365</v>
      </c>
      <c r="AJ483" s="1">
        <v>8</v>
      </c>
      <c r="AK483" s="2">
        <v>46271</v>
      </c>
      <c r="AL483" s="4">
        <v>8</v>
      </c>
      <c r="AM483" s="5">
        <v>5</v>
      </c>
      <c r="AN483" s="4">
        <v>8</v>
      </c>
      <c r="AO483">
        <v>2035.8620689655172</v>
      </c>
      <c r="AP483" s="4">
        <v>4</v>
      </c>
      <c r="AQ483">
        <v>1</v>
      </c>
      <c r="AR483" t="s">
        <v>2200</v>
      </c>
      <c r="AT483" s="16">
        <f>_xlfn.XLOOKUP(B483,'SWiSH Demand Forecast Sep-26'!D:D,'SWiSH Demand Forecast Sep-26'!G:G,"Not Exist")</f>
        <v>735.93333333333305</v>
      </c>
    </row>
    <row r="484" spans="1:46" hidden="1" x14ac:dyDescent="0.3">
      <c r="A484">
        <v>100400079</v>
      </c>
      <c r="B484" t="s">
        <v>27</v>
      </c>
      <c r="C484" t="s">
        <v>10</v>
      </c>
      <c r="D484" t="s">
        <v>1613</v>
      </c>
      <c r="E484" t="s">
        <v>2091</v>
      </c>
      <c r="F484" t="s">
        <v>1664</v>
      </c>
      <c r="G484" t="s">
        <v>1624</v>
      </c>
      <c r="H484" t="s">
        <v>1810</v>
      </c>
      <c r="I484" t="s">
        <v>1634</v>
      </c>
      <c r="J484" t="s">
        <v>10</v>
      </c>
      <c r="K484">
        <v>4.2999999999999997E-2</v>
      </c>
      <c r="L484">
        <v>2333.1799999999998</v>
      </c>
      <c r="M484" s="1">
        <v>30</v>
      </c>
      <c r="N484">
        <v>0</v>
      </c>
      <c r="O484">
        <v>1000</v>
      </c>
      <c r="P484">
        <v>54260</v>
      </c>
      <c r="Q484" s="1">
        <v>53260</v>
      </c>
      <c r="R484">
        <v>4.2999999999999997E-2</v>
      </c>
      <c r="S484" s="2">
        <v>46263</v>
      </c>
      <c r="T484" s="2">
        <v>46263</v>
      </c>
      <c r="U484">
        <v>104325</v>
      </c>
      <c r="V484">
        <v>133268</v>
      </c>
      <c r="W484">
        <v>150545</v>
      </c>
      <c r="X484">
        <v>177511</v>
      </c>
      <c r="Y484">
        <v>104325</v>
      </c>
      <c r="Z484" s="8">
        <v>177511</v>
      </c>
      <c r="AA484">
        <v>141412.25</v>
      </c>
      <c r="AB484">
        <v>0.73773665294201884</v>
      </c>
      <c r="AC484">
        <v>1.2552731464211906</v>
      </c>
      <c r="AD484" s="1">
        <v>9</v>
      </c>
      <c r="AE484" s="2">
        <v>46257</v>
      </c>
      <c r="AF484" s="2">
        <v>46265</v>
      </c>
      <c r="AG484" s="2">
        <v>46272</v>
      </c>
      <c r="AH484">
        <v>157300</v>
      </c>
      <c r="AI484" s="3">
        <v>0.91669889714459662</v>
      </c>
      <c r="AJ484" s="1">
        <v>9</v>
      </c>
      <c r="AK484" s="2">
        <v>46272</v>
      </c>
      <c r="AL484" s="4">
        <v>10</v>
      </c>
      <c r="AM484" s="5">
        <v>10</v>
      </c>
      <c r="AN484" s="4">
        <v>9</v>
      </c>
      <c r="AO484">
        <v>54241.379310344833</v>
      </c>
      <c r="AP484" s="4">
        <v>3</v>
      </c>
      <c r="AQ484">
        <v>425880</v>
      </c>
      <c r="AR484" t="s">
        <v>2377</v>
      </c>
      <c r="AT484" s="16">
        <f>_xlfn.XLOOKUP(B484,'SWiSH Demand Forecast Sep-26'!D:D,'SWiSH Demand Forecast Sep-26'!G:G,"Not Exist")</f>
        <v>99699</v>
      </c>
    </row>
    <row r="485" spans="1:46" x14ac:dyDescent="0.3">
      <c r="A485">
        <v>104200049</v>
      </c>
      <c r="B485" t="s">
        <v>2378</v>
      </c>
      <c r="C485" t="s">
        <v>10</v>
      </c>
      <c r="D485" t="s">
        <v>1613</v>
      </c>
      <c r="E485" t="s">
        <v>2379</v>
      </c>
      <c r="F485" t="s">
        <v>1631</v>
      </c>
      <c r="G485" t="s">
        <v>1624</v>
      </c>
      <c r="H485" t="s">
        <v>1633</v>
      </c>
      <c r="I485" t="s">
        <v>1634</v>
      </c>
      <c r="J485" t="s">
        <v>10</v>
      </c>
      <c r="K485">
        <v>0.625</v>
      </c>
      <c r="L485">
        <v>918.75</v>
      </c>
      <c r="M485" s="1">
        <v>3</v>
      </c>
      <c r="N485">
        <v>0</v>
      </c>
      <c r="O485">
        <v>24</v>
      </c>
      <c r="P485">
        <v>1470</v>
      </c>
      <c r="Q485" s="1">
        <v>1446</v>
      </c>
      <c r="R485">
        <v>3.6</v>
      </c>
      <c r="S485" s="2">
        <v>46263</v>
      </c>
      <c r="T485" s="2">
        <v>46263</v>
      </c>
      <c r="U485">
        <v>4482</v>
      </c>
      <c r="V485">
        <v>4308</v>
      </c>
      <c r="W485">
        <v>3936</v>
      </c>
      <c r="X485">
        <v>3924</v>
      </c>
      <c r="Y485">
        <v>3924</v>
      </c>
      <c r="Z485" s="8">
        <v>4482</v>
      </c>
      <c r="AA485">
        <v>4162.5</v>
      </c>
      <c r="AB485">
        <v>0.94270270270270273</v>
      </c>
      <c r="AC485">
        <v>1.0767567567567569</v>
      </c>
      <c r="AD485" s="1">
        <v>9</v>
      </c>
      <c r="AE485" s="2">
        <v>46257</v>
      </c>
      <c r="AF485" s="2">
        <v>46265</v>
      </c>
      <c r="AG485" s="2">
        <v>46272</v>
      </c>
      <c r="AH485">
        <v>3966</v>
      </c>
      <c r="AI485" s="3">
        <v>0.915385680653649</v>
      </c>
      <c r="AJ485" s="1">
        <v>10</v>
      </c>
      <c r="AK485" s="2">
        <v>46273</v>
      </c>
      <c r="AL485" s="4">
        <v>5</v>
      </c>
      <c r="AM485" s="5">
        <v>3</v>
      </c>
      <c r="AN485" s="4">
        <v>9</v>
      </c>
      <c r="AO485">
        <v>683.79310344827582</v>
      </c>
      <c r="AP485" s="4">
        <v>8</v>
      </c>
      <c r="AQ485" t="s">
        <v>1619</v>
      </c>
      <c r="AR485" t="s">
        <v>2380</v>
      </c>
      <c r="AT485" s="16" t="str">
        <f>_xlfn.XLOOKUP(B485,'SWiSH Demand Forecast Sep-26'!D:D,'SWiSH Demand Forecast Sep-26'!G:G,"Not Exist")</f>
        <v>Not Exist</v>
      </c>
    </row>
    <row r="486" spans="1:46" x14ac:dyDescent="0.3">
      <c r="A486">
        <v>102400002</v>
      </c>
      <c r="B486" t="s">
        <v>2381</v>
      </c>
      <c r="C486" t="s">
        <v>136</v>
      </c>
      <c r="D486" t="s">
        <v>1613</v>
      </c>
      <c r="E486" t="s">
        <v>1832</v>
      </c>
      <c r="F486" t="s">
        <v>1752</v>
      </c>
      <c r="G486" t="s">
        <v>1616</v>
      </c>
      <c r="H486" t="s">
        <v>2382</v>
      </c>
      <c r="I486" t="s">
        <v>1754</v>
      </c>
      <c r="J486" t="s">
        <v>136</v>
      </c>
      <c r="K486">
        <v>6.5</v>
      </c>
      <c r="L486">
        <v>211.25</v>
      </c>
      <c r="M486" s="1">
        <v>3</v>
      </c>
      <c r="N486">
        <v>0</v>
      </c>
      <c r="O486">
        <v>0</v>
      </c>
      <c r="P486">
        <v>32.5</v>
      </c>
      <c r="Q486" s="1">
        <v>32.5</v>
      </c>
      <c r="R486">
        <v>6.5</v>
      </c>
      <c r="S486" s="2">
        <v>46195</v>
      </c>
      <c r="T486" s="2">
        <v>46254</v>
      </c>
      <c r="U486">
        <v>101.42399999999999</v>
      </c>
      <c r="V486">
        <v>26.018000000000001</v>
      </c>
      <c r="W486">
        <v>52.191999999999993</v>
      </c>
      <c r="X486">
        <v>70.05</v>
      </c>
      <c r="Y486">
        <v>26.018000000000001</v>
      </c>
      <c r="Z486" s="8">
        <v>101.42399999999999</v>
      </c>
      <c r="AA486">
        <v>62.420999999999992</v>
      </c>
      <c r="AB486">
        <v>0.416814853975425</v>
      </c>
      <c r="AC486">
        <v>1.6248377949728459</v>
      </c>
      <c r="AD486" s="1">
        <v>9</v>
      </c>
      <c r="AE486" s="2">
        <v>46257</v>
      </c>
      <c r="AF486" s="2">
        <v>46265</v>
      </c>
      <c r="AG486" s="2">
        <v>46272</v>
      </c>
      <c r="AH486">
        <v>57.162000000000006</v>
      </c>
      <c r="AI486" s="3">
        <v>0.58302870571339993</v>
      </c>
      <c r="AJ486" s="1">
        <v>16</v>
      </c>
      <c r="AK486" s="2">
        <v>46279</v>
      </c>
      <c r="AL486" s="4">
        <v>30</v>
      </c>
      <c r="AM486" s="5">
        <v>15</v>
      </c>
      <c r="AN486" s="4">
        <v>9</v>
      </c>
      <c r="AO486">
        <v>59.133103448275868</v>
      </c>
      <c r="AP486" s="4">
        <v>1</v>
      </c>
      <c r="AQ486" t="s">
        <v>1619</v>
      </c>
      <c r="AR486" t="s">
        <v>2383</v>
      </c>
      <c r="AT486" s="16" t="str">
        <f>_xlfn.XLOOKUP(B486,'SWiSH Demand Forecast Sep-26'!D:D,'SWiSH Demand Forecast Sep-26'!G:G,"Not Exist")</f>
        <v>Not Exist</v>
      </c>
    </row>
    <row r="487" spans="1:46" hidden="1" x14ac:dyDescent="0.3">
      <c r="A487">
        <v>103700130</v>
      </c>
      <c r="B487" t="s">
        <v>1142</v>
      </c>
      <c r="C487" t="s">
        <v>136</v>
      </c>
      <c r="D487" t="s">
        <v>1613</v>
      </c>
      <c r="E487" t="s">
        <v>2177</v>
      </c>
      <c r="F487" t="s">
        <v>1615</v>
      </c>
      <c r="G487" t="s">
        <v>1616</v>
      </c>
      <c r="H487" t="s">
        <v>1617</v>
      </c>
      <c r="I487" t="s">
        <v>1618</v>
      </c>
      <c r="J487" t="s">
        <v>2384</v>
      </c>
      <c r="K487">
        <v>3.45</v>
      </c>
      <c r="L487">
        <v>182.85000000000002</v>
      </c>
      <c r="M487" s="1">
        <v>3</v>
      </c>
      <c r="N487">
        <v>0</v>
      </c>
      <c r="O487">
        <v>0</v>
      </c>
      <c r="P487">
        <v>53</v>
      </c>
      <c r="Q487" s="1">
        <v>53</v>
      </c>
      <c r="R487">
        <v>18</v>
      </c>
      <c r="S487" s="2">
        <v>46258</v>
      </c>
      <c r="T487" s="2">
        <v>46261</v>
      </c>
      <c r="U487">
        <v>102</v>
      </c>
      <c r="V487">
        <v>150</v>
      </c>
      <c r="W487">
        <v>168</v>
      </c>
      <c r="X487">
        <v>162</v>
      </c>
      <c r="Y487">
        <v>102</v>
      </c>
      <c r="Z487" s="8">
        <v>168</v>
      </c>
      <c r="AA487">
        <v>145.5</v>
      </c>
      <c r="AB487">
        <v>0.7010309278350515</v>
      </c>
      <c r="AC487">
        <v>1.1546391752577319</v>
      </c>
      <c r="AD487" s="1">
        <v>9</v>
      </c>
      <c r="AE487" s="2">
        <v>46257</v>
      </c>
      <c r="AF487" s="2">
        <v>46265</v>
      </c>
      <c r="AG487" s="2">
        <v>46272</v>
      </c>
      <c r="AH487">
        <v>211</v>
      </c>
      <c r="AI487" s="3">
        <v>1.2992610837438423</v>
      </c>
      <c r="AJ487" s="1">
        <v>7</v>
      </c>
      <c r="AK487" s="2">
        <v>46270</v>
      </c>
      <c r="AL487" s="4">
        <v>30</v>
      </c>
      <c r="AM487" s="5">
        <v>15</v>
      </c>
      <c r="AN487" s="4">
        <v>7</v>
      </c>
      <c r="AO487">
        <v>218.27586206896549</v>
      </c>
      <c r="AP487" s="4">
        <v>1</v>
      </c>
      <c r="AQ487">
        <v>15</v>
      </c>
      <c r="AR487" t="s">
        <v>2207</v>
      </c>
      <c r="AT487" s="16">
        <f>_xlfn.XLOOKUP(B487,'SWiSH Demand Forecast Sep-26'!D:D,'SWiSH Demand Forecast Sep-26'!G:G,"Not Exist")</f>
        <v>88.154643820831097</v>
      </c>
    </row>
    <row r="488" spans="1:46" hidden="1" x14ac:dyDescent="0.3">
      <c r="A488">
        <v>103700117</v>
      </c>
      <c r="B488" t="s">
        <v>1175</v>
      </c>
      <c r="C488" t="s">
        <v>136</v>
      </c>
      <c r="D488" t="s">
        <v>1613</v>
      </c>
      <c r="E488" t="s">
        <v>2177</v>
      </c>
      <c r="F488" t="s">
        <v>1615</v>
      </c>
      <c r="G488" t="s">
        <v>1616</v>
      </c>
      <c r="H488" t="s">
        <v>1617</v>
      </c>
      <c r="I488" t="s">
        <v>1618</v>
      </c>
      <c r="J488" t="s">
        <v>2385</v>
      </c>
      <c r="K488">
        <v>8.7830349999999999</v>
      </c>
      <c r="L488">
        <v>570.89727500000004</v>
      </c>
      <c r="M488" s="1">
        <v>3</v>
      </c>
      <c r="N488">
        <v>0</v>
      </c>
      <c r="O488">
        <v>0</v>
      </c>
      <c r="P488">
        <v>65</v>
      </c>
      <c r="Q488" s="1">
        <v>65</v>
      </c>
      <c r="R488">
        <v>3</v>
      </c>
      <c r="S488" s="2">
        <v>46244</v>
      </c>
      <c r="T488" s="2">
        <v>46259</v>
      </c>
      <c r="U488">
        <v>134.91399999999999</v>
      </c>
      <c r="V488">
        <v>206.43600000000001</v>
      </c>
      <c r="W488">
        <v>95</v>
      </c>
      <c r="X488">
        <v>124</v>
      </c>
      <c r="Y488">
        <v>95</v>
      </c>
      <c r="Z488" s="8">
        <v>206.43600000000001</v>
      </c>
      <c r="AA488">
        <v>140.08750000000001</v>
      </c>
      <c r="AB488">
        <v>0.6781475863299723</v>
      </c>
      <c r="AC488">
        <v>1.4736218434906754</v>
      </c>
      <c r="AD488" s="1">
        <v>9</v>
      </c>
      <c r="AE488" s="2">
        <v>46257</v>
      </c>
      <c r="AF488" s="2">
        <v>46265</v>
      </c>
      <c r="AG488" s="2">
        <v>46272</v>
      </c>
      <c r="AH488">
        <v>140</v>
      </c>
      <c r="AI488" s="3">
        <v>0.70156167629142463</v>
      </c>
      <c r="AJ488" s="1">
        <v>13</v>
      </c>
      <c r="AK488" s="2">
        <v>46276</v>
      </c>
      <c r="AL488" s="4">
        <v>30</v>
      </c>
      <c r="AM488" s="5">
        <v>15</v>
      </c>
      <c r="AN488" s="4">
        <v>9</v>
      </c>
      <c r="AO488">
        <v>144.82758620689654</v>
      </c>
      <c r="AP488" s="4">
        <v>1</v>
      </c>
      <c r="AQ488" t="s">
        <v>1619</v>
      </c>
      <c r="AR488" t="s">
        <v>1620</v>
      </c>
      <c r="AT488" s="16">
        <f>_xlfn.XLOOKUP(B488,'SWiSH Demand Forecast Sep-26'!D:D,'SWiSH Demand Forecast Sep-26'!G:G,"Not Exist")</f>
        <v>67.225506962100098</v>
      </c>
    </row>
    <row r="489" spans="1:46" hidden="1" x14ac:dyDescent="0.3">
      <c r="A489">
        <v>106200089</v>
      </c>
      <c r="B489" t="s">
        <v>1410</v>
      </c>
      <c r="C489" t="s">
        <v>240</v>
      </c>
      <c r="D489" t="s">
        <v>1613</v>
      </c>
      <c r="E489" t="s">
        <v>2111</v>
      </c>
      <c r="F489" t="s">
        <v>1671</v>
      </c>
      <c r="G489" t="s">
        <v>1616</v>
      </c>
      <c r="H489" t="s">
        <v>1672</v>
      </c>
      <c r="I489" t="s">
        <v>1618</v>
      </c>
      <c r="J489" t="s">
        <v>2386</v>
      </c>
      <c r="K489">
        <v>2.1568627500000002</v>
      </c>
      <c r="L489">
        <v>79.200000180000004</v>
      </c>
      <c r="M489" s="1">
        <v>3</v>
      </c>
      <c r="N489">
        <v>0</v>
      </c>
      <c r="O489">
        <v>0</v>
      </c>
      <c r="P489">
        <v>36.72</v>
      </c>
      <c r="Q489" s="1">
        <v>36.72</v>
      </c>
      <c r="R489">
        <v>13</v>
      </c>
      <c r="S489" s="2">
        <v>46246</v>
      </c>
      <c r="T489" s="2">
        <v>46260</v>
      </c>
      <c r="U489">
        <v>91.800000000000011</v>
      </c>
      <c r="V489">
        <v>111.43899999999999</v>
      </c>
      <c r="W489">
        <v>52.02</v>
      </c>
      <c r="X489">
        <v>82.62</v>
      </c>
      <c r="Y489">
        <v>52.02</v>
      </c>
      <c r="Z489" s="8">
        <v>111.43899999999999</v>
      </c>
      <c r="AA489">
        <v>84.469750000000005</v>
      </c>
      <c r="AB489">
        <v>0.6158417658392501</v>
      </c>
      <c r="AC489">
        <v>1.3192770192879697</v>
      </c>
      <c r="AD489" s="1">
        <v>9</v>
      </c>
      <c r="AE489" s="2">
        <v>46257</v>
      </c>
      <c r="AF489" s="2">
        <v>46265</v>
      </c>
      <c r="AG489" s="2">
        <v>46272</v>
      </c>
      <c r="AH489">
        <v>76.5</v>
      </c>
      <c r="AI489" s="3">
        <v>0.71014573923386581</v>
      </c>
      <c r="AJ489" s="1">
        <v>13</v>
      </c>
      <c r="AK489" s="2">
        <v>46276</v>
      </c>
      <c r="AL489" s="4">
        <v>30</v>
      </c>
      <c r="AM489" s="5">
        <v>15</v>
      </c>
      <c r="AN489" s="4">
        <v>9</v>
      </c>
      <c r="AO489">
        <v>79.137931034482762</v>
      </c>
      <c r="AP489" s="4">
        <v>1</v>
      </c>
      <c r="AQ489" t="s">
        <v>1619</v>
      </c>
      <c r="AR489" t="s">
        <v>1620</v>
      </c>
      <c r="AT489" s="16">
        <f>_xlfn.XLOOKUP(B489,'SWiSH Demand Forecast Sep-26'!D:D,'SWiSH Demand Forecast Sep-26'!G:G,"Not Exist")</f>
        <v>12.583308583308501</v>
      </c>
    </row>
    <row r="490" spans="1:46" x14ac:dyDescent="0.3">
      <c r="A490">
        <v>107400103</v>
      </c>
      <c r="B490" t="s">
        <v>2387</v>
      </c>
      <c r="C490" t="s">
        <v>10</v>
      </c>
      <c r="D490" t="s">
        <v>1613</v>
      </c>
      <c r="E490" t="s">
        <v>1663</v>
      </c>
      <c r="F490" t="s">
        <v>1664</v>
      </c>
      <c r="G490" t="s">
        <v>1624</v>
      </c>
      <c r="H490" t="s">
        <v>2016</v>
      </c>
      <c r="I490" t="s">
        <v>1634</v>
      </c>
      <c r="J490" t="s">
        <v>10</v>
      </c>
      <c r="K490">
        <v>8.0000000000000002E-3</v>
      </c>
      <c r="L490">
        <v>48</v>
      </c>
      <c r="M490" s="1">
        <v>15</v>
      </c>
      <c r="N490">
        <v>0</v>
      </c>
      <c r="O490">
        <v>0</v>
      </c>
      <c r="P490">
        <v>6000</v>
      </c>
      <c r="Q490" s="1">
        <v>6000</v>
      </c>
      <c r="R490">
        <v>8.0000000000000002E-3</v>
      </c>
      <c r="S490" s="2">
        <v>46213</v>
      </c>
      <c r="T490" s="2">
        <v>46255</v>
      </c>
      <c r="U490">
        <v>0</v>
      </c>
      <c r="V490">
        <v>0</v>
      </c>
      <c r="W490">
        <v>0</v>
      </c>
      <c r="X490">
        <v>19700</v>
      </c>
      <c r="Y490">
        <v>0</v>
      </c>
      <c r="Z490" s="8">
        <v>19700</v>
      </c>
      <c r="AA490">
        <v>4925</v>
      </c>
      <c r="AB490">
        <v>0</v>
      </c>
      <c r="AC490">
        <v>4</v>
      </c>
      <c r="AD490" s="1">
        <v>9</v>
      </c>
      <c r="AE490" s="2">
        <v>46257</v>
      </c>
      <c r="AF490" s="2">
        <v>46265</v>
      </c>
      <c r="AG490" s="2">
        <v>46272</v>
      </c>
      <c r="AH490">
        <v>2000</v>
      </c>
      <c r="AI490" s="3">
        <v>0.10502363031682127</v>
      </c>
      <c r="AJ490" s="1">
        <v>87</v>
      </c>
      <c r="AK490" s="2">
        <v>46350</v>
      </c>
      <c r="AL490" s="4">
        <v>30</v>
      </c>
      <c r="AM490" s="5">
        <v>15</v>
      </c>
      <c r="AN490" s="4">
        <v>9</v>
      </c>
      <c r="AO490">
        <v>2068.9655172413791</v>
      </c>
      <c r="AP490" s="4">
        <v>1</v>
      </c>
      <c r="AQ490">
        <v>25000</v>
      </c>
      <c r="AR490" t="s">
        <v>2034</v>
      </c>
      <c r="AT490" s="16" t="str">
        <f>_xlfn.XLOOKUP(B490,'SWiSH Demand Forecast Sep-26'!D:D,'SWiSH Demand Forecast Sep-26'!G:G,"Not Exist")</f>
        <v>Not Exist</v>
      </c>
    </row>
    <row r="491" spans="1:46" x14ac:dyDescent="0.3">
      <c r="A491">
        <v>106700039</v>
      </c>
      <c r="B491" t="s">
        <v>2388</v>
      </c>
      <c r="C491" t="s">
        <v>10</v>
      </c>
      <c r="D491" t="s">
        <v>1629</v>
      </c>
      <c r="E491" t="s">
        <v>1643</v>
      </c>
      <c r="F491" t="s">
        <v>1631</v>
      </c>
      <c r="G491" t="s">
        <v>1624</v>
      </c>
      <c r="H491" t="s">
        <v>1651</v>
      </c>
      <c r="I491" t="s">
        <v>1634</v>
      </c>
      <c r="J491" t="s">
        <v>10</v>
      </c>
      <c r="K491">
        <v>0.5</v>
      </c>
      <c r="L491">
        <v>1.5</v>
      </c>
      <c r="M491" s="1">
        <v>3</v>
      </c>
      <c r="N491">
        <v>0</v>
      </c>
      <c r="O491">
        <v>0</v>
      </c>
      <c r="P491">
        <v>3</v>
      </c>
      <c r="Q491" s="1">
        <v>3</v>
      </c>
      <c r="R491">
        <v>0.5</v>
      </c>
      <c r="S491" s="2">
        <v>46237</v>
      </c>
      <c r="T491" s="2">
        <v>46205</v>
      </c>
      <c r="U491">
        <v>3</v>
      </c>
      <c r="V491">
        <v>0</v>
      </c>
      <c r="W491">
        <v>10</v>
      </c>
      <c r="X491">
        <v>3</v>
      </c>
      <c r="Y491">
        <v>0</v>
      </c>
      <c r="Z491" s="8">
        <v>10</v>
      </c>
      <c r="AA491">
        <v>4</v>
      </c>
      <c r="AB491">
        <v>0</v>
      </c>
      <c r="AC491">
        <v>2.5</v>
      </c>
      <c r="AD491" s="1">
        <v>9</v>
      </c>
      <c r="AE491" s="2">
        <v>46257</v>
      </c>
      <c r="AF491" s="2">
        <v>46265</v>
      </c>
      <c r="AG491" s="2">
        <v>46272</v>
      </c>
      <c r="AH491">
        <v>0</v>
      </c>
      <c r="AI491" s="3">
        <v>0</v>
      </c>
      <c r="AJ491" s="1" t="s">
        <v>1635</v>
      </c>
      <c r="AK491" s="2" t="s">
        <v>1635</v>
      </c>
      <c r="AL491" s="4" t="s">
        <v>1636</v>
      </c>
      <c r="AM491" s="5" t="s">
        <v>1636</v>
      </c>
      <c r="AN491" s="4">
        <v>9</v>
      </c>
      <c r="AO491" t="s">
        <v>1635</v>
      </c>
      <c r="AP491" s="4" t="s">
        <v>1636</v>
      </c>
      <c r="AQ491" t="s">
        <v>1619</v>
      </c>
      <c r="AR491" t="s">
        <v>1620</v>
      </c>
      <c r="AT491" s="16" t="str">
        <f>_xlfn.XLOOKUP(B491,'SWiSH Demand Forecast Sep-26'!D:D,'SWiSH Demand Forecast Sep-26'!G:G,"Not Exist")</f>
        <v>Not Exist</v>
      </c>
    </row>
    <row r="492" spans="1:46" hidden="1" x14ac:dyDescent="0.3">
      <c r="A492">
        <v>106300051</v>
      </c>
      <c r="B492" t="s">
        <v>1166</v>
      </c>
      <c r="C492" t="s">
        <v>136</v>
      </c>
      <c r="D492" t="s">
        <v>1613</v>
      </c>
      <c r="E492" t="s">
        <v>2389</v>
      </c>
      <c r="F492" t="s">
        <v>1615</v>
      </c>
      <c r="G492" t="s">
        <v>1616</v>
      </c>
      <c r="H492" t="s">
        <v>1860</v>
      </c>
      <c r="I492" t="s">
        <v>1618</v>
      </c>
      <c r="J492" t="s">
        <v>136</v>
      </c>
      <c r="K492">
        <v>14.5</v>
      </c>
      <c r="L492">
        <v>739.5</v>
      </c>
      <c r="M492" s="1">
        <v>3</v>
      </c>
      <c r="N492">
        <v>0</v>
      </c>
      <c r="O492">
        <v>0</v>
      </c>
      <c r="P492">
        <v>51</v>
      </c>
      <c r="Q492" s="1">
        <v>51</v>
      </c>
      <c r="R492">
        <v>13</v>
      </c>
      <c r="S492" s="2">
        <v>46229</v>
      </c>
      <c r="T492" s="2">
        <v>46261</v>
      </c>
      <c r="U492">
        <v>158</v>
      </c>
      <c r="V492">
        <v>71</v>
      </c>
      <c r="W492">
        <v>93</v>
      </c>
      <c r="X492">
        <v>106</v>
      </c>
      <c r="Y492">
        <v>71</v>
      </c>
      <c r="Z492" s="8">
        <v>158</v>
      </c>
      <c r="AA492">
        <v>107</v>
      </c>
      <c r="AB492">
        <v>0.66355140186915884</v>
      </c>
      <c r="AC492">
        <v>1.4766355140186915</v>
      </c>
      <c r="AD492" s="1">
        <v>9</v>
      </c>
      <c r="AE492" s="2">
        <v>46257</v>
      </c>
      <c r="AF492" s="2">
        <v>46265</v>
      </c>
      <c r="AG492" s="2">
        <v>46272</v>
      </c>
      <c r="AH492">
        <v>74</v>
      </c>
      <c r="AI492" s="3">
        <v>0.48450458315146222</v>
      </c>
      <c r="AJ492" s="1">
        <v>19</v>
      </c>
      <c r="AK492" s="2">
        <v>46282</v>
      </c>
      <c r="AL492" s="4">
        <v>30</v>
      </c>
      <c r="AM492" s="5">
        <v>15</v>
      </c>
      <c r="AN492" s="4">
        <v>9</v>
      </c>
      <c r="AO492">
        <v>76.551724137931032</v>
      </c>
      <c r="AP492" s="4">
        <v>1</v>
      </c>
      <c r="AQ492" t="s">
        <v>1619</v>
      </c>
      <c r="AR492" t="s">
        <v>1620</v>
      </c>
      <c r="AT492" s="16">
        <f>_xlfn.XLOOKUP(B492,'SWiSH Demand Forecast Sep-26'!D:D,'SWiSH Demand Forecast Sep-26'!G:G,"Not Exist")</f>
        <v>73.443119393939298</v>
      </c>
    </row>
    <row r="493" spans="1:46" hidden="1" x14ac:dyDescent="0.3">
      <c r="A493">
        <v>101300020</v>
      </c>
      <c r="B493" t="s">
        <v>194</v>
      </c>
      <c r="C493" t="s">
        <v>136</v>
      </c>
      <c r="D493" t="s">
        <v>1613</v>
      </c>
      <c r="E493" t="s">
        <v>1732</v>
      </c>
      <c r="F493" t="s">
        <v>1752</v>
      </c>
      <c r="G493" t="s">
        <v>1616</v>
      </c>
      <c r="H493" t="s">
        <v>1980</v>
      </c>
      <c r="I493" t="s">
        <v>1754</v>
      </c>
      <c r="J493" t="e">
        <v>#N/A</v>
      </c>
      <c r="K493">
        <v>1.575</v>
      </c>
      <c r="L493">
        <v>8717.625</v>
      </c>
      <c r="M493" s="1">
        <v>3</v>
      </c>
      <c r="N493">
        <v>0</v>
      </c>
      <c r="O493">
        <v>0</v>
      </c>
      <c r="P493">
        <v>5535</v>
      </c>
      <c r="Q493" s="1">
        <v>5535</v>
      </c>
      <c r="R493">
        <v>21.75</v>
      </c>
      <c r="S493" s="2">
        <v>46261</v>
      </c>
      <c r="T493" s="2">
        <v>46262</v>
      </c>
      <c r="U493">
        <v>15755</v>
      </c>
      <c r="V493">
        <v>15040</v>
      </c>
      <c r="W493">
        <v>17270</v>
      </c>
      <c r="X493">
        <v>16495</v>
      </c>
      <c r="Y493">
        <v>15040</v>
      </c>
      <c r="Z493" s="8">
        <v>17270</v>
      </c>
      <c r="AA493">
        <v>16140</v>
      </c>
      <c r="AB493">
        <v>0.93184634448574966</v>
      </c>
      <c r="AC493">
        <v>1.0700123915737298</v>
      </c>
      <c r="AD493" s="1">
        <v>9</v>
      </c>
      <c r="AE493" s="2">
        <v>46257</v>
      </c>
      <c r="AF493" s="2">
        <v>46265</v>
      </c>
      <c r="AG493" s="2">
        <v>46272</v>
      </c>
      <c r="AH493">
        <v>16240</v>
      </c>
      <c r="AI493" s="3">
        <v>0.97278517660683261</v>
      </c>
      <c r="AJ493" s="1">
        <v>9</v>
      </c>
      <c r="AK493" s="2">
        <v>46272</v>
      </c>
      <c r="AL493" s="4">
        <v>4</v>
      </c>
      <c r="AM493" s="5">
        <v>3</v>
      </c>
      <c r="AN493" s="4">
        <v>9</v>
      </c>
      <c r="AO493">
        <v>2239.9999999999995</v>
      </c>
      <c r="AP493" s="4">
        <v>9</v>
      </c>
      <c r="AQ493" t="s">
        <v>1619</v>
      </c>
      <c r="AR493" t="s">
        <v>2390</v>
      </c>
      <c r="AT493" s="16">
        <f>_xlfn.XLOOKUP(B493,'SWiSH Demand Forecast Sep-26'!D:D,'SWiSH Demand Forecast Sep-26'!G:G,"Not Exist")</f>
        <v>9017.6559395334098</v>
      </c>
    </row>
    <row r="494" spans="1:46" hidden="1" x14ac:dyDescent="0.3">
      <c r="A494">
        <v>106200025</v>
      </c>
      <c r="B494" t="s">
        <v>929</v>
      </c>
      <c r="C494" t="s">
        <v>240</v>
      </c>
      <c r="D494" t="s">
        <v>1613</v>
      </c>
      <c r="E494" t="s">
        <v>1677</v>
      </c>
      <c r="F494" t="s">
        <v>1833</v>
      </c>
      <c r="G494" t="s">
        <v>1616</v>
      </c>
      <c r="H494" t="s">
        <v>1672</v>
      </c>
      <c r="I494" t="s">
        <v>1626</v>
      </c>
      <c r="J494" t="s">
        <v>240</v>
      </c>
      <c r="K494">
        <v>0.75</v>
      </c>
      <c r="L494">
        <v>396</v>
      </c>
      <c r="M494" s="1">
        <v>3</v>
      </c>
      <c r="N494">
        <v>0</v>
      </c>
      <c r="O494">
        <v>0</v>
      </c>
      <c r="P494">
        <v>528</v>
      </c>
      <c r="Q494" s="1">
        <v>528</v>
      </c>
      <c r="R494">
        <v>9</v>
      </c>
      <c r="S494" s="2">
        <v>46252</v>
      </c>
      <c r="T494" s="2">
        <v>46263</v>
      </c>
      <c r="U494">
        <v>1404</v>
      </c>
      <c r="V494">
        <v>1512</v>
      </c>
      <c r="W494">
        <v>1608</v>
      </c>
      <c r="X494">
        <v>1380</v>
      </c>
      <c r="Y494">
        <v>1380</v>
      </c>
      <c r="Z494" s="8">
        <v>1608</v>
      </c>
      <c r="AA494">
        <v>1476</v>
      </c>
      <c r="AB494">
        <v>0.93495934959349591</v>
      </c>
      <c r="AC494">
        <v>1.089430894308943</v>
      </c>
      <c r="AD494" s="1">
        <v>9</v>
      </c>
      <c r="AE494" s="2">
        <v>46257</v>
      </c>
      <c r="AF494" s="2">
        <v>46265</v>
      </c>
      <c r="AG494" s="2">
        <v>46272</v>
      </c>
      <c r="AH494">
        <v>1452</v>
      </c>
      <c r="AI494" s="3">
        <v>0.93412249099330935</v>
      </c>
      <c r="AJ494" s="1">
        <v>10</v>
      </c>
      <c r="AK494" s="2">
        <v>46273</v>
      </c>
      <c r="AL494" s="4">
        <v>10</v>
      </c>
      <c r="AM494" s="5">
        <v>10</v>
      </c>
      <c r="AN494" s="4">
        <v>9</v>
      </c>
      <c r="AO494">
        <v>500.68965517241384</v>
      </c>
      <c r="AP494" s="4">
        <v>3</v>
      </c>
      <c r="AQ494">
        <v>30</v>
      </c>
      <c r="AR494" t="s">
        <v>2207</v>
      </c>
      <c r="AT494" s="16">
        <f>_xlfn.XLOOKUP(B494,'SWiSH Demand Forecast Sep-26'!D:D,'SWiSH Demand Forecast Sep-26'!G:G,"Not Exist")</f>
        <v>214.1402578668</v>
      </c>
    </row>
    <row r="495" spans="1:46" hidden="1" x14ac:dyDescent="0.3">
      <c r="A495">
        <v>106200009</v>
      </c>
      <c r="B495" t="s">
        <v>764</v>
      </c>
      <c r="C495" t="s">
        <v>240</v>
      </c>
      <c r="D495" t="s">
        <v>1613</v>
      </c>
      <c r="E495" t="s">
        <v>2391</v>
      </c>
      <c r="F495" t="s">
        <v>1671</v>
      </c>
      <c r="G495" t="s">
        <v>1616</v>
      </c>
      <c r="H495" t="s">
        <v>1672</v>
      </c>
      <c r="I495" t="s">
        <v>1618</v>
      </c>
      <c r="J495" t="s">
        <v>1673</v>
      </c>
      <c r="K495">
        <v>0.95430108000000002</v>
      </c>
      <c r="L495">
        <v>618.29166973199995</v>
      </c>
      <c r="M495" s="1">
        <v>3</v>
      </c>
      <c r="N495">
        <v>0</v>
      </c>
      <c r="O495">
        <v>40.300000000000011</v>
      </c>
      <c r="P495">
        <v>647.9</v>
      </c>
      <c r="Q495" s="1">
        <v>607.59999999999991</v>
      </c>
      <c r="R495">
        <v>17.5</v>
      </c>
      <c r="S495" s="2">
        <v>46107</v>
      </c>
      <c r="T495" s="2">
        <v>46263</v>
      </c>
      <c r="U495">
        <v>1128.4399999999985</v>
      </c>
      <c r="V495">
        <v>1247.3999999999976</v>
      </c>
      <c r="W495">
        <v>1326.5999999999988</v>
      </c>
      <c r="X495">
        <v>1911.6399999999953</v>
      </c>
      <c r="Y495">
        <v>1128.4399999999985</v>
      </c>
      <c r="Z495" s="8">
        <v>1911.6399999999953</v>
      </c>
      <c r="AA495">
        <v>1403.5199999999977</v>
      </c>
      <c r="AB495">
        <v>0.80400706794345667</v>
      </c>
      <c r="AC495">
        <v>1.362032603739169</v>
      </c>
      <c r="AD495" s="1">
        <v>9</v>
      </c>
      <c r="AE495" s="2">
        <v>46257</v>
      </c>
      <c r="AF495" s="2">
        <v>46265</v>
      </c>
      <c r="AG495" s="2">
        <v>46272</v>
      </c>
      <c r="AH495">
        <v>1592.3399999999956</v>
      </c>
      <c r="AI495" s="3">
        <v>0.86169376862906644</v>
      </c>
      <c r="AJ495" s="1">
        <v>11</v>
      </c>
      <c r="AK495" s="2">
        <v>46274</v>
      </c>
      <c r="AL495" s="4">
        <v>15</v>
      </c>
      <c r="AM495" s="5">
        <v>15</v>
      </c>
      <c r="AN495" s="4">
        <v>9</v>
      </c>
      <c r="AO495">
        <v>823.62413793103224</v>
      </c>
      <c r="AP495" s="4">
        <v>2</v>
      </c>
      <c r="AQ495" t="s">
        <v>1619</v>
      </c>
      <c r="AR495" t="s">
        <v>1620</v>
      </c>
      <c r="AT495" s="16">
        <f>_xlfn.XLOOKUP(B495,'SWiSH Demand Forecast Sep-26'!D:D,'SWiSH Demand Forecast Sep-26'!G:G,"Not Exist")</f>
        <v>468.16</v>
      </c>
    </row>
    <row r="496" spans="1:46" hidden="1" x14ac:dyDescent="0.3">
      <c r="A496">
        <v>106600092</v>
      </c>
      <c r="B496" t="s">
        <v>39</v>
      </c>
      <c r="C496" t="s">
        <v>10</v>
      </c>
      <c r="D496" t="s">
        <v>1613</v>
      </c>
      <c r="E496" t="s">
        <v>1663</v>
      </c>
      <c r="F496" t="s">
        <v>1664</v>
      </c>
      <c r="G496" t="s">
        <v>1624</v>
      </c>
      <c r="H496" t="s">
        <v>1723</v>
      </c>
      <c r="I496" t="s">
        <v>1634</v>
      </c>
      <c r="J496" t="s">
        <v>10</v>
      </c>
      <c r="K496">
        <v>5.4000000000000003E-3</v>
      </c>
      <c r="L496">
        <v>351</v>
      </c>
      <c r="M496" s="1">
        <v>15</v>
      </c>
      <c r="N496">
        <v>0</v>
      </c>
      <c r="O496">
        <v>10000</v>
      </c>
      <c r="P496">
        <v>65000</v>
      </c>
      <c r="Q496" s="1">
        <v>55000</v>
      </c>
      <c r="R496">
        <v>5.4000000000000003E-3</v>
      </c>
      <c r="S496" s="2">
        <v>46236</v>
      </c>
      <c r="T496" s="2">
        <v>46263</v>
      </c>
      <c r="U496">
        <v>131900</v>
      </c>
      <c r="V496">
        <v>135000</v>
      </c>
      <c r="W496">
        <v>133000</v>
      </c>
      <c r="X496">
        <v>170000</v>
      </c>
      <c r="Y496">
        <v>131900</v>
      </c>
      <c r="Z496" s="8">
        <v>170000</v>
      </c>
      <c r="AA496">
        <v>142475</v>
      </c>
      <c r="AB496">
        <v>0.9257764520091244</v>
      </c>
      <c r="AC496">
        <v>1.1931917880329883</v>
      </c>
      <c r="AD496" s="1">
        <v>9</v>
      </c>
      <c r="AE496" s="2">
        <v>46257</v>
      </c>
      <c r="AF496" s="2">
        <v>46265</v>
      </c>
      <c r="AG496" s="2">
        <v>46272</v>
      </c>
      <c r="AH496">
        <v>123000</v>
      </c>
      <c r="AI496" s="3">
        <v>0.74847870182555776</v>
      </c>
      <c r="AJ496" s="1">
        <v>12</v>
      </c>
      <c r="AK496" s="2">
        <v>46275</v>
      </c>
      <c r="AL496" s="4">
        <v>30</v>
      </c>
      <c r="AM496" s="5">
        <v>15</v>
      </c>
      <c r="AN496" s="4">
        <v>9</v>
      </c>
      <c r="AO496">
        <v>127241.37931034481</v>
      </c>
      <c r="AP496" s="4">
        <v>1</v>
      </c>
      <c r="AQ496">
        <v>492500</v>
      </c>
      <c r="AR496" t="s">
        <v>2034</v>
      </c>
      <c r="AT496" s="16">
        <f>_xlfn.XLOOKUP(B496,'SWiSH Demand Forecast Sep-26'!D:D,'SWiSH Demand Forecast Sep-26'!G:G,"Not Exist")</f>
        <v>59960</v>
      </c>
    </row>
    <row r="497" spans="1:46" hidden="1" x14ac:dyDescent="0.3">
      <c r="A497">
        <v>100300026</v>
      </c>
      <c r="B497" t="s">
        <v>552</v>
      </c>
      <c r="C497" t="s">
        <v>136</v>
      </c>
      <c r="D497" t="s">
        <v>1613</v>
      </c>
      <c r="E497" t="s">
        <v>1655</v>
      </c>
      <c r="F497" t="s">
        <v>1752</v>
      </c>
      <c r="G497" t="s">
        <v>1616</v>
      </c>
      <c r="H497" t="s">
        <v>2018</v>
      </c>
      <c r="I497" t="s">
        <v>1754</v>
      </c>
      <c r="J497" t="s">
        <v>136</v>
      </c>
      <c r="K497">
        <v>3.15</v>
      </c>
      <c r="L497">
        <v>4189.5</v>
      </c>
      <c r="M497" s="1">
        <v>3</v>
      </c>
      <c r="N497">
        <v>0</v>
      </c>
      <c r="O497">
        <v>200</v>
      </c>
      <c r="P497">
        <v>1330</v>
      </c>
      <c r="Q497" s="1">
        <v>1130</v>
      </c>
      <c r="R497">
        <v>3.15</v>
      </c>
      <c r="S497" s="2">
        <v>46242</v>
      </c>
      <c r="T497" s="2">
        <v>46263</v>
      </c>
      <c r="U497">
        <v>3480</v>
      </c>
      <c r="V497">
        <v>3450</v>
      </c>
      <c r="W497">
        <v>2750</v>
      </c>
      <c r="X497">
        <v>2525</v>
      </c>
      <c r="Y497">
        <v>2525</v>
      </c>
      <c r="Z497" s="8">
        <v>3480</v>
      </c>
      <c r="AA497">
        <v>3051.25</v>
      </c>
      <c r="AB497">
        <v>0.82752970094223677</v>
      </c>
      <c r="AC497">
        <v>1.140516181892667</v>
      </c>
      <c r="AD497" s="1">
        <v>9</v>
      </c>
      <c r="AE497" s="2">
        <v>46257</v>
      </c>
      <c r="AF497" s="2">
        <v>46265</v>
      </c>
      <c r="AG497" s="2">
        <v>46272</v>
      </c>
      <c r="AH497">
        <v>2380</v>
      </c>
      <c r="AI497" s="3">
        <v>0.70749108204518429</v>
      </c>
      <c r="AJ497" s="1">
        <v>13</v>
      </c>
      <c r="AK497" s="2">
        <v>46276</v>
      </c>
      <c r="AL497" s="4">
        <v>15</v>
      </c>
      <c r="AM497" s="5">
        <v>15</v>
      </c>
      <c r="AN497" s="4">
        <v>9</v>
      </c>
      <c r="AO497">
        <v>1231.0344827586207</v>
      </c>
      <c r="AP497" s="4">
        <v>2</v>
      </c>
      <c r="AQ497">
        <v>835</v>
      </c>
      <c r="AR497" t="s">
        <v>2171</v>
      </c>
      <c r="AT497" s="16">
        <f>_xlfn.XLOOKUP(B497,'SWiSH Demand Forecast Sep-26'!D:D,'SWiSH Demand Forecast Sep-26'!G:G,"Not Exist")</f>
        <v>1238.1849999999999</v>
      </c>
    </row>
    <row r="498" spans="1:46" hidden="1" x14ac:dyDescent="0.3">
      <c r="A498">
        <v>103100000</v>
      </c>
      <c r="B498" t="s">
        <v>898</v>
      </c>
      <c r="C498" t="s">
        <v>10</v>
      </c>
      <c r="D498" t="s">
        <v>1613</v>
      </c>
      <c r="E498" t="s">
        <v>2392</v>
      </c>
      <c r="F498" t="s">
        <v>1752</v>
      </c>
      <c r="G498" t="s">
        <v>1616</v>
      </c>
      <c r="H498" t="s">
        <v>1869</v>
      </c>
      <c r="I498" t="s">
        <v>1754</v>
      </c>
      <c r="J498" t="s">
        <v>10</v>
      </c>
      <c r="K498">
        <v>8.541667E-2</v>
      </c>
      <c r="L498">
        <v>61.5000024</v>
      </c>
      <c r="M498" s="1">
        <v>3</v>
      </c>
      <c r="N498">
        <v>0</v>
      </c>
      <c r="O498">
        <v>0</v>
      </c>
      <c r="P498">
        <v>720</v>
      </c>
      <c r="Q498" s="1">
        <v>720</v>
      </c>
      <c r="R498">
        <v>6.15</v>
      </c>
      <c r="S498" s="2">
        <v>46225</v>
      </c>
      <c r="T498" s="2">
        <v>46263</v>
      </c>
      <c r="U498">
        <v>2022</v>
      </c>
      <c r="V498">
        <v>2160</v>
      </c>
      <c r="W498">
        <v>2304</v>
      </c>
      <c r="X498">
        <v>1440</v>
      </c>
      <c r="Y498">
        <v>1440</v>
      </c>
      <c r="Z498" s="8">
        <v>2304</v>
      </c>
      <c r="AA498">
        <v>1981.5</v>
      </c>
      <c r="AB498">
        <v>0.72672218016654055</v>
      </c>
      <c r="AC498">
        <v>1.1627554882664648</v>
      </c>
      <c r="AD498" s="1">
        <v>9</v>
      </c>
      <c r="AE498" s="2">
        <v>46257</v>
      </c>
      <c r="AF498" s="2">
        <v>46265</v>
      </c>
      <c r="AG498" s="2">
        <v>46272</v>
      </c>
      <c r="AH498">
        <v>1944</v>
      </c>
      <c r="AI498" s="3">
        <v>0.87284482758620685</v>
      </c>
      <c r="AJ498" s="1">
        <v>10</v>
      </c>
      <c r="AK498" s="2">
        <v>46273</v>
      </c>
      <c r="AL498" s="4">
        <v>30</v>
      </c>
      <c r="AM498" s="5">
        <v>15</v>
      </c>
      <c r="AN498" s="4">
        <v>9</v>
      </c>
      <c r="AO498">
        <v>2011.0344827586205</v>
      </c>
      <c r="AP498" s="4">
        <v>1</v>
      </c>
      <c r="AQ498" t="s">
        <v>1619</v>
      </c>
      <c r="AR498" t="s">
        <v>1620</v>
      </c>
      <c r="AT498" s="16">
        <f>_xlfn.XLOOKUP(B498,'SWiSH Demand Forecast Sep-26'!D:D,'SWiSH Demand Forecast Sep-26'!G:G,"Not Exist")</f>
        <v>242</v>
      </c>
    </row>
    <row r="499" spans="1:46" x14ac:dyDescent="0.3">
      <c r="A499">
        <v>103400019</v>
      </c>
      <c r="B499" t="s">
        <v>2393</v>
      </c>
      <c r="C499" t="s">
        <v>136</v>
      </c>
      <c r="D499" t="s">
        <v>1613</v>
      </c>
      <c r="E499" t="s">
        <v>1745</v>
      </c>
      <c r="F499" t="s">
        <v>1752</v>
      </c>
      <c r="G499" t="s">
        <v>1616</v>
      </c>
      <c r="H499" t="s">
        <v>1931</v>
      </c>
      <c r="I499" t="s">
        <v>1754</v>
      </c>
      <c r="J499" t="s">
        <v>136</v>
      </c>
      <c r="K499">
        <v>0.64500000000000002</v>
      </c>
      <c r="L499">
        <v>38.700000000000003</v>
      </c>
      <c r="M499" s="1">
        <v>3</v>
      </c>
      <c r="N499">
        <v>0</v>
      </c>
      <c r="O499">
        <v>10</v>
      </c>
      <c r="P499">
        <v>60</v>
      </c>
      <c r="Q499" s="1">
        <v>50</v>
      </c>
      <c r="R499">
        <v>6.45</v>
      </c>
      <c r="S499" s="2">
        <v>46241</v>
      </c>
      <c r="T499" s="2">
        <v>46260</v>
      </c>
      <c r="U499">
        <v>140</v>
      </c>
      <c r="V499">
        <v>160</v>
      </c>
      <c r="W499">
        <v>110</v>
      </c>
      <c r="X499">
        <v>130</v>
      </c>
      <c r="Y499">
        <v>110</v>
      </c>
      <c r="Z499" s="8">
        <v>160</v>
      </c>
      <c r="AA499">
        <v>135</v>
      </c>
      <c r="AB499">
        <v>0.81481481481481477</v>
      </c>
      <c r="AC499">
        <v>1.1851851851851851</v>
      </c>
      <c r="AD499" s="1">
        <v>9</v>
      </c>
      <c r="AE499" s="2">
        <v>46257</v>
      </c>
      <c r="AF499" s="2">
        <v>46265</v>
      </c>
      <c r="AG499" s="2">
        <v>46272</v>
      </c>
      <c r="AH499">
        <v>100</v>
      </c>
      <c r="AI499" s="3">
        <v>0.64655172413793105</v>
      </c>
      <c r="AJ499" s="1">
        <v>14</v>
      </c>
      <c r="AK499" s="2">
        <v>46277</v>
      </c>
      <c r="AL499" s="4">
        <v>30</v>
      </c>
      <c r="AM499" s="5">
        <v>15</v>
      </c>
      <c r="AN499" s="4">
        <v>9</v>
      </c>
      <c r="AO499">
        <v>103.44827586206897</v>
      </c>
      <c r="AP499" s="4">
        <v>1</v>
      </c>
      <c r="AQ499" t="s">
        <v>1619</v>
      </c>
      <c r="AR499" t="s">
        <v>1620</v>
      </c>
      <c r="AT499" s="16" t="str">
        <f>_xlfn.XLOOKUP(B499,'SWiSH Demand Forecast Sep-26'!D:D,'SWiSH Demand Forecast Sep-26'!G:G,"Not Exist")</f>
        <v>Not Exist</v>
      </c>
    </row>
    <row r="500" spans="1:46" hidden="1" x14ac:dyDescent="0.3">
      <c r="A500">
        <v>101700028</v>
      </c>
      <c r="B500" t="s">
        <v>679</v>
      </c>
      <c r="C500" t="s">
        <v>240</v>
      </c>
      <c r="D500" t="s">
        <v>1613</v>
      </c>
      <c r="E500" t="s">
        <v>1732</v>
      </c>
      <c r="F500" t="s">
        <v>1833</v>
      </c>
      <c r="G500" t="s">
        <v>1616</v>
      </c>
      <c r="H500" t="s">
        <v>2221</v>
      </c>
      <c r="I500" t="s">
        <v>1626</v>
      </c>
      <c r="J500" t="s">
        <v>240</v>
      </c>
      <c r="K500">
        <v>1.6490454999999999</v>
      </c>
      <c r="L500">
        <v>573.86783400000002</v>
      </c>
      <c r="M500" s="1">
        <v>3</v>
      </c>
      <c r="N500">
        <v>0</v>
      </c>
      <c r="O500">
        <v>0</v>
      </c>
      <c r="P500">
        <v>348</v>
      </c>
      <c r="Q500" s="1">
        <v>348</v>
      </c>
      <c r="R500">
        <v>19.8</v>
      </c>
      <c r="S500" s="2">
        <v>46253</v>
      </c>
      <c r="T500" s="2">
        <v>46263</v>
      </c>
      <c r="U500">
        <v>240</v>
      </c>
      <c r="V500">
        <v>924</v>
      </c>
      <c r="W500">
        <v>1080</v>
      </c>
      <c r="X500">
        <v>948</v>
      </c>
      <c r="Y500">
        <v>240</v>
      </c>
      <c r="Z500" s="8">
        <v>1080</v>
      </c>
      <c r="AA500">
        <v>798</v>
      </c>
      <c r="AB500">
        <v>0.3007518796992481</v>
      </c>
      <c r="AC500">
        <v>1.3533834586466165</v>
      </c>
      <c r="AD500" s="1">
        <v>9</v>
      </c>
      <c r="AE500" s="2">
        <v>46257</v>
      </c>
      <c r="AF500" s="2">
        <v>46265</v>
      </c>
      <c r="AG500" s="2">
        <v>46272</v>
      </c>
      <c r="AH500">
        <v>1044</v>
      </c>
      <c r="AI500" s="3">
        <v>1</v>
      </c>
      <c r="AJ500" s="1">
        <v>9</v>
      </c>
      <c r="AK500" s="2">
        <v>46272</v>
      </c>
      <c r="AL500" s="4">
        <v>15</v>
      </c>
      <c r="AM500" s="5">
        <v>15</v>
      </c>
      <c r="AN500" s="4">
        <v>9</v>
      </c>
      <c r="AO500">
        <v>540</v>
      </c>
      <c r="AP500" s="4">
        <v>2</v>
      </c>
      <c r="AQ500" t="s">
        <v>1619</v>
      </c>
      <c r="AR500" t="s">
        <v>2137</v>
      </c>
      <c r="AS500" t="s">
        <v>1666</v>
      </c>
      <c r="AT500" s="16">
        <f>_xlfn.XLOOKUP(B500,'SWiSH Demand Forecast Sep-26'!D:D,'SWiSH Demand Forecast Sep-26'!G:G,"Not Exist")</f>
        <v>652.75025810553495</v>
      </c>
    </row>
    <row r="501" spans="1:46" hidden="1" x14ac:dyDescent="0.3">
      <c r="A501">
        <v>106200086</v>
      </c>
      <c r="B501" t="s">
        <v>774</v>
      </c>
      <c r="C501" t="s">
        <v>240</v>
      </c>
      <c r="D501" t="s">
        <v>1613</v>
      </c>
      <c r="E501" t="s">
        <v>2394</v>
      </c>
      <c r="F501" t="s">
        <v>1671</v>
      </c>
      <c r="G501" t="s">
        <v>1616</v>
      </c>
      <c r="H501" t="s">
        <v>1672</v>
      </c>
      <c r="I501" t="s">
        <v>1618</v>
      </c>
      <c r="J501" t="s">
        <v>2395</v>
      </c>
      <c r="K501">
        <v>0.81906477</v>
      </c>
      <c r="L501">
        <v>235.96436958929999</v>
      </c>
      <c r="M501" s="1">
        <v>3</v>
      </c>
      <c r="N501">
        <v>0</v>
      </c>
      <c r="O501">
        <v>14.850000000000001</v>
      </c>
      <c r="P501">
        <v>288.08999999999997</v>
      </c>
      <c r="Q501" s="1">
        <v>273.23999999999995</v>
      </c>
      <c r="R501">
        <v>9.5</v>
      </c>
      <c r="S501" s="2">
        <v>46257</v>
      </c>
      <c r="T501" s="2">
        <v>46263</v>
      </c>
      <c r="U501">
        <v>790.02000000000078</v>
      </c>
      <c r="V501">
        <v>677.16000000000054</v>
      </c>
      <c r="W501">
        <v>751.41000000000111</v>
      </c>
      <c r="X501">
        <v>831.60000000000139</v>
      </c>
      <c r="Y501">
        <v>677.16000000000054</v>
      </c>
      <c r="Z501" s="8">
        <v>831.60000000000139</v>
      </c>
      <c r="AA501">
        <v>762.54750000000092</v>
      </c>
      <c r="AB501">
        <v>0.88802336903602686</v>
      </c>
      <c r="AC501">
        <v>1.090555014605648</v>
      </c>
      <c r="AD501" s="1">
        <v>9</v>
      </c>
      <c r="AE501" s="2">
        <v>46257</v>
      </c>
      <c r="AF501" s="2">
        <v>46265</v>
      </c>
      <c r="AG501" s="2">
        <v>46272</v>
      </c>
      <c r="AH501">
        <v>893.97000000000116</v>
      </c>
      <c r="AI501" s="3">
        <v>1.1120689655172409</v>
      </c>
      <c r="AJ501" s="1">
        <v>8</v>
      </c>
      <c r="AK501" s="2">
        <v>46271</v>
      </c>
      <c r="AL501" s="4">
        <v>30</v>
      </c>
      <c r="AM501" s="5">
        <v>15</v>
      </c>
      <c r="AN501" s="4">
        <v>8</v>
      </c>
      <c r="AO501">
        <v>924.79655172413902</v>
      </c>
      <c r="AP501" s="4">
        <v>1</v>
      </c>
      <c r="AQ501" t="s">
        <v>1619</v>
      </c>
      <c r="AR501" t="s">
        <v>1620</v>
      </c>
      <c r="AT501" s="16">
        <f>_xlfn.XLOOKUP(B501,'SWiSH Demand Forecast Sep-26'!D:D,'SWiSH Demand Forecast Sep-26'!G:G,"Not Exist")</f>
        <v>442.65202179776202</v>
      </c>
    </row>
    <row r="502" spans="1:46" hidden="1" x14ac:dyDescent="0.3">
      <c r="A502">
        <v>106200114</v>
      </c>
      <c r="B502" t="s">
        <v>1397</v>
      </c>
      <c r="C502" t="s">
        <v>240</v>
      </c>
      <c r="D502" t="s">
        <v>1613</v>
      </c>
      <c r="E502" t="s">
        <v>1832</v>
      </c>
      <c r="F502" t="s">
        <v>1875</v>
      </c>
      <c r="G502" t="s">
        <v>1616</v>
      </c>
      <c r="H502" t="s">
        <v>1672</v>
      </c>
      <c r="I502" t="s">
        <v>1618</v>
      </c>
      <c r="J502" t="s">
        <v>2396</v>
      </c>
      <c r="K502">
        <v>1.484375</v>
      </c>
      <c r="L502">
        <v>9.9156250000000004</v>
      </c>
      <c r="M502" s="1">
        <v>3</v>
      </c>
      <c r="N502">
        <v>0</v>
      </c>
      <c r="O502">
        <v>0</v>
      </c>
      <c r="P502">
        <v>6.68</v>
      </c>
      <c r="Q502" s="1">
        <v>6.68</v>
      </c>
      <c r="R502">
        <v>1.39</v>
      </c>
      <c r="S502" s="2">
        <v>46239</v>
      </c>
      <c r="T502" s="2">
        <v>46263</v>
      </c>
      <c r="U502">
        <v>21.12</v>
      </c>
      <c r="V502">
        <v>12.159999999999998</v>
      </c>
      <c r="W502">
        <v>16</v>
      </c>
      <c r="X502">
        <v>21.119999999999997</v>
      </c>
      <c r="Y502">
        <v>12.159999999999998</v>
      </c>
      <c r="Z502" s="8">
        <v>21.12</v>
      </c>
      <c r="AA502">
        <v>17.600000000000001</v>
      </c>
      <c r="AB502">
        <v>0.69090909090909081</v>
      </c>
      <c r="AC502">
        <v>1.2</v>
      </c>
      <c r="AD502" s="1">
        <v>9</v>
      </c>
      <c r="AE502" s="2">
        <v>46257</v>
      </c>
      <c r="AF502" s="2">
        <v>46265</v>
      </c>
      <c r="AG502" s="2">
        <v>46272</v>
      </c>
      <c r="AH502">
        <v>14.08</v>
      </c>
      <c r="AI502" s="3">
        <v>0.68965517241379315</v>
      </c>
      <c r="AJ502" s="1">
        <v>13</v>
      </c>
      <c r="AK502" s="2">
        <v>46276</v>
      </c>
      <c r="AL502" s="4">
        <v>30</v>
      </c>
      <c r="AM502" s="5">
        <v>15</v>
      </c>
      <c r="AN502" s="4">
        <v>9</v>
      </c>
      <c r="AO502">
        <v>14.565517241379313</v>
      </c>
      <c r="AP502" s="4">
        <v>1</v>
      </c>
      <c r="AQ502" t="s">
        <v>1619</v>
      </c>
      <c r="AR502" t="s">
        <v>1620</v>
      </c>
      <c r="AT502" s="16">
        <f>_xlfn.XLOOKUP(B502,'SWiSH Demand Forecast Sep-26'!D:D,'SWiSH Demand Forecast Sep-26'!G:G,"Not Exist")</f>
        <v>14.108188303996901</v>
      </c>
    </row>
    <row r="503" spans="1:46" x14ac:dyDescent="0.3">
      <c r="A503">
        <v>106700093</v>
      </c>
      <c r="B503" t="s">
        <v>2397</v>
      </c>
      <c r="C503" t="s">
        <v>10</v>
      </c>
      <c r="D503" t="s">
        <v>1613</v>
      </c>
      <c r="E503" t="s">
        <v>2154</v>
      </c>
      <c r="F503" t="s">
        <v>1650</v>
      </c>
      <c r="G503" t="s">
        <v>1624</v>
      </c>
      <c r="H503" t="s">
        <v>1651</v>
      </c>
      <c r="I503" t="s">
        <v>1634</v>
      </c>
      <c r="J503" t="s">
        <v>10</v>
      </c>
      <c r="K503">
        <v>0.19270833000000001</v>
      </c>
      <c r="L503">
        <v>36.999999360000004</v>
      </c>
      <c r="M503" s="1">
        <v>3</v>
      </c>
      <c r="N503">
        <v>0</v>
      </c>
      <c r="O503">
        <v>0</v>
      </c>
      <c r="P503">
        <v>192</v>
      </c>
      <c r="Q503" s="1">
        <v>192</v>
      </c>
      <c r="R503">
        <v>37</v>
      </c>
      <c r="S503" s="2">
        <v>46177</v>
      </c>
      <c r="T503" s="2">
        <v>46260</v>
      </c>
      <c r="U503">
        <v>576</v>
      </c>
      <c r="V503">
        <v>384</v>
      </c>
      <c r="W503">
        <v>0</v>
      </c>
      <c r="X503">
        <v>384</v>
      </c>
      <c r="Y503">
        <v>0</v>
      </c>
      <c r="Z503" s="8">
        <v>576</v>
      </c>
      <c r="AA503">
        <v>336</v>
      </c>
      <c r="AB503">
        <v>0</v>
      </c>
      <c r="AC503">
        <v>1.7142857142857142</v>
      </c>
      <c r="AD503" s="1">
        <v>10</v>
      </c>
      <c r="AE503" s="2">
        <v>46258</v>
      </c>
      <c r="AF503" s="2">
        <v>46266</v>
      </c>
      <c r="AG503" s="2">
        <v>46273</v>
      </c>
      <c r="AH503">
        <v>192</v>
      </c>
      <c r="AI503" s="3">
        <v>0.34482758620689657</v>
      </c>
      <c r="AJ503" s="1">
        <v>29</v>
      </c>
      <c r="AK503" s="2">
        <v>46292</v>
      </c>
      <c r="AL503" s="4">
        <v>30</v>
      </c>
      <c r="AM503" s="5">
        <v>15</v>
      </c>
      <c r="AN503" s="4">
        <v>10</v>
      </c>
      <c r="AO503">
        <v>198.62068965517244</v>
      </c>
      <c r="AP503" s="4">
        <v>1</v>
      </c>
      <c r="AQ503" t="s">
        <v>1619</v>
      </c>
      <c r="AR503" t="s">
        <v>1620</v>
      </c>
      <c r="AT503" s="16" t="str">
        <f>_xlfn.XLOOKUP(B503,'SWiSH Demand Forecast Sep-26'!D:D,'SWiSH Demand Forecast Sep-26'!G:G,"Not Exist")</f>
        <v>Not Exist</v>
      </c>
    </row>
    <row r="504" spans="1:46" hidden="1" x14ac:dyDescent="0.3">
      <c r="A504">
        <v>101200048</v>
      </c>
      <c r="B504" t="s">
        <v>726</v>
      </c>
      <c r="C504" t="s">
        <v>136</v>
      </c>
      <c r="D504" t="s">
        <v>1613</v>
      </c>
      <c r="E504" t="s">
        <v>1821</v>
      </c>
      <c r="F504" t="s">
        <v>1752</v>
      </c>
      <c r="G504" t="s">
        <v>1616</v>
      </c>
      <c r="H504" t="s">
        <v>1625</v>
      </c>
      <c r="I504" t="s">
        <v>1754</v>
      </c>
      <c r="J504" t="s">
        <v>136</v>
      </c>
      <c r="K504">
        <v>1.625</v>
      </c>
      <c r="L504">
        <v>477.75</v>
      </c>
      <c r="M504" s="1">
        <v>3</v>
      </c>
      <c r="N504">
        <v>0</v>
      </c>
      <c r="O504">
        <v>30</v>
      </c>
      <c r="P504">
        <v>294</v>
      </c>
      <c r="Q504" s="1">
        <v>264</v>
      </c>
      <c r="R504">
        <v>19.5</v>
      </c>
      <c r="S504" s="2">
        <v>46263</v>
      </c>
      <c r="T504" s="2">
        <v>46263</v>
      </c>
      <c r="U504">
        <v>774</v>
      </c>
      <c r="V504">
        <v>776</v>
      </c>
      <c r="W504">
        <v>756</v>
      </c>
      <c r="X504">
        <v>762</v>
      </c>
      <c r="Y504">
        <v>756</v>
      </c>
      <c r="Z504" s="8">
        <v>776</v>
      </c>
      <c r="AA504">
        <v>767</v>
      </c>
      <c r="AB504">
        <v>0.98565840938722293</v>
      </c>
      <c r="AC504">
        <v>1.0117340286831813</v>
      </c>
      <c r="AD504" s="1">
        <v>10</v>
      </c>
      <c r="AE504" s="2">
        <v>46258</v>
      </c>
      <c r="AF504" s="2">
        <v>46266</v>
      </c>
      <c r="AG504" s="2">
        <v>46273</v>
      </c>
      <c r="AH504">
        <v>650</v>
      </c>
      <c r="AI504" s="3">
        <v>0.86651261997867046</v>
      </c>
      <c r="AJ504" s="1">
        <v>11</v>
      </c>
      <c r="AK504" s="2">
        <v>46274</v>
      </c>
      <c r="AL504" s="4">
        <v>15</v>
      </c>
      <c r="AM504" s="5">
        <v>15</v>
      </c>
      <c r="AN504" s="4">
        <v>10</v>
      </c>
      <c r="AO504">
        <v>336.20689655172413</v>
      </c>
      <c r="AP504" s="4">
        <v>2</v>
      </c>
      <c r="AQ504" t="s">
        <v>1619</v>
      </c>
      <c r="AR504" t="s">
        <v>1620</v>
      </c>
      <c r="AT504" s="16">
        <f>_xlfn.XLOOKUP(B504,'SWiSH Demand Forecast Sep-26'!D:D,'SWiSH Demand Forecast Sep-26'!G:G,"Not Exist")</f>
        <v>568.29974103585596</v>
      </c>
    </row>
    <row r="505" spans="1:46" hidden="1" x14ac:dyDescent="0.3">
      <c r="A505">
        <v>106300045</v>
      </c>
      <c r="B505" t="s">
        <v>1094</v>
      </c>
      <c r="C505" t="s">
        <v>136</v>
      </c>
      <c r="D505" t="s">
        <v>1613</v>
      </c>
      <c r="E505" t="s">
        <v>2049</v>
      </c>
      <c r="F505" t="s">
        <v>1615</v>
      </c>
      <c r="G505" t="s">
        <v>1616</v>
      </c>
      <c r="H505" t="s">
        <v>1860</v>
      </c>
      <c r="I505" t="s">
        <v>1618</v>
      </c>
      <c r="J505" t="s">
        <v>136</v>
      </c>
      <c r="K505">
        <v>2.9702058500000001</v>
      </c>
      <c r="L505">
        <v>154.45070420000002</v>
      </c>
      <c r="M505" s="1">
        <v>3</v>
      </c>
      <c r="N505">
        <v>0</v>
      </c>
      <c r="O505">
        <v>1</v>
      </c>
      <c r="P505">
        <v>52</v>
      </c>
      <c r="Q505" s="1">
        <v>51</v>
      </c>
      <c r="R505">
        <v>3</v>
      </c>
      <c r="S505" s="2">
        <v>46261</v>
      </c>
      <c r="T505" s="2">
        <v>46260</v>
      </c>
      <c r="U505">
        <v>118</v>
      </c>
      <c r="V505">
        <v>149</v>
      </c>
      <c r="W505">
        <v>104</v>
      </c>
      <c r="X505">
        <v>85</v>
      </c>
      <c r="Y505">
        <v>85</v>
      </c>
      <c r="Z505" s="8">
        <v>149</v>
      </c>
      <c r="AA505">
        <v>114</v>
      </c>
      <c r="AB505">
        <v>0.74561403508771928</v>
      </c>
      <c r="AC505">
        <v>1.3070175438596492</v>
      </c>
      <c r="AD505" s="1">
        <v>10</v>
      </c>
      <c r="AE505" s="2">
        <v>46258</v>
      </c>
      <c r="AF505" s="2">
        <v>46266</v>
      </c>
      <c r="AG505" s="2">
        <v>46273</v>
      </c>
      <c r="AH505">
        <v>64</v>
      </c>
      <c r="AI505" s="3">
        <v>0.44434158759546405</v>
      </c>
      <c r="AJ505" s="1">
        <v>23</v>
      </c>
      <c r="AK505" s="2">
        <v>46286</v>
      </c>
      <c r="AL505" s="4">
        <v>30</v>
      </c>
      <c r="AM505" s="5">
        <v>15</v>
      </c>
      <c r="AN505" s="4">
        <v>10</v>
      </c>
      <c r="AO505">
        <v>66.206896551724142</v>
      </c>
      <c r="AP505" s="4">
        <v>1</v>
      </c>
      <c r="AQ505" t="s">
        <v>1619</v>
      </c>
      <c r="AR505" t="s">
        <v>1620</v>
      </c>
      <c r="AT505" s="16">
        <f>_xlfn.XLOOKUP(B505,'SWiSH Demand Forecast Sep-26'!D:D,'SWiSH Demand Forecast Sep-26'!G:G,"Not Exist")</f>
        <v>107.49284253578701</v>
      </c>
    </row>
    <row r="506" spans="1:46" hidden="1" x14ac:dyDescent="0.3">
      <c r="A506">
        <v>100900047</v>
      </c>
      <c r="B506" t="s">
        <v>335</v>
      </c>
      <c r="C506" t="s">
        <v>10</v>
      </c>
      <c r="D506" t="s">
        <v>1613</v>
      </c>
      <c r="E506" t="s">
        <v>2398</v>
      </c>
      <c r="F506" t="s">
        <v>1639</v>
      </c>
      <c r="G506" t="s">
        <v>1616</v>
      </c>
      <c r="H506" t="s">
        <v>1640</v>
      </c>
      <c r="I506" t="s">
        <v>1618</v>
      </c>
      <c r="J506" t="s">
        <v>1641</v>
      </c>
      <c r="K506">
        <v>6.166667E-2</v>
      </c>
      <c r="L506">
        <v>327.57335103999998</v>
      </c>
      <c r="M506" s="1">
        <v>3</v>
      </c>
      <c r="N506">
        <v>0</v>
      </c>
      <c r="O506">
        <v>570</v>
      </c>
      <c r="P506">
        <v>5312</v>
      </c>
      <c r="Q506" s="1">
        <v>4742</v>
      </c>
      <c r="R506">
        <v>1.85</v>
      </c>
      <c r="S506" s="2">
        <v>46261</v>
      </c>
      <c r="T506" s="2">
        <v>46263</v>
      </c>
      <c r="U506">
        <v>13928</v>
      </c>
      <c r="V506">
        <v>11940</v>
      </c>
      <c r="W506">
        <v>11940</v>
      </c>
      <c r="X506">
        <v>13620</v>
      </c>
      <c r="Y506">
        <v>11940</v>
      </c>
      <c r="Z506" s="8">
        <v>13928</v>
      </c>
      <c r="AA506">
        <v>12857</v>
      </c>
      <c r="AB506">
        <v>0.92867698529983667</v>
      </c>
      <c r="AC506">
        <v>1.0833009255658397</v>
      </c>
      <c r="AD506" s="1">
        <v>10</v>
      </c>
      <c r="AE506" s="2">
        <v>46258</v>
      </c>
      <c r="AF506" s="2">
        <v>46266</v>
      </c>
      <c r="AG506" s="2">
        <v>46273</v>
      </c>
      <c r="AH506">
        <v>11908</v>
      </c>
      <c r="AI506" s="3">
        <v>0.88445007823486299</v>
      </c>
      <c r="AJ506" s="1">
        <v>11</v>
      </c>
      <c r="AK506" s="2">
        <v>46274</v>
      </c>
      <c r="AL506" s="4">
        <v>10</v>
      </c>
      <c r="AM506" s="5">
        <v>10</v>
      </c>
      <c r="AN506" s="4">
        <v>10</v>
      </c>
      <c r="AO506">
        <v>4106.2068965517237</v>
      </c>
      <c r="AP506" s="4">
        <v>3</v>
      </c>
      <c r="AQ506" t="s">
        <v>1619</v>
      </c>
      <c r="AR506" t="s">
        <v>2163</v>
      </c>
      <c r="AT506" s="16">
        <f>_xlfn.XLOOKUP(B506,'SWiSH Demand Forecast Sep-26'!D:D,'SWiSH Demand Forecast Sep-26'!G:G,"Not Exist")</f>
        <v>3926</v>
      </c>
    </row>
    <row r="507" spans="1:46" hidden="1" x14ac:dyDescent="0.3">
      <c r="A507">
        <v>100400153</v>
      </c>
      <c r="B507" t="s">
        <v>87</v>
      </c>
      <c r="C507" t="s">
        <v>10</v>
      </c>
      <c r="D507" t="s">
        <v>1613</v>
      </c>
      <c r="E507" t="s">
        <v>2147</v>
      </c>
      <c r="F507" t="s">
        <v>1664</v>
      </c>
      <c r="G507" t="s">
        <v>1616</v>
      </c>
      <c r="H507" t="s">
        <v>1810</v>
      </c>
      <c r="I507" t="s">
        <v>1634</v>
      </c>
      <c r="J507" t="s">
        <v>10</v>
      </c>
      <c r="K507">
        <v>5.4997879999999999E-2</v>
      </c>
      <c r="L507">
        <v>2456.2053207999998</v>
      </c>
      <c r="M507" s="1">
        <v>30</v>
      </c>
      <c r="N507">
        <v>0</v>
      </c>
      <c r="O507">
        <v>1800</v>
      </c>
      <c r="P507">
        <v>44660</v>
      </c>
      <c r="Q507" s="1">
        <v>42860</v>
      </c>
      <c r="R507">
        <v>5.5E-2</v>
      </c>
      <c r="S507" s="2">
        <v>46260</v>
      </c>
      <c r="T507" s="2">
        <v>46263</v>
      </c>
      <c r="U507">
        <v>110250</v>
      </c>
      <c r="V507">
        <v>123790</v>
      </c>
      <c r="W507">
        <v>122065</v>
      </c>
      <c r="X507">
        <v>127100</v>
      </c>
      <c r="Y507">
        <v>110250</v>
      </c>
      <c r="Z507" s="8">
        <v>127100</v>
      </c>
      <c r="AA507">
        <v>120801.25</v>
      </c>
      <c r="AB507">
        <v>0.9126561190385033</v>
      </c>
      <c r="AC507">
        <v>1.0521414306557257</v>
      </c>
      <c r="AD507" s="1">
        <v>10</v>
      </c>
      <c r="AE507" s="2">
        <v>46258</v>
      </c>
      <c r="AF507" s="2">
        <v>46266</v>
      </c>
      <c r="AG507" s="2">
        <v>46273</v>
      </c>
      <c r="AH507">
        <v>127050</v>
      </c>
      <c r="AI507" s="3">
        <v>1.0340758023820504</v>
      </c>
      <c r="AJ507" s="1">
        <v>9</v>
      </c>
      <c r="AK507" s="2">
        <v>46272</v>
      </c>
      <c r="AL507" s="4">
        <v>10</v>
      </c>
      <c r="AM507" s="5">
        <v>10</v>
      </c>
      <c r="AN507" s="4">
        <v>9</v>
      </c>
      <c r="AO507">
        <v>43810.34482758621</v>
      </c>
      <c r="AP507" s="4">
        <v>3</v>
      </c>
      <c r="AQ507">
        <v>251385</v>
      </c>
      <c r="AR507" t="s">
        <v>2377</v>
      </c>
      <c r="AT507" s="16">
        <f>_xlfn.XLOOKUP(B507,'SWiSH Demand Forecast Sep-26'!D:D,'SWiSH Demand Forecast Sep-26'!G:G,"Not Exist")</f>
        <v>24687.5</v>
      </c>
    </row>
    <row r="508" spans="1:46" hidden="1" x14ac:dyDescent="0.3">
      <c r="A508">
        <v>106300002</v>
      </c>
      <c r="B508" t="s">
        <v>1081</v>
      </c>
      <c r="C508" t="s">
        <v>136</v>
      </c>
      <c r="D508" t="s">
        <v>1613</v>
      </c>
      <c r="E508" t="s">
        <v>2399</v>
      </c>
      <c r="F508" t="s">
        <v>1615</v>
      </c>
      <c r="G508" t="s">
        <v>1616</v>
      </c>
      <c r="H508" t="s">
        <v>1860</v>
      </c>
      <c r="I508" t="s">
        <v>1618</v>
      </c>
      <c r="J508" t="s">
        <v>136</v>
      </c>
      <c r="K508">
        <v>3.6</v>
      </c>
      <c r="L508">
        <v>262.8</v>
      </c>
      <c r="M508" s="1">
        <v>3</v>
      </c>
      <c r="N508">
        <v>0</v>
      </c>
      <c r="O508">
        <v>0</v>
      </c>
      <c r="P508">
        <v>73</v>
      </c>
      <c r="Q508" s="1">
        <v>73</v>
      </c>
      <c r="R508">
        <v>4</v>
      </c>
      <c r="S508" s="2">
        <v>46261</v>
      </c>
      <c r="T508" s="2">
        <v>46261</v>
      </c>
      <c r="U508">
        <v>200</v>
      </c>
      <c r="V508">
        <v>198</v>
      </c>
      <c r="W508">
        <v>110</v>
      </c>
      <c r="X508">
        <v>119</v>
      </c>
      <c r="Y508">
        <v>110</v>
      </c>
      <c r="Z508" s="8">
        <v>200</v>
      </c>
      <c r="AA508">
        <v>156.75</v>
      </c>
      <c r="AB508">
        <v>0.70175438596491224</v>
      </c>
      <c r="AC508">
        <v>1.2759170653907497</v>
      </c>
      <c r="AD508" s="1">
        <v>10</v>
      </c>
      <c r="AE508" s="2">
        <v>46258</v>
      </c>
      <c r="AF508" s="2">
        <v>46266</v>
      </c>
      <c r="AG508" s="2">
        <v>46273</v>
      </c>
      <c r="AH508">
        <v>110.00000000000001</v>
      </c>
      <c r="AI508" s="3">
        <v>0.56896551724137934</v>
      </c>
      <c r="AJ508" s="1">
        <v>19</v>
      </c>
      <c r="AK508" s="2">
        <v>46282</v>
      </c>
      <c r="AL508" s="4">
        <v>30</v>
      </c>
      <c r="AM508" s="5">
        <v>15</v>
      </c>
      <c r="AN508" s="4">
        <v>10</v>
      </c>
      <c r="AO508">
        <v>113.79310344827587</v>
      </c>
      <c r="AP508" s="4">
        <v>1</v>
      </c>
      <c r="AQ508" t="s">
        <v>1619</v>
      </c>
      <c r="AR508" t="s">
        <v>1620</v>
      </c>
      <c r="AT508" s="16">
        <f>_xlfn.XLOOKUP(B508,'SWiSH Demand Forecast Sep-26'!D:D,'SWiSH Demand Forecast Sep-26'!G:G,"Not Exist")</f>
        <v>112.81032062499899</v>
      </c>
    </row>
    <row r="509" spans="1:46" hidden="1" x14ac:dyDescent="0.3">
      <c r="A509">
        <v>101300010</v>
      </c>
      <c r="B509" t="s">
        <v>343</v>
      </c>
      <c r="C509" t="s">
        <v>136</v>
      </c>
      <c r="D509" t="s">
        <v>1613</v>
      </c>
      <c r="E509" t="s">
        <v>1732</v>
      </c>
      <c r="F509" t="s">
        <v>1752</v>
      </c>
      <c r="G509" t="s">
        <v>1616</v>
      </c>
      <c r="H509" t="s">
        <v>1980</v>
      </c>
      <c r="I509" t="s">
        <v>1754</v>
      </c>
      <c r="J509" t="e">
        <v>#N/A</v>
      </c>
      <c r="K509">
        <v>1.7905133499999999</v>
      </c>
      <c r="L509">
        <v>3688.4575009999999</v>
      </c>
      <c r="M509" s="1">
        <v>3</v>
      </c>
      <c r="N509">
        <v>0</v>
      </c>
      <c r="O509">
        <v>0</v>
      </c>
      <c r="P509">
        <v>2060</v>
      </c>
      <c r="Q509" s="1">
        <v>2060</v>
      </c>
      <c r="R509">
        <v>1.95</v>
      </c>
      <c r="S509" s="2">
        <v>46263</v>
      </c>
      <c r="T509" s="2">
        <v>46263</v>
      </c>
      <c r="U509">
        <v>5710</v>
      </c>
      <c r="V509">
        <v>4659.7220000000007</v>
      </c>
      <c r="W509">
        <v>2303.6370000000002</v>
      </c>
      <c r="X509">
        <v>2003.4800000000005</v>
      </c>
      <c r="Y509">
        <v>2003.4800000000005</v>
      </c>
      <c r="Z509" s="8">
        <v>5710</v>
      </c>
      <c r="AA509">
        <v>3669.2097500000009</v>
      </c>
      <c r="AB509">
        <v>0.54602493084512271</v>
      </c>
      <c r="AC509">
        <v>1.5561934010450067</v>
      </c>
      <c r="AD509" s="1">
        <v>10</v>
      </c>
      <c r="AE509" s="2">
        <v>46258</v>
      </c>
      <c r="AF509" s="2">
        <v>46266</v>
      </c>
      <c r="AG509" s="2">
        <v>46273</v>
      </c>
      <c r="AH509">
        <v>1602.9100000000003</v>
      </c>
      <c r="AI509" s="3">
        <v>0.29039978259556742</v>
      </c>
      <c r="AJ509" s="1">
        <v>37</v>
      </c>
      <c r="AK509" s="2">
        <v>46300</v>
      </c>
      <c r="AL509" s="4">
        <v>8</v>
      </c>
      <c r="AM509" s="5">
        <v>5</v>
      </c>
      <c r="AN509" s="4">
        <v>10</v>
      </c>
      <c r="AO509">
        <v>442.18206896551737</v>
      </c>
      <c r="AP509" s="4">
        <v>4</v>
      </c>
      <c r="AQ509">
        <v>1147.5899999999999</v>
      </c>
      <c r="AR509" t="s">
        <v>2400</v>
      </c>
      <c r="AT509" s="16">
        <f>_xlfn.XLOOKUP(B509,'SWiSH Demand Forecast Sep-26'!D:D,'SWiSH Demand Forecast Sep-26'!G:G,"Not Exist")</f>
        <v>3767.2800323621</v>
      </c>
    </row>
    <row r="510" spans="1:46" hidden="1" x14ac:dyDescent="0.3">
      <c r="A510">
        <v>103700048</v>
      </c>
      <c r="B510" t="s">
        <v>1443</v>
      </c>
      <c r="C510" t="s">
        <v>136</v>
      </c>
      <c r="D510" t="s">
        <v>1613</v>
      </c>
      <c r="E510" t="s">
        <v>1732</v>
      </c>
      <c r="F510" t="s">
        <v>1615</v>
      </c>
      <c r="G510" t="s">
        <v>1616</v>
      </c>
      <c r="H510" t="s">
        <v>1617</v>
      </c>
      <c r="I510" t="s">
        <v>1618</v>
      </c>
      <c r="J510" t="s">
        <v>2401</v>
      </c>
      <c r="K510">
        <v>4</v>
      </c>
      <c r="L510">
        <v>12</v>
      </c>
      <c r="M510" s="1">
        <v>3</v>
      </c>
      <c r="N510">
        <v>0</v>
      </c>
      <c r="O510">
        <v>0</v>
      </c>
      <c r="P510">
        <v>3</v>
      </c>
      <c r="Q510" s="1">
        <v>3</v>
      </c>
      <c r="R510">
        <v>4</v>
      </c>
      <c r="S510" s="2">
        <v>46222</v>
      </c>
      <c r="T510" s="2">
        <v>46237</v>
      </c>
      <c r="U510">
        <v>0.8</v>
      </c>
      <c r="V510">
        <v>3.2</v>
      </c>
      <c r="W510">
        <v>9</v>
      </c>
      <c r="X510">
        <v>5</v>
      </c>
      <c r="Y510">
        <v>0.8</v>
      </c>
      <c r="Z510" s="8">
        <v>9</v>
      </c>
      <c r="AA510">
        <v>4.5</v>
      </c>
      <c r="AB510">
        <v>0.17777777777777778</v>
      </c>
      <c r="AC510">
        <v>2</v>
      </c>
      <c r="AD510" s="1">
        <v>10</v>
      </c>
      <c r="AE510" s="2">
        <v>46258</v>
      </c>
      <c r="AF510" s="2">
        <v>46266</v>
      </c>
      <c r="AG510" s="2">
        <v>46273</v>
      </c>
      <c r="AH510">
        <v>3</v>
      </c>
      <c r="AI510" s="3">
        <v>0.34482758620689657</v>
      </c>
      <c r="AJ510" s="1">
        <v>29</v>
      </c>
      <c r="AK510" s="2">
        <v>46292</v>
      </c>
      <c r="AL510" s="4">
        <v>30</v>
      </c>
      <c r="AM510" s="5">
        <v>15</v>
      </c>
      <c r="AN510" s="4">
        <v>10</v>
      </c>
      <c r="AO510">
        <v>3.1034482758620694</v>
      </c>
      <c r="AP510" s="4">
        <v>1</v>
      </c>
      <c r="AQ510" t="s">
        <v>1619</v>
      </c>
      <c r="AR510" t="s">
        <v>1620</v>
      </c>
      <c r="AT510" s="16">
        <f>_xlfn.XLOOKUP(B510,'SWiSH Demand Forecast Sep-26'!D:D,'SWiSH Demand Forecast Sep-26'!G:G,"Not Exist")</f>
        <v>8.6545000000000005</v>
      </c>
    </row>
    <row r="511" spans="1:46" x14ac:dyDescent="0.3">
      <c r="A511">
        <v>101400003</v>
      </c>
      <c r="B511" t="s">
        <v>2402</v>
      </c>
      <c r="C511" t="s">
        <v>136</v>
      </c>
      <c r="D511" t="s">
        <v>1613</v>
      </c>
      <c r="E511" t="s">
        <v>1732</v>
      </c>
      <c r="F511" t="s">
        <v>1644</v>
      </c>
      <c r="G511" t="s">
        <v>1624</v>
      </c>
      <c r="H511" t="s">
        <v>1693</v>
      </c>
      <c r="I511" t="s">
        <v>1634</v>
      </c>
      <c r="J511" t="s">
        <v>1878</v>
      </c>
      <c r="K511">
        <v>3</v>
      </c>
      <c r="L511">
        <v>45</v>
      </c>
      <c r="M511" s="1">
        <v>3</v>
      </c>
      <c r="N511">
        <v>0</v>
      </c>
      <c r="O511">
        <v>0</v>
      </c>
      <c r="P511">
        <v>15</v>
      </c>
      <c r="Q511" s="1">
        <v>15</v>
      </c>
      <c r="R511">
        <v>45</v>
      </c>
      <c r="S511" s="2">
        <v>46175</v>
      </c>
      <c r="T511" s="2">
        <v>46199</v>
      </c>
      <c r="U511">
        <v>0</v>
      </c>
      <c r="V511">
        <v>0</v>
      </c>
      <c r="W511">
        <v>45</v>
      </c>
      <c r="X511">
        <v>0</v>
      </c>
      <c r="Y511">
        <v>0</v>
      </c>
      <c r="Z511" s="8">
        <v>45</v>
      </c>
      <c r="AA511">
        <v>11.25</v>
      </c>
      <c r="AB511">
        <v>0</v>
      </c>
      <c r="AC511">
        <v>4</v>
      </c>
      <c r="AD511" s="1">
        <v>10</v>
      </c>
      <c r="AE511" s="2">
        <v>46258</v>
      </c>
      <c r="AF511" s="2">
        <v>46266</v>
      </c>
      <c r="AG511" s="2">
        <v>46273</v>
      </c>
      <c r="AH511">
        <v>0</v>
      </c>
      <c r="AI511" s="3">
        <v>0</v>
      </c>
      <c r="AJ511" s="1" t="s">
        <v>1635</v>
      </c>
      <c r="AK511" s="2" t="s">
        <v>1635</v>
      </c>
      <c r="AL511" s="4">
        <v>30</v>
      </c>
      <c r="AM511" s="5">
        <v>15</v>
      </c>
      <c r="AN511" s="4">
        <v>10</v>
      </c>
      <c r="AO511">
        <v>0</v>
      </c>
      <c r="AP511" s="4">
        <v>1</v>
      </c>
      <c r="AQ511">
        <v>1</v>
      </c>
      <c r="AR511" t="s">
        <v>2102</v>
      </c>
      <c r="AT511" s="16" t="str">
        <f>_xlfn.XLOOKUP(B511,'SWiSH Demand Forecast Sep-26'!D:D,'SWiSH Demand Forecast Sep-26'!G:G,"Not Exist")</f>
        <v>Not Exist</v>
      </c>
    </row>
    <row r="512" spans="1:46" x14ac:dyDescent="0.3">
      <c r="A512">
        <v>103900010</v>
      </c>
      <c r="B512" t="s">
        <v>2403</v>
      </c>
      <c r="C512" t="s">
        <v>136</v>
      </c>
      <c r="D512" t="s">
        <v>1613</v>
      </c>
      <c r="E512" t="s">
        <v>1707</v>
      </c>
      <c r="F512" t="s">
        <v>1840</v>
      </c>
      <c r="G512" t="s">
        <v>1624</v>
      </c>
      <c r="H512" t="s">
        <v>2063</v>
      </c>
      <c r="I512" t="s">
        <v>1618</v>
      </c>
      <c r="J512" t="s">
        <v>136</v>
      </c>
      <c r="K512">
        <v>5.6</v>
      </c>
      <c r="L512">
        <v>36.4</v>
      </c>
      <c r="M512" s="1">
        <v>7</v>
      </c>
      <c r="N512">
        <v>0</v>
      </c>
      <c r="O512">
        <v>0</v>
      </c>
      <c r="P512">
        <v>6.5</v>
      </c>
      <c r="Q512" s="1">
        <v>6.5</v>
      </c>
      <c r="R512">
        <v>5.6</v>
      </c>
      <c r="S512" s="2">
        <v>46240</v>
      </c>
      <c r="T512" s="2">
        <v>46259</v>
      </c>
      <c r="U512">
        <v>16</v>
      </c>
      <c r="V512">
        <v>18</v>
      </c>
      <c r="W512">
        <v>15.5</v>
      </c>
      <c r="X512">
        <v>17</v>
      </c>
      <c r="Y512">
        <v>15.5</v>
      </c>
      <c r="Z512" s="8">
        <v>18</v>
      </c>
      <c r="AA512">
        <v>16.625</v>
      </c>
      <c r="AB512">
        <v>0.93233082706766912</v>
      </c>
      <c r="AC512">
        <v>1.0827067669172932</v>
      </c>
      <c r="AD512" s="1">
        <v>10</v>
      </c>
      <c r="AE512" s="2">
        <v>46258</v>
      </c>
      <c r="AF512" s="2">
        <v>46266</v>
      </c>
      <c r="AG512" s="2">
        <v>46273</v>
      </c>
      <c r="AH512">
        <v>10.5</v>
      </c>
      <c r="AI512" s="3">
        <v>0.60344827586206895</v>
      </c>
      <c r="AJ512" s="1">
        <v>17</v>
      </c>
      <c r="AK512" s="2">
        <v>46280</v>
      </c>
      <c r="AL512" s="4">
        <v>30</v>
      </c>
      <c r="AM512" s="5">
        <v>15</v>
      </c>
      <c r="AN512" s="4">
        <v>10</v>
      </c>
      <c r="AO512">
        <v>10.862068965517242</v>
      </c>
      <c r="AP512" s="4">
        <v>1</v>
      </c>
      <c r="AQ512" t="s">
        <v>1619</v>
      </c>
      <c r="AR512" t="s">
        <v>1859</v>
      </c>
      <c r="AT512" s="16" t="str">
        <f>_xlfn.XLOOKUP(B512,'SWiSH Demand Forecast Sep-26'!D:D,'SWiSH Demand Forecast Sep-26'!G:G,"Not Exist")</f>
        <v>Not Exist</v>
      </c>
    </row>
    <row r="513" spans="1:46" x14ac:dyDescent="0.3">
      <c r="A513">
        <v>106700047</v>
      </c>
      <c r="B513" t="s">
        <v>2404</v>
      </c>
      <c r="C513" t="s">
        <v>10</v>
      </c>
      <c r="D513" t="s">
        <v>1613</v>
      </c>
      <c r="E513" t="s">
        <v>1630</v>
      </c>
      <c r="F513" t="s">
        <v>1650</v>
      </c>
      <c r="G513" t="s">
        <v>1624</v>
      </c>
      <c r="H513" t="s">
        <v>1651</v>
      </c>
      <c r="I513" t="s">
        <v>1634</v>
      </c>
      <c r="J513" t="s">
        <v>10</v>
      </c>
      <c r="K513">
        <v>7.4999999999999997E-3</v>
      </c>
      <c r="L513">
        <v>6.75</v>
      </c>
      <c r="M513" s="1">
        <v>3</v>
      </c>
      <c r="N513">
        <v>0</v>
      </c>
      <c r="O513">
        <v>0</v>
      </c>
      <c r="P513">
        <v>900</v>
      </c>
      <c r="Q513" s="1">
        <v>900</v>
      </c>
      <c r="R513">
        <v>0.375</v>
      </c>
      <c r="S513" s="2">
        <v>46259</v>
      </c>
      <c r="T513" s="2">
        <v>46263</v>
      </c>
      <c r="U513">
        <v>2650</v>
      </c>
      <c r="V513">
        <v>1100</v>
      </c>
      <c r="W513">
        <v>1200</v>
      </c>
      <c r="X513">
        <v>1200</v>
      </c>
      <c r="Y513">
        <v>1100</v>
      </c>
      <c r="Z513" s="8">
        <v>2650</v>
      </c>
      <c r="AA513">
        <v>1537.5</v>
      </c>
      <c r="AB513">
        <v>0.71544715447154472</v>
      </c>
      <c r="AC513">
        <v>1.7235772357723578</v>
      </c>
      <c r="AD513" s="1">
        <v>10</v>
      </c>
      <c r="AE513" s="2">
        <v>46258</v>
      </c>
      <c r="AF513" s="2">
        <v>46266</v>
      </c>
      <c r="AG513" s="2">
        <v>46273</v>
      </c>
      <c r="AH513">
        <v>1650</v>
      </c>
      <c r="AI513" s="3">
        <v>0.64411190631099546</v>
      </c>
      <c r="AJ513" s="1">
        <v>15</v>
      </c>
      <c r="AK513" s="2">
        <v>46278</v>
      </c>
      <c r="AL513" s="4">
        <v>30</v>
      </c>
      <c r="AM513" s="5">
        <v>15</v>
      </c>
      <c r="AN513" s="4">
        <v>10</v>
      </c>
      <c r="AO513">
        <v>1706.8965517241379</v>
      </c>
      <c r="AP513" s="4">
        <v>1</v>
      </c>
      <c r="AQ513" t="s">
        <v>1619</v>
      </c>
      <c r="AR513" t="s">
        <v>1620</v>
      </c>
      <c r="AT513" s="16" t="str">
        <f>_xlfn.XLOOKUP(B513,'SWiSH Demand Forecast Sep-26'!D:D,'SWiSH Demand Forecast Sep-26'!G:G,"Not Exist")</f>
        <v>Not Exist</v>
      </c>
    </row>
    <row r="514" spans="1:46" hidden="1" x14ac:dyDescent="0.3">
      <c r="A514">
        <v>106600102</v>
      </c>
      <c r="B514" t="s">
        <v>26</v>
      </c>
      <c r="C514" t="s">
        <v>10</v>
      </c>
      <c r="D514" t="s">
        <v>1613</v>
      </c>
      <c r="E514" t="s">
        <v>1663</v>
      </c>
      <c r="F514" t="s">
        <v>1664</v>
      </c>
      <c r="G514" t="s">
        <v>1624</v>
      </c>
      <c r="H514" t="s">
        <v>1723</v>
      </c>
      <c r="I514" t="s">
        <v>1634</v>
      </c>
      <c r="J514" t="s">
        <v>10</v>
      </c>
      <c r="K514">
        <v>5.1361899999999997E-3</v>
      </c>
      <c r="L514">
        <v>205.44759999999999</v>
      </c>
      <c r="M514" s="1">
        <v>15</v>
      </c>
      <c r="N514">
        <v>0</v>
      </c>
      <c r="O514">
        <v>0</v>
      </c>
      <c r="P514">
        <v>40000</v>
      </c>
      <c r="Q514" s="1">
        <v>40000</v>
      </c>
      <c r="R514">
        <v>5.4000000000000003E-3</v>
      </c>
      <c r="S514" s="2">
        <v>46247</v>
      </c>
      <c r="T514" s="2">
        <v>46260</v>
      </c>
      <c r="U514">
        <v>76000</v>
      </c>
      <c r="V514">
        <v>120000</v>
      </c>
      <c r="W514">
        <v>105000</v>
      </c>
      <c r="X514">
        <v>105000</v>
      </c>
      <c r="Y514">
        <v>76000</v>
      </c>
      <c r="Z514" s="8">
        <v>120000</v>
      </c>
      <c r="AA514">
        <v>101500</v>
      </c>
      <c r="AB514">
        <v>0.74876847290640391</v>
      </c>
      <c r="AC514">
        <v>1.1822660098522169</v>
      </c>
      <c r="AD514" s="1">
        <v>10</v>
      </c>
      <c r="AE514" s="2">
        <v>46258</v>
      </c>
      <c r="AF514" s="2">
        <v>46266</v>
      </c>
      <c r="AG514" s="2">
        <v>46273</v>
      </c>
      <c r="AH514">
        <v>112000</v>
      </c>
      <c r="AI514" s="3">
        <v>0.96551724137931039</v>
      </c>
      <c r="AJ514" s="1">
        <v>10</v>
      </c>
      <c r="AK514" s="2">
        <v>46273</v>
      </c>
      <c r="AL514" s="4">
        <v>30</v>
      </c>
      <c r="AM514" s="5">
        <v>15</v>
      </c>
      <c r="AN514" s="4">
        <v>10</v>
      </c>
      <c r="AO514">
        <v>115862.06896551725</v>
      </c>
      <c r="AP514" s="4">
        <v>1</v>
      </c>
      <c r="AQ514">
        <v>477600</v>
      </c>
      <c r="AR514" t="s">
        <v>2034</v>
      </c>
      <c r="AT514" s="16">
        <f>_xlfn.XLOOKUP(B514,'SWiSH Demand Forecast Sep-26'!D:D,'SWiSH Demand Forecast Sep-26'!G:G,"Not Exist")</f>
        <v>101117</v>
      </c>
    </row>
    <row r="515" spans="1:46" x14ac:dyDescent="0.3">
      <c r="A515">
        <v>106700040</v>
      </c>
      <c r="B515" t="s">
        <v>2405</v>
      </c>
      <c r="C515" t="s">
        <v>10</v>
      </c>
      <c r="D515" t="s">
        <v>1613</v>
      </c>
      <c r="E515" t="s">
        <v>1775</v>
      </c>
      <c r="F515" t="s">
        <v>1650</v>
      </c>
      <c r="G515" t="s">
        <v>1624</v>
      </c>
      <c r="H515" t="s">
        <v>1651</v>
      </c>
      <c r="I515" t="s">
        <v>1634</v>
      </c>
      <c r="J515" t="s">
        <v>10</v>
      </c>
      <c r="K515">
        <v>1.5</v>
      </c>
      <c r="L515">
        <v>1.5</v>
      </c>
      <c r="M515" s="1">
        <v>3</v>
      </c>
      <c r="N515">
        <v>0</v>
      </c>
      <c r="O515">
        <v>0</v>
      </c>
      <c r="P515">
        <v>1</v>
      </c>
      <c r="Q515" s="1">
        <v>1</v>
      </c>
      <c r="R515">
        <v>1.5</v>
      </c>
      <c r="S515" s="2">
        <v>46237</v>
      </c>
      <c r="T515" s="2">
        <v>46252</v>
      </c>
      <c r="U515">
        <v>1</v>
      </c>
      <c r="V515">
        <v>3</v>
      </c>
      <c r="W515">
        <v>2</v>
      </c>
      <c r="X515">
        <v>3</v>
      </c>
      <c r="Y515">
        <v>1</v>
      </c>
      <c r="Z515" s="8">
        <v>3</v>
      </c>
      <c r="AA515">
        <v>2.25</v>
      </c>
      <c r="AB515">
        <v>0.44444444444444442</v>
      </c>
      <c r="AC515">
        <v>1.3333333333333333</v>
      </c>
      <c r="AD515" s="1">
        <v>10</v>
      </c>
      <c r="AE515" s="2">
        <v>46258</v>
      </c>
      <c r="AF515" s="2">
        <v>46266</v>
      </c>
      <c r="AG515" s="2">
        <v>46273</v>
      </c>
      <c r="AH515">
        <v>2</v>
      </c>
      <c r="AI515" s="3">
        <v>0.68965517241379315</v>
      </c>
      <c r="AJ515" s="1">
        <v>14</v>
      </c>
      <c r="AK515" s="2">
        <v>46277</v>
      </c>
      <c r="AL515" s="4">
        <v>30</v>
      </c>
      <c r="AM515" s="5">
        <v>15</v>
      </c>
      <c r="AN515" s="4">
        <v>10</v>
      </c>
      <c r="AO515">
        <v>2.0689655172413794</v>
      </c>
      <c r="AP515" s="4">
        <v>1</v>
      </c>
      <c r="AQ515" t="s">
        <v>1619</v>
      </c>
      <c r="AR515" t="s">
        <v>1620</v>
      </c>
      <c r="AT515" s="16" t="str">
        <f>_xlfn.XLOOKUP(B515,'SWiSH Demand Forecast Sep-26'!D:D,'SWiSH Demand Forecast Sep-26'!G:G,"Not Exist")</f>
        <v>Not Exist</v>
      </c>
    </row>
    <row r="516" spans="1:46" x14ac:dyDescent="0.3">
      <c r="A516">
        <v>101400057</v>
      </c>
      <c r="B516" t="s">
        <v>2406</v>
      </c>
      <c r="C516" t="s">
        <v>10</v>
      </c>
      <c r="D516" t="s">
        <v>1613</v>
      </c>
      <c r="E516" t="s">
        <v>2212</v>
      </c>
      <c r="F516" t="s">
        <v>1644</v>
      </c>
      <c r="G516" t="s">
        <v>1624</v>
      </c>
      <c r="H516" t="s">
        <v>1693</v>
      </c>
      <c r="I516" t="s">
        <v>1634</v>
      </c>
      <c r="J516" t="s">
        <v>2407</v>
      </c>
      <c r="K516">
        <v>0.4</v>
      </c>
      <c r="L516">
        <v>240</v>
      </c>
      <c r="M516" s="1">
        <v>3</v>
      </c>
      <c r="N516">
        <v>0</v>
      </c>
      <c r="O516">
        <v>0</v>
      </c>
      <c r="P516">
        <v>600</v>
      </c>
      <c r="Q516" s="1">
        <v>600</v>
      </c>
      <c r="R516">
        <v>75</v>
      </c>
      <c r="S516" s="2">
        <v>46205</v>
      </c>
      <c r="T516" s="2">
        <v>46254</v>
      </c>
      <c r="U516">
        <v>900</v>
      </c>
      <c r="V516">
        <v>1050</v>
      </c>
      <c r="W516">
        <v>1800</v>
      </c>
      <c r="X516">
        <v>900</v>
      </c>
      <c r="Y516">
        <v>900</v>
      </c>
      <c r="Z516" s="8">
        <v>1800</v>
      </c>
      <c r="AA516">
        <v>1162.5</v>
      </c>
      <c r="AB516">
        <v>0.77419354838709675</v>
      </c>
      <c r="AC516">
        <v>1.5483870967741935</v>
      </c>
      <c r="AD516" s="1">
        <v>10</v>
      </c>
      <c r="AE516" s="2">
        <v>46258</v>
      </c>
      <c r="AF516" s="2">
        <v>46266</v>
      </c>
      <c r="AG516" s="2">
        <v>46273</v>
      </c>
      <c r="AH516">
        <v>900</v>
      </c>
      <c r="AI516" s="3">
        <v>0.51724137931034486</v>
      </c>
      <c r="AJ516" s="1">
        <v>19</v>
      </c>
      <c r="AK516" s="2">
        <v>46282</v>
      </c>
      <c r="AL516" s="4">
        <v>30</v>
      </c>
      <c r="AM516" s="5">
        <v>15</v>
      </c>
      <c r="AN516" s="4">
        <v>10</v>
      </c>
      <c r="AO516">
        <v>931.0344827586207</v>
      </c>
      <c r="AP516" s="4">
        <v>1</v>
      </c>
      <c r="AQ516" t="s">
        <v>1619</v>
      </c>
      <c r="AR516" t="s">
        <v>1620</v>
      </c>
      <c r="AT516" s="16" t="str">
        <f>_xlfn.XLOOKUP(B516,'SWiSH Demand Forecast Sep-26'!D:D,'SWiSH Demand Forecast Sep-26'!G:G,"Not Exist")</f>
        <v>Not Exist</v>
      </c>
    </row>
    <row r="517" spans="1:46" x14ac:dyDescent="0.3">
      <c r="A517">
        <v>101400001</v>
      </c>
      <c r="B517" t="s">
        <v>2408</v>
      </c>
      <c r="C517" t="s">
        <v>10</v>
      </c>
      <c r="D517" t="s">
        <v>1613</v>
      </c>
      <c r="E517" t="s">
        <v>2409</v>
      </c>
      <c r="F517" t="s">
        <v>1644</v>
      </c>
      <c r="G517" t="s">
        <v>1624</v>
      </c>
      <c r="H517" t="s">
        <v>1693</v>
      </c>
      <c r="I517" t="s">
        <v>1634</v>
      </c>
      <c r="J517" t="s">
        <v>10</v>
      </c>
      <c r="K517">
        <v>0.63166999999999995</v>
      </c>
      <c r="L517">
        <v>11.370059999999999</v>
      </c>
      <c r="M517" s="1">
        <v>3</v>
      </c>
      <c r="N517">
        <v>0</v>
      </c>
      <c r="O517">
        <v>3</v>
      </c>
      <c r="P517">
        <v>18</v>
      </c>
      <c r="Q517" s="1">
        <v>15</v>
      </c>
      <c r="R517">
        <v>0.63166999999999995</v>
      </c>
      <c r="S517" s="2">
        <v>46245</v>
      </c>
      <c r="T517" s="2">
        <v>46259</v>
      </c>
      <c r="U517">
        <v>34</v>
      </c>
      <c r="V517">
        <v>40</v>
      </c>
      <c r="W517">
        <v>25</v>
      </c>
      <c r="X517">
        <v>43</v>
      </c>
      <c r="Y517">
        <v>25</v>
      </c>
      <c r="Z517" s="8">
        <v>43</v>
      </c>
      <c r="AA517">
        <v>35.5</v>
      </c>
      <c r="AB517">
        <v>0.70422535211267601</v>
      </c>
      <c r="AC517">
        <v>1.2112676056338028</v>
      </c>
      <c r="AD517" s="1">
        <v>10</v>
      </c>
      <c r="AE517" s="2">
        <v>46258</v>
      </c>
      <c r="AF517" s="2">
        <v>46266</v>
      </c>
      <c r="AG517" s="2">
        <v>46273</v>
      </c>
      <c r="AH517">
        <v>24</v>
      </c>
      <c r="AI517" s="3">
        <v>0.57738572574178026</v>
      </c>
      <c r="AJ517" s="1">
        <v>18</v>
      </c>
      <c r="AK517" s="2">
        <v>46281</v>
      </c>
      <c r="AL517" s="4">
        <v>30</v>
      </c>
      <c r="AM517" s="5">
        <v>15</v>
      </c>
      <c r="AN517" s="4">
        <v>10</v>
      </c>
      <c r="AO517">
        <v>24.827586206896552</v>
      </c>
      <c r="AP517" s="4">
        <v>1</v>
      </c>
      <c r="AQ517" t="s">
        <v>1619</v>
      </c>
      <c r="AR517" t="s">
        <v>1620</v>
      </c>
      <c r="AT517" s="16" t="str">
        <f>_xlfn.XLOOKUP(B517,'SWiSH Demand Forecast Sep-26'!D:D,'SWiSH Demand Forecast Sep-26'!G:G,"Not Exist")</f>
        <v>Not Exist</v>
      </c>
    </row>
    <row r="518" spans="1:46" x14ac:dyDescent="0.3">
      <c r="A518">
        <v>107400003</v>
      </c>
      <c r="B518" t="s">
        <v>2410</v>
      </c>
      <c r="C518" t="s">
        <v>10</v>
      </c>
      <c r="D518" t="s">
        <v>1613</v>
      </c>
      <c r="E518" t="s">
        <v>2411</v>
      </c>
      <c r="F518" t="s">
        <v>1631</v>
      </c>
      <c r="G518" t="s">
        <v>1624</v>
      </c>
      <c r="H518" t="s">
        <v>2016</v>
      </c>
      <c r="I518" t="s">
        <v>1634</v>
      </c>
      <c r="J518" t="s">
        <v>2412</v>
      </c>
      <c r="K518">
        <v>1.2E-2</v>
      </c>
      <c r="L518">
        <v>120</v>
      </c>
      <c r="M518" s="1">
        <v>15</v>
      </c>
      <c r="N518">
        <v>0</v>
      </c>
      <c r="O518">
        <v>0</v>
      </c>
      <c r="P518">
        <v>10000</v>
      </c>
      <c r="Q518" s="1">
        <v>10000</v>
      </c>
      <c r="R518">
        <v>7</v>
      </c>
      <c r="S518" s="2">
        <v>46247</v>
      </c>
      <c r="T518" s="2">
        <v>46260</v>
      </c>
      <c r="U518">
        <v>29000</v>
      </c>
      <c r="V518">
        <v>25000</v>
      </c>
      <c r="W518">
        <v>21500</v>
      </c>
      <c r="X518">
        <v>26500</v>
      </c>
      <c r="Y518">
        <v>21500</v>
      </c>
      <c r="Z518" s="8">
        <v>29000</v>
      </c>
      <c r="AA518">
        <v>25500</v>
      </c>
      <c r="AB518">
        <v>0.84313725490196079</v>
      </c>
      <c r="AC518">
        <v>1.1372549019607843</v>
      </c>
      <c r="AD518" s="1">
        <v>10</v>
      </c>
      <c r="AE518" s="2">
        <v>46258</v>
      </c>
      <c r="AF518" s="2">
        <v>46266</v>
      </c>
      <c r="AG518" s="2">
        <v>46273</v>
      </c>
      <c r="AH518">
        <v>16500</v>
      </c>
      <c r="AI518" s="3">
        <v>0.58858501783590966</v>
      </c>
      <c r="AJ518" s="1">
        <v>17</v>
      </c>
      <c r="AK518" s="2">
        <v>46280</v>
      </c>
      <c r="AL518" s="4">
        <v>30</v>
      </c>
      <c r="AM518" s="5">
        <v>15</v>
      </c>
      <c r="AN518" s="4">
        <v>10</v>
      </c>
      <c r="AO518">
        <v>17068.96551724138</v>
      </c>
      <c r="AP518" s="4">
        <v>1</v>
      </c>
      <c r="AQ518" t="s">
        <v>1619</v>
      </c>
      <c r="AR518" t="s">
        <v>1620</v>
      </c>
      <c r="AT518" s="16" t="str">
        <f>_xlfn.XLOOKUP(B518,'SWiSH Demand Forecast Sep-26'!D:D,'SWiSH Demand Forecast Sep-26'!G:G,"Not Exist")</f>
        <v>Not Exist</v>
      </c>
    </row>
    <row r="519" spans="1:46" x14ac:dyDescent="0.3">
      <c r="A519">
        <v>106300022</v>
      </c>
      <c r="B519" t="s">
        <v>2413</v>
      </c>
      <c r="C519" t="s">
        <v>136</v>
      </c>
      <c r="D519" t="s">
        <v>1613</v>
      </c>
      <c r="E519" t="s">
        <v>1832</v>
      </c>
      <c r="F519" t="s">
        <v>1615</v>
      </c>
      <c r="G519" t="s">
        <v>1616</v>
      </c>
      <c r="H519" t="s">
        <v>1860</v>
      </c>
      <c r="I519" t="s">
        <v>1618</v>
      </c>
      <c r="J519" t="s">
        <v>136</v>
      </c>
      <c r="K519">
        <v>2.5</v>
      </c>
      <c r="L519">
        <v>5</v>
      </c>
      <c r="M519" s="1">
        <v>3</v>
      </c>
      <c r="N519">
        <v>0</v>
      </c>
      <c r="O519">
        <v>0</v>
      </c>
      <c r="P519">
        <v>2</v>
      </c>
      <c r="Q519" s="1">
        <v>2</v>
      </c>
      <c r="R519">
        <v>2.5</v>
      </c>
      <c r="S519" s="2">
        <v>46198</v>
      </c>
      <c r="T519" s="2">
        <v>46261</v>
      </c>
      <c r="U519">
        <v>6</v>
      </c>
      <c r="V519">
        <v>3</v>
      </c>
      <c r="W519">
        <v>2</v>
      </c>
      <c r="X519">
        <v>6</v>
      </c>
      <c r="Y519">
        <v>2</v>
      </c>
      <c r="Z519" s="8">
        <v>6</v>
      </c>
      <c r="AA519">
        <v>4.25</v>
      </c>
      <c r="AB519">
        <v>0.47058823529411764</v>
      </c>
      <c r="AC519">
        <v>1.411764705882353</v>
      </c>
      <c r="AD519" s="1">
        <v>10</v>
      </c>
      <c r="AE519" s="2">
        <v>46258</v>
      </c>
      <c r="AF519" s="2">
        <v>46266</v>
      </c>
      <c r="AG519" s="2">
        <v>46273</v>
      </c>
      <c r="AH519">
        <v>4</v>
      </c>
      <c r="AI519" s="3">
        <v>0.68965517241379315</v>
      </c>
      <c r="AJ519" s="1">
        <v>14</v>
      </c>
      <c r="AK519" s="2">
        <v>46277</v>
      </c>
      <c r="AL519" s="4">
        <v>30</v>
      </c>
      <c r="AM519" s="5">
        <v>15</v>
      </c>
      <c r="AN519" s="4">
        <v>10</v>
      </c>
      <c r="AO519">
        <v>4.1379310344827589</v>
      </c>
      <c r="AP519" s="4">
        <v>1</v>
      </c>
      <c r="AQ519" t="s">
        <v>1619</v>
      </c>
      <c r="AR519" t="s">
        <v>1620</v>
      </c>
      <c r="AT519" s="16" t="str">
        <f>_xlfn.XLOOKUP(B519,'SWiSH Demand Forecast Sep-26'!D:D,'SWiSH Demand Forecast Sep-26'!G:G,"Not Exist")</f>
        <v>Not Exist</v>
      </c>
    </row>
    <row r="520" spans="1:46" hidden="1" x14ac:dyDescent="0.3">
      <c r="A520">
        <v>103100002</v>
      </c>
      <c r="B520" t="s">
        <v>70</v>
      </c>
      <c r="C520" t="s">
        <v>10</v>
      </c>
      <c r="D520" t="s">
        <v>1613</v>
      </c>
      <c r="E520" t="s">
        <v>2414</v>
      </c>
      <c r="F520" t="s">
        <v>1752</v>
      </c>
      <c r="G520" t="s">
        <v>1616</v>
      </c>
      <c r="H520" t="s">
        <v>1869</v>
      </c>
      <c r="I520" t="s">
        <v>1754</v>
      </c>
      <c r="J520" t="s">
        <v>2415</v>
      </c>
      <c r="K520">
        <v>8.6377780000000001E-2</v>
      </c>
      <c r="L520">
        <v>1889.0820486</v>
      </c>
      <c r="M520" s="1">
        <v>3</v>
      </c>
      <c r="N520">
        <v>0</v>
      </c>
      <c r="O520">
        <v>2250</v>
      </c>
      <c r="P520">
        <v>21870</v>
      </c>
      <c r="Q520" s="1">
        <v>19620</v>
      </c>
      <c r="R520">
        <v>7.774</v>
      </c>
      <c r="S520" s="2">
        <v>46261</v>
      </c>
      <c r="T520" s="2">
        <v>46263</v>
      </c>
      <c r="U520">
        <v>48606</v>
      </c>
      <c r="V520">
        <v>48774</v>
      </c>
      <c r="W520">
        <v>55800</v>
      </c>
      <c r="X520">
        <v>56700</v>
      </c>
      <c r="Y520">
        <v>48606</v>
      </c>
      <c r="Z520" s="8">
        <v>56700</v>
      </c>
      <c r="AA520">
        <v>52470</v>
      </c>
      <c r="AB520">
        <v>0.92635791881074903</v>
      </c>
      <c r="AC520">
        <v>1.0806174957118353</v>
      </c>
      <c r="AD520" s="1">
        <v>10</v>
      </c>
      <c r="AE520" s="2">
        <v>46258</v>
      </c>
      <c r="AF520" s="2">
        <v>46266</v>
      </c>
      <c r="AG520" s="2">
        <v>46273</v>
      </c>
      <c r="AH520">
        <v>61380</v>
      </c>
      <c r="AI520" s="3">
        <v>1.1198686371100164</v>
      </c>
      <c r="AJ520" s="1">
        <v>9</v>
      </c>
      <c r="AK520" s="2">
        <v>46272</v>
      </c>
      <c r="AL520" s="4">
        <v>4</v>
      </c>
      <c r="AM520" s="5">
        <v>3</v>
      </c>
      <c r="AN520" s="4">
        <v>9</v>
      </c>
      <c r="AO520">
        <v>8466.2068965517246</v>
      </c>
      <c r="AP520" s="4">
        <v>9</v>
      </c>
      <c r="AQ520" t="s">
        <v>1619</v>
      </c>
      <c r="AR520" t="s">
        <v>2416</v>
      </c>
      <c r="AT520" s="16">
        <f>_xlfn.XLOOKUP(B520,'SWiSH Demand Forecast Sep-26'!D:D,'SWiSH Demand Forecast Sep-26'!G:G,"Not Exist")</f>
        <v>30465</v>
      </c>
    </row>
    <row r="521" spans="1:46" x14ac:dyDescent="0.3">
      <c r="A521">
        <v>105600008</v>
      </c>
      <c r="B521" t="s">
        <v>2417</v>
      </c>
      <c r="C521" t="s">
        <v>136</v>
      </c>
      <c r="D521" t="s">
        <v>1613</v>
      </c>
      <c r="E521" t="s">
        <v>2418</v>
      </c>
      <c r="F521" t="s">
        <v>1631</v>
      </c>
      <c r="G521" t="s">
        <v>1624</v>
      </c>
      <c r="H521" t="s">
        <v>1679</v>
      </c>
      <c r="I521" t="s">
        <v>1634</v>
      </c>
      <c r="J521" t="s">
        <v>136</v>
      </c>
      <c r="K521">
        <v>0.6</v>
      </c>
      <c r="L521">
        <v>76.8</v>
      </c>
      <c r="M521" s="1">
        <v>30</v>
      </c>
      <c r="N521">
        <v>0</v>
      </c>
      <c r="O521">
        <v>0</v>
      </c>
      <c r="P521">
        <v>128</v>
      </c>
      <c r="Q521" s="1">
        <v>128</v>
      </c>
      <c r="R521">
        <v>0.6</v>
      </c>
      <c r="S521" s="2">
        <v>46209</v>
      </c>
      <c r="T521" s="2">
        <v>46263</v>
      </c>
      <c r="U521">
        <v>366</v>
      </c>
      <c r="V521">
        <v>348</v>
      </c>
      <c r="W521">
        <v>375</v>
      </c>
      <c r="X521">
        <v>223</v>
      </c>
      <c r="Y521">
        <v>223</v>
      </c>
      <c r="Z521" s="8">
        <v>375</v>
      </c>
      <c r="AA521">
        <v>328</v>
      </c>
      <c r="AB521">
        <v>0.67987804878048785</v>
      </c>
      <c r="AC521">
        <v>1.1432926829268293</v>
      </c>
      <c r="AD521" s="1">
        <v>10</v>
      </c>
      <c r="AE521" s="2">
        <v>46258</v>
      </c>
      <c r="AF521" s="2">
        <v>46266</v>
      </c>
      <c r="AG521" s="2">
        <v>46273</v>
      </c>
      <c r="AH521">
        <v>177</v>
      </c>
      <c r="AI521" s="3">
        <v>0.4882758620689655</v>
      </c>
      <c r="AJ521" s="1">
        <v>20</v>
      </c>
      <c r="AK521" s="2">
        <v>46283</v>
      </c>
      <c r="AL521" s="4">
        <v>15</v>
      </c>
      <c r="AM521" s="5">
        <v>15</v>
      </c>
      <c r="AN521" s="4">
        <v>10</v>
      </c>
      <c r="AO521">
        <v>91.551724137931032</v>
      </c>
      <c r="AP521" s="4">
        <v>2</v>
      </c>
      <c r="AQ521" t="s">
        <v>1619</v>
      </c>
      <c r="AR521" t="s">
        <v>2178</v>
      </c>
      <c r="AT521" s="16" t="str">
        <f>_xlfn.XLOOKUP(B521,'SWiSH Demand Forecast Sep-26'!D:D,'SWiSH Demand Forecast Sep-26'!G:G,"Not Exist")</f>
        <v>Not Exist</v>
      </c>
    </row>
    <row r="522" spans="1:46" x14ac:dyDescent="0.3">
      <c r="A522">
        <v>105600007</v>
      </c>
      <c r="B522" t="s">
        <v>2419</v>
      </c>
      <c r="C522" t="s">
        <v>136</v>
      </c>
      <c r="D522" t="s">
        <v>1613</v>
      </c>
      <c r="E522" t="s">
        <v>2420</v>
      </c>
      <c r="F522" t="s">
        <v>1631</v>
      </c>
      <c r="G522" t="s">
        <v>1624</v>
      </c>
      <c r="H522" t="s">
        <v>1679</v>
      </c>
      <c r="I522" t="s">
        <v>1634</v>
      </c>
      <c r="J522" t="s">
        <v>136</v>
      </c>
      <c r="K522">
        <v>0.59999731999999995</v>
      </c>
      <c r="L522">
        <v>88.199606039999992</v>
      </c>
      <c r="M522" s="1">
        <v>30</v>
      </c>
      <c r="N522">
        <v>0</v>
      </c>
      <c r="O522">
        <v>4</v>
      </c>
      <c r="P522">
        <v>147</v>
      </c>
      <c r="Q522" s="1">
        <v>143</v>
      </c>
      <c r="R522">
        <v>0.6</v>
      </c>
      <c r="S522" s="2">
        <v>46203</v>
      </c>
      <c r="T522" s="2">
        <v>46263</v>
      </c>
      <c r="U522">
        <v>301</v>
      </c>
      <c r="V522">
        <v>415</v>
      </c>
      <c r="W522">
        <v>260</v>
      </c>
      <c r="X522">
        <v>212</v>
      </c>
      <c r="Y522">
        <v>212</v>
      </c>
      <c r="Z522" s="8">
        <v>415</v>
      </c>
      <c r="AA522">
        <v>297</v>
      </c>
      <c r="AB522">
        <v>0.71380471380471378</v>
      </c>
      <c r="AC522">
        <v>1.3973063973063973</v>
      </c>
      <c r="AD522" s="1">
        <v>10</v>
      </c>
      <c r="AE522" s="2">
        <v>46258</v>
      </c>
      <c r="AF522" s="2">
        <v>46266</v>
      </c>
      <c r="AG522" s="2">
        <v>46273</v>
      </c>
      <c r="AH522">
        <v>182</v>
      </c>
      <c r="AI522" s="3">
        <v>0.45367677606979645</v>
      </c>
      <c r="AJ522" s="1">
        <v>22</v>
      </c>
      <c r="AK522" s="2">
        <v>46285</v>
      </c>
      <c r="AL522" s="4">
        <v>15</v>
      </c>
      <c r="AM522" s="5">
        <v>15</v>
      </c>
      <c r="AN522" s="4">
        <v>10</v>
      </c>
      <c r="AO522">
        <v>94.137931034482762</v>
      </c>
      <c r="AP522" s="4">
        <v>2</v>
      </c>
      <c r="AQ522" t="s">
        <v>1619</v>
      </c>
      <c r="AR522" t="s">
        <v>1620</v>
      </c>
      <c r="AT522" s="16" t="str">
        <f>_xlfn.XLOOKUP(B522,'SWiSH Demand Forecast Sep-26'!D:D,'SWiSH Demand Forecast Sep-26'!G:G,"Not Exist")</f>
        <v>Not Exist</v>
      </c>
    </row>
    <row r="523" spans="1:46" hidden="1" x14ac:dyDescent="0.3">
      <c r="A523">
        <v>107400054</v>
      </c>
      <c r="B523" t="s">
        <v>117</v>
      </c>
      <c r="C523" t="s">
        <v>10</v>
      </c>
      <c r="D523" t="s">
        <v>1613</v>
      </c>
      <c r="E523" t="s">
        <v>2147</v>
      </c>
      <c r="F523" t="s">
        <v>1664</v>
      </c>
      <c r="G523" t="s">
        <v>1624</v>
      </c>
      <c r="H523" t="s">
        <v>2016</v>
      </c>
      <c r="I523" t="s">
        <v>1634</v>
      </c>
      <c r="J523" t="s">
        <v>10</v>
      </c>
      <c r="K523">
        <v>6.0000000000000001E-3</v>
      </c>
      <c r="L523">
        <v>246</v>
      </c>
      <c r="M523" s="1">
        <v>15</v>
      </c>
      <c r="N523">
        <v>0</v>
      </c>
      <c r="O523">
        <v>0</v>
      </c>
      <c r="P523">
        <v>41000</v>
      </c>
      <c r="Q523" s="1">
        <v>41000</v>
      </c>
      <c r="R523">
        <v>6.0000000000000001E-3</v>
      </c>
      <c r="S523" s="2">
        <v>46259</v>
      </c>
      <c r="T523" s="2">
        <v>46263</v>
      </c>
      <c r="U523">
        <v>90000</v>
      </c>
      <c r="V523">
        <v>106000</v>
      </c>
      <c r="W523">
        <v>101000</v>
      </c>
      <c r="X523">
        <v>112000</v>
      </c>
      <c r="Y523">
        <v>90000</v>
      </c>
      <c r="Z523" s="8">
        <v>112000</v>
      </c>
      <c r="AA523">
        <v>102250</v>
      </c>
      <c r="AB523">
        <v>0.88019559902200484</v>
      </c>
      <c r="AC523">
        <v>1.0953545232273838</v>
      </c>
      <c r="AD523" s="1">
        <v>10</v>
      </c>
      <c r="AE523" s="2">
        <v>46258</v>
      </c>
      <c r="AF523" s="2">
        <v>46266</v>
      </c>
      <c r="AG523" s="2">
        <v>46273</v>
      </c>
      <c r="AH523">
        <v>60000</v>
      </c>
      <c r="AI523" s="3">
        <v>0.55418719211822653</v>
      </c>
      <c r="AJ523" s="1">
        <v>19</v>
      </c>
      <c r="AK523" s="2">
        <v>46282</v>
      </c>
      <c r="AL523" s="4">
        <v>30</v>
      </c>
      <c r="AM523" s="5">
        <v>15</v>
      </c>
      <c r="AN523" s="4">
        <v>10</v>
      </c>
      <c r="AO523">
        <v>62068.96551724137</v>
      </c>
      <c r="AP523" s="4">
        <v>1</v>
      </c>
      <c r="AQ523">
        <v>140000</v>
      </c>
      <c r="AR523" t="s">
        <v>2034</v>
      </c>
      <c r="AT523" s="16">
        <f>_xlfn.XLOOKUP(B523,'SWiSH Demand Forecast Sep-26'!D:D,'SWiSH Demand Forecast Sep-26'!G:G,"Not Exist")</f>
        <v>16558.5</v>
      </c>
    </row>
    <row r="524" spans="1:46" hidden="1" x14ac:dyDescent="0.3">
      <c r="A524">
        <v>101300009</v>
      </c>
      <c r="B524" t="s">
        <v>625</v>
      </c>
      <c r="C524" t="s">
        <v>136</v>
      </c>
      <c r="D524" t="s">
        <v>1613</v>
      </c>
      <c r="E524" t="s">
        <v>1926</v>
      </c>
      <c r="F524" t="s">
        <v>1752</v>
      </c>
      <c r="G524" t="s">
        <v>1616</v>
      </c>
      <c r="H524" t="s">
        <v>1980</v>
      </c>
      <c r="I524" t="s">
        <v>1754</v>
      </c>
      <c r="J524" t="s">
        <v>2421</v>
      </c>
      <c r="K524">
        <v>2.8787702999999998</v>
      </c>
      <c r="L524">
        <v>1240.7499992999999</v>
      </c>
      <c r="M524" s="1">
        <v>3</v>
      </c>
      <c r="N524">
        <v>0</v>
      </c>
      <c r="O524">
        <v>0</v>
      </c>
      <c r="P524">
        <v>431</v>
      </c>
      <c r="Q524" s="1">
        <v>431</v>
      </c>
      <c r="R524">
        <v>49.63</v>
      </c>
      <c r="S524" s="2">
        <v>46256</v>
      </c>
      <c r="T524" s="2">
        <v>46263</v>
      </c>
      <c r="U524">
        <v>1293.0000000000005</v>
      </c>
      <c r="V524">
        <v>1275.7600000000004</v>
      </c>
      <c r="W524">
        <v>1189.5600000000004</v>
      </c>
      <c r="X524">
        <v>1224.0400000000004</v>
      </c>
      <c r="Y524">
        <v>1189.5600000000004</v>
      </c>
      <c r="Z524" s="8">
        <v>1293.0000000000005</v>
      </c>
      <c r="AA524">
        <v>1245.5900000000006</v>
      </c>
      <c r="AB524">
        <v>0.95501730103806215</v>
      </c>
      <c r="AC524">
        <v>1.0380622837370241</v>
      </c>
      <c r="AD524" s="1">
        <v>10</v>
      </c>
      <c r="AE524" s="2">
        <v>46258</v>
      </c>
      <c r="AF524" s="2">
        <v>46266</v>
      </c>
      <c r="AG524" s="2">
        <v>46273</v>
      </c>
      <c r="AH524">
        <v>982.6800000000004</v>
      </c>
      <c r="AI524" s="3">
        <v>0.78620689655172415</v>
      </c>
      <c r="AJ524" s="1">
        <v>12</v>
      </c>
      <c r="AK524" s="2">
        <v>46275</v>
      </c>
      <c r="AL524" s="4">
        <v>15</v>
      </c>
      <c r="AM524" s="5">
        <v>15</v>
      </c>
      <c r="AN524" s="4">
        <v>10</v>
      </c>
      <c r="AO524">
        <v>508.28275862068983</v>
      </c>
      <c r="AP524" s="4">
        <v>2</v>
      </c>
      <c r="AQ524" t="s">
        <v>1619</v>
      </c>
      <c r="AR524" t="s">
        <v>1620</v>
      </c>
      <c r="AT524" s="16">
        <f>_xlfn.XLOOKUP(B524,'SWiSH Demand Forecast Sep-26'!D:D,'SWiSH Demand Forecast Sep-26'!G:G,"Not Exist")</f>
        <v>888.41999999999905</v>
      </c>
    </row>
    <row r="525" spans="1:46" hidden="1" x14ac:dyDescent="0.3">
      <c r="A525">
        <v>100900011</v>
      </c>
      <c r="B525" t="s">
        <v>748</v>
      </c>
      <c r="C525" t="s">
        <v>10</v>
      </c>
      <c r="D525" t="s">
        <v>1613</v>
      </c>
      <c r="E525" t="s">
        <v>1701</v>
      </c>
      <c r="F525" t="s">
        <v>1639</v>
      </c>
      <c r="G525" t="s">
        <v>1616</v>
      </c>
      <c r="H525" t="s">
        <v>1640</v>
      </c>
      <c r="I525" t="s">
        <v>1618</v>
      </c>
      <c r="J525" t="s">
        <v>10</v>
      </c>
      <c r="K525">
        <v>0.16666666999999999</v>
      </c>
      <c r="L525">
        <v>20.000000399999998</v>
      </c>
      <c r="M525" s="1">
        <v>3</v>
      </c>
      <c r="N525">
        <v>0</v>
      </c>
      <c r="O525">
        <v>0</v>
      </c>
      <c r="P525">
        <v>120</v>
      </c>
      <c r="Q525" s="1">
        <v>120</v>
      </c>
      <c r="R525">
        <v>4</v>
      </c>
      <c r="S525" s="2">
        <v>46201</v>
      </c>
      <c r="T525" s="2">
        <v>46263</v>
      </c>
      <c r="U525">
        <v>360</v>
      </c>
      <c r="V525">
        <v>312</v>
      </c>
      <c r="W525">
        <v>288</v>
      </c>
      <c r="X525">
        <v>264</v>
      </c>
      <c r="Y525">
        <v>264</v>
      </c>
      <c r="Z525" s="8">
        <v>360</v>
      </c>
      <c r="AA525">
        <v>306</v>
      </c>
      <c r="AB525">
        <v>0.86274509803921573</v>
      </c>
      <c r="AC525">
        <v>1.1764705882352942</v>
      </c>
      <c r="AD525" s="1">
        <v>10</v>
      </c>
      <c r="AE525" s="2">
        <v>46258</v>
      </c>
      <c r="AF525" s="2">
        <v>46266</v>
      </c>
      <c r="AG525" s="2">
        <v>46273</v>
      </c>
      <c r="AH525">
        <v>192</v>
      </c>
      <c r="AI525" s="3">
        <v>0.55172413793103448</v>
      </c>
      <c r="AJ525" s="1">
        <v>18</v>
      </c>
      <c r="AK525" s="2">
        <v>46281</v>
      </c>
      <c r="AL525" s="4">
        <v>30</v>
      </c>
      <c r="AM525" s="5">
        <v>15</v>
      </c>
      <c r="AN525" s="4">
        <v>10</v>
      </c>
      <c r="AO525">
        <v>198.62068965517241</v>
      </c>
      <c r="AP525" s="4">
        <v>1</v>
      </c>
      <c r="AQ525">
        <v>5</v>
      </c>
      <c r="AR525" t="s">
        <v>2422</v>
      </c>
      <c r="AT525" s="16">
        <f>_xlfn.XLOOKUP(B525,'SWiSH Demand Forecast Sep-26'!D:D,'SWiSH Demand Forecast Sep-26'!G:G,"Not Exist")</f>
        <v>508</v>
      </c>
    </row>
    <row r="526" spans="1:46" hidden="1" x14ac:dyDescent="0.3">
      <c r="A526">
        <v>103700001</v>
      </c>
      <c r="B526" t="s">
        <v>1326</v>
      </c>
      <c r="C526" t="s">
        <v>136</v>
      </c>
      <c r="D526" t="s">
        <v>1613</v>
      </c>
      <c r="E526" t="s">
        <v>2423</v>
      </c>
      <c r="F526" t="s">
        <v>1615</v>
      </c>
      <c r="G526" t="s">
        <v>1616</v>
      </c>
      <c r="H526" t="s">
        <v>1617</v>
      </c>
      <c r="I526" t="s">
        <v>1618</v>
      </c>
      <c r="J526" t="s">
        <v>2401</v>
      </c>
      <c r="K526">
        <v>1.7354604499999999</v>
      </c>
      <c r="L526">
        <v>141.03392892970001</v>
      </c>
      <c r="M526" s="1">
        <v>3</v>
      </c>
      <c r="N526">
        <v>0</v>
      </c>
      <c r="O526">
        <v>0</v>
      </c>
      <c r="P526">
        <v>81.266000000000005</v>
      </c>
      <c r="Q526" s="1">
        <v>81.266000000000005</v>
      </c>
      <c r="R526">
        <v>0.75</v>
      </c>
      <c r="S526" s="2">
        <v>46247</v>
      </c>
      <c r="T526" s="2">
        <v>46263</v>
      </c>
      <c r="U526">
        <v>0</v>
      </c>
      <c r="V526">
        <v>87.84</v>
      </c>
      <c r="W526">
        <v>236.07999999999998</v>
      </c>
      <c r="X526">
        <v>174.934</v>
      </c>
      <c r="Y526">
        <v>0</v>
      </c>
      <c r="Z526" s="8">
        <v>236.07999999999998</v>
      </c>
      <c r="AA526">
        <v>124.71349999999998</v>
      </c>
      <c r="AB526">
        <v>0</v>
      </c>
      <c r="AC526">
        <v>1.8929787071968955</v>
      </c>
      <c r="AD526" s="1">
        <v>10</v>
      </c>
      <c r="AE526" s="2">
        <v>46258</v>
      </c>
      <c r="AF526" s="2">
        <v>46266</v>
      </c>
      <c r="AG526" s="2">
        <v>46273</v>
      </c>
      <c r="AH526">
        <v>163.44</v>
      </c>
      <c r="AI526" s="3">
        <v>0.71618037135278512</v>
      </c>
      <c r="AJ526" s="1">
        <v>14</v>
      </c>
      <c r="AK526" s="2">
        <v>46277</v>
      </c>
      <c r="AL526" s="4">
        <v>30</v>
      </c>
      <c r="AM526" s="5">
        <v>15</v>
      </c>
      <c r="AN526" s="4">
        <v>10</v>
      </c>
      <c r="AO526">
        <v>169.07586206896551</v>
      </c>
      <c r="AP526" s="4">
        <v>1</v>
      </c>
      <c r="AQ526" t="s">
        <v>1619</v>
      </c>
      <c r="AR526" t="s">
        <v>1855</v>
      </c>
      <c r="AT526" s="16">
        <f>_xlfn.XLOOKUP(B526,'SWiSH Demand Forecast Sep-26'!D:D,'SWiSH Demand Forecast Sep-26'!G:G,"Not Exist")</f>
        <v>26.857839734004401</v>
      </c>
    </row>
    <row r="527" spans="1:46" x14ac:dyDescent="0.3">
      <c r="A527">
        <v>101500022</v>
      </c>
      <c r="B527" t="s">
        <v>2424</v>
      </c>
      <c r="C527" t="s">
        <v>10</v>
      </c>
      <c r="D527" t="s">
        <v>1613</v>
      </c>
      <c r="E527" t="s">
        <v>2425</v>
      </c>
      <c r="F527" t="s">
        <v>1644</v>
      </c>
      <c r="G527" t="s">
        <v>1624</v>
      </c>
      <c r="H527" t="s">
        <v>1647</v>
      </c>
      <c r="I527" t="s">
        <v>1634</v>
      </c>
      <c r="J527" t="s">
        <v>10</v>
      </c>
      <c r="K527">
        <v>0.55000000000000004</v>
      </c>
      <c r="L527">
        <v>2.75</v>
      </c>
      <c r="M527" s="1">
        <v>3</v>
      </c>
      <c r="N527">
        <v>0</v>
      </c>
      <c r="O527">
        <v>0</v>
      </c>
      <c r="P527">
        <v>5</v>
      </c>
      <c r="Q527" s="1">
        <v>5</v>
      </c>
      <c r="R527">
        <v>0.55000000000000004</v>
      </c>
      <c r="S527" s="2">
        <v>46242</v>
      </c>
      <c r="T527" s="2">
        <v>46261</v>
      </c>
      <c r="U527">
        <v>12</v>
      </c>
      <c r="V527">
        <v>14</v>
      </c>
      <c r="W527">
        <v>10</v>
      </c>
      <c r="X527">
        <v>13</v>
      </c>
      <c r="Y527">
        <v>10</v>
      </c>
      <c r="Z527" s="8">
        <v>14</v>
      </c>
      <c r="AA527">
        <v>12.25</v>
      </c>
      <c r="AB527">
        <v>0.81632653061224492</v>
      </c>
      <c r="AC527">
        <v>1.1428571428571428</v>
      </c>
      <c r="AD527" s="1">
        <v>10</v>
      </c>
      <c r="AE527" s="2">
        <v>46258</v>
      </c>
      <c r="AF527" s="2">
        <v>46266</v>
      </c>
      <c r="AG527" s="2">
        <v>46273</v>
      </c>
      <c r="AH527">
        <v>10</v>
      </c>
      <c r="AI527" s="3">
        <v>0.73891625615763545</v>
      </c>
      <c r="AJ527" s="1">
        <v>14</v>
      </c>
      <c r="AK527" s="2">
        <v>46277</v>
      </c>
      <c r="AL527" s="4">
        <v>30</v>
      </c>
      <c r="AM527" s="5">
        <v>15</v>
      </c>
      <c r="AN527" s="4">
        <v>10</v>
      </c>
      <c r="AO527">
        <v>10.344827586206897</v>
      </c>
      <c r="AP527" s="4">
        <v>1</v>
      </c>
      <c r="AQ527" t="s">
        <v>1619</v>
      </c>
      <c r="AR527" t="s">
        <v>1620</v>
      </c>
      <c r="AT527" s="16" t="str">
        <f>_xlfn.XLOOKUP(B527,'SWiSH Demand Forecast Sep-26'!D:D,'SWiSH Demand Forecast Sep-26'!G:G,"Not Exist")</f>
        <v>Not Exist</v>
      </c>
    </row>
    <row r="528" spans="1:46" x14ac:dyDescent="0.3">
      <c r="A528">
        <v>101500014</v>
      </c>
      <c r="B528" t="s">
        <v>2426</v>
      </c>
      <c r="C528" t="s">
        <v>10</v>
      </c>
      <c r="D528" t="s">
        <v>1613</v>
      </c>
      <c r="E528" t="s">
        <v>2427</v>
      </c>
      <c r="F528" t="s">
        <v>1644</v>
      </c>
      <c r="G528" t="s">
        <v>1624</v>
      </c>
      <c r="H528" t="s">
        <v>1647</v>
      </c>
      <c r="I528" t="s">
        <v>1634</v>
      </c>
      <c r="J528" t="s">
        <v>10</v>
      </c>
      <c r="K528">
        <v>1.34</v>
      </c>
      <c r="L528">
        <v>72.36</v>
      </c>
      <c r="M528" s="1">
        <v>3</v>
      </c>
      <c r="N528">
        <v>0</v>
      </c>
      <c r="O528">
        <v>1</v>
      </c>
      <c r="P528">
        <v>54</v>
      </c>
      <c r="Q528" s="1">
        <v>53</v>
      </c>
      <c r="R528">
        <v>1.34</v>
      </c>
      <c r="S528" s="2">
        <v>46259</v>
      </c>
      <c r="T528" s="2">
        <v>46263</v>
      </c>
      <c r="U528">
        <v>141</v>
      </c>
      <c r="V528">
        <v>128</v>
      </c>
      <c r="W528">
        <v>119</v>
      </c>
      <c r="X528">
        <v>153</v>
      </c>
      <c r="Y528">
        <v>119</v>
      </c>
      <c r="Z528" s="8">
        <v>153</v>
      </c>
      <c r="AA528">
        <v>135.25</v>
      </c>
      <c r="AB528">
        <v>0.87985212569316085</v>
      </c>
      <c r="AC528">
        <v>1.1312384473197783</v>
      </c>
      <c r="AD528" s="1">
        <v>10</v>
      </c>
      <c r="AE528" s="2">
        <v>46258</v>
      </c>
      <c r="AF528" s="2">
        <v>46266</v>
      </c>
      <c r="AG528" s="2">
        <v>46273</v>
      </c>
      <c r="AH528">
        <v>141</v>
      </c>
      <c r="AI528" s="3">
        <v>0.95334685598377278</v>
      </c>
      <c r="AJ528" s="1">
        <v>10</v>
      </c>
      <c r="AK528" s="2">
        <v>46273</v>
      </c>
      <c r="AL528" s="4">
        <v>30</v>
      </c>
      <c r="AM528" s="5">
        <v>15</v>
      </c>
      <c r="AN528" s="4">
        <v>10</v>
      </c>
      <c r="AO528">
        <v>145.86206896551724</v>
      </c>
      <c r="AP528" s="4">
        <v>1</v>
      </c>
      <c r="AQ528" t="s">
        <v>1619</v>
      </c>
      <c r="AR528" t="s">
        <v>1620</v>
      </c>
      <c r="AT528" s="16" t="str">
        <f>_xlfn.XLOOKUP(B528,'SWiSH Demand Forecast Sep-26'!D:D,'SWiSH Demand Forecast Sep-26'!G:G,"Not Exist")</f>
        <v>Not Exist</v>
      </c>
    </row>
    <row r="529" spans="1:46" x14ac:dyDescent="0.3">
      <c r="A529">
        <v>106700035</v>
      </c>
      <c r="B529" t="s">
        <v>2428</v>
      </c>
      <c r="C529" t="s">
        <v>10</v>
      </c>
      <c r="D529" t="s">
        <v>1613</v>
      </c>
      <c r="E529" t="s">
        <v>2429</v>
      </c>
      <c r="F529" t="s">
        <v>1650</v>
      </c>
      <c r="G529" t="s">
        <v>1624</v>
      </c>
      <c r="H529" t="s">
        <v>1651</v>
      </c>
      <c r="I529" t="s">
        <v>1634</v>
      </c>
      <c r="J529" t="s">
        <v>10</v>
      </c>
      <c r="K529">
        <v>8</v>
      </c>
      <c r="L529">
        <v>320</v>
      </c>
      <c r="M529" s="1">
        <v>3</v>
      </c>
      <c r="N529">
        <v>0</v>
      </c>
      <c r="O529">
        <v>0</v>
      </c>
      <c r="P529">
        <v>40</v>
      </c>
      <c r="Q529" s="1">
        <v>40</v>
      </c>
      <c r="R529">
        <v>8</v>
      </c>
      <c r="S529" s="2">
        <v>46260</v>
      </c>
      <c r="T529" s="2">
        <v>46263</v>
      </c>
      <c r="U529">
        <v>87</v>
      </c>
      <c r="V529">
        <v>78</v>
      </c>
      <c r="W529">
        <v>110</v>
      </c>
      <c r="X529">
        <v>108</v>
      </c>
      <c r="Y529">
        <v>78</v>
      </c>
      <c r="Z529" s="8">
        <v>110</v>
      </c>
      <c r="AA529">
        <v>95.75</v>
      </c>
      <c r="AB529">
        <v>0.81462140992167098</v>
      </c>
      <c r="AC529">
        <v>1.1488250652741514</v>
      </c>
      <c r="AD529" s="1">
        <v>10</v>
      </c>
      <c r="AE529" s="2">
        <v>46258</v>
      </c>
      <c r="AF529" s="2">
        <v>46266</v>
      </c>
      <c r="AG529" s="2">
        <v>46273</v>
      </c>
      <c r="AH529">
        <v>91</v>
      </c>
      <c r="AI529" s="3">
        <v>0.85579937304075238</v>
      </c>
      <c r="AJ529" s="1">
        <v>12</v>
      </c>
      <c r="AK529" s="2">
        <v>46275</v>
      </c>
      <c r="AL529" s="4">
        <v>30</v>
      </c>
      <c r="AM529" s="5">
        <v>15</v>
      </c>
      <c r="AN529" s="4">
        <v>10</v>
      </c>
      <c r="AO529">
        <v>94.137931034482762</v>
      </c>
      <c r="AP529" s="4">
        <v>1</v>
      </c>
      <c r="AQ529" t="s">
        <v>1619</v>
      </c>
      <c r="AR529" t="s">
        <v>1620</v>
      </c>
      <c r="AT529" s="16" t="str">
        <f>_xlfn.XLOOKUP(B529,'SWiSH Demand Forecast Sep-26'!D:D,'SWiSH Demand Forecast Sep-26'!G:G,"Not Exist")</f>
        <v>Not Exist</v>
      </c>
    </row>
    <row r="530" spans="1:46" x14ac:dyDescent="0.3">
      <c r="A530">
        <v>104200037</v>
      </c>
      <c r="B530" t="s">
        <v>2430</v>
      </c>
      <c r="C530" t="s">
        <v>10</v>
      </c>
      <c r="D530" t="s">
        <v>1613</v>
      </c>
      <c r="E530" t="s">
        <v>2431</v>
      </c>
      <c r="F530" t="s">
        <v>1631</v>
      </c>
      <c r="G530" t="s">
        <v>1624</v>
      </c>
      <c r="H530" t="s">
        <v>1633</v>
      </c>
      <c r="I530" t="s">
        <v>1634</v>
      </c>
      <c r="J530" t="s">
        <v>2145</v>
      </c>
      <c r="K530">
        <v>4.4974799999999999E-3</v>
      </c>
      <c r="L530">
        <v>20.238659999999999</v>
      </c>
      <c r="M530" s="1">
        <v>3</v>
      </c>
      <c r="N530">
        <v>0</v>
      </c>
      <c r="O530">
        <v>100</v>
      </c>
      <c r="P530">
        <v>4500</v>
      </c>
      <c r="Q530" s="1">
        <v>4400</v>
      </c>
      <c r="R530">
        <v>4.5</v>
      </c>
      <c r="S530" s="2">
        <v>46232</v>
      </c>
      <c r="T530" s="2">
        <v>46263</v>
      </c>
      <c r="U530">
        <v>11900</v>
      </c>
      <c r="V530">
        <v>12500</v>
      </c>
      <c r="W530">
        <v>8600</v>
      </c>
      <c r="X530">
        <v>10500</v>
      </c>
      <c r="Y530">
        <v>8600</v>
      </c>
      <c r="Z530" s="8">
        <v>12500</v>
      </c>
      <c r="AA530">
        <v>10875</v>
      </c>
      <c r="AB530">
        <v>0.79080459770114941</v>
      </c>
      <c r="AC530">
        <v>1.1494252873563218</v>
      </c>
      <c r="AD530" s="1">
        <v>10</v>
      </c>
      <c r="AE530" s="2">
        <v>46258</v>
      </c>
      <c r="AF530" s="2">
        <v>46266</v>
      </c>
      <c r="AG530" s="2">
        <v>46273</v>
      </c>
      <c r="AH530">
        <v>9300</v>
      </c>
      <c r="AI530" s="3">
        <v>0.769655172413793</v>
      </c>
      <c r="AJ530" s="1">
        <v>13</v>
      </c>
      <c r="AK530" s="2">
        <v>46276</v>
      </c>
      <c r="AL530" s="4">
        <v>10</v>
      </c>
      <c r="AM530" s="5">
        <v>10</v>
      </c>
      <c r="AN530" s="4">
        <v>10</v>
      </c>
      <c r="AO530">
        <v>3206.8965517241377</v>
      </c>
      <c r="AP530" s="4">
        <v>3</v>
      </c>
      <c r="AQ530" t="s">
        <v>1619</v>
      </c>
      <c r="AR530" t="s">
        <v>1620</v>
      </c>
      <c r="AT530" s="16" t="str">
        <f>_xlfn.XLOOKUP(B530,'SWiSH Demand Forecast Sep-26'!D:D,'SWiSH Demand Forecast Sep-26'!G:G,"Not Exist")</f>
        <v>Not Exist</v>
      </c>
    </row>
    <row r="531" spans="1:46" hidden="1" x14ac:dyDescent="0.3">
      <c r="A531">
        <v>100700025</v>
      </c>
      <c r="B531" t="s">
        <v>663</v>
      </c>
      <c r="C531" t="s">
        <v>136</v>
      </c>
      <c r="D531" t="s">
        <v>1613</v>
      </c>
      <c r="E531" t="s">
        <v>2432</v>
      </c>
      <c r="F531" t="s">
        <v>1671</v>
      </c>
      <c r="G531" t="s">
        <v>1616</v>
      </c>
      <c r="H531" t="s">
        <v>1867</v>
      </c>
      <c r="I531" t="s">
        <v>1618</v>
      </c>
      <c r="J531" t="s">
        <v>2433</v>
      </c>
      <c r="K531">
        <v>0.45</v>
      </c>
      <c r="L531">
        <v>175.5</v>
      </c>
      <c r="M531" s="1">
        <v>3</v>
      </c>
      <c r="N531">
        <v>0</v>
      </c>
      <c r="O531">
        <v>70</v>
      </c>
      <c r="P531">
        <v>390</v>
      </c>
      <c r="Q531" s="1">
        <v>320</v>
      </c>
      <c r="R531">
        <v>4.5</v>
      </c>
      <c r="S531" s="2">
        <v>46254</v>
      </c>
      <c r="T531" s="2">
        <v>46263</v>
      </c>
      <c r="U531">
        <v>660</v>
      </c>
      <c r="V531">
        <v>540</v>
      </c>
      <c r="W531">
        <v>310</v>
      </c>
      <c r="X531">
        <v>920</v>
      </c>
      <c r="Y531">
        <v>310</v>
      </c>
      <c r="Z531" s="8">
        <v>920</v>
      </c>
      <c r="AA531">
        <v>607.5</v>
      </c>
      <c r="AB531">
        <v>0.51028806584362141</v>
      </c>
      <c r="AC531">
        <v>1.5144032921810699</v>
      </c>
      <c r="AD531" s="1">
        <v>10</v>
      </c>
      <c r="AE531" s="2">
        <v>46258</v>
      </c>
      <c r="AF531" s="2">
        <v>46266</v>
      </c>
      <c r="AG531" s="2">
        <v>46273</v>
      </c>
      <c r="AH531">
        <v>940</v>
      </c>
      <c r="AI531" s="3">
        <v>1.0569715142428786</v>
      </c>
      <c r="AJ531" s="1">
        <v>9</v>
      </c>
      <c r="AK531" s="2">
        <v>46272</v>
      </c>
      <c r="AL531" s="4">
        <v>30</v>
      </c>
      <c r="AM531" s="5">
        <v>15</v>
      </c>
      <c r="AN531" s="4">
        <v>9</v>
      </c>
      <c r="AO531">
        <v>972.41379310344837</v>
      </c>
      <c r="AP531" s="4">
        <v>1</v>
      </c>
      <c r="AQ531" t="s">
        <v>1619</v>
      </c>
      <c r="AR531" t="s">
        <v>2434</v>
      </c>
      <c r="AT531" s="16">
        <f>_xlfn.XLOOKUP(B531,'SWiSH Demand Forecast Sep-26'!D:D,'SWiSH Demand Forecast Sep-26'!G:G,"Not Exist")</f>
        <v>701.46500000000003</v>
      </c>
    </row>
    <row r="532" spans="1:46" hidden="1" x14ac:dyDescent="0.3">
      <c r="A532">
        <v>104200058</v>
      </c>
      <c r="B532" t="s">
        <v>61</v>
      </c>
      <c r="C532" t="s">
        <v>10</v>
      </c>
      <c r="D532" t="s">
        <v>1613</v>
      </c>
      <c r="E532" t="s">
        <v>2147</v>
      </c>
      <c r="F532" t="s">
        <v>1631</v>
      </c>
      <c r="G532" t="s">
        <v>1624</v>
      </c>
      <c r="H532" t="s">
        <v>1633</v>
      </c>
      <c r="I532" t="s">
        <v>1634</v>
      </c>
      <c r="J532" t="s">
        <v>2435</v>
      </c>
      <c r="K532">
        <v>3.0011399999999998E-3</v>
      </c>
      <c r="L532">
        <v>207.07865999999999</v>
      </c>
      <c r="M532" s="1">
        <v>3</v>
      </c>
      <c r="N532">
        <v>0</v>
      </c>
      <c r="O532">
        <v>3000</v>
      </c>
      <c r="P532">
        <v>69000</v>
      </c>
      <c r="Q532" s="1">
        <v>66000</v>
      </c>
      <c r="R532">
        <v>4.5</v>
      </c>
      <c r="S532" s="2">
        <v>46254</v>
      </c>
      <c r="T532" s="2">
        <v>46263</v>
      </c>
      <c r="U532">
        <v>166600</v>
      </c>
      <c r="V532">
        <v>165000</v>
      </c>
      <c r="W532">
        <v>184400</v>
      </c>
      <c r="X532">
        <v>174000</v>
      </c>
      <c r="Y532">
        <v>165000</v>
      </c>
      <c r="Z532" s="8">
        <v>184400</v>
      </c>
      <c r="AA532">
        <v>172500</v>
      </c>
      <c r="AB532">
        <v>0.95652173913043481</v>
      </c>
      <c r="AC532">
        <v>1.0689855072463768</v>
      </c>
      <c r="AD532" s="1">
        <v>10</v>
      </c>
      <c r="AE532" s="2">
        <v>46258</v>
      </c>
      <c r="AF532" s="2">
        <v>46266</v>
      </c>
      <c r="AG532" s="2">
        <v>46273</v>
      </c>
      <c r="AH532">
        <v>150000</v>
      </c>
      <c r="AI532" s="3">
        <v>0.84149899020121177</v>
      </c>
      <c r="AJ532" s="1">
        <v>12</v>
      </c>
      <c r="AK532" s="2">
        <v>46275</v>
      </c>
      <c r="AL532" s="4">
        <v>15</v>
      </c>
      <c r="AM532" s="5">
        <v>15</v>
      </c>
      <c r="AN532" s="4">
        <v>10</v>
      </c>
      <c r="AO532">
        <v>77586.206896551725</v>
      </c>
      <c r="AP532" s="4">
        <v>2</v>
      </c>
      <c r="AQ532" t="s">
        <v>1619</v>
      </c>
      <c r="AR532" t="s">
        <v>1620</v>
      </c>
      <c r="AT532" s="16">
        <f>_xlfn.XLOOKUP(B532,'SWiSH Demand Forecast Sep-26'!D:D,'SWiSH Demand Forecast Sep-26'!G:G,"Not Exist")</f>
        <v>40124</v>
      </c>
    </row>
    <row r="533" spans="1:46" x14ac:dyDescent="0.3">
      <c r="A533">
        <v>104900024</v>
      </c>
      <c r="B533" t="s">
        <v>2436</v>
      </c>
      <c r="C533" t="s">
        <v>10</v>
      </c>
      <c r="D533" t="s">
        <v>1613</v>
      </c>
      <c r="E533" t="s">
        <v>1685</v>
      </c>
      <c r="F533" t="s">
        <v>1664</v>
      </c>
      <c r="G533" t="s">
        <v>1624</v>
      </c>
      <c r="H533" t="s">
        <v>1759</v>
      </c>
      <c r="I533" t="s">
        <v>1634</v>
      </c>
      <c r="J533" t="s">
        <v>10</v>
      </c>
      <c r="K533">
        <v>8.0000000000000002E-3</v>
      </c>
      <c r="L533">
        <v>80</v>
      </c>
      <c r="M533" s="1">
        <v>15</v>
      </c>
      <c r="N533">
        <v>0</v>
      </c>
      <c r="O533">
        <v>1000</v>
      </c>
      <c r="P533">
        <v>10000</v>
      </c>
      <c r="Q533" s="1">
        <v>9000</v>
      </c>
      <c r="R533">
        <v>9</v>
      </c>
      <c r="S533" s="2">
        <v>46242</v>
      </c>
      <c r="T533" s="2">
        <v>46262</v>
      </c>
      <c r="U533">
        <v>21000</v>
      </c>
      <c r="V533">
        <v>21000</v>
      </c>
      <c r="W533">
        <v>20000</v>
      </c>
      <c r="X533">
        <v>25000</v>
      </c>
      <c r="Y533">
        <v>20000</v>
      </c>
      <c r="Z533" s="8">
        <v>25000</v>
      </c>
      <c r="AA533">
        <v>21750</v>
      </c>
      <c r="AB533">
        <v>0.91954022988505746</v>
      </c>
      <c r="AC533">
        <v>1.1494252873563218</v>
      </c>
      <c r="AD533" s="1">
        <v>10</v>
      </c>
      <c r="AE533" s="2">
        <v>46258</v>
      </c>
      <c r="AF533" s="2">
        <v>46266</v>
      </c>
      <c r="AG533" s="2">
        <v>46273</v>
      </c>
      <c r="AH533">
        <v>21000</v>
      </c>
      <c r="AI533" s="3">
        <v>0.86896551724137927</v>
      </c>
      <c r="AJ533" s="1">
        <v>12</v>
      </c>
      <c r="AK533" s="2">
        <v>46275</v>
      </c>
      <c r="AL533" s="4">
        <v>30</v>
      </c>
      <c r="AM533" s="5">
        <v>15</v>
      </c>
      <c r="AN533" s="4">
        <v>10</v>
      </c>
      <c r="AO533">
        <v>21724.137931034482</v>
      </c>
      <c r="AP533" s="4">
        <v>1</v>
      </c>
      <c r="AQ533">
        <v>26</v>
      </c>
      <c r="AR533" t="s">
        <v>2028</v>
      </c>
      <c r="AT533" s="16" t="str">
        <f>_xlfn.XLOOKUP(B533,'SWiSH Demand Forecast Sep-26'!D:D,'SWiSH Demand Forecast Sep-26'!G:G,"Not Exist")</f>
        <v>Not Exist</v>
      </c>
    </row>
    <row r="534" spans="1:46" x14ac:dyDescent="0.3">
      <c r="A534">
        <v>101400050</v>
      </c>
      <c r="B534" t="s">
        <v>2437</v>
      </c>
      <c r="C534" t="s">
        <v>240</v>
      </c>
      <c r="D534" t="s">
        <v>1613</v>
      </c>
      <c r="E534" t="s">
        <v>1701</v>
      </c>
      <c r="F534" t="s">
        <v>1644</v>
      </c>
      <c r="G534" t="s">
        <v>1624</v>
      </c>
      <c r="H534" t="s">
        <v>1693</v>
      </c>
      <c r="I534" t="s">
        <v>1634</v>
      </c>
      <c r="J534" t="s">
        <v>2438</v>
      </c>
      <c r="K534">
        <v>1.28</v>
      </c>
      <c r="L534">
        <v>64</v>
      </c>
      <c r="M534" s="1">
        <v>3</v>
      </c>
      <c r="N534">
        <v>0</v>
      </c>
      <c r="O534">
        <v>0</v>
      </c>
      <c r="P534">
        <v>50</v>
      </c>
      <c r="Q534" s="1">
        <v>50</v>
      </c>
      <c r="R534">
        <v>32</v>
      </c>
      <c r="S534" s="2">
        <v>46243</v>
      </c>
      <c r="T534" s="2">
        <v>46263</v>
      </c>
      <c r="U534">
        <v>75</v>
      </c>
      <c r="V534">
        <v>125</v>
      </c>
      <c r="W534">
        <v>150</v>
      </c>
      <c r="X534">
        <v>150</v>
      </c>
      <c r="Y534">
        <v>75</v>
      </c>
      <c r="Z534" s="8">
        <v>150</v>
      </c>
      <c r="AA534">
        <v>125</v>
      </c>
      <c r="AB534">
        <v>0.6</v>
      </c>
      <c r="AC534">
        <v>1.2</v>
      </c>
      <c r="AD534" s="1">
        <v>10</v>
      </c>
      <c r="AE534" s="2">
        <v>46258</v>
      </c>
      <c r="AF534" s="2">
        <v>46266</v>
      </c>
      <c r="AG534" s="2">
        <v>46273</v>
      </c>
      <c r="AH534">
        <v>150</v>
      </c>
      <c r="AI534" s="3">
        <v>1.0344827586206897</v>
      </c>
      <c r="AJ534" s="1">
        <v>9</v>
      </c>
      <c r="AK534" s="2">
        <v>46272</v>
      </c>
      <c r="AL534" s="4">
        <v>30</v>
      </c>
      <c r="AM534" s="5">
        <v>15</v>
      </c>
      <c r="AN534" s="4">
        <v>9</v>
      </c>
      <c r="AO534">
        <v>155.17241379310346</v>
      </c>
      <c r="AP534" s="4">
        <v>1</v>
      </c>
      <c r="AQ534" t="s">
        <v>1619</v>
      </c>
      <c r="AR534" t="s">
        <v>1620</v>
      </c>
      <c r="AT534" s="16" t="str">
        <f>_xlfn.XLOOKUP(B534,'SWiSH Demand Forecast Sep-26'!D:D,'SWiSH Demand Forecast Sep-26'!G:G,"Not Exist")</f>
        <v>Not Exist</v>
      </c>
    </row>
    <row r="535" spans="1:46" x14ac:dyDescent="0.3">
      <c r="A535">
        <v>104900005</v>
      </c>
      <c r="B535" t="s">
        <v>2439</v>
      </c>
      <c r="C535" t="s">
        <v>10</v>
      </c>
      <c r="D535" t="s">
        <v>1613</v>
      </c>
      <c r="E535" t="s">
        <v>1685</v>
      </c>
      <c r="F535" t="s">
        <v>1664</v>
      </c>
      <c r="G535" t="s">
        <v>1624</v>
      </c>
      <c r="H535" t="s">
        <v>1759</v>
      </c>
      <c r="I535" t="s">
        <v>1634</v>
      </c>
      <c r="J535" t="s">
        <v>10</v>
      </c>
      <c r="K535">
        <v>1.6900000000000001E-3</v>
      </c>
      <c r="L535">
        <v>33.800000000000004</v>
      </c>
      <c r="M535" s="1">
        <v>15</v>
      </c>
      <c r="N535">
        <v>0</v>
      </c>
      <c r="O535">
        <v>0</v>
      </c>
      <c r="P535">
        <v>20000</v>
      </c>
      <c r="Q535" s="1">
        <v>20000</v>
      </c>
      <c r="R535">
        <v>8.6</v>
      </c>
      <c r="S535" s="2">
        <v>46251</v>
      </c>
      <c r="T535" s="2">
        <v>46263</v>
      </c>
      <c r="U535">
        <v>44000</v>
      </c>
      <c r="V535">
        <v>48000</v>
      </c>
      <c r="W535">
        <v>48000</v>
      </c>
      <c r="X535">
        <v>60000</v>
      </c>
      <c r="Y535">
        <v>44000</v>
      </c>
      <c r="Z535" s="8">
        <v>60000</v>
      </c>
      <c r="AA535">
        <v>50000</v>
      </c>
      <c r="AB535">
        <v>0.88</v>
      </c>
      <c r="AC535">
        <v>1.2</v>
      </c>
      <c r="AD535" s="1">
        <v>10</v>
      </c>
      <c r="AE535" s="2">
        <v>46258</v>
      </c>
      <c r="AF535" s="2">
        <v>46266</v>
      </c>
      <c r="AG535" s="2">
        <v>46273</v>
      </c>
      <c r="AH535">
        <v>56000</v>
      </c>
      <c r="AI535" s="3">
        <v>0.96551724137931039</v>
      </c>
      <c r="AJ535" s="1">
        <v>10</v>
      </c>
      <c r="AK535" s="2">
        <v>46273</v>
      </c>
      <c r="AL535" s="4">
        <v>30</v>
      </c>
      <c r="AM535" s="5">
        <v>15</v>
      </c>
      <c r="AN535" s="4">
        <v>10</v>
      </c>
      <c r="AO535">
        <v>57931.034482758623</v>
      </c>
      <c r="AP535" s="4">
        <v>1</v>
      </c>
      <c r="AQ535">
        <v>20</v>
      </c>
      <c r="AR535" t="s">
        <v>2028</v>
      </c>
      <c r="AT535" s="16" t="str">
        <f>_xlfn.XLOOKUP(B535,'SWiSH Demand Forecast Sep-26'!D:D,'SWiSH Demand Forecast Sep-26'!G:G,"Not Exist")</f>
        <v>Not Exist</v>
      </c>
    </row>
    <row r="536" spans="1:46" x14ac:dyDescent="0.3">
      <c r="A536">
        <v>105600048</v>
      </c>
      <c r="B536" t="s">
        <v>2440</v>
      </c>
      <c r="C536" t="s">
        <v>10</v>
      </c>
      <c r="D536" t="s">
        <v>1613</v>
      </c>
      <c r="E536" t="s">
        <v>1677</v>
      </c>
      <c r="F536" t="s">
        <v>1631</v>
      </c>
      <c r="G536" t="s">
        <v>1616</v>
      </c>
      <c r="H536" t="s">
        <v>1679</v>
      </c>
      <c r="I536" t="s">
        <v>1634</v>
      </c>
      <c r="J536" t="s">
        <v>10</v>
      </c>
      <c r="K536">
        <v>6.2819079999999999E-2</v>
      </c>
      <c r="L536">
        <v>188.45723999999998</v>
      </c>
      <c r="M536" s="1">
        <v>30</v>
      </c>
      <c r="N536">
        <v>0</v>
      </c>
      <c r="O536">
        <v>0</v>
      </c>
      <c r="P536">
        <v>3000</v>
      </c>
      <c r="Q536" s="1">
        <v>3000</v>
      </c>
      <c r="R536">
        <v>30</v>
      </c>
      <c r="S536" s="2">
        <v>46198</v>
      </c>
      <c r="T536" s="2">
        <v>46262</v>
      </c>
      <c r="U536">
        <v>1000</v>
      </c>
      <c r="V536">
        <v>6000</v>
      </c>
      <c r="W536">
        <v>8500</v>
      </c>
      <c r="X536">
        <v>4000</v>
      </c>
      <c r="Y536">
        <v>1000</v>
      </c>
      <c r="Z536" s="8">
        <v>8500</v>
      </c>
      <c r="AA536">
        <v>4875</v>
      </c>
      <c r="AB536">
        <v>0.20512820512820512</v>
      </c>
      <c r="AC536">
        <v>1.7435897435897436</v>
      </c>
      <c r="AD536" s="1">
        <v>10</v>
      </c>
      <c r="AE536" s="2">
        <v>46258</v>
      </c>
      <c r="AF536" s="2">
        <v>46266</v>
      </c>
      <c r="AG536" s="2">
        <v>46273</v>
      </c>
      <c r="AH536">
        <v>8500</v>
      </c>
      <c r="AI536" s="3">
        <v>1.0344827586206897</v>
      </c>
      <c r="AJ536" s="1">
        <v>10</v>
      </c>
      <c r="AK536" s="2">
        <v>46273</v>
      </c>
      <c r="AL536" s="4">
        <v>30</v>
      </c>
      <c r="AM536" s="5">
        <v>15</v>
      </c>
      <c r="AN536" s="4">
        <v>10</v>
      </c>
      <c r="AO536">
        <v>8793.1034482758623</v>
      </c>
      <c r="AP536" s="4">
        <v>1</v>
      </c>
      <c r="AQ536" t="s">
        <v>1619</v>
      </c>
      <c r="AR536" t="s">
        <v>1620</v>
      </c>
      <c r="AT536" s="16" t="str">
        <f>_xlfn.XLOOKUP(B536,'SWiSH Demand Forecast Sep-26'!D:D,'SWiSH Demand Forecast Sep-26'!G:G,"Not Exist")</f>
        <v>Not Exist</v>
      </c>
    </row>
    <row r="537" spans="1:46" hidden="1" x14ac:dyDescent="0.3">
      <c r="A537">
        <v>100500014</v>
      </c>
      <c r="B537" t="s">
        <v>1264</v>
      </c>
      <c r="C537" t="s">
        <v>136</v>
      </c>
      <c r="D537" t="s">
        <v>1613</v>
      </c>
      <c r="E537" t="s">
        <v>1677</v>
      </c>
      <c r="F537" t="s">
        <v>1671</v>
      </c>
      <c r="G537" t="s">
        <v>1616</v>
      </c>
      <c r="H537" t="s">
        <v>1996</v>
      </c>
      <c r="I537" t="s">
        <v>1618</v>
      </c>
      <c r="J537" t="s">
        <v>2441</v>
      </c>
      <c r="K537">
        <v>2.8563543500000002</v>
      </c>
      <c r="L537">
        <v>93.060024722999998</v>
      </c>
      <c r="M537" s="1">
        <v>3</v>
      </c>
      <c r="N537">
        <v>0</v>
      </c>
      <c r="O537">
        <v>0</v>
      </c>
      <c r="P537">
        <v>32.58</v>
      </c>
      <c r="Q537" s="1">
        <v>32.58</v>
      </c>
      <c r="R537">
        <v>30</v>
      </c>
      <c r="S537" s="2">
        <v>46156</v>
      </c>
      <c r="T537" s="2">
        <v>46247</v>
      </c>
      <c r="U537">
        <v>81.757999999999996</v>
      </c>
      <c r="V537">
        <v>76.23599999999999</v>
      </c>
      <c r="W537">
        <v>65.231999999999999</v>
      </c>
      <c r="X537">
        <v>54.3</v>
      </c>
      <c r="Y537">
        <v>54.3</v>
      </c>
      <c r="Z537" s="8">
        <v>81.757999999999996</v>
      </c>
      <c r="AA537">
        <v>69.381499999999988</v>
      </c>
      <c r="AB537">
        <v>0.78262937526574095</v>
      </c>
      <c r="AC537">
        <v>1.1783832866109842</v>
      </c>
      <c r="AD537" s="1">
        <v>11</v>
      </c>
      <c r="AE537" s="2">
        <v>46259</v>
      </c>
      <c r="AF537" s="2">
        <v>46267</v>
      </c>
      <c r="AG537" s="2">
        <v>46274</v>
      </c>
      <c r="AH537">
        <v>43.44</v>
      </c>
      <c r="AI537" s="3">
        <v>0.54964567423961885</v>
      </c>
      <c r="AJ537" s="1">
        <v>21</v>
      </c>
      <c r="AK537" s="2">
        <v>46284</v>
      </c>
      <c r="AL537" s="4">
        <v>30</v>
      </c>
      <c r="AM537" s="5">
        <v>15</v>
      </c>
      <c r="AN537" s="4">
        <v>11</v>
      </c>
      <c r="AO537">
        <v>44.937931034482759</v>
      </c>
      <c r="AP537" s="4">
        <v>1</v>
      </c>
      <c r="AQ537" t="s">
        <v>1619</v>
      </c>
      <c r="AR537" t="s">
        <v>1620</v>
      </c>
      <c r="AT537" s="16">
        <f>_xlfn.XLOOKUP(B537,'SWiSH Demand Forecast Sep-26'!D:D,'SWiSH Demand Forecast Sep-26'!G:G,"Not Exist")</f>
        <v>38.934834904714101</v>
      </c>
    </row>
    <row r="538" spans="1:46" hidden="1" x14ac:dyDescent="0.3">
      <c r="A538">
        <v>103700027</v>
      </c>
      <c r="B538" t="s">
        <v>1390</v>
      </c>
      <c r="C538" t="s">
        <v>136</v>
      </c>
      <c r="D538" t="s">
        <v>1613</v>
      </c>
      <c r="E538" t="s">
        <v>1677</v>
      </c>
      <c r="F538" t="s">
        <v>1615</v>
      </c>
      <c r="G538" t="s">
        <v>1616</v>
      </c>
      <c r="H538" t="s">
        <v>1617</v>
      </c>
      <c r="I538" t="s">
        <v>1618</v>
      </c>
      <c r="J538" t="s">
        <v>136</v>
      </c>
      <c r="K538">
        <v>3.7000004999999998</v>
      </c>
      <c r="L538">
        <v>55.500007499999995</v>
      </c>
      <c r="M538" s="1">
        <v>3</v>
      </c>
      <c r="N538">
        <v>0</v>
      </c>
      <c r="O538">
        <v>0</v>
      </c>
      <c r="P538">
        <v>15</v>
      </c>
      <c r="Q538" s="1">
        <v>15</v>
      </c>
      <c r="R538">
        <v>3.7</v>
      </c>
      <c r="S538" s="2">
        <v>46244</v>
      </c>
      <c r="T538" s="2">
        <v>46259</v>
      </c>
      <c r="U538">
        <v>27</v>
      </c>
      <c r="V538">
        <v>26</v>
      </c>
      <c r="W538">
        <v>25</v>
      </c>
      <c r="X538">
        <v>39</v>
      </c>
      <c r="Y538">
        <v>25</v>
      </c>
      <c r="Z538" s="8">
        <v>39</v>
      </c>
      <c r="AA538">
        <v>29.25</v>
      </c>
      <c r="AB538">
        <v>0.85470085470085466</v>
      </c>
      <c r="AC538">
        <v>1.3333333333333333</v>
      </c>
      <c r="AD538" s="1">
        <v>11</v>
      </c>
      <c r="AE538" s="2">
        <v>46259</v>
      </c>
      <c r="AF538" s="2">
        <v>46267</v>
      </c>
      <c r="AG538" s="2">
        <v>46274</v>
      </c>
      <c r="AH538">
        <v>31</v>
      </c>
      <c r="AI538" s="3">
        <v>0.82228116710875332</v>
      </c>
      <c r="AJ538" s="1">
        <v>14</v>
      </c>
      <c r="AK538" s="2">
        <v>46277</v>
      </c>
      <c r="AL538" s="4">
        <v>30</v>
      </c>
      <c r="AM538" s="5">
        <v>15</v>
      </c>
      <c r="AN538" s="4">
        <v>11</v>
      </c>
      <c r="AO538">
        <v>32.068965517241381</v>
      </c>
      <c r="AP538" s="4">
        <v>1</v>
      </c>
      <c r="AQ538" t="s">
        <v>1619</v>
      </c>
      <c r="AR538" t="s">
        <v>1620</v>
      </c>
      <c r="AT538" s="16">
        <f>_xlfn.XLOOKUP(B538,'SWiSH Demand Forecast Sep-26'!D:D,'SWiSH Demand Forecast Sep-26'!G:G,"Not Exist")</f>
        <v>15.5425237920937</v>
      </c>
    </row>
    <row r="539" spans="1:46" x14ac:dyDescent="0.3">
      <c r="A539">
        <v>102500004</v>
      </c>
      <c r="B539" t="s">
        <v>2442</v>
      </c>
      <c r="C539" t="s">
        <v>136</v>
      </c>
      <c r="D539" t="s">
        <v>1613</v>
      </c>
      <c r="E539" t="s">
        <v>1832</v>
      </c>
      <c r="F539" t="s">
        <v>1927</v>
      </c>
      <c r="G539" t="s">
        <v>1616</v>
      </c>
      <c r="H539" t="s">
        <v>1928</v>
      </c>
      <c r="I539" t="s">
        <v>1618</v>
      </c>
      <c r="J539" t="s">
        <v>2443</v>
      </c>
      <c r="K539">
        <v>0.8</v>
      </c>
      <c r="L539">
        <v>52</v>
      </c>
      <c r="M539" s="1">
        <v>3</v>
      </c>
      <c r="N539">
        <v>0</v>
      </c>
      <c r="O539">
        <v>0</v>
      </c>
      <c r="P539">
        <v>65</v>
      </c>
      <c r="Q539" s="1">
        <v>65</v>
      </c>
      <c r="R539">
        <v>8</v>
      </c>
      <c r="S539" s="2">
        <v>46244</v>
      </c>
      <c r="T539" s="2">
        <v>46256</v>
      </c>
      <c r="U539">
        <v>60</v>
      </c>
      <c r="V539">
        <v>25</v>
      </c>
      <c r="W539">
        <v>95</v>
      </c>
      <c r="X539">
        <v>175</v>
      </c>
      <c r="Y539">
        <v>25</v>
      </c>
      <c r="Z539" s="8">
        <v>175</v>
      </c>
      <c r="AA539">
        <v>88.75</v>
      </c>
      <c r="AB539">
        <v>0.28169014084507044</v>
      </c>
      <c r="AC539">
        <v>1.971830985915493</v>
      </c>
      <c r="AD539" s="1">
        <v>11</v>
      </c>
      <c r="AE539" s="2">
        <v>46259</v>
      </c>
      <c r="AF539" s="2">
        <v>46267</v>
      </c>
      <c r="AG539" s="2">
        <v>46274</v>
      </c>
      <c r="AH539">
        <v>45</v>
      </c>
      <c r="AI539" s="3">
        <v>0.26600985221674878</v>
      </c>
      <c r="AJ539" s="1">
        <v>41</v>
      </c>
      <c r="AK539" s="2">
        <v>46304</v>
      </c>
      <c r="AL539" s="4">
        <v>30</v>
      </c>
      <c r="AM539" s="5">
        <v>15</v>
      </c>
      <c r="AN539" s="4">
        <v>11</v>
      </c>
      <c r="AO539">
        <v>46.551724137931039</v>
      </c>
      <c r="AP539" s="4">
        <v>1</v>
      </c>
      <c r="AQ539" t="s">
        <v>1619</v>
      </c>
      <c r="AR539" t="s">
        <v>2444</v>
      </c>
      <c r="AT539" s="16" t="str">
        <f>_xlfn.XLOOKUP(B539,'SWiSH Demand Forecast Sep-26'!D:D,'SWiSH Demand Forecast Sep-26'!G:G,"Not Exist")</f>
        <v>Not Exist</v>
      </c>
    </row>
    <row r="540" spans="1:46" x14ac:dyDescent="0.3">
      <c r="A540">
        <v>101600074</v>
      </c>
      <c r="B540" t="s">
        <v>2445</v>
      </c>
      <c r="C540" t="s">
        <v>10</v>
      </c>
      <c r="D540" t="s">
        <v>1675</v>
      </c>
      <c r="E540" t="s">
        <v>1685</v>
      </c>
      <c r="F540" t="s">
        <v>1631</v>
      </c>
      <c r="G540" t="s">
        <v>1624</v>
      </c>
      <c r="H540" t="s">
        <v>1768</v>
      </c>
      <c r="I540" t="s">
        <v>1634</v>
      </c>
      <c r="J540" t="s">
        <v>10</v>
      </c>
      <c r="K540">
        <v>7.6999999999999999E-2</v>
      </c>
      <c r="L540">
        <v>23.1</v>
      </c>
      <c r="M540" s="1">
        <v>3</v>
      </c>
      <c r="N540">
        <v>0</v>
      </c>
      <c r="O540">
        <v>0</v>
      </c>
      <c r="P540">
        <v>300</v>
      </c>
      <c r="Q540" s="1">
        <v>300</v>
      </c>
      <c r="R540">
        <v>7.6999999999999999E-2</v>
      </c>
      <c r="S540" s="2">
        <v>45862</v>
      </c>
      <c r="T540" s="2">
        <v>46119</v>
      </c>
      <c r="U540">
        <v>800</v>
      </c>
      <c r="V540">
        <v>0</v>
      </c>
      <c r="W540">
        <v>0</v>
      </c>
      <c r="X540">
        <v>0</v>
      </c>
      <c r="Y540">
        <v>0</v>
      </c>
      <c r="Z540" s="8">
        <v>800</v>
      </c>
      <c r="AA540">
        <v>200</v>
      </c>
      <c r="AB540">
        <v>0</v>
      </c>
      <c r="AC540">
        <v>4</v>
      </c>
      <c r="AD540" s="1">
        <v>11</v>
      </c>
      <c r="AE540" s="2">
        <v>46259</v>
      </c>
      <c r="AF540" s="2">
        <v>46267</v>
      </c>
      <c r="AG540" s="2">
        <v>46274</v>
      </c>
      <c r="AH540">
        <v>0</v>
      </c>
      <c r="AI540" s="3">
        <v>0</v>
      </c>
      <c r="AJ540" s="1" t="s">
        <v>1635</v>
      </c>
      <c r="AK540" s="2" t="s">
        <v>1635</v>
      </c>
      <c r="AL540" s="4" t="s">
        <v>1658</v>
      </c>
      <c r="AM540" s="5" t="s">
        <v>1658</v>
      </c>
      <c r="AN540" s="4">
        <v>11</v>
      </c>
      <c r="AO540" t="s">
        <v>1635</v>
      </c>
      <c r="AP540" s="4" t="s">
        <v>1658</v>
      </c>
      <c r="AQ540" t="s">
        <v>1619</v>
      </c>
      <c r="AR540" t="s">
        <v>1620</v>
      </c>
      <c r="AT540" s="16" t="str">
        <f>_xlfn.XLOOKUP(B540,'SWiSH Demand Forecast Sep-26'!D:D,'SWiSH Demand Forecast Sep-26'!G:G,"Not Exist")</f>
        <v>Not Exist</v>
      </c>
    </row>
    <row r="541" spans="1:46" x14ac:dyDescent="0.3">
      <c r="A541">
        <v>101400005</v>
      </c>
      <c r="B541" t="s">
        <v>2446</v>
      </c>
      <c r="C541" t="s">
        <v>10</v>
      </c>
      <c r="D541" t="s">
        <v>1613</v>
      </c>
      <c r="E541" t="s">
        <v>1701</v>
      </c>
      <c r="F541" t="s">
        <v>1650</v>
      </c>
      <c r="G541" t="s">
        <v>1624</v>
      </c>
      <c r="H541" t="s">
        <v>1693</v>
      </c>
      <c r="I541" t="s">
        <v>1634</v>
      </c>
      <c r="J541" t="e">
        <v>#N/A</v>
      </c>
      <c r="K541">
        <v>6</v>
      </c>
      <c r="L541">
        <v>36</v>
      </c>
      <c r="M541" s="1">
        <v>3</v>
      </c>
      <c r="N541">
        <v>0</v>
      </c>
      <c r="O541">
        <v>0</v>
      </c>
      <c r="P541">
        <v>6</v>
      </c>
      <c r="Q541" s="1">
        <v>6</v>
      </c>
      <c r="R541">
        <v>6</v>
      </c>
      <c r="S541" s="2">
        <v>46187</v>
      </c>
      <c r="T541" s="2">
        <v>46256</v>
      </c>
      <c r="U541">
        <v>16</v>
      </c>
      <c r="V541">
        <v>8</v>
      </c>
      <c r="W541">
        <v>10</v>
      </c>
      <c r="X541">
        <v>15</v>
      </c>
      <c r="Y541">
        <v>8</v>
      </c>
      <c r="Z541" s="8">
        <v>16</v>
      </c>
      <c r="AA541">
        <v>12.25</v>
      </c>
      <c r="AB541">
        <v>0.65306122448979587</v>
      </c>
      <c r="AC541">
        <v>1.3061224489795917</v>
      </c>
      <c r="AD541" s="1">
        <v>11</v>
      </c>
      <c r="AE541" s="2">
        <v>46259</v>
      </c>
      <c r="AF541" s="2">
        <v>46267</v>
      </c>
      <c r="AG541" s="2">
        <v>46274</v>
      </c>
      <c r="AH541">
        <v>5</v>
      </c>
      <c r="AI541" s="3">
        <v>0.32327586206896552</v>
      </c>
      <c r="AJ541" s="1">
        <v>34</v>
      </c>
      <c r="AK541" s="2">
        <v>46297</v>
      </c>
      <c r="AL541" s="4">
        <v>30</v>
      </c>
      <c r="AM541" s="5">
        <v>15</v>
      </c>
      <c r="AN541" s="4">
        <v>11</v>
      </c>
      <c r="AO541">
        <v>5.1724137931034484</v>
      </c>
      <c r="AP541" s="4">
        <v>1</v>
      </c>
      <c r="AQ541">
        <v>10</v>
      </c>
      <c r="AR541" t="s">
        <v>2102</v>
      </c>
      <c r="AT541" s="16" t="str">
        <f>_xlfn.XLOOKUP(B541,'SWiSH Demand Forecast Sep-26'!D:D,'SWiSH Demand Forecast Sep-26'!G:G,"Not Exist")</f>
        <v>Not Exist</v>
      </c>
    </row>
    <row r="542" spans="1:46" x14ac:dyDescent="0.3">
      <c r="A542">
        <v>101400042</v>
      </c>
      <c r="B542" t="s">
        <v>2447</v>
      </c>
      <c r="C542" t="s">
        <v>240</v>
      </c>
      <c r="D542" t="s">
        <v>1613</v>
      </c>
      <c r="E542" t="s">
        <v>2448</v>
      </c>
      <c r="F542" t="s">
        <v>1644</v>
      </c>
      <c r="G542" t="s">
        <v>1624</v>
      </c>
      <c r="H542" t="s">
        <v>1693</v>
      </c>
      <c r="I542" t="s">
        <v>1634</v>
      </c>
      <c r="J542" t="s">
        <v>240</v>
      </c>
      <c r="K542">
        <v>1.4006110000000001</v>
      </c>
      <c r="L542">
        <v>35.015275000000003</v>
      </c>
      <c r="M542" s="1">
        <v>3</v>
      </c>
      <c r="N542">
        <v>0</v>
      </c>
      <c r="O542">
        <v>0</v>
      </c>
      <c r="P542">
        <v>25</v>
      </c>
      <c r="Q542" s="1">
        <v>25</v>
      </c>
      <c r="R542">
        <v>28</v>
      </c>
      <c r="S542" s="2">
        <v>46223</v>
      </c>
      <c r="T542" s="2">
        <v>46261</v>
      </c>
      <c r="U542">
        <v>65</v>
      </c>
      <c r="V542">
        <v>65</v>
      </c>
      <c r="W542">
        <v>50</v>
      </c>
      <c r="X542">
        <v>25</v>
      </c>
      <c r="Y542">
        <v>25</v>
      </c>
      <c r="Z542" s="8">
        <v>65</v>
      </c>
      <c r="AA542">
        <v>51.25</v>
      </c>
      <c r="AB542">
        <v>0.48780487804878048</v>
      </c>
      <c r="AC542">
        <v>1.2682926829268293</v>
      </c>
      <c r="AD542" s="1">
        <v>11</v>
      </c>
      <c r="AE542" s="2">
        <v>46259</v>
      </c>
      <c r="AF542" s="2">
        <v>46267</v>
      </c>
      <c r="AG542" s="2">
        <v>46274</v>
      </c>
      <c r="AH542">
        <v>50</v>
      </c>
      <c r="AI542" s="3">
        <v>0.79575596816976124</v>
      </c>
      <c r="AJ542" s="1">
        <v>14</v>
      </c>
      <c r="AK542" s="2">
        <v>46277</v>
      </c>
      <c r="AL542" s="4">
        <v>30</v>
      </c>
      <c r="AM542" s="5">
        <v>15</v>
      </c>
      <c r="AN542" s="4">
        <v>11</v>
      </c>
      <c r="AO542">
        <v>51.724137931034484</v>
      </c>
      <c r="AP542" s="4">
        <v>1</v>
      </c>
      <c r="AQ542" t="s">
        <v>1619</v>
      </c>
      <c r="AR542" t="s">
        <v>1620</v>
      </c>
      <c r="AT542" s="16" t="str">
        <f>_xlfn.XLOOKUP(B542,'SWiSH Demand Forecast Sep-26'!D:D,'SWiSH Demand Forecast Sep-26'!G:G,"Not Exist")</f>
        <v>Not Exist</v>
      </c>
    </row>
    <row r="543" spans="1:46" x14ac:dyDescent="0.3">
      <c r="A543">
        <v>101200055</v>
      </c>
      <c r="B543" t="s">
        <v>2449</v>
      </c>
      <c r="C543" t="s">
        <v>136</v>
      </c>
      <c r="D543" t="s">
        <v>1613</v>
      </c>
      <c r="E543" t="s">
        <v>1685</v>
      </c>
      <c r="F543" t="s">
        <v>1833</v>
      </c>
      <c r="G543" t="s">
        <v>1616</v>
      </c>
      <c r="H543" t="s">
        <v>1625</v>
      </c>
      <c r="I543" t="s">
        <v>1626</v>
      </c>
      <c r="J543" t="s">
        <v>2450</v>
      </c>
      <c r="K543">
        <v>3.3333499999999998</v>
      </c>
      <c r="L543">
        <v>220.66776999999999</v>
      </c>
      <c r="M543" s="1">
        <v>3</v>
      </c>
      <c r="N543">
        <v>0</v>
      </c>
      <c r="O543">
        <v>0</v>
      </c>
      <c r="P543">
        <v>66.2</v>
      </c>
      <c r="Q543" s="1">
        <v>66.2</v>
      </c>
      <c r="R543">
        <v>0.7</v>
      </c>
      <c r="S543" s="2">
        <v>46189</v>
      </c>
      <c r="T543" s="2">
        <v>46263</v>
      </c>
      <c r="U543">
        <v>36.4</v>
      </c>
      <c r="V543">
        <v>88.2</v>
      </c>
      <c r="W543">
        <v>171.8</v>
      </c>
      <c r="X543">
        <v>100.8</v>
      </c>
      <c r="Y543">
        <v>36.4</v>
      </c>
      <c r="Z543" s="8">
        <v>171.8</v>
      </c>
      <c r="AA543">
        <v>99.3</v>
      </c>
      <c r="AB543">
        <v>0.36656596173212486</v>
      </c>
      <c r="AC543">
        <v>1.7301107754279961</v>
      </c>
      <c r="AD543" s="1">
        <v>11</v>
      </c>
      <c r="AE543" s="2">
        <v>46259</v>
      </c>
      <c r="AF543" s="2">
        <v>46267</v>
      </c>
      <c r="AG543" s="2">
        <v>46274</v>
      </c>
      <c r="AH543">
        <v>47.2</v>
      </c>
      <c r="AI543" s="3">
        <v>0.28421179398659224</v>
      </c>
      <c r="AJ543" s="1">
        <v>40</v>
      </c>
      <c r="AK543" s="2">
        <v>46303</v>
      </c>
      <c r="AL543" s="4">
        <v>30</v>
      </c>
      <c r="AM543" s="5">
        <v>15</v>
      </c>
      <c r="AN543" s="4">
        <v>11</v>
      </c>
      <c r="AO543">
        <v>48.827586206896548</v>
      </c>
      <c r="AP543" s="4">
        <v>1</v>
      </c>
      <c r="AQ543" t="s">
        <v>1619</v>
      </c>
      <c r="AR543" t="s">
        <v>1620</v>
      </c>
      <c r="AT543" s="16" t="str">
        <f>_xlfn.XLOOKUP(B543,'SWiSH Demand Forecast Sep-26'!D:D,'SWiSH Demand Forecast Sep-26'!G:G,"Not Exist")</f>
        <v>Not Exist</v>
      </c>
    </row>
    <row r="544" spans="1:46" hidden="1" x14ac:dyDescent="0.3">
      <c r="A544">
        <v>100200011</v>
      </c>
      <c r="B544" t="s">
        <v>917</v>
      </c>
      <c r="C544" t="s">
        <v>136</v>
      </c>
      <c r="D544" t="s">
        <v>1613</v>
      </c>
      <c r="E544" t="s">
        <v>1949</v>
      </c>
      <c r="F544" t="s">
        <v>1752</v>
      </c>
      <c r="G544" t="s">
        <v>1616</v>
      </c>
      <c r="H544" t="s">
        <v>1988</v>
      </c>
      <c r="I544" t="s">
        <v>1754</v>
      </c>
      <c r="J544" t="s">
        <v>2280</v>
      </c>
      <c r="K544">
        <v>2.1982736100000002</v>
      </c>
      <c r="L544">
        <v>835.34397180000008</v>
      </c>
      <c r="M544" s="1">
        <v>3</v>
      </c>
      <c r="N544">
        <v>0</v>
      </c>
      <c r="O544">
        <v>10</v>
      </c>
      <c r="P544">
        <v>380</v>
      </c>
      <c r="Q544" s="1">
        <v>370</v>
      </c>
      <c r="R544">
        <v>22</v>
      </c>
      <c r="S544" s="2">
        <v>46239</v>
      </c>
      <c r="T544" s="2">
        <v>46262</v>
      </c>
      <c r="U544">
        <v>0</v>
      </c>
      <c r="V544">
        <v>420</v>
      </c>
      <c r="W544">
        <v>410</v>
      </c>
      <c r="X544">
        <v>945</v>
      </c>
      <c r="Y544">
        <v>0</v>
      </c>
      <c r="Z544" s="8">
        <v>945</v>
      </c>
      <c r="AA544">
        <v>443.75</v>
      </c>
      <c r="AB544">
        <v>0</v>
      </c>
      <c r="AC544">
        <v>2.1295774647887322</v>
      </c>
      <c r="AD544" s="1">
        <v>11</v>
      </c>
      <c r="AE544" s="2">
        <v>46259</v>
      </c>
      <c r="AF544" s="2">
        <v>46267</v>
      </c>
      <c r="AG544" s="2">
        <v>46274</v>
      </c>
      <c r="AH544">
        <v>215</v>
      </c>
      <c r="AI544" s="3">
        <v>0.23535851122058019</v>
      </c>
      <c r="AJ544" s="1">
        <v>49</v>
      </c>
      <c r="AK544" s="2">
        <v>46312</v>
      </c>
      <c r="AL544" s="4">
        <v>30</v>
      </c>
      <c r="AM544" s="5">
        <v>15</v>
      </c>
      <c r="AN544" s="4">
        <v>11</v>
      </c>
      <c r="AO544">
        <v>222.41379310344828</v>
      </c>
      <c r="AP544" s="4">
        <v>1</v>
      </c>
      <c r="AQ544">
        <v>60</v>
      </c>
      <c r="AR544" t="s">
        <v>2019</v>
      </c>
      <c r="AS544" t="s">
        <v>1666</v>
      </c>
      <c r="AT544" s="16">
        <f>_xlfn.XLOOKUP(B544,'SWiSH Demand Forecast Sep-26'!D:D,'SWiSH Demand Forecast Sep-26'!G:G,"Not Exist")</f>
        <v>226.38</v>
      </c>
    </row>
    <row r="545" spans="1:46" hidden="1" x14ac:dyDescent="0.3">
      <c r="A545">
        <v>100400128</v>
      </c>
      <c r="B545" t="s">
        <v>123</v>
      </c>
      <c r="C545" t="s">
        <v>10</v>
      </c>
      <c r="D545" t="s">
        <v>1613</v>
      </c>
      <c r="E545" t="s">
        <v>1655</v>
      </c>
      <c r="F545" t="s">
        <v>1664</v>
      </c>
      <c r="G545" t="s">
        <v>1616</v>
      </c>
      <c r="H545" t="s">
        <v>1810</v>
      </c>
      <c r="I545" t="s">
        <v>1634</v>
      </c>
      <c r="J545" t="s">
        <v>10</v>
      </c>
      <c r="K545">
        <v>7.1999999999999995E-2</v>
      </c>
      <c r="L545">
        <v>2793.6</v>
      </c>
      <c r="M545" s="1">
        <v>30</v>
      </c>
      <c r="N545">
        <v>0</v>
      </c>
      <c r="O545">
        <v>1000</v>
      </c>
      <c r="P545">
        <v>38800</v>
      </c>
      <c r="Q545" s="1">
        <v>37800</v>
      </c>
      <c r="R545">
        <v>7.1999999999999995E-2</v>
      </c>
      <c r="S545" s="2">
        <v>46249</v>
      </c>
      <c r="T545" s="2">
        <v>46263</v>
      </c>
      <c r="U545">
        <v>101125</v>
      </c>
      <c r="V545">
        <v>55150</v>
      </c>
      <c r="W545">
        <v>46240</v>
      </c>
      <c r="X545">
        <v>51100</v>
      </c>
      <c r="Y545">
        <v>46240</v>
      </c>
      <c r="Z545" s="8">
        <v>101125</v>
      </c>
      <c r="AA545">
        <v>63403.75</v>
      </c>
      <c r="AB545">
        <v>0.72929440293358039</v>
      </c>
      <c r="AC545">
        <v>1.5949372079727147</v>
      </c>
      <c r="AD545" s="1">
        <v>11</v>
      </c>
      <c r="AE545" s="2">
        <v>46259</v>
      </c>
      <c r="AF545" s="2">
        <v>46267</v>
      </c>
      <c r="AG545" s="2">
        <v>46274</v>
      </c>
      <c r="AH545">
        <v>37500</v>
      </c>
      <c r="AI545" s="3">
        <v>0.3836153616640382</v>
      </c>
      <c r="AJ545" s="1">
        <v>29</v>
      </c>
      <c r="AK545" s="2">
        <v>46292</v>
      </c>
      <c r="AL545" s="4">
        <v>10</v>
      </c>
      <c r="AM545" s="5">
        <v>10</v>
      </c>
      <c r="AN545" s="4">
        <v>11</v>
      </c>
      <c r="AO545">
        <v>12931.034482758621</v>
      </c>
      <c r="AP545" s="4">
        <v>3</v>
      </c>
      <c r="AQ545">
        <v>115050</v>
      </c>
      <c r="AR545" t="s">
        <v>2202</v>
      </c>
      <c r="AT545" s="16">
        <f>_xlfn.XLOOKUP(B545,'SWiSH Demand Forecast Sep-26'!D:D,'SWiSH Demand Forecast Sep-26'!G:G,"Not Exist")</f>
        <v>15051</v>
      </c>
    </row>
    <row r="546" spans="1:46" x14ac:dyDescent="0.3">
      <c r="A546">
        <v>104700004</v>
      </c>
      <c r="B546" t="s">
        <v>2451</v>
      </c>
      <c r="C546" t="s">
        <v>240</v>
      </c>
      <c r="D546" t="s">
        <v>1613</v>
      </c>
      <c r="E546" t="s">
        <v>1832</v>
      </c>
      <c r="F546" t="s">
        <v>1833</v>
      </c>
      <c r="G546" t="s">
        <v>1616</v>
      </c>
      <c r="H546" t="s">
        <v>2025</v>
      </c>
      <c r="I546" t="s">
        <v>1626</v>
      </c>
      <c r="J546" t="s">
        <v>1874</v>
      </c>
      <c r="K546">
        <v>0.33615</v>
      </c>
      <c r="L546">
        <v>96.811199999999999</v>
      </c>
      <c r="M546" s="1">
        <v>3</v>
      </c>
      <c r="N546">
        <v>0</v>
      </c>
      <c r="O546">
        <v>0</v>
      </c>
      <c r="P546">
        <v>288</v>
      </c>
      <c r="Q546" s="1">
        <v>288</v>
      </c>
      <c r="R546">
        <v>4.8</v>
      </c>
      <c r="S546" s="2">
        <v>46209</v>
      </c>
      <c r="T546" s="2">
        <v>46262</v>
      </c>
      <c r="U546">
        <v>744</v>
      </c>
      <c r="V546">
        <v>300</v>
      </c>
      <c r="W546">
        <v>396</v>
      </c>
      <c r="X546">
        <v>120</v>
      </c>
      <c r="Y546">
        <v>120</v>
      </c>
      <c r="Z546" s="8">
        <v>744</v>
      </c>
      <c r="AA546">
        <v>390</v>
      </c>
      <c r="AB546">
        <v>0.30769230769230771</v>
      </c>
      <c r="AC546">
        <v>1.9076923076923078</v>
      </c>
      <c r="AD546" s="1">
        <v>11</v>
      </c>
      <c r="AE546" s="2">
        <v>46259</v>
      </c>
      <c r="AF546" s="2">
        <v>46267</v>
      </c>
      <c r="AG546" s="2">
        <v>46274</v>
      </c>
      <c r="AH546">
        <v>168</v>
      </c>
      <c r="AI546" s="3">
        <v>0.23359288097886541</v>
      </c>
      <c r="AJ546" s="1">
        <v>49</v>
      </c>
      <c r="AK546" s="2">
        <v>46312</v>
      </c>
      <c r="AL546" s="4">
        <v>30</v>
      </c>
      <c r="AM546" s="5">
        <v>15</v>
      </c>
      <c r="AN546" s="4">
        <v>11</v>
      </c>
      <c r="AO546">
        <v>173.79310344827587</v>
      </c>
      <c r="AP546" s="4">
        <v>1</v>
      </c>
      <c r="AQ546" t="s">
        <v>1619</v>
      </c>
      <c r="AR546" t="s">
        <v>1620</v>
      </c>
      <c r="AT546" s="16" t="str">
        <f>_xlfn.XLOOKUP(B546,'SWiSH Demand Forecast Sep-26'!D:D,'SWiSH Demand Forecast Sep-26'!G:G,"Not Exist")</f>
        <v>Not Exist</v>
      </c>
    </row>
    <row r="547" spans="1:46" x14ac:dyDescent="0.3">
      <c r="A547">
        <v>106300047</v>
      </c>
      <c r="B547" t="s">
        <v>2452</v>
      </c>
      <c r="C547" t="s">
        <v>136</v>
      </c>
      <c r="D547" t="s">
        <v>1613</v>
      </c>
      <c r="E547" t="s">
        <v>2151</v>
      </c>
      <c r="F547" t="s">
        <v>1615</v>
      </c>
      <c r="G547" t="s">
        <v>1616</v>
      </c>
      <c r="H547" t="s">
        <v>1860</v>
      </c>
      <c r="I547" t="s">
        <v>1618</v>
      </c>
      <c r="J547" t="s">
        <v>2453</v>
      </c>
      <c r="K547">
        <v>1.03703704</v>
      </c>
      <c r="L547">
        <v>22.400000064</v>
      </c>
      <c r="M547" s="1">
        <v>3</v>
      </c>
      <c r="N547">
        <v>0</v>
      </c>
      <c r="O547">
        <v>0</v>
      </c>
      <c r="P547">
        <v>21.6</v>
      </c>
      <c r="Q547" s="1">
        <v>21.6</v>
      </c>
      <c r="R547">
        <v>1.1599999999999999</v>
      </c>
      <c r="S547" s="2">
        <v>46242</v>
      </c>
      <c r="T547" s="2">
        <v>46262</v>
      </c>
      <c r="U547">
        <v>48.6</v>
      </c>
      <c r="V547">
        <v>56.699999999999996</v>
      </c>
      <c r="W547">
        <v>53.099999999999994</v>
      </c>
      <c r="X547">
        <v>54.899999999999991</v>
      </c>
      <c r="Y547">
        <v>48.6</v>
      </c>
      <c r="Z547" s="8">
        <v>56.699999999999996</v>
      </c>
      <c r="AA547">
        <v>53.324999999999989</v>
      </c>
      <c r="AB547">
        <v>0.91139240506329133</v>
      </c>
      <c r="AC547">
        <v>1.0632911392405064</v>
      </c>
      <c r="AD547" s="1">
        <v>11</v>
      </c>
      <c r="AE547" s="2">
        <v>46259</v>
      </c>
      <c r="AF547" s="2">
        <v>46267</v>
      </c>
      <c r="AG547" s="2">
        <v>46274</v>
      </c>
      <c r="AH547">
        <v>33.299999999999997</v>
      </c>
      <c r="AI547" s="3">
        <v>0.60755336617405575</v>
      </c>
      <c r="AJ547" s="1">
        <v>18</v>
      </c>
      <c r="AK547" s="2">
        <v>46281</v>
      </c>
      <c r="AL547" s="4">
        <v>30</v>
      </c>
      <c r="AM547" s="5">
        <v>15</v>
      </c>
      <c r="AN547" s="4">
        <v>11</v>
      </c>
      <c r="AO547">
        <v>34.448275862068961</v>
      </c>
      <c r="AP547" s="4">
        <v>1</v>
      </c>
      <c r="AQ547" t="s">
        <v>1619</v>
      </c>
      <c r="AR547" t="s">
        <v>2454</v>
      </c>
      <c r="AT547" s="16" t="str">
        <f>_xlfn.XLOOKUP(B547,'SWiSH Demand Forecast Sep-26'!D:D,'SWiSH Demand Forecast Sep-26'!G:G,"Not Exist")</f>
        <v>Not Exist</v>
      </c>
    </row>
    <row r="548" spans="1:46" hidden="1" x14ac:dyDescent="0.3">
      <c r="A548">
        <v>102000005</v>
      </c>
      <c r="B548" t="s">
        <v>962</v>
      </c>
      <c r="C548" t="s">
        <v>136</v>
      </c>
      <c r="D548" t="s">
        <v>1613</v>
      </c>
      <c r="E548" t="s">
        <v>2455</v>
      </c>
      <c r="F548" t="s">
        <v>1615</v>
      </c>
      <c r="G548" t="s">
        <v>1616</v>
      </c>
      <c r="H548" t="s">
        <v>2000</v>
      </c>
      <c r="I548" t="s">
        <v>1618</v>
      </c>
      <c r="J548" t="s">
        <v>2456</v>
      </c>
      <c r="K548">
        <v>2.87174766</v>
      </c>
      <c r="L548">
        <v>723.68041031999996</v>
      </c>
      <c r="M548" s="1">
        <v>3</v>
      </c>
      <c r="N548">
        <v>0</v>
      </c>
      <c r="O548">
        <v>17.2</v>
      </c>
      <c r="P548">
        <v>252</v>
      </c>
      <c r="Q548" s="1">
        <v>234.8</v>
      </c>
      <c r="R548">
        <v>27.6</v>
      </c>
      <c r="S548" s="2">
        <v>46249</v>
      </c>
      <c r="T548" s="2">
        <v>46263</v>
      </c>
      <c r="U548">
        <v>630.5</v>
      </c>
      <c r="V548">
        <v>596</v>
      </c>
      <c r="W548">
        <v>477.5</v>
      </c>
      <c r="X548">
        <v>455</v>
      </c>
      <c r="Y548">
        <v>455</v>
      </c>
      <c r="Z548" s="8">
        <v>630.5</v>
      </c>
      <c r="AA548">
        <v>539.75</v>
      </c>
      <c r="AB548">
        <v>0.84298286243631315</v>
      </c>
      <c r="AC548">
        <v>1.1681333950903197</v>
      </c>
      <c r="AD548" s="1">
        <v>11</v>
      </c>
      <c r="AE548" s="2">
        <v>46259</v>
      </c>
      <c r="AF548" s="2">
        <v>46267</v>
      </c>
      <c r="AG548" s="2">
        <v>46274</v>
      </c>
      <c r="AH548">
        <v>358.30000000000018</v>
      </c>
      <c r="AI548" s="3">
        <v>0.58787497607263017</v>
      </c>
      <c r="AJ548" s="1">
        <v>19</v>
      </c>
      <c r="AK548" s="2">
        <v>46282</v>
      </c>
      <c r="AL548" s="4">
        <v>30</v>
      </c>
      <c r="AM548" s="5">
        <v>15</v>
      </c>
      <c r="AN548" s="4">
        <v>11</v>
      </c>
      <c r="AO548">
        <v>370.65517241379331</v>
      </c>
      <c r="AP548" s="4">
        <v>1</v>
      </c>
      <c r="AQ548" t="s">
        <v>1619</v>
      </c>
      <c r="AR548" t="s">
        <v>1620</v>
      </c>
      <c r="AT548" s="16">
        <f>_xlfn.XLOOKUP(B548,'SWiSH Demand Forecast Sep-26'!D:D,'SWiSH Demand Forecast Sep-26'!G:G,"Not Exist")</f>
        <v>182.17250000000001</v>
      </c>
    </row>
    <row r="549" spans="1:46" x14ac:dyDescent="0.3">
      <c r="A549">
        <v>102700034</v>
      </c>
      <c r="B549" t="s">
        <v>2457</v>
      </c>
      <c r="C549" t="s">
        <v>10</v>
      </c>
      <c r="D549" t="s">
        <v>1613</v>
      </c>
      <c r="E549" t="s">
        <v>2458</v>
      </c>
      <c r="F549" t="s">
        <v>1840</v>
      </c>
      <c r="G549" t="s">
        <v>1616</v>
      </c>
      <c r="H549" t="s">
        <v>1865</v>
      </c>
      <c r="I549" t="s">
        <v>1618</v>
      </c>
      <c r="J549" t="s">
        <v>10</v>
      </c>
      <c r="K549">
        <v>0.10156</v>
      </c>
      <c r="L549">
        <v>409.48991999999998</v>
      </c>
      <c r="M549" s="1">
        <v>3</v>
      </c>
      <c r="N549">
        <v>0</v>
      </c>
      <c r="O549">
        <v>0</v>
      </c>
      <c r="P549">
        <v>4032</v>
      </c>
      <c r="Q549" s="1">
        <v>4032</v>
      </c>
      <c r="R549">
        <v>19</v>
      </c>
      <c r="S549" s="2">
        <v>46246</v>
      </c>
      <c r="T549" s="2">
        <v>46263</v>
      </c>
      <c r="U549">
        <v>10954</v>
      </c>
      <c r="V549">
        <v>10752</v>
      </c>
      <c r="W549">
        <v>9408</v>
      </c>
      <c r="X549">
        <v>7692</v>
      </c>
      <c r="Y549">
        <v>7692</v>
      </c>
      <c r="Z549" s="8">
        <v>10954</v>
      </c>
      <c r="AA549">
        <v>9701.5</v>
      </c>
      <c r="AB549">
        <v>0.79286708240993664</v>
      </c>
      <c r="AC549">
        <v>1.1291037468432716</v>
      </c>
      <c r="AD549" s="1">
        <v>11</v>
      </c>
      <c r="AE549" s="2">
        <v>46259</v>
      </c>
      <c r="AF549" s="2">
        <v>46267</v>
      </c>
      <c r="AG549" s="2">
        <v>46274</v>
      </c>
      <c r="AH549">
        <v>6900</v>
      </c>
      <c r="AI549" s="3">
        <v>0.6516278103416796</v>
      </c>
      <c r="AJ549" s="1">
        <v>16</v>
      </c>
      <c r="AK549" s="2">
        <v>46279</v>
      </c>
      <c r="AL549" s="4">
        <v>30</v>
      </c>
      <c r="AM549" s="5">
        <v>15</v>
      </c>
      <c r="AN549" s="4">
        <v>11</v>
      </c>
      <c r="AO549">
        <v>7137.9310344827582</v>
      </c>
      <c r="AP549" s="4">
        <v>1</v>
      </c>
      <c r="AQ549" t="s">
        <v>1619</v>
      </c>
      <c r="AR549" t="s">
        <v>1620</v>
      </c>
      <c r="AT549" s="16" t="str">
        <f>_xlfn.XLOOKUP(B549,'SWiSH Demand Forecast Sep-26'!D:D,'SWiSH Demand Forecast Sep-26'!G:G,"Not Exist")</f>
        <v>Not Exist</v>
      </c>
    </row>
    <row r="550" spans="1:46" hidden="1" x14ac:dyDescent="0.3">
      <c r="A550">
        <v>100700024</v>
      </c>
      <c r="B550" t="s">
        <v>922</v>
      </c>
      <c r="C550" t="s">
        <v>136</v>
      </c>
      <c r="D550" t="s">
        <v>1613</v>
      </c>
      <c r="E550" t="s">
        <v>2459</v>
      </c>
      <c r="F550" t="s">
        <v>1875</v>
      </c>
      <c r="G550" t="s">
        <v>1616</v>
      </c>
      <c r="H550" t="s">
        <v>1867</v>
      </c>
      <c r="I550" t="s">
        <v>1618</v>
      </c>
      <c r="J550" t="e">
        <v>#N/A</v>
      </c>
      <c r="K550">
        <v>1.59128084</v>
      </c>
      <c r="L550">
        <v>720.85022051999999</v>
      </c>
      <c r="M550" s="1">
        <v>3</v>
      </c>
      <c r="N550">
        <v>0</v>
      </c>
      <c r="O550">
        <v>42</v>
      </c>
      <c r="P550">
        <v>453</v>
      </c>
      <c r="Q550" s="1">
        <v>411</v>
      </c>
      <c r="R550">
        <v>1.2222200000000001</v>
      </c>
      <c r="S550" s="2">
        <v>45990</v>
      </c>
      <c r="T550" s="2">
        <v>46263</v>
      </c>
      <c r="U550">
        <v>799.5</v>
      </c>
      <c r="V550">
        <v>1113</v>
      </c>
      <c r="W550">
        <v>862.5</v>
      </c>
      <c r="X550">
        <v>1017</v>
      </c>
      <c r="Y550">
        <v>799.5</v>
      </c>
      <c r="Z550" s="8">
        <v>1113</v>
      </c>
      <c r="AA550">
        <v>948</v>
      </c>
      <c r="AB550">
        <v>0.84335443037974689</v>
      </c>
      <c r="AC550">
        <v>1.1740506329113924</v>
      </c>
      <c r="AD550" s="1">
        <v>11</v>
      </c>
      <c r="AE550" s="2">
        <v>46259</v>
      </c>
      <c r="AF550" s="2">
        <v>46267</v>
      </c>
      <c r="AG550" s="2">
        <v>46274</v>
      </c>
      <c r="AH550">
        <v>982.5</v>
      </c>
      <c r="AI550" s="3">
        <v>0.91318895808160605</v>
      </c>
      <c r="AJ550" s="1">
        <v>12</v>
      </c>
      <c r="AK550" s="2">
        <v>46275</v>
      </c>
      <c r="AL550" s="4">
        <v>15</v>
      </c>
      <c r="AM550" s="5">
        <v>15</v>
      </c>
      <c r="AN550" s="4">
        <v>11</v>
      </c>
      <c r="AO550">
        <v>508.18965517241378</v>
      </c>
      <c r="AP550" s="4">
        <v>2</v>
      </c>
      <c r="AQ550" t="s">
        <v>1619</v>
      </c>
      <c r="AR550" t="s">
        <v>1620</v>
      </c>
      <c r="AT550" s="16">
        <f>_xlfn.XLOOKUP(B550,'SWiSH Demand Forecast Sep-26'!D:D,'SWiSH Demand Forecast Sep-26'!G:G,"Not Exist")</f>
        <v>219.95054770303</v>
      </c>
    </row>
    <row r="551" spans="1:46" hidden="1" x14ac:dyDescent="0.3">
      <c r="A551">
        <v>100400214</v>
      </c>
      <c r="B551" t="s">
        <v>454</v>
      </c>
      <c r="C551" t="s">
        <v>10</v>
      </c>
      <c r="D551" t="s">
        <v>1613</v>
      </c>
      <c r="E551" t="s">
        <v>2049</v>
      </c>
      <c r="F551" t="s">
        <v>1664</v>
      </c>
      <c r="G551" t="s">
        <v>1624</v>
      </c>
      <c r="H551" t="s">
        <v>1810</v>
      </c>
      <c r="I551" t="s">
        <v>1634</v>
      </c>
      <c r="J551" t="s">
        <v>10</v>
      </c>
      <c r="K551">
        <v>0.25198247000000001</v>
      </c>
      <c r="L551">
        <v>246.9428206</v>
      </c>
      <c r="M551" s="1">
        <v>30</v>
      </c>
      <c r="N551">
        <v>0</v>
      </c>
      <c r="O551">
        <v>40</v>
      </c>
      <c r="P551">
        <v>980</v>
      </c>
      <c r="Q551" s="1">
        <v>940</v>
      </c>
      <c r="R551">
        <v>0.252</v>
      </c>
      <c r="S551" s="2">
        <v>46214</v>
      </c>
      <c r="T551" s="2">
        <v>46263</v>
      </c>
      <c r="U551">
        <v>2100</v>
      </c>
      <c r="V551">
        <v>2485</v>
      </c>
      <c r="W551">
        <v>1880</v>
      </c>
      <c r="X551">
        <v>2120</v>
      </c>
      <c r="Y551">
        <v>1880</v>
      </c>
      <c r="Z551" s="8">
        <v>2485</v>
      </c>
      <c r="AA551">
        <v>2146.25</v>
      </c>
      <c r="AB551">
        <v>0.87594641817122887</v>
      </c>
      <c r="AC551">
        <v>1.1578334304018638</v>
      </c>
      <c r="AD551" s="1">
        <v>11</v>
      </c>
      <c r="AE551" s="2">
        <v>46259</v>
      </c>
      <c r="AF551" s="2">
        <v>46267</v>
      </c>
      <c r="AG551" s="2">
        <v>46274</v>
      </c>
      <c r="AH551">
        <v>1820</v>
      </c>
      <c r="AI551" s="3">
        <v>0.75764934434191356</v>
      </c>
      <c r="AJ551" s="1">
        <v>14</v>
      </c>
      <c r="AK551" s="2">
        <v>46277</v>
      </c>
      <c r="AL551" s="4">
        <v>15</v>
      </c>
      <c r="AM551" s="5">
        <v>15</v>
      </c>
      <c r="AN551" s="4">
        <v>11</v>
      </c>
      <c r="AO551">
        <v>941.37931034482756</v>
      </c>
      <c r="AP551" s="4">
        <v>2</v>
      </c>
      <c r="AQ551">
        <v>3500</v>
      </c>
      <c r="AR551" t="s">
        <v>2202</v>
      </c>
      <c r="AT551" s="16">
        <f>_xlfn.XLOOKUP(B551,'SWiSH Demand Forecast Sep-26'!D:D,'SWiSH Demand Forecast Sep-26'!G:G,"Not Exist")</f>
        <v>2016</v>
      </c>
    </row>
    <row r="552" spans="1:46" hidden="1" x14ac:dyDescent="0.3">
      <c r="A552">
        <v>106300071</v>
      </c>
      <c r="B552" t="s">
        <v>600</v>
      </c>
      <c r="C552" t="s">
        <v>136</v>
      </c>
      <c r="D552" t="s">
        <v>1613</v>
      </c>
      <c r="E552" t="s">
        <v>2460</v>
      </c>
      <c r="F552" t="s">
        <v>1927</v>
      </c>
      <c r="G552" t="s">
        <v>1616</v>
      </c>
      <c r="H552" t="s">
        <v>1860</v>
      </c>
      <c r="I552" t="s">
        <v>1618</v>
      </c>
      <c r="J552" t="s">
        <v>2461</v>
      </c>
      <c r="K552">
        <v>0.42499888000000002</v>
      </c>
      <c r="L552">
        <v>939.24752480000006</v>
      </c>
      <c r="M552" s="1">
        <v>3</v>
      </c>
      <c r="N552">
        <v>0</v>
      </c>
      <c r="O552">
        <v>200</v>
      </c>
      <c r="P552">
        <v>2210</v>
      </c>
      <c r="Q552" s="1">
        <v>2010</v>
      </c>
      <c r="R552">
        <v>8.5</v>
      </c>
      <c r="S552" s="2">
        <v>46260</v>
      </c>
      <c r="T552" s="2">
        <v>46263</v>
      </c>
      <c r="U552">
        <v>5210</v>
      </c>
      <c r="V552">
        <v>5300</v>
      </c>
      <c r="W552">
        <v>5230</v>
      </c>
      <c r="X552">
        <v>5360</v>
      </c>
      <c r="Y552">
        <v>5210</v>
      </c>
      <c r="Z552" s="8">
        <v>5360</v>
      </c>
      <c r="AA552">
        <v>5275</v>
      </c>
      <c r="AB552">
        <v>0.9876777251184834</v>
      </c>
      <c r="AC552">
        <v>1.0161137440758294</v>
      </c>
      <c r="AD552" s="1">
        <v>11</v>
      </c>
      <c r="AE552" s="2">
        <v>46259</v>
      </c>
      <c r="AF552" s="2">
        <v>46267</v>
      </c>
      <c r="AG552" s="2">
        <v>46274</v>
      </c>
      <c r="AH552">
        <v>4710</v>
      </c>
      <c r="AI552" s="3">
        <v>0.90903242408646423</v>
      </c>
      <c r="AJ552" s="1">
        <v>12</v>
      </c>
      <c r="AK552" s="2">
        <v>46275</v>
      </c>
      <c r="AL552" s="4">
        <v>8</v>
      </c>
      <c r="AM552" s="5">
        <v>5</v>
      </c>
      <c r="AN552" s="4">
        <v>11</v>
      </c>
      <c r="AO552">
        <v>1299.3103448275861</v>
      </c>
      <c r="AP552" s="4">
        <v>4</v>
      </c>
      <c r="AQ552" t="s">
        <v>1619</v>
      </c>
      <c r="AR552" t="s">
        <v>1620</v>
      </c>
      <c r="AT552" s="16">
        <f>_xlfn.XLOOKUP(B552,'SWiSH Demand Forecast Sep-26'!D:D,'SWiSH Demand Forecast Sep-26'!G:G,"Not Exist")</f>
        <v>1008.18584070796</v>
      </c>
    </row>
    <row r="553" spans="1:46" hidden="1" x14ac:dyDescent="0.3">
      <c r="A553">
        <v>106200159</v>
      </c>
      <c r="B553" t="s">
        <v>239</v>
      </c>
      <c r="C553" t="s">
        <v>136</v>
      </c>
      <c r="D553" t="s">
        <v>1613</v>
      </c>
      <c r="E553" t="s">
        <v>1732</v>
      </c>
      <c r="F553" t="s">
        <v>1671</v>
      </c>
      <c r="G553" t="s">
        <v>1616</v>
      </c>
      <c r="H553" t="s">
        <v>1672</v>
      </c>
      <c r="I553" t="s">
        <v>1618</v>
      </c>
      <c r="J553" t="s">
        <v>136</v>
      </c>
      <c r="K553">
        <v>0.87632275000000004</v>
      </c>
      <c r="L553">
        <v>9970.62498495</v>
      </c>
      <c r="M553" s="1">
        <v>3</v>
      </c>
      <c r="N553">
        <v>0</v>
      </c>
      <c r="O553">
        <v>26.46</v>
      </c>
      <c r="P553">
        <v>11377.8</v>
      </c>
      <c r="Q553" s="1">
        <v>11351.34</v>
      </c>
      <c r="R553">
        <v>13.25</v>
      </c>
      <c r="S553" s="2">
        <v>46261</v>
      </c>
      <c r="T553" s="2">
        <v>46263</v>
      </c>
      <c r="U553">
        <v>6463.7999999999993</v>
      </c>
      <c r="V553">
        <v>28595.699999999983</v>
      </c>
      <c r="W553">
        <v>26032.859999999968</v>
      </c>
      <c r="X553">
        <v>25329.780000000002</v>
      </c>
      <c r="Y553">
        <v>6463.7999999999993</v>
      </c>
      <c r="Z553" s="8">
        <v>28595.699999999983</v>
      </c>
      <c r="AA553">
        <v>21605.534999999989</v>
      </c>
      <c r="AB553">
        <v>0.2991733368324368</v>
      </c>
      <c r="AC553">
        <v>1.3235358439399902</v>
      </c>
      <c r="AD553" s="1">
        <v>11</v>
      </c>
      <c r="AE553" s="2">
        <v>46259</v>
      </c>
      <c r="AF553" s="2">
        <v>46267</v>
      </c>
      <c r="AG553" s="2">
        <v>46274</v>
      </c>
      <c r="AH553">
        <v>20302.380000000023</v>
      </c>
      <c r="AI553" s="3">
        <v>0.73446224673519289</v>
      </c>
      <c r="AJ553" s="1">
        <v>16</v>
      </c>
      <c r="AK553" s="2">
        <v>46279</v>
      </c>
      <c r="AL553" s="4">
        <v>8</v>
      </c>
      <c r="AM553" s="5">
        <v>5</v>
      </c>
      <c r="AN553" s="4">
        <v>11</v>
      </c>
      <c r="AO553">
        <v>5600.6565517241443</v>
      </c>
      <c r="AP553" s="4">
        <v>4</v>
      </c>
      <c r="AQ553">
        <v>421</v>
      </c>
      <c r="AR553" t="s">
        <v>2130</v>
      </c>
      <c r="AS553" t="s">
        <v>1666</v>
      </c>
      <c r="AT553" s="16">
        <f>_xlfn.XLOOKUP(B553,'SWiSH Demand Forecast Sep-26'!D:D,'SWiSH Demand Forecast Sep-26'!G:G,"Not Exist")</f>
        <v>7219.8683023562298</v>
      </c>
    </row>
    <row r="554" spans="1:46" hidden="1" x14ac:dyDescent="0.3">
      <c r="A554">
        <v>102500006</v>
      </c>
      <c r="B554" t="s">
        <v>647</v>
      </c>
      <c r="C554" t="s">
        <v>136</v>
      </c>
      <c r="D554" t="s">
        <v>1613</v>
      </c>
      <c r="E554" t="s">
        <v>1677</v>
      </c>
      <c r="F554" t="s">
        <v>1927</v>
      </c>
      <c r="G554" t="s">
        <v>1616</v>
      </c>
      <c r="H554" t="s">
        <v>1928</v>
      </c>
      <c r="I554" t="s">
        <v>1618</v>
      </c>
      <c r="J554" t="s">
        <v>2067</v>
      </c>
      <c r="K554">
        <v>0.22</v>
      </c>
      <c r="L554">
        <v>269.5</v>
      </c>
      <c r="M554" s="1">
        <v>3</v>
      </c>
      <c r="N554">
        <v>0</v>
      </c>
      <c r="O554">
        <v>0</v>
      </c>
      <c r="P554">
        <v>1225</v>
      </c>
      <c r="Q554" s="1">
        <v>1225</v>
      </c>
      <c r="R554">
        <v>5.5</v>
      </c>
      <c r="S554" s="2">
        <v>46254</v>
      </c>
      <c r="T554" s="2">
        <v>46263</v>
      </c>
      <c r="U554">
        <v>2950</v>
      </c>
      <c r="V554">
        <v>2800</v>
      </c>
      <c r="W554">
        <v>3225</v>
      </c>
      <c r="X554">
        <v>2325</v>
      </c>
      <c r="Y554">
        <v>2325</v>
      </c>
      <c r="Z554" s="8">
        <v>3225</v>
      </c>
      <c r="AA554">
        <v>2825</v>
      </c>
      <c r="AB554">
        <v>0.82300884955752207</v>
      </c>
      <c r="AC554">
        <v>1.1415929203539823</v>
      </c>
      <c r="AD554" s="1">
        <v>11</v>
      </c>
      <c r="AE554" s="2">
        <v>46259</v>
      </c>
      <c r="AF554" s="2">
        <v>46267</v>
      </c>
      <c r="AG554" s="2">
        <v>46274</v>
      </c>
      <c r="AH554">
        <v>2575</v>
      </c>
      <c r="AI554" s="3">
        <v>0.82598235765838013</v>
      </c>
      <c r="AJ554" s="1">
        <v>13</v>
      </c>
      <c r="AK554" s="2">
        <v>46276</v>
      </c>
      <c r="AL554" s="4">
        <v>30</v>
      </c>
      <c r="AM554" s="5">
        <v>15</v>
      </c>
      <c r="AN554" s="4">
        <v>11</v>
      </c>
      <c r="AO554">
        <v>2663.7931034482758</v>
      </c>
      <c r="AP554" s="4">
        <v>1</v>
      </c>
      <c r="AQ554" t="s">
        <v>1619</v>
      </c>
      <c r="AR554" t="s">
        <v>1620</v>
      </c>
      <c r="AT554" s="16">
        <f>_xlfn.XLOOKUP(B554,'SWiSH Demand Forecast Sep-26'!D:D,'SWiSH Demand Forecast Sep-26'!G:G,"Not Exist")</f>
        <v>806.42812339495504</v>
      </c>
    </row>
    <row r="555" spans="1:46" hidden="1" x14ac:dyDescent="0.3">
      <c r="A555">
        <v>103800005</v>
      </c>
      <c r="B555" t="s">
        <v>1254</v>
      </c>
      <c r="C555" t="s">
        <v>136</v>
      </c>
      <c r="D555" t="s">
        <v>1613</v>
      </c>
      <c r="E555" t="s">
        <v>2462</v>
      </c>
      <c r="F555" t="s">
        <v>1615</v>
      </c>
      <c r="G555" t="s">
        <v>1616</v>
      </c>
      <c r="H555" t="s">
        <v>1822</v>
      </c>
      <c r="I555" t="s">
        <v>1618</v>
      </c>
      <c r="J555" t="s">
        <v>2125</v>
      </c>
      <c r="K555">
        <v>1.9</v>
      </c>
      <c r="L555">
        <v>47.5</v>
      </c>
      <c r="M555" s="1">
        <v>3</v>
      </c>
      <c r="N555">
        <v>0</v>
      </c>
      <c r="O555">
        <v>1</v>
      </c>
      <c r="P555">
        <v>25</v>
      </c>
      <c r="Q555" s="1">
        <v>24</v>
      </c>
      <c r="R555">
        <v>0.95</v>
      </c>
      <c r="S555" s="2">
        <v>46149</v>
      </c>
      <c r="T555" s="2">
        <v>46263</v>
      </c>
      <c r="U555">
        <v>46.5</v>
      </c>
      <c r="V555">
        <v>60.5</v>
      </c>
      <c r="W555">
        <v>50</v>
      </c>
      <c r="X555">
        <v>49.5</v>
      </c>
      <c r="Y555">
        <v>46.5</v>
      </c>
      <c r="Z555" s="8">
        <v>60.5</v>
      </c>
      <c r="AA555">
        <v>51.625</v>
      </c>
      <c r="AB555">
        <v>0.90072639225181594</v>
      </c>
      <c r="AC555">
        <v>1.1719128329297821</v>
      </c>
      <c r="AD555" s="1">
        <v>11</v>
      </c>
      <c r="AE555" s="2">
        <v>46259</v>
      </c>
      <c r="AF555" s="2">
        <v>46267</v>
      </c>
      <c r="AG555" s="2">
        <v>46274</v>
      </c>
      <c r="AH555">
        <v>43</v>
      </c>
      <c r="AI555" s="3">
        <v>0.73525220860644058</v>
      </c>
      <c r="AJ555" s="1">
        <v>16</v>
      </c>
      <c r="AK555" s="2">
        <v>46279</v>
      </c>
      <c r="AL555" s="4">
        <v>30</v>
      </c>
      <c r="AM555" s="5">
        <v>15</v>
      </c>
      <c r="AN555" s="4">
        <v>11</v>
      </c>
      <c r="AO555">
        <v>44.482758620689658</v>
      </c>
      <c r="AP555" s="4">
        <v>1</v>
      </c>
      <c r="AQ555" t="s">
        <v>1619</v>
      </c>
      <c r="AR555" t="s">
        <v>1620</v>
      </c>
      <c r="AT555" s="16">
        <f>_xlfn.XLOOKUP(B555,'SWiSH Demand Forecast Sep-26'!D:D,'SWiSH Demand Forecast Sep-26'!G:G,"Not Exist")</f>
        <v>40.996600790513803</v>
      </c>
    </row>
    <row r="556" spans="1:46" hidden="1" x14ac:dyDescent="0.3">
      <c r="A556">
        <v>101200062</v>
      </c>
      <c r="B556" t="s">
        <v>900</v>
      </c>
      <c r="C556" t="s">
        <v>136</v>
      </c>
      <c r="D556" t="s">
        <v>1613</v>
      </c>
      <c r="E556" t="s">
        <v>1663</v>
      </c>
      <c r="F556" t="s">
        <v>1833</v>
      </c>
      <c r="G556" t="s">
        <v>1616</v>
      </c>
      <c r="H556" t="s">
        <v>1625</v>
      </c>
      <c r="I556" t="s">
        <v>1626</v>
      </c>
      <c r="J556" t="s">
        <v>136</v>
      </c>
      <c r="K556">
        <v>1.96360153</v>
      </c>
      <c r="L556">
        <v>307.49999959799999</v>
      </c>
      <c r="M556" s="1">
        <v>3</v>
      </c>
      <c r="N556">
        <v>0</v>
      </c>
      <c r="O556">
        <v>10.44</v>
      </c>
      <c r="P556">
        <v>156.6</v>
      </c>
      <c r="Q556" s="1">
        <v>146.16</v>
      </c>
      <c r="R556">
        <v>10.25</v>
      </c>
      <c r="S556" s="2">
        <v>46258</v>
      </c>
      <c r="T556" s="2">
        <v>46263</v>
      </c>
      <c r="U556">
        <v>0</v>
      </c>
      <c r="V556">
        <v>151.38</v>
      </c>
      <c r="W556">
        <v>381.0600000000004</v>
      </c>
      <c r="X556">
        <v>391.50000000000068</v>
      </c>
      <c r="Y556">
        <v>0</v>
      </c>
      <c r="Z556" s="8">
        <v>391.50000000000068</v>
      </c>
      <c r="AA556">
        <v>230.98500000000027</v>
      </c>
      <c r="AB556">
        <v>0</v>
      </c>
      <c r="AC556">
        <v>1.6949152542372892</v>
      </c>
      <c r="AD556" s="1">
        <v>11</v>
      </c>
      <c r="AE556" s="2">
        <v>46259</v>
      </c>
      <c r="AF556" s="2">
        <v>46267</v>
      </c>
      <c r="AG556" s="2">
        <v>46274</v>
      </c>
      <c r="AH556">
        <v>318.42000000000019</v>
      </c>
      <c r="AI556" s="3">
        <v>0.8413793103448266</v>
      </c>
      <c r="AJ556" s="1">
        <v>13</v>
      </c>
      <c r="AK556" s="2">
        <v>46276</v>
      </c>
      <c r="AL556" s="4">
        <v>30</v>
      </c>
      <c r="AM556" s="5">
        <v>15</v>
      </c>
      <c r="AN556" s="4">
        <v>11</v>
      </c>
      <c r="AO556">
        <v>329.4000000000002</v>
      </c>
      <c r="AP556" s="4">
        <v>1</v>
      </c>
      <c r="AQ556" t="s">
        <v>1619</v>
      </c>
      <c r="AR556" t="s">
        <v>1620</v>
      </c>
      <c r="AT556" s="16">
        <f>_xlfn.XLOOKUP(B556,'SWiSH Demand Forecast Sep-26'!D:D,'SWiSH Demand Forecast Sep-26'!G:G,"Not Exist")</f>
        <v>240.38399999999999</v>
      </c>
    </row>
    <row r="557" spans="1:46" x14ac:dyDescent="0.3">
      <c r="A557">
        <v>105200019</v>
      </c>
      <c r="B557" t="s">
        <v>2463</v>
      </c>
      <c r="C557" t="s">
        <v>10</v>
      </c>
      <c r="D557" t="s">
        <v>1613</v>
      </c>
      <c r="E557" t="s">
        <v>1949</v>
      </c>
      <c r="F557" t="s">
        <v>1664</v>
      </c>
      <c r="G557" t="s">
        <v>1624</v>
      </c>
      <c r="H557" t="s">
        <v>1779</v>
      </c>
      <c r="I557" t="s">
        <v>1634</v>
      </c>
      <c r="J557" t="s">
        <v>10</v>
      </c>
      <c r="K557">
        <v>1.2E-2</v>
      </c>
      <c r="L557">
        <v>96</v>
      </c>
      <c r="M557" s="1">
        <v>30</v>
      </c>
      <c r="N557">
        <v>0</v>
      </c>
      <c r="O557">
        <v>0</v>
      </c>
      <c r="P557">
        <v>8000</v>
      </c>
      <c r="Q557" s="1">
        <v>8000</v>
      </c>
      <c r="R557">
        <v>1.2E-2</v>
      </c>
      <c r="S557" s="2">
        <v>46202</v>
      </c>
      <c r="T557" s="2">
        <v>46261</v>
      </c>
      <c r="U557">
        <v>21000</v>
      </c>
      <c r="V557">
        <v>19000</v>
      </c>
      <c r="W557">
        <v>13050</v>
      </c>
      <c r="X557">
        <v>16950</v>
      </c>
      <c r="Y557">
        <v>13050</v>
      </c>
      <c r="Z557" s="8">
        <v>21000</v>
      </c>
      <c r="AA557">
        <v>17500</v>
      </c>
      <c r="AB557">
        <v>0.74571428571428566</v>
      </c>
      <c r="AC557">
        <v>1.2</v>
      </c>
      <c r="AD557" s="1">
        <v>11</v>
      </c>
      <c r="AE557" s="2">
        <v>46259</v>
      </c>
      <c r="AF557" s="2">
        <v>46267</v>
      </c>
      <c r="AG557" s="2">
        <v>46274</v>
      </c>
      <c r="AH557">
        <v>11000</v>
      </c>
      <c r="AI557" s="3">
        <v>0.54187192118226601</v>
      </c>
      <c r="AJ557" s="1">
        <v>21</v>
      </c>
      <c r="AK557" s="2">
        <v>46284</v>
      </c>
      <c r="AL557" s="4">
        <v>30</v>
      </c>
      <c r="AM557" s="5">
        <v>15</v>
      </c>
      <c r="AN557" s="4">
        <v>11</v>
      </c>
      <c r="AO557">
        <v>11379.310344827587</v>
      </c>
      <c r="AP557" s="4">
        <v>1</v>
      </c>
      <c r="AQ557">
        <v>90000</v>
      </c>
      <c r="AR557" t="s">
        <v>2034</v>
      </c>
      <c r="AT557" s="16" t="str">
        <f>_xlfn.XLOOKUP(B557,'SWiSH Demand Forecast Sep-26'!D:D,'SWiSH Demand Forecast Sep-26'!G:G,"Not Exist")</f>
        <v>Not Exist</v>
      </c>
    </row>
    <row r="558" spans="1:46" hidden="1" x14ac:dyDescent="0.3">
      <c r="A558">
        <v>105300052</v>
      </c>
      <c r="B558" t="s">
        <v>120</v>
      </c>
      <c r="C558" t="s">
        <v>10</v>
      </c>
      <c r="D558" t="s">
        <v>1613</v>
      </c>
      <c r="E558" t="s">
        <v>2049</v>
      </c>
      <c r="F558" t="s">
        <v>1664</v>
      </c>
      <c r="G558" t="s">
        <v>1624</v>
      </c>
      <c r="H558" t="s">
        <v>1978</v>
      </c>
      <c r="I558" t="s">
        <v>1634</v>
      </c>
      <c r="J558" t="s">
        <v>2226</v>
      </c>
      <c r="K558">
        <v>3.5540380000000003E-2</v>
      </c>
      <c r="L558">
        <v>277.21496400000001</v>
      </c>
      <c r="M558" s="1">
        <v>30</v>
      </c>
      <c r="N558">
        <v>0</v>
      </c>
      <c r="O558">
        <v>600</v>
      </c>
      <c r="P558">
        <v>7800</v>
      </c>
      <c r="Q558" s="1">
        <v>7200</v>
      </c>
      <c r="R558">
        <v>11</v>
      </c>
      <c r="S558" s="2">
        <v>46238</v>
      </c>
      <c r="T558" s="2">
        <v>46263</v>
      </c>
      <c r="U558">
        <v>19500</v>
      </c>
      <c r="V558">
        <v>18300</v>
      </c>
      <c r="W558">
        <v>18600</v>
      </c>
      <c r="X558">
        <v>17700</v>
      </c>
      <c r="Y558">
        <v>17700</v>
      </c>
      <c r="Z558" s="8">
        <v>19500</v>
      </c>
      <c r="AA558">
        <v>18525</v>
      </c>
      <c r="AB558">
        <v>0.95546558704453444</v>
      </c>
      <c r="AC558">
        <v>1.0526315789473684</v>
      </c>
      <c r="AD558" s="1">
        <v>11</v>
      </c>
      <c r="AE558" s="2">
        <v>46259</v>
      </c>
      <c r="AF558" s="2">
        <v>46267</v>
      </c>
      <c r="AG558" s="2">
        <v>46274</v>
      </c>
      <c r="AH558">
        <v>15600</v>
      </c>
      <c r="AI558" s="3">
        <v>0.82758620689655171</v>
      </c>
      <c r="AJ558" s="1">
        <v>13</v>
      </c>
      <c r="AK558" s="2">
        <v>46276</v>
      </c>
      <c r="AL558" s="4">
        <v>15</v>
      </c>
      <c r="AM558" s="5">
        <v>15</v>
      </c>
      <c r="AN558" s="4">
        <v>11</v>
      </c>
      <c r="AO558">
        <v>8068.9655172413795</v>
      </c>
      <c r="AP558" s="4">
        <v>2</v>
      </c>
      <c r="AQ558">
        <v>66</v>
      </c>
      <c r="AR558" t="s">
        <v>2146</v>
      </c>
      <c r="AT558" s="16">
        <f>_xlfn.XLOOKUP(B558,'SWiSH Demand Forecast Sep-26'!D:D,'SWiSH Demand Forecast Sep-26'!G:G,"Not Exist")</f>
        <v>16053</v>
      </c>
    </row>
    <row r="559" spans="1:46" hidden="1" x14ac:dyDescent="0.3">
      <c r="A559">
        <v>100400167</v>
      </c>
      <c r="B559" t="s">
        <v>67</v>
      </c>
      <c r="C559" t="s">
        <v>10</v>
      </c>
      <c r="D559" t="s">
        <v>1613</v>
      </c>
      <c r="E559" t="s">
        <v>2147</v>
      </c>
      <c r="F559" t="s">
        <v>1664</v>
      </c>
      <c r="G559" t="s">
        <v>1624</v>
      </c>
      <c r="H559" t="s">
        <v>1810</v>
      </c>
      <c r="I559" t="s">
        <v>1634</v>
      </c>
      <c r="J559" t="s">
        <v>10</v>
      </c>
      <c r="K559">
        <v>2.7350369999999999E-2</v>
      </c>
      <c r="L559">
        <v>1616.4068669999999</v>
      </c>
      <c r="M559" s="1">
        <v>30</v>
      </c>
      <c r="N559">
        <v>0</v>
      </c>
      <c r="O559">
        <v>1000</v>
      </c>
      <c r="P559">
        <v>59100</v>
      </c>
      <c r="Q559" s="1">
        <v>58100</v>
      </c>
      <c r="R559">
        <v>24</v>
      </c>
      <c r="S559" s="2">
        <v>46036</v>
      </c>
      <c r="T559" s="2">
        <v>46263</v>
      </c>
      <c r="U559">
        <v>96000</v>
      </c>
      <c r="V559">
        <v>143500</v>
      </c>
      <c r="W559">
        <v>136500</v>
      </c>
      <c r="X559">
        <v>145500</v>
      </c>
      <c r="Y559">
        <v>96000</v>
      </c>
      <c r="Z559" s="8">
        <v>145500</v>
      </c>
      <c r="AA559">
        <v>130375</v>
      </c>
      <c r="AB559">
        <v>0.73633748801534038</v>
      </c>
      <c r="AC559">
        <v>1.1160115052732502</v>
      </c>
      <c r="AD559" s="1">
        <v>11</v>
      </c>
      <c r="AE559" s="2">
        <v>46259</v>
      </c>
      <c r="AF559" s="2">
        <v>46267</v>
      </c>
      <c r="AG559" s="2">
        <v>46274</v>
      </c>
      <c r="AH559">
        <v>139850</v>
      </c>
      <c r="AI559" s="3">
        <v>0.99431212228937083</v>
      </c>
      <c r="AJ559" s="1">
        <v>12</v>
      </c>
      <c r="AK559" s="2">
        <v>46275</v>
      </c>
      <c r="AL559" s="4">
        <v>10</v>
      </c>
      <c r="AM559" s="5">
        <v>10</v>
      </c>
      <c r="AN559" s="4">
        <v>11</v>
      </c>
      <c r="AO559">
        <v>48224.137931034486</v>
      </c>
      <c r="AP559" s="4">
        <v>3</v>
      </c>
      <c r="AQ559" t="s">
        <v>1619</v>
      </c>
      <c r="AR559" t="s">
        <v>1620</v>
      </c>
      <c r="AT559" s="16">
        <f>_xlfn.XLOOKUP(B559,'SWiSH Demand Forecast Sep-26'!D:D,'SWiSH Demand Forecast Sep-26'!G:G,"Not Exist")</f>
        <v>34138.5</v>
      </c>
    </row>
    <row r="560" spans="1:46" x14ac:dyDescent="0.3">
      <c r="A560">
        <v>103800022</v>
      </c>
      <c r="B560" t="s">
        <v>2464</v>
      </c>
      <c r="C560" t="s">
        <v>136</v>
      </c>
      <c r="D560" t="s">
        <v>1613</v>
      </c>
      <c r="E560" t="s">
        <v>2331</v>
      </c>
      <c r="F560" t="s">
        <v>1615</v>
      </c>
      <c r="G560" t="s">
        <v>1616</v>
      </c>
      <c r="H560" t="s">
        <v>1822</v>
      </c>
      <c r="I560" t="s">
        <v>1618</v>
      </c>
      <c r="J560" t="s">
        <v>2125</v>
      </c>
      <c r="K560">
        <v>2.7</v>
      </c>
      <c r="L560">
        <v>4.0500000000000007</v>
      </c>
      <c r="M560" s="1">
        <v>3</v>
      </c>
      <c r="N560">
        <v>0</v>
      </c>
      <c r="O560">
        <v>0</v>
      </c>
      <c r="P560">
        <v>1.5</v>
      </c>
      <c r="Q560" s="1">
        <v>1.5</v>
      </c>
      <c r="R560">
        <v>1.35</v>
      </c>
      <c r="S560" s="2">
        <v>46186</v>
      </c>
      <c r="T560" s="2">
        <v>46263</v>
      </c>
      <c r="U560">
        <v>4</v>
      </c>
      <c r="V560">
        <v>1</v>
      </c>
      <c r="W560">
        <v>3.5</v>
      </c>
      <c r="X560">
        <v>2</v>
      </c>
      <c r="Y560">
        <v>1</v>
      </c>
      <c r="Z560" s="8">
        <v>4</v>
      </c>
      <c r="AA560">
        <v>2.625</v>
      </c>
      <c r="AB560">
        <v>0.38095238095238093</v>
      </c>
      <c r="AC560">
        <v>1.5238095238095237</v>
      </c>
      <c r="AD560" s="1">
        <v>11</v>
      </c>
      <c r="AE560" s="2">
        <v>46259</v>
      </c>
      <c r="AF560" s="2">
        <v>46267</v>
      </c>
      <c r="AG560" s="2">
        <v>46274</v>
      </c>
      <c r="AH560">
        <v>3</v>
      </c>
      <c r="AI560" s="3">
        <v>0.77586206896551724</v>
      </c>
      <c r="AJ560" s="1">
        <v>14</v>
      </c>
      <c r="AK560" s="2">
        <v>46277</v>
      </c>
      <c r="AL560" s="4">
        <v>30</v>
      </c>
      <c r="AM560" s="5">
        <v>15</v>
      </c>
      <c r="AN560" s="4">
        <v>11</v>
      </c>
      <c r="AO560">
        <v>3.103448275862069</v>
      </c>
      <c r="AP560" s="4">
        <v>1</v>
      </c>
      <c r="AQ560" t="s">
        <v>1619</v>
      </c>
      <c r="AR560" t="s">
        <v>1620</v>
      </c>
      <c r="AT560" s="16" t="str">
        <f>_xlfn.XLOOKUP(B560,'SWiSH Demand Forecast Sep-26'!D:D,'SWiSH Demand Forecast Sep-26'!G:G,"Not Exist")</f>
        <v>Not Exist</v>
      </c>
    </row>
    <row r="561" spans="1:46" x14ac:dyDescent="0.3">
      <c r="A561">
        <v>104200081</v>
      </c>
      <c r="B561" t="s">
        <v>2465</v>
      </c>
      <c r="C561" t="s">
        <v>10</v>
      </c>
      <c r="D561" t="s">
        <v>1613</v>
      </c>
      <c r="E561" t="s">
        <v>2466</v>
      </c>
      <c r="F561" t="s">
        <v>1631</v>
      </c>
      <c r="G561" t="s">
        <v>1624</v>
      </c>
      <c r="H561" t="s">
        <v>1633</v>
      </c>
      <c r="I561" t="s">
        <v>1634</v>
      </c>
      <c r="J561" t="s">
        <v>2467</v>
      </c>
      <c r="K561">
        <v>1.2194E-3</v>
      </c>
      <c r="L561">
        <v>737.49311999999998</v>
      </c>
      <c r="M561" s="1">
        <v>3</v>
      </c>
      <c r="N561">
        <v>0</v>
      </c>
      <c r="O561">
        <v>25200</v>
      </c>
      <c r="P561">
        <v>604800</v>
      </c>
      <c r="Q561" s="1">
        <v>579600</v>
      </c>
      <c r="R561">
        <v>4.5</v>
      </c>
      <c r="S561" s="2">
        <v>46261</v>
      </c>
      <c r="T561" s="2">
        <v>46263</v>
      </c>
      <c r="U561">
        <v>1267200</v>
      </c>
      <c r="V561">
        <v>1350000</v>
      </c>
      <c r="W561">
        <v>1162800</v>
      </c>
      <c r="X561">
        <v>1227600</v>
      </c>
      <c r="Y561">
        <v>1162800</v>
      </c>
      <c r="Z561" s="8">
        <v>1350000</v>
      </c>
      <c r="AA561">
        <v>1251900</v>
      </c>
      <c r="AB561">
        <v>0.92882818116462973</v>
      </c>
      <c r="AC561">
        <v>1.0783608914450036</v>
      </c>
      <c r="AD561" s="1">
        <v>12</v>
      </c>
      <c r="AE561" s="2">
        <v>46260</v>
      </c>
      <c r="AF561" s="2">
        <v>46268</v>
      </c>
      <c r="AG561" s="2">
        <v>46275</v>
      </c>
      <c r="AH561">
        <v>1224000</v>
      </c>
      <c r="AI561" s="3">
        <v>0.93793103448275861</v>
      </c>
      <c r="AJ561" s="1">
        <v>13</v>
      </c>
      <c r="AK561" s="2">
        <v>46276</v>
      </c>
      <c r="AL561" s="4">
        <v>15</v>
      </c>
      <c r="AM561" s="5">
        <v>15</v>
      </c>
      <c r="AN561" s="4">
        <v>12</v>
      </c>
      <c r="AO561">
        <v>633103.44827586203</v>
      </c>
      <c r="AP561" s="4">
        <v>2</v>
      </c>
      <c r="AQ561" t="s">
        <v>1619</v>
      </c>
      <c r="AR561" t="s">
        <v>1620</v>
      </c>
      <c r="AT561" s="16" t="str">
        <f>_xlfn.XLOOKUP(B561,'SWiSH Demand Forecast Sep-26'!D:D,'SWiSH Demand Forecast Sep-26'!G:G,"Not Exist")</f>
        <v>Not Exist</v>
      </c>
    </row>
    <row r="562" spans="1:46" hidden="1" x14ac:dyDescent="0.3">
      <c r="A562">
        <v>100300004</v>
      </c>
      <c r="B562" t="s">
        <v>431</v>
      </c>
      <c r="C562" t="s">
        <v>136</v>
      </c>
      <c r="D562" t="s">
        <v>1613</v>
      </c>
      <c r="E562" t="s">
        <v>1732</v>
      </c>
      <c r="F562" t="s">
        <v>1752</v>
      </c>
      <c r="G562" t="s">
        <v>1616</v>
      </c>
      <c r="H562" t="s">
        <v>2018</v>
      </c>
      <c r="I562" t="s">
        <v>1754</v>
      </c>
      <c r="J562" t="s">
        <v>136</v>
      </c>
      <c r="K562">
        <v>4.3472434499999997</v>
      </c>
      <c r="L562">
        <v>7001.3225210939991</v>
      </c>
      <c r="M562" s="1">
        <v>3</v>
      </c>
      <c r="N562">
        <v>0</v>
      </c>
      <c r="O562">
        <v>0</v>
      </c>
      <c r="P562">
        <v>1610.52</v>
      </c>
      <c r="Q562" s="1">
        <v>1610.52</v>
      </c>
      <c r="R562">
        <v>4.3499999999999996</v>
      </c>
      <c r="S562" s="2">
        <v>46263</v>
      </c>
      <c r="T562" s="2">
        <v>46263</v>
      </c>
      <c r="U562">
        <v>3267.0480000000002</v>
      </c>
      <c r="V562">
        <v>3558.0129999999999</v>
      </c>
      <c r="W562">
        <v>3773.0199999999995</v>
      </c>
      <c r="X562">
        <v>3716.62</v>
      </c>
      <c r="Y562">
        <v>3267.0480000000002</v>
      </c>
      <c r="Z562" s="8">
        <v>3773.0199999999995</v>
      </c>
      <c r="AA562">
        <v>3578.6752499999993</v>
      </c>
      <c r="AB562">
        <v>0.91292105926627487</v>
      </c>
      <c r="AC562">
        <v>1.0543063386374609</v>
      </c>
      <c r="AD562" s="1">
        <v>12</v>
      </c>
      <c r="AE562" s="2">
        <v>46260</v>
      </c>
      <c r="AF562" s="2">
        <v>46268</v>
      </c>
      <c r="AG562" s="2">
        <v>46275</v>
      </c>
      <c r="AH562">
        <v>3781.9300000000003</v>
      </c>
      <c r="AI562" s="3">
        <v>1.0369256932935276</v>
      </c>
      <c r="AJ562" s="1">
        <v>12</v>
      </c>
      <c r="AK562" s="2">
        <v>46275</v>
      </c>
      <c r="AL562" s="4">
        <v>15</v>
      </c>
      <c r="AM562" s="5">
        <v>15</v>
      </c>
      <c r="AN562" s="4">
        <v>12</v>
      </c>
      <c r="AO562">
        <v>1956.1706896551725</v>
      </c>
      <c r="AP562" s="4">
        <v>2</v>
      </c>
      <c r="AQ562" t="s">
        <v>1619</v>
      </c>
      <c r="AR562" t="s">
        <v>1620</v>
      </c>
      <c r="AT562" s="16">
        <f>_xlfn.XLOOKUP(B562,'SWiSH Demand Forecast Sep-26'!D:D,'SWiSH Demand Forecast Sep-26'!G:G,"Not Exist")</f>
        <v>2330.5090294290198</v>
      </c>
    </row>
    <row r="563" spans="1:46" hidden="1" x14ac:dyDescent="0.3">
      <c r="A563">
        <v>106200122</v>
      </c>
      <c r="B563" t="s">
        <v>977</v>
      </c>
      <c r="C563" t="s">
        <v>240</v>
      </c>
      <c r="D563" t="s">
        <v>1613</v>
      </c>
      <c r="E563" t="s">
        <v>1940</v>
      </c>
      <c r="F563" t="s">
        <v>1833</v>
      </c>
      <c r="G563" t="s">
        <v>1616</v>
      </c>
      <c r="H563" t="s">
        <v>1672</v>
      </c>
      <c r="I563" t="s">
        <v>1626</v>
      </c>
      <c r="J563" t="s">
        <v>1874</v>
      </c>
      <c r="K563">
        <v>2.0624005900000002</v>
      </c>
      <c r="L563">
        <v>197.99045664000002</v>
      </c>
      <c r="M563" s="1">
        <v>3</v>
      </c>
      <c r="N563">
        <v>0</v>
      </c>
      <c r="O563">
        <v>0</v>
      </c>
      <c r="P563">
        <v>96</v>
      </c>
      <c r="Q563" s="1">
        <v>96</v>
      </c>
      <c r="R563">
        <v>25.848330000000001</v>
      </c>
      <c r="S563" s="2">
        <v>46240</v>
      </c>
      <c r="T563" s="2">
        <v>46260</v>
      </c>
      <c r="U563">
        <v>108</v>
      </c>
      <c r="V563">
        <v>132</v>
      </c>
      <c r="W563">
        <v>144</v>
      </c>
      <c r="X563">
        <v>228</v>
      </c>
      <c r="Y563">
        <v>108</v>
      </c>
      <c r="Z563" s="8">
        <v>228</v>
      </c>
      <c r="AA563">
        <v>153</v>
      </c>
      <c r="AB563">
        <v>0.70588235294117652</v>
      </c>
      <c r="AC563">
        <v>1.4901960784313726</v>
      </c>
      <c r="AD563" s="1">
        <v>12</v>
      </c>
      <c r="AE563" s="2">
        <v>46260</v>
      </c>
      <c r="AF563" s="2">
        <v>46268</v>
      </c>
      <c r="AG563" s="2">
        <v>46275</v>
      </c>
      <c r="AH563">
        <v>144</v>
      </c>
      <c r="AI563" s="3">
        <v>0.65335753176043554</v>
      </c>
      <c r="AJ563" s="1">
        <v>19</v>
      </c>
      <c r="AK563" s="2">
        <v>46282</v>
      </c>
      <c r="AL563" s="4">
        <v>30</v>
      </c>
      <c r="AM563" s="5">
        <v>15</v>
      </c>
      <c r="AN563" s="4">
        <v>12</v>
      </c>
      <c r="AO563">
        <v>148.9655172413793</v>
      </c>
      <c r="AP563" s="4">
        <v>1</v>
      </c>
      <c r="AQ563" t="s">
        <v>1619</v>
      </c>
      <c r="AR563" t="s">
        <v>1620</v>
      </c>
      <c r="AT563" s="16">
        <f>_xlfn.XLOOKUP(B563,'SWiSH Demand Forecast Sep-26'!D:D,'SWiSH Demand Forecast Sep-26'!G:G,"Not Exist")</f>
        <v>170.740842105263</v>
      </c>
    </row>
    <row r="564" spans="1:46" hidden="1" x14ac:dyDescent="0.3">
      <c r="A564">
        <v>106300074</v>
      </c>
      <c r="B564" t="s">
        <v>1060</v>
      </c>
      <c r="C564" t="s">
        <v>136</v>
      </c>
      <c r="D564" t="s">
        <v>1613</v>
      </c>
      <c r="E564" t="s">
        <v>2111</v>
      </c>
      <c r="F564" t="s">
        <v>1927</v>
      </c>
      <c r="G564" t="s">
        <v>1616</v>
      </c>
      <c r="H564" t="s">
        <v>1860</v>
      </c>
      <c r="I564" t="s">
        <v>1618</v>
      </c>
      <c r="J564" t="s">
        <v>2468</v>
      </c>
      <c r="K564">
        <v>0.55000000000000004</v>
      </c>
      <c r="L564">
        <v>242.00000000000003</v>
      </c>
      <c r="M564" s="1">
        <v>3</v>
      </c>
      <c r="N564">
        <v>0</v>
      </c>
      <c r="O564">
        <v>0</v>
      </c>
      <c r="P564">
        <v>440</v>
      </c>
      <c r="Q564" s="1">
        <v>440</v>
      </c>
      <c r="R564">
        <v>11.5</v>
      </c>
      <c r="S564" s="2">
        <v>46254</v>
      </c>
      <c r="T564" s="2">
        <v>46260</v>
      </c>
      <c r="U564">
        <v>1060</v>
      </c>
      <c r="V564">
        <v>940</v>
      </c>
      <c r="W564">
        <v>640</v>
      </c>
      <c r="X564">
        <v>760</v>
      </c>
      <c r="Y564">
        <v>640</v>
      </c>
      <c r="Z564" s="8">
        <v>1060</v>
      </c>
      <c r="AA564">
        <v>850</v>
      </c>
      <c r="AB564">
        <v>0.75294117647058822</v>
      </c>
      <c r="AC564">
        <v>1.2470588235294118</v>
      </c>
      <c r="AD564" s="1">
        <v>12</v>
      </c>
      <c r="AE564" s="2">
        <v>46260</v>
      </c>
      <c r="AF564" s="2">
        <v>46268</v>
      </c>
      <c r="AG564" s="2">
        <v>46275</v>
      </c>
      <c r="AH564">
        <v>600</v>
      </c>
      <c r="AI564" s="3">
        <v>0.58555627846454139</v>
      </c>
      <c r="AJ564" s="1">
        <v>21</v>
      </c>
      <c r="AK564" s="2">
        <v>46284</v>
      </c>
      <c r="AL564" s="4">
        <v>30</v>
      </c>
      <c r="AM564" s="5">
        <v>15</v>
      </c>
      <c r="AN564" s="4">
        <v>12</v>
      </c>
      <c r="AO564">
        <v>620.68965517241384</v>
      </c>
      <c r="AP564" s="4">
        <v>1</v>
      </c>
      <c r="AQ564" t="s">
        <v>1619</v>
      </c>
      <c r="AR564" t="s">
        <v>1620</v>
      </c>
      <c r="AT564" s="16">
        <f>_xlfn.XLOOKUP(B564,'SWiSH Demand Forecast Sep-26'!D:D,'SWiSH Demand Forecast Sep-26'!G:G,"Not Exist")</f>
        <v>124.16767178587099</v>
      </c>
    </row>
    <row r="565" spans="1:46" x14ac:dyDescent="0.3">
      <c r="A565">
        <v>101400035</v>
      </c>
      <c r="B565" t="s">
        <v>2469</v>
      </c>
      <c r="C565" t="s">
        <v>240</v>
      </c>
      <c r="D565" t="s">
        <v>1613</v>
      </c>
      <c r="E565" t="s">
        <v>2470</v>
      </c>
      <c r="F565" t="s">
        <v>1644</v>
      </c>
      <c r="G565" t="s">
        <v>1624</v>
      </c>
      <c r="H565" t="s">
        <v>1693</v>
      </c>
      <c r="I565" t="s">
        <v>1634</v>
      </c>
      <c r="J565" t="s">
        <v>2471</v>
      </c>
      <c r="K565">
        <v>2.2599999999999998</v>
      </c>
      <c r="L565">
        <v>13.559999999999999</v>
      </c>
      <c r="M565" s="1">
        <v>3</v>
      </c>
      <c r="N565">
        <v>0</v>
      </c>
      <c r="O565">
        <v>0</v>
      </c>
      <c r="P565">
        <v>6</v>
      </c>
      <c r="Q565" s="1">
        <v>6</v>
      </c>
      <c r="R565">
        <v>1.07</v>
      </c>
      <c r="S565" s="2">
        <v>46258</v>
      </c>
      <c r="T565" s="2">
        <v>46259</v>
      </c>
      <c r="U565">
        <v>14.5</v>
      </c>
      <c r="V565">
        <v>3</v>
      </c>
      <c r="W565">
        <v>0</v>
      </c>
      <c r="X565">
        <v>10</v>
      </c>
      <c r="Y565">
        <v>0</v>
      </c>
      <c r="Z565" s="8">
        <v>14.5</v>
      </c>
      <c r="AA565">
        <v>6.875</v>
      </c>
      <c r="AB565">
        <v>0</v>
      </c>
      <c r="AC565">
        <v>2.1090909090909089</v>
      </c>
      <c r="AD565" s="1">
        <v>12</v>
      </c>
      <c r="AE565" s="2">
        <v>46260</v>
      </c>
      <c r="AF565" s="2">
        <v>46268</v>
      </c>
      <c r="AG565" s="2">
        <v>46275</v>
      </c>
      <c r="AH565">
        <v>1.5</v>
      </c>
      <c r="AI565" s="3">
        <v>0.1070154577883472</v>
      </c>
      <c r="AJ565" s="1">
        <v>116</v>
      </c>
      <c r="AK565" s="2">
        <v>46379</v>
      </c>
      <c r="AL565" s="4">
        <v>30</v>
      </c>
      <c r="AM565" s="5">
        <v>15</v>
      </c>
      <c r="AN565" s="4">
        <v>12</v>
      </c>
      <c r="AO565">
        <v>1.5517241379310345</v>
      </c>
      <c r="AP565" s="4">
        <v>1</v>
      </c>
      <c r="AQ565">
        <v>10</v>
      </c>
      <c r="AR565" t="s">
        <v>1859</v>
      </c>
      <c r="AT565" s="16" t="str">
        <f>_xlfn.XLOOKUP(B565,'SWiSH Demand Forecast Sep-26'!D:D,'SWiSH Demand Forecast Sep-26'!G:G,"Not Exist")</f>
        <v>Not Exist</v>
      </c>
    </row>
    <row r="566" spans="1:46" hidden="1" x14ac:dyDescent="0.3">
      <c r="A566">
        <v>100100029</v>
      </c>
      <c r="B566" t="s">
        <v>1493</v>
      </c>
      <c r="C566" t="s">
        <v>136</v>
      </c>
      <c r="D566" t="s">
        <v>1613</v>
      </c>
      <c r="E566" t="s">
        <v>1732</v>
      </c>
      <c r="F566" t="s">
        <v>1941</v>
      </c>
      <c r="G566" t="s">
        <v>1616</v>
      </c>
      <c r="H566" t="s">
        <v>1877</v>
      </c>
      <c r="I566" t="s">
        <v>1618</v>
      </c>
      <c r="J566" t="s">
        <v>2291</v>
      </c>
      <c r="K566">
        <v>2.0682142899999998</v>
      </c>
      <c r="L566">
        <v>57.910000119999992</v>
      </c>
      <c r="M566" s="1">
        <v>3</v>
      </c>
      <c r="N566">
        <v>0</v>
      </c>
      <c r="O566">
        <v>0</v>
      </c>
      <c r="P566">
        <v>28</v>
      </c>
      <c r="Q566" s="1">
        <v>28</v>
      </c>
      <c r="R566">
        <v>28.954999999999998</v>
      </c>
      <c r="S566" s="2">
        <v>46225</v>
      </c>
      <c r="T566" s="2">
        <v>46250</v>
      </c>
      <c r="U566">
        <v>0</v>
      </c>
      <c r="V566">
        <v>70</v>
      </c>
      <c r="W566">
        <v>40</v>
      </c>
      <c r="X566">
        <v>43</v>
      </c>
      <c r="Y566">
        <v>0</v>
      </c>
      <c r="Z566" s="8">
        <v>70</v>
      </c>
      <c r="AA566">
        <v>38.25</v>
      </c>
      <c r="AB566">
        <v>0</v>
      </c>
      <c r="AC566">
        <v>1.8300653594771241</v>
      </c>
      <c r="AD566" s="1">
        <v>12</v>
      </c>
      <c r="AE566" s="2">
        <v>46260</v>
      </c>
      <c r="AF566" s="2">
        <v>46268</v>
      </c>
      <c r="AG566" s="2">
        <v>46275</v>
      </c>
      <c r="AH566">
        <v>56</v>
      </c>
      <c r="AI566" s="3">
        <v>0.82758620689655171</v>
      </c>
      <c r="AJ566" s="1">
        <v>14</v>
      </c>
      <c r="AK566" s="2">
        <v>46277</v>
      </c>
      <c r="AL566" s="4">
        <v>30</v>
      </c>
      <c r="AM566" s="5">
        <v>15</v>
      </c>
      <c r="AN566" s="4">
        <v>12</v>
      </c>
      <c r="AO566">
        <v>57.931034482758619</v>
      </c>
      <c r="AP566" s="4">
        <v>1</v>
      </c>
      <c r="AQ566" t="s">
        <v>1619</v>
      </c>
      <c r="AR566" t="s">
        <v>2302</v>
      </c>
      <c r="AT566" s="16">
        <f>_xlfn.XLOOKUP(B566,'SWiSH Demand Forecast Sep-26'!D:D,'SWiSH Demand Forecast Sep-26'!G:G,"Not Exist")</f>
        <v>3.8215384615384602</v>
      </c>
    </row>
    <row r="567" spans="1:46" x14ac:dyDescent="0.3">
      <c r="A567">
        <v>106200146</v>
      </c>
      <c r="B567" t="s">
        <v>2472</v>
      </c>
      <c r="C567" t="s">
        <v>240</v>
      </c>
      <c r="D567" t="s">
        <v>1613</v>
      </c>
      <c r="E567" t="s">
        <v>1832</v>
      </c>
      <c r="F567" t="s">
        <v>1671</v>
      </c>
      <c r="G567" t="s">
        <v>1616</v>
      </c>
      <c r="H567" t="s">
        <v>1672</v>
      </c>
      <c r="I567" t="s">
        <v>1618</v>
      </c>
      <c r="J567" t="s">
        <v>240</v>
      </c>
      <c r="K567">
        <v>2.6</v>
      </c>
      <c r="L567">
        <v>2.6</v>
      </c>
      <c r="M567" s="1">
        <v>3</v>
      </c>
      <c r="N567">
        <v>0</v>
      </c>
      <c r="O567">
        <v>0</v>
      </c>
      <c r="P567">
        <v>1</v>
      </c>
      <c r="Q567" s="1">
        <v>1</v>
      </c>
      <c r="R567">
        <v>1.3</v>
      </c>
      <c r="S567" s="2">
        <v>46099</v>
      </c>
      <c r="T567" s="2">
        <v>46250</v>
      </c>
      <c r="U567">
        <v>0</v>
      </c>
      <c r="V567">
        <v>2</v>
      </c>
      <c r="W567">
        <v>2</v>
      </c>
      <c r="X567">
        <v>2.5</v>
      </c>
      <c r="Y567">
        <v>0</v>
      </c>
      <c r="Z567" s="8">
        <v>2.5</v>
      </c>
      <c r="AA567">
        <v>1.625</v>
      </c>
      <c r="AB567">
        <v>0</v>
      </c>
      <c r="AC567">
        <v>1.5384615384615385</v>
      </c>
      <c r="AD567" s="1">
        <v>12</v>
      </c>
      <c r="AE567" s="2">
        <v>46260</v>
      </c>
      <c r="AF567" s="2">
        <v>46268</v>
      </c>
      <c r="AG567" s="2">
        <v>46275</v>
      </c>
      <c r="AH567">
        <v>6.5</v>
      </c>
      <c r="AI567" s="3">
        <v>2.6896551724137931</v>
      </c>
      <c r="AJ567" s="1">
        <v>4</v>
      </c>
      <c r="AK567" s="2">
        <v>46267</v>
      </c>
      <c r="AL567" s="4">
        <v>30</v>
      </c>
      <c r="AM567" s="5">
        <v>15</v>
      </c>
      <c r="AN567" s="4">
        <v>4</v>
      </c>
      <c r="AO567">
        <v>6.7241379310344831</v>
      </c>
      <c r="AP567" s="4">
        <v>1</v>
      </c>
      <c r="AQ567" t="s">
        <v>1619</v>
      </c>
      <c r="AR567" t="s">
        <v>1620</v>
      </c>
      <c r="AT567" s="16" t="str">
        <f>_xlfn.XLOOKUP(B567,'SWiSH Demand Forecast Sep-26'!D:D,'SWiSH Demand Forecast Sep-26'!G:G,"Not Exist")</f>
        <v>Not Exist</v>
      </c>
    </row>
    <row r="568" spans="1:46" hidden="1" x14ac:dyDescent="0.3">
      <c r="A568">
        <v>105900040</v>
      </c>
      <c r="B568" t="s">
        <v>110</v>
      </c>
      <c r="C568" t="s">
        <v>10</v>
      </c>
      <c r="D568" t="s">
        <v>1613</v>
      </c>
      <c r="E568" t="s">
        <v>1732</v>
      </c>
      <c r="F568" t="s">
        <v>1664</v>
      </c>
      <c r="G568" t="s">
        <v>1616</v>
      </c>
      <c r="H568" t="s">
        <v>1729</v>
      </c>
      <c r="I568" t="s">
        <v>1634</v>
      </c>
      <c r="J568" t="s">
        <v>1733</v>
      </c>
      <c r="K568">
        <v>4.1440000000000001E-3</v>
      </c>
      <c r="L568">
        <v>63.403199999999998</v>
      </c>
      <c r="M568" s="1">
        <v>90</v>
      </c>
      <c r="N568">
        <v>0</v>
      </c>
      <c r="O568">
        <v>0</v>
      </c>
      <c r="P568">
        <v>15300</v>
      </c>
      <c r="Q568" s="1">
        <v>15300</v>
      </c>
      <c r="R568">
        <v>5.4799999999999996E-3</v>
      </c>
      <c r="S568" s="2">
        <v>46214</v>
      </c>
      <c r="T568" s="2">
        <v>46258</v>
      </c>
      <c r="U568">
        <v>27600</v>
      </c>
      <c r="V568">
        <v>25100</v>
      </c>
      <c r="W568">
        <v>36800</v>
      </c>
      <c r="X568">
        <v>33600</v>
      </c>
      <c r="Y568">
        <v>25100</v>
      </c>
      <c r="Z568" s="8">
        <v>36800</v>
      </c>
      <c r="AA568">
        <v>30775</v>
      </c>
      <c r="AB568">
        <v>0.81559707554833472</v>
      </c>
      <c r="AC568">
        <v>1.1957757920389926</v>
      </c>
      <c r="AD568" s="1">
        <v>12</v>
      </c>
      <c r="AE568" s="2">
        <v>46260</v>
      </c>
      <c r="AF568" s="2">
        <v>46268</v>
      </c>
      <c r="AG568" s="2">
        <v>46275</v>
      </c>
      <c r="AH568">
        <v>23800</v>
      </c>
      <c r="AI568" s="3">
        <v>0.66904047976011993</v>
      </c>
      <c r="AJ568" s="1">
        <v>18</v>
      </c>
      <c r="AK568" s="2">
        <v>46281</v>
      </c>
      <c r="AL568" s="4">
        <v>120</v>
      </c>
      <c r="AM568" s="5">
        <v>100</v>
      </c>
      <c r="AN568" s="4">
        <v>12</v>
      </c>
      <c r="AO568">
        <v>98482.758620689652</v>
      </c>
      <c r="AP568" s="4">
        <v>1</v>
      </c>
      <c r="AQ568" t="s">
        <v>1619</v>
      </c>
      <c r="AR568" t="s">
        <v>1620</v>
      </c>
      <c r="AT568" s="16">
        <f>_xlfn.XLOOKUP(B568,'SWiSH Demand Forecast Sep-26'!D:D,'SWiSH Demand Forecast Sep-26'!G:G,"Not Exist")</f>
        <v>17834</v>
      </c>
    </row>
    <row r="569" spans="1:46" hidden="1" x14ac:dyDescent="0.3">
      <c r="A569">
        <v>106200128</v>
      </c>
      <c r="B569" t="s">
        <v>1543</v>
      </c>
      <c r="C569" t="s">
        <v>240</v>
      </c>
      <c r="D569" t="s">
        <v>1613</v>
      </c>
      <c r="E569" t="s">
        <v>2473</v>
      </c>
      <c r="F569" t="s">
        <v>1671</v>
      </c>
      <c r="G569" t="s">
        <v>1616</v>
      </c>
      <c r="H569" t="s">
        <v>1672</v>
      </c>
      <c r="I569" t="s">
        <v>1618</v>
      </c>
      <c r="J569" t="s">
        <v>2474</v>
      </c>
      <c r="K569">
        <v>9.0333333299999996</v>
      </c>
      <c r="L569">
        <v>52.031999980799995</v>
      </c>
      <c r="M569" s="1">
        <v>3</v>
      </c>
      <c r="N569">
        <v>0</v>
      </c>
      <c r="O569">
        <v>0</v>
      </c>
      <c r="P569">
        <v>5.76</v>
      </c>
      <c r="Q569" s="1">
        <v>5.76</v>
      </c>
      <c r="R569">
        <v>13.007999999999999</v>
      </c>
      <c r="S569" s="2">
        <v>46252</v>
      </c>
      <c r="T569" s="2">
        <v>46258</v>
      </c>
      <c r="U569">
        <v>11.52</v>
      </c>
      <c r="V569">
        <v>12.96</v>
      </c>
      <c r="W569">
        <v>13.5</v>
      </c>
      <c r="X569">
        <v>10.079999999999998</v>
      </c>
      <c r="Y569">
        <v>10.079999999999998</v>
      </c>
      <c r="Z569" s="8">
        <v>13.5</v>
      </c>
      <c r="AA569">
        <v>12.015000000000001</v>
      </c>
      <c r="AB569">
        <v>0.83895131086142305</v>
      </c>
      <c r="AC569">
        <v>1.1235955056179774</v>
      </c>
      <c r="AD569" s="1">
        <v>12</v>
      </c>
      <c r="AE569" s="2">
        <v>46260</v>
      </c>
      <c r="AF569" s="2">
        <v>46268</v>
      </c>
      <c r="AG569" s="2">
        <v>46275</v>
      </c>
      <c r="AH569">
        <v>5.76</v>
      </c>
      <c r="AI569" s="3">
        <v>0.44137931034482752</v>
      </c>
      <c r="AJ569" s="1">
        <v>29</v>
      </c>
      <c r="AK569" s="2">
        <v>46292</v>
      </c>
      <c r="AL569" s="4">
        <v>30</v>
      </c>
      <c r="AM569" s="5">
        <v>15</v>
      </c>
      <c r="AN569" s="4">
        <v>12</v>
      </c>
      <c r="AO569">
        <v>5.9586206896551719</v>
      </c>
      <c r="AP569" s="4">
        <v>1</v>
      </c>
      <c r="AQ569" t="s">
        <v>1619</v>
      </c>
      <c r="AR569" t="s">
        <v>1620</v>
      </c>
      <c r="AT569" s="16">
        <f>_xlfn.XLOOKUP(B569,'SWiSH Demand Forecast Sep-26'!D:D,'SWiSH Demand Forecast Sep-26'!G:G,"Not Exist")</f>
        <v>0.72359189189189099</v>
      </c>
    </row>
    <row r="570" spans="1:46" x14ac:dyDescent="0.3">
      <c r="A570">
        <v>102000001</v>
      </c>
      <c r="B570" t="s">
        <v>2475</v>
      </c>
      <c r="C570" t="s">
        <v>136</v>
      </c>
      <c r="D570" t="s">
        <v>1613</v>
      </c>
      <c r="E570" t="s">
        <v>1832</v>
      </c>
      <c r="F570" t="s">
        <v>1840</v>
      </c>
      <c r="G570" t="s">
        <v>1616</v>
      </c>
      <c r="H570" t="s">
        <v>2000</v>
      </c>
      <c r="I570" t="s">
        <v>1618</v>
      </c>
      <c r="J570" t="s">
        <v>136</v>
      </c>
      <c r="K570">
        <v>22</v>
      </c>
      <c r="L570">
        <v>44</v>
      </c>
      <c r="M570" s="1">
        <v>3</v>
      </c>
      <c r="N570">
        <v>0</v>
      </c>
      <c r="O570">
        <v>0</v>
      </c>
      <c r="P570">
        <v>2</v>
      </c>
      <c r="Q570" s="1">
        <v>2</v>
      </c>
      <c r="R570">
        <v>15.75</v>
      </c>
      <c r="S570" s="2">
        <v>46162</v>
      </c>
      <c r="T570" s="2">
        <v>46258</v>
      </c>
      <c r="U570">
        <v>5</v>
      </c>
      <c r="V570">
        <v>4.5</v>
      </c>
      <c r="W570">
        <v>2.5</v>
      </c>
      <c r="X570">
        <v>2</v>
      </c>
      <c r="Y570">
        <v>2</v>
      </c>
      <c r="Z570" s="8">
        <v>5</v>
      </c>
      <c r="AA570">
        <v>3.5</v>
      </c>
      <c r="AB570">
        <v>0.5714285714285714</v>
      </c>
      <c r="AC570">
        <v>1.4285714285714286</v>
      </c>
      <c r="AD570" s="1">
        <v>12</v>
      </c>
      <c r="AE570" s="2">
        <v>46260</v>
      </c>
      <c r="AF570" s="2">
        <v>46268</v>
      </c>
      <c r="AG570" s="2">
        <v>46275</v>
      </c>
      <c r="AH570">
        <v>3.5</v>
      </c>
      <c r="AI570" s="3">
        <v>0.72413793103448276</v>
      </c>
      <c r="AJ570" s="1">
        <v>16</v>
      </c>
      <c r="AK570" s="2">
        <v>46279</v>
      </c>
      <c r="AL570" s="4">
        <v>30</v>
      </c>
      <c r="AM570" s="5">
        <v>15</v>
      </c>
      <c r="AN570" s="4">
        <v>12</v>
      </c>
      <c r="AO570">
        <v>3.6206896551724137</v>
      </c>
      <c r="AP570" s="4">
        <v>1</v>
      </c>
      <c r="AQ570" t="s">
        <v>1619</v>
      </c>
      <c r="AR570" t="s">
        <v>1620</v>
      </c>
      <c r="AT570" s="16" t="str">
        <f>_xlfn.XLOOKUP(B570,'SWiSH Demand Forecast Sep-26'!D:D,'SWiSH Demand Forecast Sep-26'!G:G,"Not Exist")</f>
        <v>Not Exist</v>
      </c>
    </row>
    <row r="571" spans="1:46" x14ac:dyDescent="0.3">
      <c r="A571">
        <v>100900045</v>
      </c>
      <c r="B571" t="s">
        <v>2476</v>
      </c>
      <c r="C571" t="s">
        <v>10</v>
      </c>
      <c r="D571" t="s">
        <v>1613</v>
      </c>
      <c r="E571" t="s">
        <v>1638</v>
      </c>
      <c r="F571" t="s">
        <v>1639</v>
      </c>
      <c r="G571" t="s">
        <v>1616</v>
      </c>
      <c r="H571" t="s">
        <v>1640</v>
      </c>
      <c r="I571" t="s">
        <v>1618</v>
      </c>
      <c r="J571" t="s">
        <v>1781</v>
      </c>
      <c r="K571">
        <v>7.2916670000000003E-2</v>
      </c>
      <c r="L571">
        <v>26.2500012</v>
      </c>
      <c r="M571" s="1">
        <v>3</v>
      </c>
      <c r="N571">
        <v>0</v>
      </c>
      <c r="O571">
        <v>0</v>
      </c>
      <c r="P571">
        <v>360</v>
      </c>
      <c r="Q571" s="1">
        <v>360</v>
      </c>
      <c r="R571">
        <v>1.75</v>
      </c>
      <c r="S571" s="2">
        <v>46244</v>
      </c>
      <c r="T571" s="2">
        <v>46259</v>
      </c>
      <c r="U571">
        <v>264</v>
      </c>
      <c r="V571">
        <v>288</v>
      </c>
      <c r="W571">
        <v>887</v>
      </c>
      <c r="X571">
        <v>432</v>
      </c>
      <c r="Y571">
        <v>264</v>
      </c>
      <c r="Z571" s="8">
        <v>887</v>
      </c>
      <c r="AA571">
        <v>467.75</v>
      </c>
      <c r="AB571">
        <v>0.56440406199893101</v>
      </c>
      <c r="AC571">
        <v>1.8963121325494388</v>
      </c>
      <c r="AD571" s="1">
        <v>12</v>
      </c>
      <c r="AE571" s="2">
        <v>46260</v>
      </c>
      <c r="AF571" s="2">
        <v>46268</v>
      </c>
      <c r="AG571" s="2">
        <v>46275</v>
      </c>
      <c r="AH571">
        <v>384</v>
      </c>
      <c r="AI571" s="3">
        <v>0.44784822921121176</v>
      </c>
      <c r="AJ571" s="1">
        <v>27</v>
      </c>
      <c r="AK571" s="2">
        <v>46290</v>
      </c>
      <c r="AL571" s="4">
        <v>10</v>
      </c>
      <c r="AM571" s="5">
        <v>10</v>
      </c>
      <c r="AN571" s="4">
        <v>12</v>
      </c>
      <c r="AO571">
        <v>132.41379310344828</v>
      </c>
      <c r="AP571" s="4">
        <v>3</v>
      </c>
      <c r="AQ571" t="s">
        <v>1619</v>
      </c>
      <c r="AR571" t="s">
        <v>1620</v>
      </c>
      <c r="AT571" s="16" t="str">
        <f>_xlfn.XLOOKUP(B571,'SWiSH Demand Forecast Sep-26'!D:D,'SWiSH Demand Forecast Sep-26'!G:G,"Not Exist")</f>
        <v>Not Exist</v>
      </c>
    </row>
    <row r="572" spans="1:46" hidden="1" x14ac:dyDescent="0.3">
      <c r="A572">
        <v>101200036</v>
      </c>
      <c r="B572" t="s">
        <v>923</v>
      </c>
      <c r="C572" t="s">
        <v>136</v>
      </c>
      <c r="D572" t="s">
        <v>1613</v>
      </c>
      <c r="E572" t="s">
        <v>2154</v>
      </c>
      <c r="F572" t="s">
        <v>1833</v>
      </c>
      <c r="G572" t="s">
        <v>1616</v>
      </c>
      <c r="H572" t="s">
        <v>1625</v>
      </c>
      <c r="I572" t="s">
        <v>1626</v>
      </c>
      <c r="J572" t="s">
        <v>136</v>
      </c>
      <c r="K572">
        <v>2.6338800199999999</v>
      </c>
      <c r="L572">
        <v>796.4589792477999</v>
      </c>
      <c r="M572" s="1">
        <v>3</v>
      </c>
      <c r="N572">
        <v>0</v>
      </c>
      <c r="O572">
        <v>0</v>
      </c>
      <c r="P572">
        <v>302.39</v>
      </c>
      <c r="Q572" s="1">
        <v>302.39</v>
      </c>
      <c r="R572">
        <v>2.65</v>
      </c>
      <c r="S572" s="2">
        <v>46259</v>
      </c>
      <c r="T572" s="2">
        <v>46261</v>
      </c>
      <c r="U572">
        <v>401.02</v>
      </c>
      <c r="V572">
        <v>701.4</v>
      </c>
      <c r="W572">
        <v>673.54</v>
      </c>
      <c r="X572">
        <v>559.43000000000006</v>
      </c>
      <c r="Y572">
        <v>401.02</v>
      </c>
      <c r="Z572" s="8">
        <v>701.4</v>
      </c>
      <c r="AA572">
        <v>583.84750000000008</v>
      </c>
      <c r="AB572">
        <v>0.68685744136953564</v>
      </c>
      <c r="AC572">
        <v>1.2013411036272312</v>
      </c>
      <c r="AD572" s="1">
        <v>12</v>
      </c>
      <c r="AE572" s="2">
        <v>46260</v>
      </c>
      <c r="AF572" s="2">
        <v>46268</v>
      </c>
      <c r="AG572" s="2">
        <v>46275</v>
      </c>
      <c r="AH572">
        <v>812.97000000000014</v>
      </c>
      <c r="AI572" s="3">
        <v>1.1990354266835788</v>
      </c>
      <c r="AJ572" s="1">
        <v>10</v>
      </c>
      <c r="AK572" s="2">
        <v>46273</v>
      </c>
      <c r="AL572" s="4">
        <v>30</v>
      </c>
      <c r="AM572" s="5">
        <v>15</v>
      </c>
      <c r="AN572" s="4">
        <v>10</v>
      </c>
      <c r="AO572">
        <v>841.00344827586207</v>
      </c>
      <c r="AP572" s="4">
        <v>1</v>
      </c>
      <c r="AQ572">
        <v>298.67</v>
      </c>
      <c r="AR572" t="s">
        <v>2477</v>
      </c>
      <c r="AT572" s="16">
        <f>_xlfn.XLOOKUP(B572,'SWiSH Demand Forecast Sep-26'!D:D,'SWiSH Demand Forecast Sep-26'!G:G,"Not Exist")</f>
        <v>218.719999999999</v>
      </c>
    </row>
    <row r="573" spans="1:46" hidden="1" x14ac:dyDescent="0.3">
      <c r="A573">
        <v>100200006</v>
      </c>
      <c r="B573" t="s">
        <v>651</v>
      </c>
      <c r="C573" t="s">
        <v>136</v>
      </c>
      <c r="D573" t="s">
        <v>1613</v>
      </c>
      <c r="E573" t="s">
        <v>2478</v>
      </c>
      <c r="F573" t="s">
        <v>1752</v>
      </c>
      <c r="G573" t="s">
        <v>1616</v>
      </c>
      <c r="H573" t="s">
        <v>1988</v>
      </c>
      <c r="I573" t="s">
        <v>1754</v>
      </c>
      <c r="J573" t="s">
        <v>2280</v>
      </c>
      <c r="K573">
        <v>2</v>
      </c>
      <c r="L573">
        <v>4880</v>
      </c>
      <c r="M573" s="1">
        <v>3</v>
      </c>
      <c r="N573">
        <v>0</v>
      </c>
      <c r="O573">
        <v>100</v>
      </c>
      <c r="P573">
        <v>2440</v>
      </c>
      <c r="Q573" s="1">
        <v>2340</v>
      </c>
      <c r="R573">
        <v>22</v>
      </c>
      <c r="S573" s="2">
        <v>46253</v>
      </c>
      <c r="T573" s="2">
        <v>46263</v>
      </c>
      <c r="U573">
        <v>5830</v>
      </c>
      <c r="V573">
        <v>3340</v>
      </c>
      <c r="W573">
        <v>3840</v>
      </c>
      <c r="X573">
        <v>5430</v>
      </c>
      <c r="Y573">
        <v>3340</v>
      </c>
      <c r="Z573" s="8">
        <v>5830</v>
      </c>
      <c r="AA573">
        <v>4610</v>
      </c>
      <c r="AB573">
        <v>0.72451193058568331</v>
      </c>
      <c r="AC573">
        <v>1.264642082429501</v>
      </c>
      <c r="AD573" s="1">
        <v>12</v>
      </c>
      <c r="AE573" s="2">
        <v>46260</v>
      </c>
      <c r="AF573" s="2">
        <v>46268</v>
      </c>
      <c r="AG573" s="2">
        <v>46275</v>
      </c>
      <c r="AH573">
        <v>1550</v>
      </c>
      <c r="AI573" s="3">
        <v>0.27503400958183</v>
      </c>
      <c r="AJ573" s="1">
        <v>43</v>
      </c>
      <c r="AK573" s="2">
        <v>46306</v>
      </c>
      <c r="AL573" s="4">
        <v>15</v>
      </c>
      <c r="AM573" s="5">
        <v>15</v>
      </c>
      <c r="AN573" s="4">
        <v>12</v>
      </c>
      <c r="AO573">
        <v>801.72413793103442</v>
      </c>
      <c r="AP573" s="4">
        <v>2</v>
      </c>
      <c r="AQ573">
        <v>150</v>
      </c>
      <c r="AR573" t="s">
        <v>2019</v>
      </c>
      <c r="AS573" t="s">
        <v>1666</v>
      </c>
      <c r="AT573" s="16">
        <f>_xlfn.XLOOKUP(B573,'SWiSH Demand Forecast Sep-26'!D:D,'SWiSH Demand Forecast Sep-26'!G:G,"Not Exist")</f>
        <v>770.9</v>
      </c>
    </row>
    <row r="574" spans="1:46" hidden="1" x14ac:dyDescent="0.3">
      <c r="A574">
        <v>100700034</v>
      </c>
      <c r="B574" t="s">
        <v>986</v>
      </c>
      <c r="C574" t="s">
        <v>136</v>
      </c>
      <c r="D574" t="s">
        <v>1613</v>
      </c>
      <c r="E574" t="s">
        <v>2479</v>
      </c>
      <c r="F574" t="s">
        <v>1875</v>
      </c>
      <c r="G574" t="s">
        <v>1616</v>
      </c>
      <c r="H574" t="s">
        <v>1867</v>
      </c>
      <c r="I574" t="s">
        <v>1618</v>
      </c>
      <c r="J574" t="s">
        <v>2278</v>
      </c>
      <c r="K574">
        <v>0.57565999999999995</v>
      </c>
      <c r="L574">
        <v>178.50065279999998</v>
      </c>
      <c r="M574" s="1">
        <v>3</v>
      </c>
      <c r="N574">
        <v>0</v>
      </c>
      <c r="O574">
        <v>0</v>
      </c>
      <c r="P574">
        <v>310.08</v>
      </c>
      <c r="Q574" s="1">
        <v>310.08</v>
      </c>
      <c r="R574">
        <v>6</v>
      </c>
      <c r="S574" s="2">
        <v>46226</v>
      </c>
      <c r="T574" s="2">
        <v>46262</v>
      </c>
      <c r="U574">
        <v>572.7600000000001</v>
      </c>
      <c r="V574">
        <v>729.60000000000025</v>
      </c>
      <c r="W574">
        <v>684.00000000000023</v>
      </c>
      <c r="X574">
        <v>565.44000000000017</v>
      </c>
      <c r="Y574">
        <v>565.44000000000017</v>
      </c>
      <c r="Z574" s="8">
        <v>729.60000000000025</v>
      </c>
      <c r="AA574">
        <v>637.95000000000016</v>
      </c>
      <c r="AB574">
        <v>0.88633905478485775</v>
      </c>
      <c r="AC574">
        <v>1.1436632964965907</v>
      </c>
      <c r="AD574" s="1">
        <v>12</v>
      </c>
      <c r="AE574" s="2">
        <v>46260</v>
      </c>
      <c r="AF574" s="2">
        <v>46268</v>
      </c>
      <c r="AG574" s="2">
        <v>46275</v>
      </c>
      <c r="AH574">
        <v>337.44000000000011</v>
      </c>
      <c r="AI574" s="3">
        <v>0.47844827586206901</v>
      </c>
      <c r="AJ574" s="1">
        <v>26</v>
      </c>
      <c r="AK574" s="2">
        <v>46289</v>
      </c>
      <c r="AL574" s="4">
        <v>8</v>
      </c>
      <c r="AM574" s="5">
        <v>5</v>
      </c>
      <c r="AN574" s="4">
        <v>12</v>
      </c>
      <c r="AO574">
        <v>93.08689655172418</v>
      </c>
      <c r="AP574" s="4">
        <v>4</v>
      </c>
      <c r="AQ574" t="s">
        <v>1619</v>
      </c>
      <c r="AR574" t="s">
        <v>1620</v>
      </c>
      <c r="AT574" s="16">
        <f>_xlfn.XLOOKUP(B574,'SWiSH Demand Forecast Sep-26'!D:D,'SWiSH Demand Forecast Sep-26'!G:G,"Not Exist")</f>
        <v>160.458</v>
      </c>
    </row>
    <row r="575" spans="1:46" x14ac:dyDescent="0.3">
      <c r="A575">
        <v>106700006</v>
      </c>
      <c r="B575" t="s">
        <v>2480</v>
      </c>
      <c r="C575" t="s">
        <v>10</v>
      </c>
      <c r="D575" t="s">
        <v>1613</v>
      </c>
      <c r="E575" t="s">
        <v>2481</v>
      </c>
      <c r="F575" t="s">
        <v>1650</v>
      </c>
      <c r="G575" t="s">
        <v>1624</v>
      </c>
      <c r="H575" t="s">
        <v>1651</v>
      </c>
      <c r="I575" t="s">
        <v>1634</v>
      </c>
      <c r="J575" t="s">
        <v>10</v>
      </c>
      <c r="K575">
        <v>1.4999999999999999E-2</v>
      </c>
      <c r="L575">
        <v>19.5</v>
      </c>
      <c r="M575" s="1">
        <v>3</v>
      </c>
      <c r="N575">
        <v>0</v>
      </c>
      <c r="O575">
        <v>0</v>
      </c>
      <c r="P575">
        <v>1300</v>
      </c>
      <c r="Q575" s="1">
        <v>1300</v>
      </c>
      <c r="R575">
        <v>1.5</v>
      </c>
      <c r="S575" s="2">
        <v>46242</v>
      </c>
      <c r="T575" s="2">
        <v>46263</v>
      </c>
      <c r="U575">
        <v>1400</v>
      </c>
      <c r="V575">
        <v>3200</v>
      </c>
      <c r="W575">
        <v>1900</v>
      </c>
      <c r="X575">
        <v>2200</v>
      </c>
      <c r="Y575">
        <v>1400</v>
      </c>
      <c r="Z575" s="8">
        <v>3200</v>
      </c>
      <c r="AA575">
        <v>2175</v>
      </c>
      <c r="AB575">
        <v>0.64367816091954022</v>
      </c>
      <c r="AC575">
        <v>1.4712643678160919</v>
      </c>
      <c r="AD575" s="1">
        <v>12</v>
      </c>
      <c r="AE575" s="2">
        <v>46260</v>
      </c>
      <c r="AF575" s="2">
        <v>46268</v>
      </c>
      <c r="AG575" s="2">
        <v>46275</v>
      </c>
      <c r="AH575">
        <v>1000</v>
      </c>
      <c r="AI575" s="3">
        <v>0.32327586206896547</v>
      </c>
      <c r="AJ575" s="1">
        <v>37</v>
      </c>
      <c r="AK575" s="2">
        <v>46300</v>
      </c>
      <c r="AL575" s="4">
        <v>30</v>
      </c>
      <c r="AM575" s="5">
        <v>15</v>
      </c>
      <c r="AN575" s="4">
        <v>12</v>
      </c>
      <c r="AO575">
        <v>1034.4827586206895</v>
      </c>
      <c r="AP575" s="4">
        <v>1</v>
      </c>
      <c r="AQ575" t="s">
        <v>1619</v>
      </c>
      <c r="AR575" t="s">
        <v>1620</v>
      </c>
      <c r="AT575" s="16" t="str">
        <f>_xlfn.XLOOKUP(B575,'SWiSH Demand Forecast Sep-26'!D:D,'SWiSH Demand Forecast Sep-26'!G:G,"Not Exist")</f>
        <v>Not Exist</v>
      </c>
    </row>
    <row r="576" spans="1:46" x14ac:dyDescent="0.3">
      <c r="A576">
        <v>106400247</v>
      </c>
      <c r="B576" t="s">
        <v>2482</v>
      </c>
      <c r="C576" t="s">
        <v>10</v>
      </c>
      <c r="D576" t="s">
        <v>1613</v>
      </c>
      <c r="E576" t="s">
        <v>2483</v>
      </c>
      <c r="F576" t="s">
        <v>2484</v>
      </c>
      <c r="G576" t="s">
        <v>1624</v>
      </c>
      <c r="H576" t="s">
        <v>1764</v>
      </c>
      <c r="I576" t="s">
        <v>1754</v>
      </c>
      <c r="J576" t="e">
        <v>#N/A</v>
      </c>
      <c r="K576">
        <v>0.64312709000000001</v>
      </c>
      <c r="L576">
        <v>567.23809338000001</v>
      </c>
      <c r="M576" s="1">
        <v>3</v>
      </c>
      <c r="N576">
        <v>0</v>
      </c>
      <c r="O576">
        <v>0</v>
      </c>
      <c r="P576">
        <v>882</v>
      </c>
      <c r="Q576" s="1">
        <v>882</v>
      </c>
      <c r="R576">
        <v>0</v>
      </c>
      <c r="S576" s="2">
        <v>0</v>
      </c>
      <c r="T576" s="2">
        <v>46260</v>
      </c>
      <c r="U576">
        <v>2100</v>
      </c>
      <c r="V576">
        <v>2013</v>
      </c>
      <c r="W576">
        <v>1236</v>
      </c>
      <c r="X576">
        <v>1224</v>
      </c>
      <c r="Y576">
        <v>1224</v>
      </c>
      <c r="Z576" s="8">
        <v>2100</v>
      </c>
      <c r="AA576">
        <v>1643.25</v>
      </c>
      <c r="AB576">
        <v>0.74486535828388867</v>
      </c>
      <c r="AC576">
        <v>1.2779552715654952</v>
      </c>
      <c r="AD576" s="1">
        <v>12</v>
      </c>
      <c r="AE576" s="2">
        <v>46260</v>
      </c>
      <c r="AF576" s="2">
        <v>46268</v>
      </c>
      <c r="AG576" s="2">
        <v>46275</v>
      </c>
      <c r="AH576">
        <v>1260</v>
      </c>
      <c r="AI576" s="3">
        <v>0.62068965517241381</v>
      </c>
      <c r="AJ576" s="1">
        <v>20</v>
      </c>
      <c r="AK576" s="2">
        <v>46283</v>
      </c>
      <c r="AL576" s="4" t="s">
        <v>1658</v>
      </c>
      <c r="AM576" s="5" t="s">
        <v>1658</v>
      </c>
      <c r="AN576" s="4">
        <v>12</v>
      </c>
      <c r="AO576" t="s">
        <v>1635</v>
      </c>
      <c r="AP576" s="4" t="s">
        <v>1658</v>
      </c>
      <c r="AQ576" t="s">
        <v>1619</v>
      </c>
      <c r="AR576" t="s">
        <v>1620</v>
      </c>
      <c r="AT576" s="16" t="str">
        <f>_xlfn.XLOOKUP(B576,'SWiSH Demand Forecast Sep-26'!D:D,'SWiSH Demand Forecast Sep-26'!G:G,"Not Exist")</f>
        <v>Not Exist</v>
      </c>
    </row>
    <row r="577" spans="1:46" x14ac:dyDescent="0.3">
      <c r="A577">
        <v>106700063</v>
      </c>
      <c r="B577" t="s">
        <v>2485</v>
      </c>
      <c r="C577" t="s">
        <v>10</v>
      </c>
      <c r="D577" t="s">
        <v>1613</v>
      </c>
      <c r="E577" t="s">
        <v>2486</v>
      </c>
      <c r="F577" t="s">
        <v>1631</v>
      </c>
      <c r="G577" t="s">
        <v>1624</v>
      </c>
      <c r="H577" t="s">
        <v>1651</v>
      </c>
      <c r="I577" t="s">
        <v>1634</v>
      </c>
      <c r="J577" t="s">
        <v>2487</v>
      </c>
      <c r="K577">
        <v>7.2441729999999996E-2</v>
      </c>
      <c r="L577">
        <v>209.06683278</v>
      </c>
      <c r="M577" s="1">
        <v>3</v>
      </c>
      <c r="N577">
        <v>0</v>
      </c>
      <c r="O577">
        <v>200</v>
      </c>
      <c r="P577">
        <v>2886</v>
      </c>
      <c r="Q577" s="1">
        <v>2686</v>
      </c>
      <c r="R577">
        <v>7.25</v>
      </c>
      <c r="S577" s="2">
        <v>46176</v>
      </c>
      <c r="T577" s="2">
        <v>46263</v>
      </c>
      <c r="U577">
        <v>6670</v>
      </c>
      <c r="V577">
        <v>2890</v>
      </c>
      <c r="W577">
        <v>2550</v>
      </c>
      <c r="X577">
        <v>2830</v>
      </c>
      <c r="Y577">
        <v>2550</v>
      </c>
      <c r="Z577" s="8">
        <v>6670</v>
      </c>
      <c r="AA577">
        <v>3735</v>
      </c>
      <c r="AB577">
        <v>0.68273092369477917</v>
      </c>
      <c r="AC577">
        <v>1.785809906291834</v>
      </c>
      <c r="AD577" s="1">
        <v>12</v>
      </c>
      <c r="AE577" s="2">
        <v>46260</v>
      </c>
      <c r="AF577" s="2">
        <v>46268</v>
      </c>
      <c r="AG577" s="2">
        <v>46275</v>
      </c>
      <c r="AH577">
        <v>2470</v>
      </c>
      <c r="AI577" s="3">
        <v>0.38308431990901098</v>
      </c>
      <c r="AJ577" s="1">
        <v>31</v>
      </c>
      <c r="AK577" s="2">
        <v>46294</v>
      </c>
      <c r="AL577" s="4">
        <v>10</v>
      </c>
      <c r="AM577" s="5">
        <v>10</v>
      </c>
      <c r="AN577" s="4">
        <v>12</v>
      </c>
      <c r="AO577">
        <v>851.72413793103453</v>
      </c>
      <c r="AP577" s="4">
        <v>3</v>
      </c>
      <c r="AQ577" t="s">
        <v>1619</v>
      </c>
      <c r="AR577" t="s">
        <v>1620</v>
      </c>
      <c r="AT577" s="16" t="str">
        <f>_xlfn.XLOOKUP(B577,'SWiSH Demand Forecast Sep-26'!D:D,'SWiSH Demand Forecast Sep-26'!G:G,"Not Exist")</f>
        <v>Not Exist</v>
      </c>
    </row>
    <row r="578" spans="1:46" hidden="1" x14ac:dyDescent="0.3">
      <c r="A578">
        <v>103800006</v>
      </c>
      <c r="B578" t="s">
        <v>1462</v>
      </c>
      <c r="C578" t="s">
        <v>136</v>
      </c>
      <c r="D578" t="s">
        <v>1613</v>
      </c>
      <c r="E578" t="s">
        <v>2488</v>
      </c>
      <c r="F578" t="s">
        <v>1615</v>
      </c>
      <c r="G578" t="s">
        <v>1616</v>
      </c>
      <c r="H578" t="s">
        <v>1822</v>
      </c>
      <c r="I578" t="s">
        <v>1618</v>
      </c>
      <c r="J578" t="s">
        <v>136</v>
      </c>
      <c r="K578">
        <v>2.1594968099999998</v>
      </c>
      <c r="L578">
        <v>26.993710124999996</v>
      </c>
      <c r="M578" s="1">
        <v>3</v>
      </c>
      <c r="N578">
        <v>0</v>
      </c>
      <c r="O578">
        <v>0.5</v>
      </c>
      <c r="P578">
        <v>12.5</v>
      </c>
      <c r="Q578" s="1">
        <v>12</v>
      </c>
      <c r="R578">
        <v>1.1000000000000001</v>
      </c>
      <c r="S578" s="2">
        <v>46219</v>
      </c>
      <c r="T578" s="2">
        <v>46263</v>
      </c>
      <c r="U578">
        <v>14</v>
      </c>
      <c r="V578">
        <v>29</v>
      </c>
      <c r="W578">
        <v>24.5</v>
      </c>
      <c r="X578">
        <v>12.5</v>
      </c>
      <c r="Y578">
        <v>12.5</v>
      </c>
      <c r="Z578" s="8">
        <v>29</v>
      </c>
      <c r="AA578">
        <v>20</v>
      </c>
      <c r="AB578">
        <v>0.625</v>
      </c>
      <c r="AC578">
        <v>1.45</v>
      </c>
      <c r="AD578" s="1">
        <v>12</v>
      </c>
      <c r="AE578" s="2">
        <v>46260</v>
      </c>
      <c r="AF578" s="2">
        <v>46268</v>
      </c>
      <c r="AG578" s="2">
        <v>46275</v>
      </c>
      <c r="AH578">
        <v>15.5</v>
      </c>
      <c r="AI578" s="3">
        <v>0.55291319857312726</v>
      </c>
      <c r="AJ578" s="1">
        <v>22</v>
      </c>
      <c r="AK578" s="2">
        <v>46285</v>
      </c>
      <c r="AL578" s="4">
        <v>30</v>
      </c>
      <c r="AM578" s="5">
        <v>15</v>
      </c>
      <c r="AN578" s="4">
        <v>12</v>
      </c>
      <c r="AO578">
        <v>16.03448275862069</v>
      </c>
      <c r="AP578" s="4">
        <v>1</v>
      </c>
      <c r="AQ578" t="s">
        <v>1619</v>
      </c>
      <c r="AR578" t="s">
        <v>1620</v>
      </c>
      <c r="AT578" s="16">
        <f>_xlfn.XLOOKUP(B578,'SWiSH Demand Forecast Sep-26'!D:D,'SWiSH Demand Forecast Sep-26'!G:G,"Not Exist")</f>
        <v>5.5450221238937996</v>
      </c>
    </row>
    <row r="579" spans="1:46" hidden="1" x14ac:dyDescent="0.3">
      <c r="A579">
        <v>100300011</v>
      </c>
      <c r="B579" t="s">
        <v>1002</v>
      </c>
      <c r="C579" t="s">
        <v>136</v>
      </c>
      <c r="D579" t="s">
        <v>1613</v>
      </c>
      <c r="E579" t="s">
        <v>2296</v>
      </c>
      <c r="F579" t="s">
        <v>1752</v>
      </c>
      <c r="G579" t="s">
        <v>1616</v>
      </c>
      <c r="H579" t="s">
        <v>2018</v>
      </c>
      <c r="I579" t="s">
        <v>1754</v>
      </c>
      <c r="J579" t="s">
        <v>2489</v>
      </c>
      <c r="K579">
        <v>7.4493392099999998</v>
      </c>
      <c r="L579">
        <v>1792.4600007101999</v>
      </c>
      <c r="M579" s="1">
        <v>3</v>
      </c>
      <c r="N579">
        <v>0</v>
      </c>
      <c r="O579">
        <v>9.08</v>
      </c>
      <c r="P579">
        <v>240.62</v>
      </c>
      <c r="Q579" s="1">
        <v>231.54</v>
      </c>
      <c r="R579">
        <v>33.82</v>
      </c>
      <c r="S579" s="2">
        <v>46184</v>
      </c>
      <c r="T579" s="2">
        <v>46263</v>
      </c>
      <c r="U579">
        <v>494.86000000000053</v>
      </c>
      <c r="V579">
        <v>567.50000000000011</v>
      </c>
      <c r="W579">
        <v>349.58000000000021</v>
      </c>
      <c r="X579">
        <v>394.98000000000019</v>
      </c>
      <c r="Y579">
        <v>349.58000000000021</v>
      </c>
      <c r="Z579" s="8">
        <v>567.50000000000011</v>
      </c>
      <c r="AA579">
        <v>451.73000000000025</v>
      </c>
      <c r="AB579">
        <v>0.77386934673366836</v>
      </c>
      <c r="AC579">
        <v>1.2562814070351755</v>
      </c>
      <c r="AD579" s="1">
        <v>12</v>
      </c>
      <c r="AE579" s="2">
        <v>46260</v>
      </c>
      <c r="AF579" s="2">
        <v>46268</v>
      </c>
      <c r="AG579" s="2">
        <v>46275</v>
      </c>
      <c r="AH579">
        <v>390.44000000000017</v>
      </c>
      <c r="AI579" s="3">
        <v>0.71172413793103462</v>
      </c>
      <c r="AJ579" s="1">
        <v>17</v>
      </c>
      <c r="AK579" s="2">
        <v>46280</v>
      </c>
      <c r="AL579" s="4">
        <v>15</v>
      </c>
      <c r="AM579" s="5">
        <v>15</v>
      </c>
      <c r="AN579" s="4">
        <v>12</v>
      </c>
      <c r="AO579">
        <v>201.95172413793111</v>
      </c>
      <c r="AP579" s="4">
        <v>2</v>
      </c>
      <c r="AQ579" t="s">
        <v>1619</v>
      </c>
      <c r="AR579" t="s">
        <v>1620</v>
      </c>
      <c r="AT579" s="16">
        <f>_xlfn.XLOOKUP(B579,'SWiSH Demand Forecast Sep-26'!D:D,'SWiSH Demand Forecast Sep-26'!G:G,"Not Exist")</f>
        <v>146.62899999999999</v>
      </c>
    </row>
    <row r="580" spans="1:46" hidden="1" x14ac:dyDescent="0.3">
      <c r="A580">
        <v>101800026</v>
      </c>
      <c r="B580" t="s">
        <v>66</v>
      </c>
      <c r="C580" t="s">
        <v>10</v>
      </c>
      <c r="D580" t="s">
        <v>1613</v>
      </c>
      <c r="E580" t="s">
        <v>1655</v>
      </c>
      <c r="F580" t="s">
        <v>1664</v>
      </c>
      <c r="G580" t="s">
        <v>1624</v>
      </c>
      <c r="H580" t="s">
        <v>2144</v>
      </c>
      <c r="I580" t="s">
        <v>1634</v>
      </c>
      <c r="J580" t="s">
        <v>10</v>
      </c>
      <c r="K580">
        <v>0.01</v>
      </c>
      <c r="L580">
        <v>390</v>
      </c>
      <c r="M580" s="1">
        <v>30</v>
      </c>
      <c r="N580">
        <v>0</v>
      </c>
      <c r="O580">
        <v>1000</v>
      </c>
      <c r="P580">
        <v>39000</v>
      </c>
      <c r="Q580" s="1">
        <v>38000</v>
      </c>
      <c r="R580">
        <v>5</v>
      </c>
      <c r="S580" s="2">
        <v>46253</v>
      </c>
      <c r="T580" s="2">
        <v>46262</v>
      </c>
      <c r="U580">
        <v>76000</v>
      </c>
      <c r="V580">
        <v>93000</v>
      </c>
      <c r="W580">
        <v>72500</v>
      </c>
      <c r="X580">
        <v>77000</v>
      </c>
      <c r="Y580">
        <v>72500</v>
      </c>
      <c r="Z580" s="8">
        <v>93000</v>
      </c>
      <c r="AA580">
        <v>79625</v>
      </c>
      <c r="AB580">
        <v>0.9105180533751962</v>
      </c>
      <c r="AC580">
        <v>1.1679748822605966</v>
      </c>
      <c r="AD580" s="1">
        <v>12</v>
      </c>
      <c r="AE580" s="2">
        <v>46260</v>
      </c>
      <c r="AF580" s="2">
        <v>46268</v>
      </c>
      <c r="AG580" s="2">
        <v>46275</v>
      </c>
      <c r="AH580">
        <v>60000</v>
      </c>
      <c r="AI580" s="3">
        <v>0.66740823136818683</v>
      </c>
      <c r="AJ580" s="1">
        <v>18</v>
      </c>
      <c r="AK580" s="2">
        <v>46281</v>
      </c>
      <c r="AL580" s="4">
        <v>15</v>
      </c>
      <c r="AM580" s="5">
        <v>15</v>
      </c>
      <c r="AN580" s="4">
        <v>12</v>
      </c>
      <c r="AO580">
        <v>31034.482758620688</v>
      </c>
      <c r="AP580" s="4">
        <v>2</v>
      </c>
      <c r="AQ580">
        <v>95</v>
      </c>
      <c r="AR580" t="s">
        <v>2146</v>
      </c>
      <c r="AT580" s="16">
        <f>_xlfn.XLOOKUP(B580,'SWiSH Demand Forecast Sep-26'!D:D,'SWiSH Demand Forecast Sep-26'!G:G,"Not Exist")</f>
        <v>34754</v>
      </c>
    </row>
    <row r="581" spans="1:46" hidden="1" x14ac:dyDescent="0.3">
      <c r="A581">
        <v>100700027</v>
      </c>
      <c r="B581" t="s">
        <v>585</v>
      </c>
      <c r="C581" t="s">
        <v>136</v>
      </c>
      <c r="D581" t="s">
        <v>1613</v>
      </c>
      <c r="E581" t="s">
        <v>2490</v>
      </c>
      <c r="F581" t="s">
        <v>1875</v>
      </c>
      <c r="G581" t="s">
        <v>1616</v>
      </c>
      <c r="H581" t="s">
        <v>1867</v>
      </c>
      <c r="I581" t="s">
        <v>1618</v>
      </c>
      <c r="J581" t="s">
        <v>2254</v>
      </c>
      <c r="K581">
        <v>0.45</v>
      </c>
      <c r="L581">
        <v>432</v>
      </c>
      <c r="M581" s="1">
        <v>3</v>
      </c>
      <c r="N581">
        <v>0</v>
      </c>
      <c r="O581">
        <v>50</v>
      </c>
      <c r="P581">
        <v>960</v>
      </c>
      <c r="Q581" s="1">
        <v>910</v>
      </c>
      <c r="R581">
        <v>4.5</v>
      </c>
      <c r="S581" s="2">
        <v>46258</v>
      </c>
      <c r="T581" s="2">
        <v>46263</v>
      </c>
      <c r="U581">
        <v>1900</v>
      </c>
      <c r="V581">
        <v>2240</v>
      </c>
      <c r="W581">
        <v>1840</v>
      </c>
      <c r="X581">
        <v>1650</v>
      </c>
      <c r="Y581">
        <v>1650</v>
      </c>
      <c r="Z581" s="8">
        <v>2240</v>
      </c>
      <c r="AA581">
        <v>1907.5</v>
      </c>
      <c r="AB581">
        <v>0.86500655307994756</v>
      </c>
      <c r="AC581">
        <v>1.1743119266055047</v>
      </c>
      <c r="AD581" s="1">
        <v>12</v>
      </c>
      <c r="AE581" s="2">
        <v>46260</v>
      </c>
      <c r="AF581" s="2">
        <v>46268</v>
      </c>
      <c r="AG581" s="2">
        <v>46275</v>
      </c>
      <c r="AH581">
        <v>1800</v>
      </c>
      <c r="AI581" s="3">
        <v>0.83128078817733986</v>
      </c>
      <c r="AJ581" s="1">
        <v>14</v>
      </c>
      <c r="AK581" s="2">
        <v>46277</v>
      </c>
      <c r="AL581" s="4">
        <v>15</v>
      </c>
      <c r="AM581" s="5">
        <v>15</v>
      </c>
      <c r="AN581" s="4">
        <v>12</v>
      </c>
      <c r="AO581">
        <v>931.0344827586207</v>
      </c>
      <c r="AP581" s="4">
        <v>2</v>
      </c>
      <c r="AQ581">
        <v>2</v>
      </c>
      <c r="AR581" t="s">
        <v>2491</v>
      </c>
      <c r="AT581" s="16">
        <f>_xlfn.XLOOKUP(B581,'SWiSH Demand Forecast Sep-26'!D:D,'SWiSH Demand Forecast Sep-26'!G:G,"Not Exist")</f>
        <v>1082.0585775401</v>
      </c>
    </row>
    <row r="582" spans="1:46" hidden="1" x14ac:dyDescent="0.3">
      <c r="A582">
        <v>101200000</v>
      </c>
      <c r="B582" t="s">
        <v>533</v>
      </c>
      <c r="C582" t="s">
        <v>136</v>
      </c>
      <c r="D582" t="s">
        <v>1613</v>
      </c>
      <c r="E582" t="s">
        <v>1821</v>
      </c>
      <c r="F582" t="s">
        <v>1833</v>
      </c>
      <c r="G582" t="s">
        <v>1616</v>
      </c>
      <c r="H582" t="s">
        <v>1625</v>
      </c>
      <c r="I582" t="s">
        <v>1626</v>
      </c>
      <c r="J582" t="s">
        <v>2116</v>
      </c>
      <c r="K582">
        <v>1.67951542</v>
      </c>
      <c r="L582">
        <v>987.43750088059994</v>
      </c>
      <c r="M582" s="1">
        <v>3</v>
      </c>
      <c r="N582">
        <v>0</v>
      </c>
      <c r="O582">
        <v>49.940000000000005</v>
      </c>
      <c r="P582">
        <v>587.92999999999995</v>
      </c>
      <c r="Q582" s="1">
        <v>537.9899999999999</v>
      </c>
      <c r="R582">
        <v>30.5</v>
      </c>
      <c r="S582" s="2">
        <v>46184</v>
      </c>
      <c r="T582" s="2">
        <v>46263</v>
      </c>
      <c r="U582">
        <v>1103.219999999998</v>
      </c>
      <c r="V582">
        <v>964.74999999999852</v>
      </c>
      <c r="W582">
        <v>1330.2199999999953</v>
      </c>
      <c r="X582">
        <v>1278.0099999999964</v>
      </c>
      <c r="Y582">
        <v>964.74999999999852</v>
      </c>
      <c r="Z582" s="8">
        <v>1330.2199999999953</v>
      </c>
      <c r="AA582">
        <v>1169.049999999997</v>
      </c>
      <c r="AB582">
        <v>0.8252427184466028</v>
      </c>
      <c r="AC582">
        <v>1.1378640776699018</v>
      </c>
      <c r="AD582" s="1">
        <v>12</v>
      </c>
      <c r="AE582" s="2">
        <v>46260</v>
      </c>
      <c r="AF582" s="2">
        <v>46268</v>
      </c>
      <c r="AG582" s="2">
        <v>46275</v>
      </c>
      <c r="AH582">
        <v>901.18999999999835</v>
      </c>
      <c r="AI582" s="3">
        <v>0.70083558903142407</v>
      </c>
      <c r="AJ582" s="1">
        <v>17</v>
      </c>
      <c r="AK582" s="2">
        <v>46280</v>
      </c>
      <c r="AL582" s="4">
        <v>8</v>
      </c>
      <c r="AM582" s="5">
        <v>5</v>
      </c>
      <c r="AN582" s="4">
        <v>12</v>
      </c>
      <c r="AO582">
        <v>248.60413793103402</v>
      </c>
      <c r="AP582" s="4">
        <v>4</v>
      </c>
      <c r="AQ582" t="s">
        <v>1619</v>
      </c>
      <c r="AR582" t="s">
        <v>1620</v>
      </c>
      <c r="AT582" s="16">
        <f>_xlfn.XLOOKUP(B582,'SWiSH Demand Forecast Sep-26'!D:D,'SWiSH Demand Forecast Sep-26'!G:G,"Not Exist")</f>
        <v>1341.2453278688499</v>
      </c>
    </row>
    <row r="583" spans="1:46" hidden="1" x14ac:dyDescent="0.3">
      <c r="A583">
        <v>106200147</v>
      </c>
      <c r="B583" t="s">
        <v>905</v>
      </c>
      <c r="C583" t="s">
        <v>240</v>
      </c>
      <c r="D583" t="s">
        <v>1613</v>
      </c>
      <c r="E583" t="s">
        <v>1832</v>
      </c>
      <c r="F583" t="s">
        <v>1671</v>
      </c>
      <c r="G583" t="s">
        <v>1616</v>
      </c>
      <c r="H583" t="s">
        <v>1672</v>
      </c>
      <c r="I583" t="s">
        <v>1618</v>
      </c>
      <c r="J583" t="s">
        <v>240</v>
      </c>
      <c r="K583">
        <v>0.19736841999999999</v>
      </c>
      <c r="L583">
        <v>74.857894337599987</v>
      </c>
      <c r="M583" s="1">
        <v>3</v>
      </c>
      <c r="N583">
        <v>0</v>
      </c>
      <c r="O583">
        <v>0</v>
      </c>
      <c r="P583">
        <v>379.28</v>
      </c>
      <c r="Q583" s="1">
        <v>379.28</v>
      </c>
      <c r="R583">
        <v>2.25</v>
      </c>
      <c r="S583" s="2">
        <v>46259</v>
      </c>
      <c r="T583" s="2">
        <v>46263</v>
      </c>
      <c r="U583">
        <v>911.99999999999977</v>
      </c>
      <c r="V583">
        <v>718.19999999999982</v>
      </c>
      <c r="W583">
        <v>699.19999999999982</v>
      </c>
      <c r="X583">
        <v>881.5999999999998</v>
      </c>
      <c r="Y583">
        <v>699.19999999999982</v>
      </c>
      <c r="Z583" s="8">
        <v>911.99999999999977</v>
      </c>
      <c r="AA583">
        <v>802.74999999999989</v>
      </c>
      <c r="AB583">
        <v>0.87100591715976317</v>
      </c>
      <c r="AC583">
        <v>1.1360946745562128</v>
      </c>
      <c r="AD583" s="1">
        <v>12</v>
      </c>
      <c r="AE583" s="2">
        <v>46260</v>
      </c>
      <c r="AF583" s="2">
        <v>46268</v>
      </c>
      <c r="AG583" s="2">
        <v>46275</v>
      </c>
      <c r="AH583">
        <v>805.6</v>
      </c>
      <c r="AI583" s="3">
        <v>0.91379310344827602</v>
      </c>
      <c r="AJ583" s="1">
        <v>13</v>
      </c>
      <c r="AK583" s="2">
        <v>46276</v>
      </c>
      <c r="AL583" s="4">
        <v>30</v>
      </c>
      <c r="AM583" s="5">
        <v>15</v>
      </c>
      <c r="AN583" s="4">
        <v>12</v>
      </c>
      <c r="AO583">
        <v>833.37931034482756</v>
      </c>
      <c r="AP583" s="4">
        <v>1</v>
      </c>
      <c r="AQ583" t="s">
        <v>1619</v>
      </c>
      <c r="AR583" t="s">
        <v>1620</v>
      </c>
      <c r="AT583" s="16">
        <f>_xlfn.XLOOKUP(B583,'SWiSH Demand Forecast Sep-26'!D:D,'SWiSH Demand Forecast Sep-26'!G:G,"Not Exist")</f>
        <v>235.36712261296299</v>
      </c>
    </row>
    <row r="584" spans="1:46" hidden="1" x14ac:dyDescent="0.3">
      <c r="A584">
        <v>106800309</v>
      </c>
      <c r="B584" t="s">
        <v>88</v>
      </c>
      <c r="C584" t="s">
        <v>10</v>
      </c>
      <c r="D584" t="s">
        <v>1613</v>
      </c>
      <c r="E584" t="s">
        <v>1701</v>
      </c>
      <c r="F584" t="s">
        <v>1664</v>
      </c>
      <c r="G584" t="s">
        <v>1624</v>
      </c>
      <c r="H584" t="s">
        <v>1665</v>
      </c>
      <c r="I584" t="s">
        <v>1634</v>
      </c>
      <c r="J584" t="s">
        <v>10</v>
      </c>
      <c r="K584">
        <v>5.0000000000000001E-3</v>
      </c>
      <c r="L584">
        <v>105</v>
      </c>
      <c r="M584" s="1">
        <v>7</v>
      </c>
      <c r="N584">
        <v>0</v>
      </c>
      <c r="O584">
        <v>2000</v>
      </c>
      <c r="P584">
        <v>21000</v>
      </c>
      <c r="Q584" s="1">
        <v>19000</v>
      </c>
      <c r="R584">
        <v>5.0000000000000001E-3</v>
      </c>
      <c r="S584" s="2">
        <v>46216</v>
      </c>
      <c r="T584" s="2">
        <v>46263</v>
      </c>
      <c r="U584">
        <v>28000</v>
      </c>
      <c r="V584">
        <v>45000</v>
      </c>
      <c r="W584">
        <v>26000</v>
      </c>
      <c r="X584">
        <v>30000</v>
      </c>
      <c r="Y584">
        <v>26000</v>
      </c>
      <c r="Z584" s="8">
        <v>45000</v>
      </c>
      <c r="AA584">
        <v>32250</v>
      </c>
      <c r="AB584">
        <v>0.80620155038759689</v>
      </c>
      <c r="AC584">
        <v>1.3953488372093024</v>
      </c>
      <c r="AD584" s="1">
        <v>12</v>
      </c>
      <c r="AE584" s="2">
        <v>46260</v>
      </c>
      <c r="AF584" s="2">
        <v>46268</v>
      </c>
      <c r="AG584" s="2">
        <v>46275</v>
      </c>
      <c r="AH584">
        <v>24000</v>
      </c>
      <c r="AI584" s="3">
        <v>0.55172413793103448</v>
      </c>
      <c r="AJ584" s="1">
        <v>22</v>
      </c>
      <c r="AK584" s="2">
        <v>46285</v>
      </c>
      <c r="AL584" s="4">
        <v>30</v>
      </c>
      <c r="AM584" s="5">
        <v>15</v>
      </c>
      <c r="AN584" s="4">
        <v>12</v>
      </c>
      <c r="AO584">
        <v>24827.586206896551</v>
      </c>
      <c r="AP584" s="4">
        <v>1</v>
      </c>
      <c r="AQ584">
        <v>120000</v>
      </c>
      <c r="AR584" t="s">
        <v>1829</v>
      </c>
      <c r="AT584" s="16">
        <f>_xlfn.XLOOKUP(B584,'SWiSH Demand Forecast Sep-26'!D:D,'SWiSH Demand Forecast Sep-26'!G:G,"Not Exist")</f>
        <v>24617</v>
      </c>
    </row>
    <row r="585" spans="1:46" hidden="1" x14ac:dyDescent="0.3">
      <c r="A585">
        <v>100400179</v>
      </c>
      <c r="B585" t="s">
        <v>217</v>
      </c>
      <c r="C585" t="s">
        <v>10</v>
      </c>
      <c r="D585" t="s">
        <v>1613</v>
      </c>
      <c r="E585" t="s">
        <v>2147</v>
      </c>
      <c r="F585" t="s">
        <v>1664</v>
      </c>
      <c r="G585" t="s">
        <v>1616</v>
      </c>
      <c r="H585" t="s">
        <v>1810</v>
      </c>
      <c r="I585" t="s">
        <v>1634</v>
      </c>
      <c r="J585" t="s">
        <v>10</v>
      </c>
      <c r="K585">
        <v>4.8000000000000001E-2</v>
      </c>
      <c r="L585">
        <v>528</v>
      </c>
      <c r="M585" s="1">
        <v>30</v>
      </c>
      <c r="N585">
        <v>0</v>
      </c>
      <c r="O585">
        <v>400</v>
      </c>
      <c r="P585">
        <v>11000</v>
      </c>
      <c r="Q585" s="1">
        <v>10600</v>
      </c>
      <c r="R585">
        <v>5.2999999999999999E-2</v>
      </c>
      <c r="S585" s="2">
        <v>46222</v>
      </c>
      <c r="T585" s="2">
        <v>46263</v>
      </c>
      <c r="U585">
        <v>17800</v>
      </c>
      <c r="V585">
        <v>24800</v>
      </c>
      <c r="W585">
        <v>16200</v>
      </c>
      <c r="X585">
        <v>10500</v>
      </c>
      <c r="Y585">
        <v>10500</v>
      </c>
      <c r="Z585" s="8">
        <v>24800</v>
      </c>
      <c r="AA585">
        <v>17325</v>
      </c>
      <c r="AB585">
        <v>0.60606060606060608</v>
      </c>
      <c r="AC585">
        <v>1.4314574314574315</v>
      </c>
      <c r="AD585" s="1">
        <v>12</v>
      </c>
      <c r="AE585" s="2">
        <v>46260</v>
      </c>
      <c r="AF585" s="2">
        <v>46268</v>
      </c>
      <c r="AG585" s="2">
        <v>46275</v>
      </c>
      <c r="AH585">
        <v>14600</v>
      </c>
      <c r="AI585" s="3">
        <v>0.60901001112347053</v>
      </c>
      <c r="AJ585" s="1">
        <v>21</v>
      </c>
      <c r="AK585" s="2">
        <v>46284</v>
      </c>
      <c r="AL585" s="4">
        <v>10</v>
      </c>
      <c r="AM585" s="5">
        <v>10</v>
      </c>
      <c r="AN585" s="4">
        <v>12</v>
      </c>
      <c r="AO585">
        <v>5034.4827586206893</v>
      </c>
      <c r="AP585" s="4">
        <v>3</v>
      </c>
      <c r="AQ585">
        <v>55000</v>
      </c>
      <c r="AR585" t="s">
        <v>2377</v>
      </c>
      <c r="AT585" s="16">
        <f>_xlfn.XLOOKUP(B585,'SWiSH Demand Forecast Sep-26'!D:D,'SWiSH Demand Forecast Sep-26'!G:G,"Not Exist")</f>
        <v>7830</v>
      </c>
    </row>
    <row r="586" spans="1:46" x14ac:dyDescent="0.3">
      <c r="A586">
        <v>105300041</v>
      </c>
      <c r="B586" t="s">
        <v>2492</v>
      </c>
      <c r="C586" t="s">
        <v>10</v>
      </c>
      <c r="D586" t="s">
        <v>1613</v>
      </c>
      <c r="E586" t="s">
        <v>1638</v>
      </c>
      <c r="F586" t="s">
        <v>1664</v>
      </c>
      <c r="G586" t="s">
        <v>1624</v>
      </c>
      <c r="H586" t="s">
        <v>1978</v>
      </c>
      <c r="I586" t="s">
        <v>1634</v>
      </c>
      <c r="J586" t="s">
        <v>2113</v>
      </c>
      <c r="K586">
        <v>2.1000000000000001E-2</v>
      </c>
      <c r="L586">
        <v>84</v>
      </c>
      <c r="M586" s="1">
        <v>15</v>
      </c>
      <c r="N586">
        <v>0</v>
      </c>
      <c r="O586">
        <v>0</v>
      </c>
      <c r="P586">
        <v>4000</v>
      </c>
      <c r="Q586" s="1">
        <v>4000</v>
      </c>
      <c r="R586">
        <v>2.1000000000000001E-2</v>
      </c>
      <c r="S586" s="2">
        <v>46238</v>
      </c>
      <c r="T586" s="2">
        <v>46261</v>
      </c>
      <c r="U586">
        <v>6000</v>
      </c>
      <c r="V586">
        <v>6000</v>
      </c>
      <c r="W586">
        <v>8000</v>
      </c>
      <c r="X586">
        <v>10000</v>
      </c>
      <c r="Y586">
        <v>6000</v>
      </c>
      <c r="Z586" s="8">
        <v>10000</v>
      </c>
      <c r="AA586">
        <v>7500</v>
      </c>
      <c r="AB586">
        <v>0.8</v>
      </c>
      <c r="AC586">
        <v>1.3333333333333333</v>
      </c>
      <c r="AD586" s="1">
        <v>12</v>
      </c>
      <c r="AE586" s="2">
        <v>46260</v>
      </c>
      <c r="AF586" s="2">
        <v>46268</v>
      </c>
      <c r="AG586" s="2">
        <v>46275</v>
      </c>
      <c r="AH586">
        <v>7000</v>
      </c>
      <c r="AI586" s="3">
        <v>0.72413793103448276</v>
      </c>
      <c r="AJ586" s="1">
        <v>16</v>
      </c>
      <c r="AK586" s="2">
        <v>46279</v>
      </c>
      <c r="AL586" s="4">
        <v>30</v>
      </c>
      <c r="AM586" s="5">
        <v>15</v>
      </c>
      <c r="AN586" s="4">
        <v>12</v>
      </c>
      <c r="AO586">
        <v>7241.3793103448279</v>
      </c>
      <c r="AP586" s="4">
        <v>1</v>
      </c>
      <c r="AQ586">
        <v>13000</v>
      </c>
      <c r="AR586" t="s">
        <v>2098</v>
      </c>
      <c r="AT586" s="16" t="str">
        <f>_xlfn.XLOOKUP(B586,'SWiSH Demand Forecast Sep-26'!D:D,'SWiSH Demand Forecast Sep-26'!G:G,"Not Exist")</f>
        <v>Not Exist</v>
      </c>
    </row>
    <row r="587" spans="1:46" hidden="1" x14ac:dyDescent="0.3">
      <c r="A587">
        <v>107400072</v>
      </c>
      <c r="B587" t="s">
        <v>18</v>
      </c>
      <c r="C587" t="s">
        <v>10</v>
      </c>
      <c r="D587" t="s">
        <v>1613</v>
      </c>
      <c r="E587" t="s">
        <v>1638</v>
      </c>
      <c r="F587" t="s">
        <v>1664</v>
      </c>
      <c r="G587" t="s">
        <v>1624</v>
      </c>
      <c r="H587" t="s">
        <v>2016</v>
      </c>
      <c r="I587" t="s">
        <v>1634</v>
      </c>
      <c r="J587" t="s">
        <v>10</v>
      </c>
      <c r="K587">
        <v>8.0000000000000002E-3</v>
      </c>
      <c r="L587">
        <v>968</v>
      </c>
      <c r="M587" s="1">
        <v>15</v>
      </c>
      <c r="N587">
        <v>0</v>
      </c>
      <c r="O587">
        <v>1000</v>
      </c>
      <c r="P587">
        <v>121000</v>
      </c>
      <c r="Q587" s="1">
        <v>120000</v>
      </c>
      <c r="R587">
        <v>8.0000000000000002E-3</v>
      </c>
      <c r="S587" s="2">
        <v>46259</v>
      </c>
      <c r="T587" s="2">
        <v>46263</v>
      </c>
      <c r="U587">
        <v>192000</v>
      </c>
      <c r="V587">
        <v>218000</v>
      </c>
      <c r="W587">
        <v>222800</v>
      </c>
      <c r="X587">
        <v>286000</v>
      </c>
      <c r="Y587">
        <v>192000</v>
      </c>
      <c r="Z587" s="8">
        <v>286000</v>
      </c>
      <c r="AA587">
        <v>229700</v>
      </c>
      <c r="AB587">
        <v>0.83587287766652152</v>
      </c>
      <c r="AC587">
        <v>1.2451023073574228</v>
      </c>
      <c r="AD587" s="1">
        <v>12</v>
      </c>
      <c r="AE587" s="2">
        <v>46260</v>
      </c>
      <c r="AF587" s="2">
        <v>46268</v>
      </c>
      <c r="AG587" s="2">
        <v>46275</v>
      </c>
      <c r="AH587">
        <v>249500</v>
      </c>
      <c r="AI587" s="3">
        <v>0.9024596093561611</v>
      </c>
      <c r="AJ587" s="1">
        <v>13</v>
      </c>
      <c r="AK587" s="2">
        <v>46276</v>
      </c>
      <c r="AL587" s="4">
        <v>30</v>
      </c>
      <c r="AM587" s="5">
        <v>15</v>
      </c>
      <c r="AN587" s="4">
        <v>12</v>
      </c>
      <c r="AO587">
        <v>258103.44827586209</v>
      </c>
      <c r="AP587" s="4">
        <v>1</v>
      </c>
      <c r="AQ587">
        <v>326700</v>
      </c>
      <c r="AR587" t="s">
        <v>2034</v>
      </c>
      <c r="AT587" s="16">
        <f>_xlfn.XLOOKUP(B587,'SWiSH Demand Forecast Sep-26'!D:D,'SWiSH Demand Forecast Sep-26'!G:G,"Not Exist")</f>
        <v>132630</v>
      </c>
    </row>
    <row r="588" spans="1:46" hidden="1" x14ac:dyDescent="0.3">
      <c r="A588">
        <v>100400130</v>
      </c>
      <c r="B588" t="s">
        <v>264</v>
      </c>
      <c r="C588" t="s">
        <v>10</v>
      </c>
      <c r="D588" t="s">
        <v>1613</v>
      </c>
      <c r="E588" t="s">
        <v>1655</v>
      </c>
      <c r="F588" t="s">
        <v>1664</v>
      </c>
      <c r="G588" t="s">
        <v>1624</v>
      </c>
      <c r="H588" t="s">
        <v>1810</v>
      </c>
      <c r="I588" t="s">
        <v>1634</v>
      </c>
      <c r="J588" t="s">
        <v>10</v>
      </c>
      <c r="K588">
        <v>8.2884050000000001E-2</v>
      </c>
      <c r="L588">
        <v>182.34491</v>
      </c>
      <c r="M588" s="1">
        <v>30</v>
      </c>
      <c r="N588">
        <v>0</v>
      </c>
      <c r="O588">
        <v>100</v>
      </c>
      <c r="P588">
        <v>2200</v>
      </c>
      <c r="Q588" s="1">
        <v>2100</v>
      </c>
      <c r="R588">
        <v>8.3000000000000004E-2</v>
      </c>
      <c r="S588" s="2">
        <v>46256</v>
      </c>
      <c r="T588" s="2">
        <v>46263</v>
      </c>
      <c r="U588">
        <v>4600</v>
      </c>
      <c r="V588">
        <v>4850</v>
      </c>
      <c r="W588">
        <v>3700</v>
      </c>
      <c r="X588">
        <v>4650</v>
      </c>
      <c r="Y588">
        <v>3700</v>
      </c>
      <c r="Z588" s="8">
        <v>4850</v>
      </c>
      <c r="AA588">
        <v>4450</v>
      </c>
      <c r="AB588">
        <v>0.8314606741573034</v>
      </c>
      <c r="AC588">
        <v>1.0898876404494382</v>
      </c>
      <c r="AD588" s="1">
        <v>12</v>
      </c>
      <c r="AE588" s="2">
        <v>46260</v>
      </c>
      <c r="AF588" s="2">
        <v>46268</v>
      </c>
      <c r="AG588" s="2">
        <v>46275</v>
      </c>
      <c r="AH588">
        <v>3200</v>
      </c>
      <c r="AI588" s="3">
        <v>0.6825453252755066</v>
      </c>
      <c r="AJ588" s="1">
        <v>19</v>
      </c>
      <c r="AK588" s="2">
        <v>46282</v>
      </c>
      <c r="AL588" s="4">
        <v>10</v>
      </c>
      <c r="AM588" s="5">
        <v>10</v>
      </c>
      <c r="AN588" s="4">
        <v>12</v>
      </c>
      <c r="AO588">
        <v>1103.4482758620688</v>
      </c>
      <c r="AP588" s="4">
        <v>3</v>
      </c>
      <c r="AQ588">
        <v>9000</v>
      </c>
      <c r="AR588" t="s">
        <v>2028</v>
      </c>
      <c r="AT588" s="16">
        <f>_xlfn.XLOOKUP(B588,'SWiSH Demand Forecast Sep-26'!D:D,'SWiSH Demand Forecast Sep-26'!G:G,"Not Exist")</f>
        <v>5939</v>
      </c>
    </row>
    <row r="589" spans="1:46" x14ac:dyDescent="0.3">
      <c r="A589">
        <v>106200005</v>
      </c>
      <c r="B589" t="s">
        <v>2493</v>
      </c>
      <c r="C589" t="s">
        <v>240</v>
      </c>
      <c r="D589" t="s">
        <v>1613</v>
      </c>
      <c r="E589" t="s">
        <v>1685</v>
      </c>
      <c r="F589" t="s">
        <v>1671</v>
      </c>
      <c r="G589" t="s">
        <v>1616</v>
      </c>
      <c r="H589" t="s">
        <v>1672</v>
      </c>
      <c r="I589" t="s">
        <v>1618</v>
      </c>
      <c r="J589" t="s">
        <v>240</v>
      </c>
      <c r="K589">
        <v>8</v>
      </c>
      <c r="L589">
        <v>33.44</v>
      </c>
      <c r="M589" s="1">
        <v>3</v>
      </c>
      <c r="N589">
        <v>0</v>
      </c>
      <c r="O589">
        <v>0</v>
      </c>
      <c r="P589">
        <v>4.18</v>
      </c>
      <c r="Q589" s="1">
        <v>4.18</v>
      </c>
      <c r="R589">
        <v>3.1</v>
      </c>
      <c r="S589" s="2">
        <v>46254</v>
      </c>
      <c r="T589" s="2">
        <v>46263</v>
      </c>
      <c r="U589">
        <v>9.4999999999999982</v>
      </c>
      <c r="V589">
        <v>10.26</v>
      </c>
      <c r="W589">
        <v>7.5999999999999988</v>
      </c>
      <c r="X589">
        <v>9.879999999999999</v>
      </c>
      <c r="Y589">
        <v>7.5999999999999988</v>
      </c>
      <c r="Z589" s="8">
        <v>10.26</v>
      </c>
      <c r="AA589">
        <v>9.3099999999999987</v>
      </c>
      <c r="AB589">
        <v>0.81632653061224492</v>
      </c>
      <c r="AC589">
        <v>1.1020408163265307</v>
      </c>
      <c r="AD589" s="1">
        <v>12</v>
      </c>
      <c r="AE589" s="2">
        <v>46260</v>
      </c>
      <c r="AF589" s="2">
        <v>46268</v>
      </c>
      <c r="AG589" s="2">
        <v>46275</v>
      </c>
      <c r="AH589">
        <v>10.639999999999999</v>
      </c>
      <c r="AI589" s="3">
        <v>1.0727969348659001</v>
      </c>
      <c r="AJ589" s="1">
        <v>11</v>
      </c>
      <c r="AK589" s="2">
        <v>46274</v>
      </c>
      <c r="AL589" s="4">
        <v>30</v>
      </c>
      <c r="AM589" s="5">
        <v>15</v>
      </c>
      <c r="AN589" s="4">
        <v>11</v>
      </c>
      <c r="AO589">
        <v>11.006896551724134</v>
      </c>
      <c r="AP589" s="4">
        <v>1</v>
      </c>
      <c r="AQ589" t="s">
        <v>1619</v>
      </c>
      <c r="AR589" t="s">
        <v>1620</v>
      </c>
      <c r="AT589" s="16" t="str">
        <f>_xlfn.XLOOKUP(B589,'SWiSH Demand Forecast Sep-26'!D:D,'SWiSH Demand Forecast Sep-26'!G:G,"Not Exist")</f>
        <v>Not Exist</v>
      </c>
    </row>
    <row r="590" spans="1:46" hidden="1" x14ac:dyDescent="0.3">
      <c r="A590">
        <v>101600004</v>
      </c>
      <c r="B590" t="s">
        <v>260</v>
      </c>
      <c r="C590" t="s">
        <v>10</v>
      </c>
      <c r="D590" t="s">
        <v>1613</v>
      </c>
      <c r="E590" t="s">
        <v>1663</v>
      </c>
      <c r="F590" t="s">
        <v>1631</v>
      </c>
      <c r="G590" t="s">
        <v>1624</v>
      </c>
      <c r="H590" t="s">
        <v>1768</v>
      </c>
      <c r="I590" t="s">
        <v>1634</v>
      </c>
      <c r="J590" t="s">
        <v>2494</v>
      </c>
      <c r="K590">
        <v>5.4871679999999999E-2</v>
      </c>
      <c r="L590">
        <v>316.06087680000002</v>
      </c>
      <c r="M590" s="1">
        <v>3</v>
      </c>
      <c r="N590">
        <v>0</v>
      </c>
      <c r="O590">
        <v>480</v>
      </c>
      <c r="P590">
        <v>5760</v>
      </c>
      <c r="Q590" s="1">
        <v>5280</v>
      </c>
      <c r="R590">
        <v>8.8000000000000007</v>
      </c>
      <c r="S590" s="2">
        <v>46249</v>
      </c>
      <c r="T590" s="2">
        <v>46263</v>
      </c>
      <c r="U590">
        <v>9920</v>
      </c>
      <c r="V590">
        <v>10720</v>
      </c>
      <c r="W590">
        <v>12960</v>
      </c>
      <c r="X590">
        <v>12640</v>
      </c>
      <c r="Y590">
        <v>9920</v>
      </c>
      <c r="Z590" s="8">
        <v>12960</v>
      </c>
      <c r="AA590">
        <v>11560</v>
      </c>
      <c r="AB590">
        <v>0.8581314878892734</v>
      </c>
      <c r="AC590">
        <v>1.1211072664359862</v>
      </c>
      <c r="AD590" s="1">
        <v>12</v>
      </c>
      <c r="AE590" s="2">
        <v>46260</v>
      </c>
      <c r="AF590" s="2">
        <v>46268</v>
      </c>
      <c r="AG590" s="2">
        <v>46275</v>
      </c>
      <c r="AH590">
        <v>10240</v>
      </c>
      <c r="AI590" s="3">
        <v>0.81736909323116225</v>
      </c>
      <c r="AJ590" s="1">
        <v>14</v>
      </c>
      <c r="AK590" s="2">
        <v>46277</v>
      </c>
      <c r="AL590" s="4">
        <v>10</v>
      </c>
      <c r="AM590" s="5">
        <v>10</v>
      </c>
      <c r="AN590" s="4">
        <v>12</v>
      </c>
      <c r="AO590">
        <v>3531.0344827586209</v>
      </c>
      <c r="AP590" s="4">
        <v>3</v>
      </c>
      <c r="AQ590" t="s">
        <v>1619</v>
      </c>
      <c r="AR590" t="s">
        <v>1620</v>
      </c>
      <c r="AT590" s="16">
        <f>_xlfn.XLOOKUP(B590,'SWiSH Demand Forecast Sep-26'!D:D,'SWiSH Demand Forecast Sep-26'!G:G,"Not Exist")</f>
        <v>6116</v>
      </c>
    </row>
    <row r="591" spans="1:46" x14ac:dyDescent="0.3">
      <c r="A591">
        <v>103700026</v>
      </c>
      <c r="B591" t="s">
        <v>2495</v>
      </c>
      <c r="C591" t="s">
        <v>136</v>
      </c>
      <c r="D591" t="s">
        <v>1613</v>
      </c>
      <c r="E591" t="s">
        <v>2331</v>
      </c>
      <c r="F591" t="s">
        <v>1615</v>
      </c>
      <c r="G591" t="s">
        <v>1616</v>
      </c>
      <c r="H591" t="s">
        <v>1617</v>
      </c>
      <c r="I591" t="s">
        <v>1618</v>
      </c>
      <c r="J591" t="s">
        <v>136</v>
      </c>
      <c r="K591">
        <v>2.1666666700000001</v>
      </c>
      <c r="L591">
        <v>4.3333333400000003</v>
      </c>
      <c r="M591" s="1">
        <v>3</v>
      </c>
      <c r="N591">
        <v>0</v>
      </c>
      <c r="O591">
        <v>0</v>
      </c>
      <c r="P591">
        <v>2</v>
      </c>
      <c r="Q591" s="1">
        <v>2</v>
      </c>
      <c r="R591">
        <v>2.2000000000000002</v>
      </c>
      <c r="S591" s="2">
        <v>46254</v>
      </c>
      <c r="T591" s="2">
        <v>46263</v>
      </c>
      <c r="U591">
        <v>5</v>
      </c>
      <c r="V591">
        <v>4</v>
      </c>
      <c r="W591">
        <v>3</v>
      </c>
      <c r="X591">
        <v>4</v>
      </c>
      <c r="Y591">
        <v>3</v>
      </c>
      <c r="Z591" s="8">
        <v>5</v>
      </c>
      <c r="AA591">
        <v>4</v>
      </c>
      <c r="AB591">
        <v>0.75</v>
      </c>
      <c r="AC591">
        <v>1.25</v>
      </c>
      <c r="AD591" s="1">
        <v>12</v>
      </c>
      <c r="AE591" s="2">
        <v>46260</v>
      </c>
      <c r="AF591" s="2">
        <v>46268</v>
      </c>
      <c r="AG591" s="2">
        <v>46275</v>
      </c>
      <c r="AH591">
        <v>8</v>
      </c>
      <c r="AI591" s="3">
        <v>1.6551724137931036</v>
      </c>
      <c r="AJ591" s="1">
        <v>7</v>
      </c>
      <c r="AK591" s="2">
        <v>46270</v>
      </c>
      <c r="AL591" s="4">
        <v>30</v>
      </c>
      <c r="AM591" s="5">
        <v>15</v>
      </c>
      <c r="AN591" s="4">
        <v>7</v>
      </c>
      <c r="AO591">
        <v>8.2758620689655178</v>
      </c>
      <c r="AP591" s="4">
        <v>1</v>
      </c>
      <c r="AQ591" t="s">
        <v>1619</v>
      </c>
      <c r="AR591" t="s">
        <v>1620</v>
      </c>
      <c r="AT591" s="16" t="str">
        <f>_xlfn.XLOOKUP(B591,'SWiSH Demand Forecast Sep-26'!D:D,'SWiSH Demand Forecast Sep-26'!G:G,"Not Exist")</f>
        <v>Not Exist</v>
      </c>
    </row>
    <row r="592" spans="1:46" x14ac:dyDescent="0.3">
      <c r="A592">
        <v>101200038</v>
      </c>
      <c r="B592" t="s">
        <v>2496</v>
      </c>
      <c r="C592" t="s">
        <v>136</v>
      </c>
      <c r="D592" t="s">
        <v>1613</v>
      </c>
      <c r="E592" t="s">
        <v>2497</v>
      </c>
      <c r="F592" t="s">
        <v>1623</v>
      </c>
      <c r="G592" t="s">
        <v>1616</v>
      </c>
      <c r="H592" t="s">
        <v>1625</v>
      </c>
      <c r="I592" t="s">
        <v>1626</v>
      </c>
      <c r="J592" t="s">
        <v>136</v>
      </c>
      <c r="K592">
        <v>1.885</v>
      </c>
      <c r="L592">
        <v>17.341999999999999</v>
      </c>
      <c r="M592" s="1">
        <v>3</v>
      </c>
      <c r="N592">
        <v>0</v>
      </c>
      <c r="O592">
        <v>0</v>
      </c>
      <c r="P592">
        <v>9.1999999999999993</v>
      </c>
      <c r="Q592" s="1">
        <v>9.1999999999999993</v>
      </c>
      <c r="R592">
        <v>14.85</v>
      </c>
      <c r="S592" s="2">
        <v>46257</v>
      </c>
      <c r="T592" s="2">
        <v>46263</v>
      </c>
      <c r="U592">
        <v>14.4</v>
      </c>
      <c r="V592">
        <v>12.000000000000002</v>
      </c>
      <c r="W592">
        <v>20.000000000000004</v>
      </c>
      <c r="X592">
        <v>22</v>
      </c>
      <c r="Y592">
        <v>12.000000000000002</v>
      </c>
      <c r="Z592" s="8">
        <v>22</v>
      </c>
      <c r="AA592">
        <v>17.100000000000001</v>
      </c>
      <c r="AB592">
        <v>0.70175438596491235</v>
      </c>
      <c r="AC592">
        <v>1.2865497076023391</v>
      </c>
      <c r="AD592" s="1">
        <v>12</v>
      </c>
      <c r="AE592" s="2">
        <v>46260</v>
      </c>
      <c r="AF592" s="2">
        <v>46268</v>
      </c>
      <c r="AG592" s="2">
        <v>46275</v>
      </c>
      <c r="AH592">
        <v>30.399999999999991</v>
      </c>
      <c r="AI592" s="3">
        <v>1.4294670846394981</v>
      </c>
      <c r="AJ592" s="1">
        <v>8</v>
      </c>
      <c r="AK592" s="2">
        <v>46271</v>
      </c>
      <c r="AL592" s="4">
        <v>30</v>
      </c>
      <c r="AM592" s="5">
        <v>15</v>
      </c>
      <c r="AN592" s="4">
        <v>8</v>
      </c>
      <c r="AO592">
        <v>31.448275862068957</v>
      </c>
      <c r="AP592" s="4">
        <v>1</v>
      </c>
      <c r="AQ592" t="s">
        <v>1619</v>
      </c>
      <c r="AR592" t="s">
        <v>1620</v>
      </c>
      <c r="AT592" s="16" t="str">
        <f>_xlfn.XLOOKUP(B592,'SWiSH Demand Forecast Sep-26'!D:D,'SWiSH Demand Forecast Sep-26'!G:G,"Not Exist")</f>
        <v>Not Exist</v>
      </c>
    </row>
    <row r="593" spans="1:46" x14ac:dyDescent="0.3">
      <c r="A593">
        <v>103300003</v>
      </c>
      <c r="B593" t="s">
        <v>2498</v>
      </c>
      <c r="C593" t="s">
        <v>136</v>
      </c>
      <c r="D593" t="s">
        <v>1613</v>
      </c>
      <c r="E593" t="s">
        <v>1958</v>
      </c>
      <c r="F593" t="s">
        <v>1752</v>
      </c>
      <c r="G593" t="s">
        <v>1616</v>
      </c>
      <c r="H593" t="s">
        <v>2009</v>
      </c>
      <c r="I593" t="s">
        <v>1754</v>
      </c>
      <c r="J593" t="s">
        <v>136</v>
      </c>
      <c r="K593">
        <v>3</v>
      </c>
      <c r="L593">
        <v>398.49</v>
      </c>
      <c r="M593" s="1">
        <v>3</v>
      </c>
      <c r="N593">
        <v>0</v>
      </c>
      <c r="O593">
        <v>0</v>
      </c>
      <c r="P593">
        <v>132.83000000000001</v>
      </c>
      <c r="Q593" s="1">
        <v>132.83000000000001</v>
      </c>
      <c r="R593">
        <v>1.95</v>
      </c>
      <c r="S593" s="2">
        <v>45658</v>
      </c>
      <c r="T593" s="2">
        <v>46263</v>
      </c>
      <c r="U593">
        <v>330.24</v>
      </c>
      <c r="V593">
        <v>0</v>
      </c>
      <c r="W593">
        <v>0</v>
      </c>
      <c r="X593">
        <v>304.39999999999998</v>
      </c>
      <c r="Y593">
        <v>0</v>
      </c>
      <c r="Z593" s="8">
        <v>330.24</v>
      </c>
      <c r="AA593">
        <v>158.66</v>
      </c>
      <c r="AB593">
        <v>0</v>
      </c>
      <c r="AC593">
        <v>2.08143199294088</v>
      </c>
      <c r="AD593" s="1">
        <v>12</v>
      </c>
      <c r="AE593" s="2">
        <v>46260</v>
      </c>
      <c r="AF593" s="2">
        <v>46268</v>
      </c>
      <c r="AG593" s="2">
        <v>46275</v>
      </c>
      <c r="AH593">
        <v>380.01</v>
      </c>
      <c r="AI593" s="3">
        <v>1.1903881816359261</v>
      </c>
      <c r="AJ593" s="1">
        <v>10</v>
      </c>
      <c r="AK593" s="2">
        <v>46273</v>
      </c>
      <c r="AL593" s="4">
        <v>30</v>
      </c>
      <c r="AM593" s="5">
        <v>15</v>
      </c>
      <c r="AN593" s="4">
        <v>10</v>
      </c>
      <c r="AO593">
        <v>393.11379310344824</v>
      </c>
      <c r="AP593" s="4">
        <v>1</v>
      </c>
      <c r="AQ593" t="s">
        <v>1619</v>
      </c>
      <c r="AR593" t="s">
        <v>1620</v>
      </c>
      <c r="AT593" s="16" t="str">
        <f>_xlfn.XLOOKUP(B593,'SWiSH Demand Forecast Sep-26'!D:D,'SWiSH Demand Forecast Sep-26'!G:G,"Not Exist")</f>
        <v>Not Exist</v>
      </c>
    </row>
    <row r="594" spans="1:46" x14ac:dyDescent="0.3">
      <c r="A594">
        <v>100200000</v>
      </c>
      <c r="B594" t="s">
        <v>2499</v>
      </c>
      <c r="C594" t="s">
        <v>136</v>
      </c>
      <c r="D594" t="s">
        <v>1613</v>
      </c>
      <c r="E594" t="s">
        <v>1685</v>
      </c>
      <c r="F594" t="s">
        <v>1752</v>
      </c>
      <c r="G594" t="s">
        <v>1616</v>
      </c>
      <c r="H594" t="s">
        <v>1988</v>
      </c>
      <c r="I594" t="s">
        <v>1754</v>
      </c>
      <c r="J594" t="s">
        <v>2401</v>
      </c>
      <c r="K594">
        <v>7</v>
      </c>
      <c r="L594">
        <v>64.399999999999991</v>
      </c>
      <c r="M594" s="1">
        <v>3</v>
      </c>
      <c r="N594">
        <v>0</v>
      </c>
      <c r="O594">
        <v>0</v>
      </c>
      <c r="P594">
        <v>9.1999999999999993</v>
      </c>
      <c r="Q594" s="1">
        <v>9.1999999999999993</v>
      </c>
      <c r="R594">
        <v>2.15</v>
      </c>
      <c r="S594" s="2">
        <v>46261</v>
      </c>
      <c r="T594" s="2">
        <v>46262</v>
      </c>
      <c r="U594">
        <v>21.2</v>
      </c>
      <c r="V594">
        <v>20</v>
      </c>
      <c r="W594">
        <v>17.2</v>
      </c>
      <c r="X594">
        <v>17.600000000000005</v>
      </c>
      <c r="Y594">
        <v>17.2</v>
      </c>
      <c r="Z594" s="8">
        <v>21.2</v>
      </c>
      <c r="AA594">
        <v>19.000000000000004</v>
      </c>
      <c r="AB594">
        <v>0.90526315789473666</v>
      </c>
      <c r="AC594">
        <v>1.1157894736842102</v>
      </c>
      <c r="AD594" s="1">
        <v>13</v>
      </c>
      <c r="AE594" s="2">
        <v>46261</v>
      </c>
      <c r="AF594" s="2">
        <v>46269</v>
      </c>
      <c r="AG594" s="2">
        <v>46276</v>
      </c>
      <c r="AH594">
        <v>16.000000000000004</v>
      </c>
      <c r="AI594" s="3">
        <v>0.78074170461938863</v>
      </c>
      <c r="AJ594" s="1">
        <v>16</v>
      </c>
      <c r="AK594" s="2">
        <v>46279</v>
      </c>
      <c r="AL594" s="4">
        <v>30</v>
      </c>
      <c r="AM594" s="5">
        <v>15</v>
      </c>
      <c r="AN594" s="4">
        <v>13</v>
      </c>
      <c r="AO594">
        <v>16.551724137931039</v>
      </c>
      <c r="AP594" s="4">
        <v>1</v>
      </c>
      <c r="AQ594" t="s">
        <v>1619</v>
      </c>
      <c r="AR594" t="s">
        <v>1620</v>
      </c>
      <c r="AT594" s="16" t="str">
        <f>_xlfn.XLOOKUP(B594,'SWiSH Demand Forecast Sep-26'!D:D,'SWiSH Demand Forecast Sep-26'!G:G,"Not Exist")</f>
        <v>Not Exist</v>
      </c>
    </row>
    <row r="595" spans="1:46" hidden="1" x14ac:dyDescent="0.3">
      <c r="A595">
        <v>106200045</v>
      </c>
      <c r="B595" t="s">
        <v>1042</v>
      </c>
      <c r="C595" t="s">
        <v>136</v>
      </c>
      <c r="D595" t="s">
        <v>1613</v>
      </c>
      <c r="E595" t="s">
        <v>1732</v>
      </c>
      <c r="F595" t="s">
        <v>1671</v>
      </c>
      <c r="G595" t="s">
        <v>1616</v>
      </c>
      <c r="H595" t="s">
        <v>1672</v>
      </c>
      <c r="I595" t="s">
        <v>1618</v>
      </c>
      <c r="J595" t="s">
        <v>2500</v>
      </c>
      <c r="K595">
        <v>1.5918440700000001</v>
      </c>
      <c r="L595">
        <v>245.27133430560002</v>
      </c>
      <c r="M595" s="1">
        <v>3</v>
      </c>
      <c r="N595">
        <v>0</v>
      </c>
      <c r="O595">
        <v>0</v>
      </c>
      <c r="P595">
        <v>154.08000000000001</v>
      </c>
      <c r="Q595" s="1">
        <v>154.08000000000001</v>
      </c>
      <c r="R595">
        <v>14</v>
      </c>
      <c r="S595" s="2">
        <v>46263</v>
      </c>
      <c r="T595" s="2">
        <v>46261</v>
      </c>
      <c r="U595">
        <v>336.95999999999992</v>
      </c>
      <c r="V595">
        <v>319.67999999999995</v>
      </c>
      <c r="W595">
        <v>146.88</v>
      </c>
      <c r="X595">
        <v>229.88000000000005</v>
      </c>
      <c r="Y595">
        <v>146.88</v>
      </c>
      <c r="Z595" s="8">
        <v>336.95999999999992</v>
      </c>
      <c r="AA595">
        <v>258.34999999999997</v>
      </c>
      <c r="AB595">
        <v>0.56853106251209606</v>
      </c>
      <c r="AC595">
        <v>1.3042771434101024</v>
      </c>
      <c r="AD595" s="1">
        <v>13</v>
      </c>
      <c r="AE595" s="2">
        <v>46261</v>
      </c>
      <c r="AF595" s="2">
        <v>46269</v>
      </c>
      <c r="AG595" s="2">
        <v>46276</v>
      </c>
      <c r="AH595">
        <v>181.44</v>
      </c>
      <c r="AI595" s="3">
        <v>0.55702917771883298</v>
      </c>
      <c r="AJ595" s="1">
        <v>24</v>
      </c>
      <c r="AK595" s="2">
        <v>46287</v>
      </c>
      <c r="AL595" s="4">
        <v>30</v>
      </c>
      <c r="AM595" s="5">
        <v>15</v>
      </c>
      <c r="AN595" s="4">
        <v>13</v>
      </c>
      <c r="AO595">
        <v>187.69655172413792</v>
      </c>
      <c r="AP595" s="4">
        <v>1</v>
      </c>
      <c r="AQ595" t="s">
        <v>1619</v>
      </c>
      <c r="AR595" t="s">
        <v>1620</v>
      </c>
      <c r="AT595" s="16">
        <f>_xlfn.XLOOKUP(B595,'SWiSH Demand Forecast Sep-26'!D:D,'SWiSH Demand Forecast Sep-26'!G:G,"Not Exist")</f>
        <v>130.36975781798699</v>
      </c>
    </row>
    <row r="596" spans="1:46" hidden="1" x14ac:dyDescent="0.3">
      <c r="A596">
        <v>101600038</v>
      </c>
      <c r="B596" t="s">
        <v>100</v>
      </c>
      <c r="C596" t="s">
        <v>10</v>
      </c>
      <c r="D596" t="s">
        <v>1613</v>
      </c>
      <c r="E596" t="s">
        <v>1921</v>
      </c>
      <c r="F596" t="s">
        <v>1631</v>
      </c>
      <c r="G596" t="s">
        <v>1624</v>
      </c>
      <c r="H596" t="s">
        <v>1768</v>
      </c>
      <c r="I596" t="s">
        <v>1634</v>
      </c>
      <c r="J596" t="s">
        <v>10</v>
      </c>
      <c r="K596">
        <v>2.1111109999999999E-2</v>
      </c>
      <c r="L596">
        <v>256.49998649999998</v>
      </c>
      <c r="M596" s="1">
        <v>7</v>
      </c>
      <c r="N596">
        <v>0</v>
      </c>
      <c r="O596">
        <v>0</v>
      </c>
      <c r="P596">
        <v>12150</v>
      </c>
      <c r="Q596" s="1">
        <v>12150</v>
      </c>
      <c r="R596">
        <v>9.5</v>
      </c>
      <c r="S596" s="2">
        <v>46263</v>
      </c>
      <c r="T596" s="2">
        <v>46261</v>
      </c>
      <c r="U596">
        <v>18000</v>
      </c>
      <c r="V596">
        <v>26550</v>
      </c>
      <c r="W596">
        <v>18450</v>
      </c>
      <c r="X596">
        <v>17100</v>
      </c>
      <c r="Y596">
        <v>17100</v>
      </c>
      <c r="Z596" s="8">
        <v>26550</v>
      </c>
      <c r="AA596">
        <v>20025</v>
      </c>
      <c r="AB596">
        <v>0.8539325842696629</v>
      </c>
      <c r="AC596">
        <v>1.3258426966292134</v>
      </c>
      <c r="AD596" s="1">
        <v>13</v>
      </c>
      <c r="AE596" s="2">
        <v>46261</v>
      </c>
      <c r="AF596" s="2">
        <v>46269</v>
      </c>
      <c r="AG596" s="2">
        <v>46276</v>
      </c>
      <c r="AH596">
        <v>17100</v>
      </c>
      <c r="AI596" s="3">
        <v>0.66627703097603741</v>
      </c>
      <c r="AJ596" s="1">
        <v>20</v>
      </c>
      <c r="AK596" s="2">
        <v>46283</v>
      </c>
      <c r="AL596" s="4">
        <v>10</v>
      </c>
      <c r="AM596" s="5">
        <v>10</v>
      </c>
      <c r="AN596" s="4">
        <v>13</v>
      </c>
      <c r="AO596">
        <v>5896.5517241379312</v>
      </c>
      <c r="AP596" s="4">
        <v>3</v>
      </c>
      <c r="AQ596" t="s">
        <v>1619</v>
      </c>
      <c r="AR596" t="s">
        <v>1620</v>
      </c>
      <c r="AT596" s="16">
        <f>_xlfn.XLOOKUP(B596,'SWiSH Demand Forecast Sep-26'!D:D,'SWiSH Demand Forecast Sep-26'!G:G,"Not Exist")</f>
        <v>19145</v>
      </c>
    </row>
    <row r="597" spans="1:46" hidden="1" x14ac:dyDescent="0.3">
      <c r="A597">
        <v>101000009</v>
      </c>
      <c r="B597" t="s">
        <v>1292</v>
      </c>
      <c r="C597" t="s">
        <v>240</v>
      </c>
      <c r="D597" t="s">
        <v>1629</v>
      </c>
      <c r="E597" t="s">
        <v>2501</v>
      </c>
      <c r="F597" t="s">
        <v>1639</v>
      </c>
      <c r="G597" t="s">
        <v>1616</v>
      </c>
      <c r="H597" t="s">
        <v>1889</v>
      </c>
      <c r="I597" t="s">
        <v>1618</v>
      </c>
      <c r="J597" t="s">
        <v>2502</v>
      </c>
      <c r="K597">
        <v>1.52631579</v>
      </c>
      <c r="L597">
        <v>116.00000004</v>
      </c>
      <c r="M597" s="1">
        <v>3</v>
      </c>
      <c r="N597">
        <v>0</v>
      </c>
      <c r="O597">
        <v>0</v>
      </c>
      <c r="P597">
        <v>76</v>
      </c>
      <c r="Q597" s="1">
        <v>76</v>
      </c>
      <c r="R597">
        <v>29</v>
      </c>
      <c r="S597" s="2">
        <v>46201</v>
      </c>
      <c r="T597" s="2">
        <v>46226</v>
      </c>
      <c r="U597">
        <v>171</v>
      </c>
      <c r="V597">
        <v>76</v>
      </c>
      <c r="W597">
        <v>95</v>
      </c>
      <c r="X597">
        <v>57</v>
      </c>
      <c r="Y597">
        <v>57</v>
      </c>
      <c r="Z597" s="8">
        <v>171</v>
      </c>
      <c r="AA597">
        <v>99.75</v>
      </c>
      <c r="AB597">
        <v>0.5714285714285714</v>
      </c>
      <c r="AC597">
        <v>1.7142857142857142</v>
      </c>
      <c r="AD597" s="1">
        <v>13</v>
      </c>
      <c r="AE597" s="2">
        <v>46261</v>
      </c>
      <c r="AF597" s="2">
        <v>46269</v>
      </c>
      <c r="AG597" s="2">
        <v>46276</v>
      </c>
      <c r="AH597">
        <v>0</v>
      </c>
      <c r="AI597" s="3">
        <v>0</v>
      </c>
      <c r="AJ597" s="1" t="s">
        <v>1635</v>
      </c>
      <c r="AK597" s="2" t="s">
        <v>1635</v>
      </c>
      <c r="AL597" s="4" t="s">
        <v>1636</v>
      </c>
      <c r="AM597" s="5" t="s">
        <v>1636</v>
      </c>
      <c r="AN597" s="4">
        <v>13</v>
      </c>
      <c r="AO597" t="s">
        <v>1635</v>
      </c>
      <c r="AP597" s="4" t="s">
        <v>1636</v>
      </c>
      <c r="AQ597" t="s">
        <v>1619</v>
      </c>
      <c r="AR597" t="s">
        <v>1794</v>
      </c>
      <c r="AT597" s="16">
        <f>_xlfn.XLOOKUP(B597,'SWiSH Demand Forecast Sep-26'!D:D,'SWiSH Demand Forecast Sep-26'!G:G,"Not Exist")</f>
        <v>33.659999999999997</v>
      </c>
    </row>
    <row r="598" spans="1:46" hidden="1" x14ac:dyDescent="0.3">
      <c r="A598">
        <v>106200037</v>
      </c>
      <c r="B598" t="s">
        <v>1504</v>
      </c>
      <c r="C598" t="s">
        <v>240</v>
      </c>
      <c r="D598" t="s">
        <v>1699</v>
      </c>
      <c r="E598" t="s">
        <v>1832</v>
      </c>
      <c r="F598" t="s">
        <v>1671</v>
      </c>
      <c r="G598" t="s">
        <v>1616</v>
      </c>
      <c r="H598" t="s">
        <v>1672</v>
      </c>
      <c r="I598" t="s">
        <v>1618</v>
      </c>
      <c r="J598" t="s">
        <v>2503</v>
      </c>
      <c r="K598">
        <v>1.63636</v>
      </c>
      <c r="L598">
        <v>73.636200000000002</v>
      </c>
      <c r="M598" s="1">
        <v>3</v>
      </c>
      <c r="N598">
        <v>0</v>
      </c>
      <c r="O598">
        <v>0</v>
      </c>
      <c r="P598">
        <v>45</v>
      </c>
      <c r="Q598" s="1">
        <v>45</v>
      </c>
      <c r="R598">
        <v>10</v>
      </c>
      <c r="S598" s="2">
        <v>46193</v>
      </c>
      <c r="T598" s="2">
        <v>46258</v>
      </c>
      <c r="U598">
        <v>0</v>
      </c>
      <c r="V598">
        <v>102</v>
      </c>
      <c r="W598">
        <v>0</v>
      </c>
      <c r="X598">
        <v>0</v>
      </c>
      <c r="Y598">
        <v>0</v>
      </c>
      <c r="Z598" s="8">
        <v>102</v>
      </c>
      <c r="AA598">
        <v>25.5</v>
      </c>
      <c r="AB598">
        <v>0</v>
      </c>
      <c r="AC598">
        <v>4</v>
      </c>
      <c r="AD598" s="1">
        <v>13</v>
      </c>
      <c r="AE598" s="2">
        <v>46261</v>
      </c>
      <c r="AF598" s="2">
        <v>46269</v>
      </c>
      <c r="AG598" s="2">
        <v>46276</v>
      </c>
      <c r="AH598">
        <v>24</v>
      </c>
      <c r="AI598" s="3">
        <v>0.2434077079107505</v>
      </c>
      <c r="AJ598" s="1">
        <v>54</v>
      </c>
      <c r="AK598" s="2">
        <v>46317</v>
      </c>
      <c r="AL598" s="4" t="s">
        <v>1658</v>
      </c>
      <c r="AM598" s="5" t="s">
        <v>1658</v>
      </c>
      <c r="AN598" s="4">
        <v>13</v>
      </c>
      <c r="AO598" t="s">
        <v>1635</v>
      </c>
      <c r="AP598" s="4" t="s">
        <v>1658</v>
      </c>
      <c r="AQ598" t="s">
        <v>1619</v>
      </c>
      <c r="AR598" t="s">
        <v>1620</v>
      </c>
      <c r="AT598" s="16">
        <f>_xlfn.XLOOKUP(B598,'SWiSH Demand Forecast Sep-26'!D:D,'SWiSH Demand Forecast Sep-26'!G:G,"Not Exist")</f>
        <v>3.2866729909650898</v>
      </c>
    </row>
    <row r="599" spans="1:46" hidden="1" x14ac:dyDescent="0.3">
      <c r="A599">
        <v>100100056</v>
      </c>
      <c r="B599" t="s">
        <v>1361</v>
      </c>
      <c r="C599" t="s">
        <v>136</v>
      </c>
      <c r="D599" t="s">
        <v>1613</v>
      </c>
      <c r="E599" t="s">
        <v>2478</v>
      </c>
      <c r="F599" t="s">
        <v>1941</v>
      </c>
      <c r="G599" t="s">
        <v>1616</v>
      </c>
      <c r="H599" t="s">
        <v>1877</v>
      </c>
      <c r="I599" t="s">
        <v>1618</v>
      </c>
      <c r="J599" t="s">
        <v>2504</v>
      </c>
      <c r="K599">
        <v>2.66814733</v>
      </c>
      <c r="L599">
        <v>51.228428735999998</v>
      </c>
      <c r="M599" s="1">
        <v>3</v>
      </c>
      <c r="N599">
        <v>0</v>
      </c>
      <c r="O599">
        <v>0</v>
      </c>
      <c r="P599">
        <v>19.2</v>
      </c>
      <c r="Q599" s="1">
        <v>19.2</v>
      </c>
      <c r="R599">
        <v>12.5</v>
      </c>
      <c r="S599" s="2">
        <v>46249</v>
      </c>
      <c r="T599" s="2">
        <v>46260</v>
      </c>
      <c r="U599">
        <v>24.240000000000002</v>
      </c>
      <c r="V599">
        <v>38.4</v>
      </c>
      <c r="W599">
        <v>28.8</v>
      </c>
      <c r="X599">
        <v>43.199999999999996</v>
      </c>
      <c r="Y599">
        <v>24.240000000000002</v>
      </c>
      <c r="Z599" s="8">
        <v>43.199999999999996</v>
      </c>
      <c r="AA599">
        <v>33.659999999999997</v>
      </c>
      <c r="AB599">
        <v>0.72014260249554385</v>
      </c>
      <c r="AC599">
        <v>1.2834224598930482</v>
      </c>
      <c r="AD599" s="1">
        <v>13</v>
      </c>
      <c r="AE599" s="2">
        <v>46261</v>
      </c>
      <c r="AF599" s="2">
        <v>46269</v>
      </c>
      <c r="AG599" s="2">
        <v>46276</v>
      </c>
      <c r="AH599">
        <v>19.2</v>
      </c>
      <c r="AI599" s="3">
        <v>0.45977011494252878</v>
      </c>
      <c r="AJ599" s="1">
        <v>29</v>
      </c>
      <c r="AK599" s="2">
        <v>46292</v>
      </c>
      <c r="AL599" s="4">
        <v>30</v>
      </c>
      <c r="AM599" s="5">
        <v>15</v>
      </c>
      <c r="AN599" s="4">
        <v>13</v>
      </c>
      <c r="AO599">
        <v>19.862068965517242</v>
      </c>
      <c r="AP599" s="4">
        <v>1</v>
      </c>
      <c r="AQ599" t="s">
        <v>1619</v>
      </c>
      <c r="AR599" t="s">
        <v>1620</v>
      </c>
      <c r="AT599" s="16">
        <f>_xlfn.XLOOKUP(B599,'SWiSH Demand Forecast Sep-26'!D:D,'SWiSH Demand Forecast Sep-26'!G:G,"Not Exist")</f>
        <v>20.742857142857101</v>
      </c>
    </row>
    <row r="600" spans="1:46" hidden="1" x14ac:dyDescent="0.3">
      <c r="A600">
        <v>103300001</v>
      </c>
      <c r="B600" t="s">
        <v>741</v>
      </c>
      <c r="C600" t="s">
        <v>136</v>
      </c>
      <c r="D600" t="s">
        <v>1613</v>
      </c>
      <c r="E600" t="s">
        <v>1732</v>
      </c>
      <c r="F600" t="s">
        <v>1752</v>
      </c>
      <c r="G600" t="s">
        <v>1616</v>
      </c>
      <c r="H600" t="s">
        <v>2009</v>
      </c>
      <c r="I600" t="s">
        <v>1754</v>
      </c>
      <c r="J600" t="s">
        <v>136</v>
      </c>
      <c r="K600">
        <v>4.75</v>
      </c>
      <c r="L600">
        <v>521.07500000000005</v>
      </c>
      <c r="M600" s="1">
        <v>3</v>
      </c>
      <c r="N600">
        <v>0</v>
      </c>
      <c r="O600">
        <v>0</v>
      </c>
      <c r="P600">
        <v>109.7</v>
      </c>
      <c r="Q600" s="1">
        <v>109.7</v>
      </c>
      <c r="R600">
        <v>4.75</v>
      </c>
      <c r="S600" s="2">
        <v>46228</v>
      </c>
      <c r="T600" s="2">
        <v>46255</v>
      </c>
      <c r="U600">
        <v>56.7</v>
      </c>
      <c r="V600">
        <v>162.95999999999998</v>
      </c>
      <c r="W600">
        <v>240.79</v>
      </c>
      <c r="X600">
        <v>117.26000000000002</v>
      </c>
      <c r="Y600">
        <v>56.7</v>
      </c>
      <c r="Z600" s="8">
        <v>240.79</v>
      </c>
      <c r="AA600">
        <v>144.42749999999998</v>
      </c>
      <c r="AB600">
        <v>0.39258451472191935</v>
      </c>
      <c r="AC600">
        <v>1.6672032680756783</v>
      </c>
      <c r="AD600" s="1">
        <v>13</v>
      </c>
      <c r="AE600" s="2">
        <v>46261</v>
      </c>
      <c r="AF600" s="2">
        <v>46269</v>
      </c>
      <c r="AG600" s="2">
        <v>46276</v>
      </c>
      <c r="AH600">
        <v>126.31</v>
      </c>
      <c r="AI600" s="3">
        <v>0.54265342099497205</v>
      </c>
      <c r="AJ600" s="1">
        <v>25</v>
      </c>
      <c r="AK600" s="2">
        <v>46288</v>
      </c>
      <c r="AL600" s="4">
        <v>30</v>
      </c>
      <c r="AM600" s="5">
        <v>15</v>
      </c>
      <c r="AN600" s="4">
        <v>13</v>
      </c>
      <c r="AO600">
        <v>130.66551724137932</v>
      </c>
      <c r="AP600" s="4">
        <v>1</v>
      </c>
      <c r="AQ600" t="s">
        <v>1619</v>
      </c>
      <c r="AR600" t="s">
        <v>1620</v>
      </c>
      <c r="AT600" s="16">
        <f>_xlfn.XLOOKUP(B600,'SWiSH Demand Forecast Sep-26'!D:D,'SWiSH Demand Forecast Sep-26'!G:G,"Not Exist")</f>
        <v>522.49123778313196</v>
      </c>
    </row>
    <row r="601" spans="1:46" x14ac:dyDescent="0.3">
      <c r="A601">
        <v>101400038</v>
      </c>
      <c r="B601" t="s">
        <v>2505</v>
      </c>
      <c r="C601" t="s">
        <v>240</v>
      </c>
      <c r="D601" t="s">
        <v>1613</v>
      </c>
      <c r="E601" t="s">
        <v>2506</v>
      </c>
      <c r="F601" t="s">
        <v>1644</v>
      </c>
      <c r="G601" t="s">
        <v>1624</v>
      </c>
      <c r="H601" t="s">
        <v>1693</v>
      </c>
      <c r="I601" t="s">
        <v>1634</v>
      </c>
      <c r="J601" t="s">
        <v>240</v>
      </c>
      <c r="K601">
        <v>6.4984384000000004</v>
      </c>
      <c r="L601">
        <v>64.984384000000006</v>
      </c>
      <c r="M601" s="1">
        <v>3</v>
      </c>
      <c r="N601">
        <v>0</v>
      </c>
      <c r="O601">
        <v>0</v>
      </c>
      <c r="P601">
        <v>10</v>
      </c>
      <c r="Q601" s="1">
        <v>10</v>
      </c>
      <c r="R601">
        <v>6.5</v>
      </c>
      <c r="S601" s="2">
        <v>46214</v>
      </c>
      <c r="T601" s="2">
        <v>46257</v>
      </c>
      <c r="U601">
        <v>23</v>
      </c>
      <c r="V601">
        <v>17</v>
      </c>
      <c r="W601">
        <v>21</v>
      </c>
      <c r="X601">
        <v>13</v>
      </c>
      <c r="Y601">
        <v>13</v>
      </c>
      <c r="Z601" s="8">
        <v>23</v>
      </c>
      <c r="AA601">
        <v>18.5</v>
      </c>
      <c r="AB601">
        <v>0.70270270270270274</v>
      </c>
      <c r="AC601">
        <v>1.2432432432432432</v>
      </c>
      <c r="AD601" s="1">
        <v>13</v>
      </c>
      <c r="AE601" s="2">
        <v>46261</v>
      </c>
      <c r="AF601" s="2">
        <v>46269</v>
      </c>
      <c r="AG601" s="2">
        <v>46276</v>
      </c>
      <c r="AH601">
        <v>16</v>
      </c>
      <c r="AI601" s="3">
        <v>0.71964017991004503</v>
      </c>
      <c r="AJ601" s="1">
        <v>18</v>
      </c>
      <c r="AK601" s="2">
        <v>46281</v>
      </c>
      <c r="AL601" s="4">
        <v>30</v>
      </c>
      <c r="AM601" s="5">
        <v>15</v>
      </c>
      <c r="AN601" s="4">
        <v>13</v>
      </c>
      <c r="AO601">
        <v>16.551724137931036</v>
      </c>
      <c r="AP601" s="4">
        <v>1</v>
      </c>
      <c r="AQ601" t="s">
        <v>1619</v>
      </c>
      <c r="AR601" t="s">
        <v>1620</v>
      </c>
      <c r="AT601" s="16" t="str">
        <f>_xlfn.XLOOKUP(B601,'SWiSH Demand Forecast Sep-26'!D:D,'SWiSH Demand Forecast Sep-26'!G:G,"Not Exist")</f>
        <v>Not Exist</v>
      </c>
    </row>
    <row r="602" spans="1:46" x14ac:dyDescent="0.3">
      <c r="A602">
        <v>106700028</v>
      </c>
      <c r="B602" t="s">
        <v>2507</v>
      </c>
      <c r="C602" t="s">
        <v>10</v>
      </c>
      <c r="D602" t="s">
        <v>1613</v>
      </c>
      <c r="E602" t="s">
        <v>2508</v>
      </c>
      <c r="F602" t="s">
        <v>1650</v>
      </c>
      <c r="G602" t="s">
        <v>1624</v>
      </c>
      <c r="H602" t="s">
        <v>1651</v>
      </c>
      <c r="I602" t="s">
        <v>1634</v>
      </c>
      <c r="J602" t="s">
        <v>10</v>
      </c>
      <c r="K602">
        <v>0.6</v>
      </c>
      <c r="L602">
        <v>31.799999999999997</v>
      </c>
      <c r="M602" s="1">
        <v>3</v>
      </c>
      <c r="N602">
        <v>0</v>
      </c>
      <c r="O602">
        <v>0</v>
      </c>
      <c r="P602">
        <v>53</v>
      </c>
      <c r="Q602" s="1">
        <v>53</v>
      </c>
      <c r="R602">
        <v>0.6</v>
      </c>
      <c r="S602" s="2">
        <v>46177</v>
      </c>
      <c r="T602" s="2">
        <v>46260</v>
      </c>
      <c r="U602">
        <v>115</v>
      </c>
      <c r="V602">
        <v>61</v>
      </c>
      <c r="W602">
        <v>44</v>
      </c>
      <c r="X602">
        <v>29</v>
      </c>
      <c r="Y602">
        <v>29</v>
      </c>
      <c r="Z602" s="8">
        <v>115</v>
      </c>
      <c r="AA602">
        <v>62.25</v>
      </c>
      <c r="AB602">
        <v>0.46586345381526106</v>
      </c>
      <c r="AC602">
        <v>1.8473895582329318</v>
      </c>
      <c r="AD602" s="1">
        <v>13</v>
      </c>
      <c r="AE602" s="2">
        <v>46261</v>
      </c>
      <c r="AF602" s="2">
        <v>46269</v>
      </c>
      <c r="AG602" s="2">
        <v>46276</v>
      </c>
      <c r="AH602">
        <v>37</v>
      </c>
      <c r="AI602" s="3">
        <v>0.33283358320839579</v>
      </c>
      <c r="AJ602" s="1">
        <v>41</v>
      </c>
      <c r="AK602" s="2">
        <v>46304</v>
      </c>
      <c r="AL602" s="4">
        <v>30</v>
      </c>
      <c r="AM602" s="5">
        <v>15</v>
      </c>
      <c r="AN602" s="4">
        <v>13</v>
      </c>
      <c r="AO602">
        <v>38.275862068965516</v>
      </c>
      <c r="AP602" s="4">
        <v>1</v>
      </c>
      <c r="AQ602" t="s">
        <v>1619</v>
      </c>
      <c r="AR602" t="s">
        <v>1620</v>
      </c>
      <c r="AT602" s="16" t="str">
        <f>_xlfn.XLOOKUP(B602,'SWiSH Demand Forecast Sep-26'!D:D,'SWiSH Demand Forecast Sep-26'!G:G,"Not Exist")</f>
        <v>Not Exist</v>
      </c>
    </row>
    <row r="603" spans="1:46" x14ac:dyDescent="0.3">
      <c r="A603">
        <v>101600077</v>
      </c>
      <c r="B603" t="s">
        <v>2509</v>
      </c>
      <c r="C603" t="s">
        <v>10</v>
      </c>
      <c r="D603" t="s">
        <v>1613</v>
      </c>
      <c r="E603" t="s">
        <v>2161</v>
      </c>
      <c r="F603" t="s">
        <v>1631</v>
      </c>
      <c r="G603" t="s">
        <v>1624</v>
      </c>
      <c r="H603" t="s">
        <v>1768</v>
      </c>
      <c r="I603" t="s">
        <v>1634</v>
      </c>
      <c r="J603" t="s">
        <v>2226</v>
      </c>
      <c r="K603">
        <v>7.4999999999999997E-2</v>
      </c>
      <c r="L603">
        <v>135</v>
      </c>
      <c r="M603" s="1">
        <v>7</v>
      </c>
      <c r="N603">
        <v>0</v>
      </c>
      <c r="O603">
        <v>0</v>
      </c>
      <c r="P603">
        <v>1800</v>
      </c>
      <c r="Q603" s="1">
        <v>1800</v>
      </c>
      <c r="R603">
        <v>22.5</v>
      </c>
      <c r="S603" s="2">
        <v>46177</v>
      </c>
      <c r="T603" s="2">
        <v>46256</v>
      </c>
      <c r="U603">
        <v>1800</v>
      </c>
      <c r="V603">
        <v>3900</v>
      </c>
      <c r="W603">
        <v>300</v>
      </c>
      <c r="X603">
        <v>1200</v>
      </c>
      <c r="Y603">
        <v>300</v>
      </c>
      <c r="Z603" s="8">
        <v>3900</v>
      </c>
      <c r="AA603">
        <v>1800</v>
      </c>
      <c r="AB603">
        <v>0.16666666666666666</v>
      </c>
      <c r="AC603">
        <v>2.1666666666666665</v>
      </c>
      <c r="AD603" s="1">
        <v>13</v>
      </c>
      <c r="AE603" s="2">
        <v>46261</v>
      </c>
      <c r="AF603" s="2">
        <v>46269</v>
      </c>
      <c r="AG603" s="2">
        <v>46276</v>
      </c>
      <c r="AH603">
        <v>900</v>
      </c>
      <c r="AI603" s="3">
        <v>0.23872679045092837</v>
      </c>
      <c r="AJ603" s="1">
        <v>58</v>
      </c>
      <c r="AK603" s="2">
        <v>46321</v>
      </c>
      <c r="AL603" s="4">
        <v>15</v>
      </c>
      <c r="AM603" s="5">
        <v>15</v>
      </c>
      <c r="AN603" s="4">
        <v>13</v>
      </c>
      <c r="AO603">
        <v>465.51724137931035</v>
      </c>
      <c r="AP603" s="4">
        <v>2</v>
      </c>
      <c r="AQ603" t="s">
        <v>1619</v>
      </c>
      <c r="AR603" t="s">
        <v>1620</v>
      </c>
      <c r="AT603" s="16" t="str">
        <f>_xlfn.XLOOKUP(B603,'SWiSH Demand Forecast Sep-26'!D:D,'SWiSH Demand Forecast Sep-26'!G:G,"Not Exist")</f>
        <v>Not Exist</v>
      </c>
    </row>
    <row r="604" spans="1:46" x14ac:dyDescent="0.3">
      <c r="A604">
        <v>106200049</v>
      </c>
      <c r="B604" t="s">
        <v>2510</v>
      </c>
      <c r="C604" t="s">
        <v>136</v>
      </c>
      <c r="D604" t="s">
        <v>1613</v>
      </c>
      <c r="E604" t="s">
        <v>1832</v>
      </c>
      <c r="F604" t="s">
        <v>1671</v>
      </c>
      <c r="G604" t="s">
        <v>1616</v>
      </c>
      <c r="H604" t="s">
        <v>1672</v>
      </c>
      <c r="I604" t="s">
        <v>1618</v>
      </c>
      <c r="J604" t="s">
        <v>136</v>
      </c>
      <c r="K604">
        <v>4.5454499999999998</v>
      </c>
      <c r="L604">
        <v>49.999949999999998</v>
      </c>
      <c r="M604" s="1">
        <v>3</v>
      </c>
      <c r="N604">
        <v>0</v>
      </c>
      <c r="O604">
        <v>0</v>
      </c>
      <c r="P604">
        <v>11</v>
      </c>
      <c r="Q604" s="1">
        <v>11</v>
      </c>
      <c r="R604">
        <v>1.25</v>
      </c>
      <c r="S604" s="2">
        <v>46244</v>
      </c>
      <c r="T604" s="2">
        <v>46261</v>
      </c>
      <c r="U604">
        <v>25.299999999999997</v>
      </c>
      <c r="V604">
        <v>15.400000000000002</v>
      </c>
      <c r="W604">
        <v>17.600000000000001</v>
      </c>
      <c r="X604">
        <v>16.5</v>
      </c>
      <c r="Y604">
        <v>15.400000000000002</v>
      </c>
      <c r="Z604" s="8">
        <v>25.299999999999997</v>
      </c>
      <c r="AA604">
        <v>18.700000000000003</v>
      </c>
      <c r="AB604">
        <v>0.82352941176470584</v>
      </c>
      <c r="AC604">
        <v>1.3529411764705879</v>
      </c>
      <c r="AD604" s="1">
        <v>13</v>
      </c>
      <c r="AE604" s="2">
        <v>46261</v>
      </c>
      <c r="AF604" s="2">
        <v>46269</v>
      </c>
      <c r="AG604" s="2">
        <v>46276</v>
      </c>
      <c r="AH604">
        <v>14.52</v>
      </c>
      <c r="AI604" s="3">
        <v>0.5937031484257872</v>
      </c>
      <c r="AJ604" s="1">
        <v>21</v>
      </c>
      <c r="AK604" s="2">
        <v>46284</v>
      </c>
      <c r="AL604" s="4">
        <v>30</v>
      </c>
      <c r="AM604" s="5">
        <v>15</v>
      </c>
      <c r="AN604" s="4">
        <v>13</v>
      </c>
      <c r="AO604">
        <v>15.020689655172415</v>
      </c>
      <c r="AP604" s="4">
        <v>1</v>
      </c>
      <c r="AQ604" t="s">
        <v>1619</v>
      </c>
      <c r="AR604" t="s">
        <v>1620</v>
      </c>
      <c r="AT604" s="16" t="str">
        <f>_xlfn.XLOOKUP(B604,'SWiSH Demand Forecast Sep-26'!D:D,'SWiSH Demand Forecast Sep-26'!G:G,"Not Exist")</f>
        <v>Not Exist</v>
      </c>
    </row>
    <row r="605" spans="1:46" hidden="1" x14ac:dyDescent="0.3">
      <c r="A605">
        <v>107400077</v>
      </c>
      <c r="B605" t="s">
        <v>180</v>
      </c>
      <c r="C605" t="s">
        <v>10</v>
      </c>
      <c r="D605" t="s">
        <v>1613</v>
      </c>
      <c r="E605" t="s">
        <v>1638</v>
      </c>
      <c r="F605" t="s">
        <v>1664</v>
      </c>
      <c r="G605" t="s">
        <v>1624</v>
      </c>
      <c r="H605" t="s">
        <v>2016</v>
      </c>
      <c r="I605" t="s">
        <v>1634</v>
      </c>
      <c r="J605" t="s">
        <v>10</v>
      </c>
      <c r="K605">
        <v>7.9716000000000006E-3</v>
      </c>
      <c r="L605">
        <v>183.3468</v>
      </c>
      <c r="M605" s="1">
        <v>15</v>
      </c>
      <c r="N605">
        <v>0</v>
      </c>
      <c r="O605">
        <v>0</v>
      </c>
      <c r="P605">
        <v>23000</v>
      </c>
      <c r="Q605" s="1">
        <v>23000</v>
      </c>
      <c r="R605">
        <v>8.0000000000000002E-3</v>
      </c>
      <c r="S605" s="2">
        <v>46161</v>
      </c>
      <c r="T605" s="2">
        <v>46262</v>
      </c>
      <c r="U605">
        <v>51000</v>
      </c>
      <c r="V605">
        <v>25750</v>
      </c>
      <c r="W605">
        <v>19000</v>
      </c>
      <c r="X605">
        <v>14000</v>
      </c>
      <c r="Y605">
        <v>14000</v>
      </c>
      <c r="Z605" s="8">
        <v>51000</v>
      </c>
      <c r="AA605">
        <v>27437.5</v>
      </c>
      <c r="AB605">
        <v>0.51025056947608205</v>
      </c>
      <c r="AC605">
        <v>1.8587699316628701</v>
      </c>
      <c r="AD605" s="1">
        <v>13</v>
      </c>
      <c r="AE605" s="2">
        <v>46261</v>
      </c>
      <c r="AF605" s="2">
        <v>46269</v>
      </c>
      <c r="AG605" s="2">
        <v>46276</v>
      </c>
      <c r="AH605">
        <v>18000</v>
      </c>
      <c r="AI605" s="3">
        <v>0.36511156186612576</v>
      </c>
      <c r="AJ605" s="1">
        <v>37</v>
      </c>
      <c r="AK605" s="2">
        <v>46300</v>
      </c>
      <c r="AL605" s="4">
        <v>30</v>
      </c>
      <c r="AM605" s="5">
        <v>15</v>
      </c>
      <c r="AN605" s="4">
        <v>13</v>
      </c>
      <c r="AO605">
        <v>18620.689655172413</v>
      </c>
      <c r="AP605" s="4">
        <v>1</v>
      </c>
      <c r="AQ605">
        <v>111500</v>
      </c>
      <c r="AR605" t="s">
        <v>2034</v>
      </c>
      <c r="AT605" s="16">
        <f>_xlfn.XLOOKUP(B605,'SWiSH Demand Forecast Sep-26'!D:D,'SWiSH Demand Forecast Sep-26'!G:G,"Not Exist")</f>
        <v>9643</v>
      </c>
    </row>
    <row r="606" spans="1:46" x14ac:dyDescent="0.3">
      <c r="A606">
        <v>101800022</v>
      </c>
      <c r="B606" t="s">
        <v>2511</v>
      </c>
      <c r="C606" t="s">
        <v>10</v>
      </c>
      <c r="D606" t="s">
        <v>1613</v>
      </c>
      <c r="E606" t="s">
        <v>2512</v>
      </c>
      <c r="F606" t="s">
        <v>1664</v>
      </c>
      <c r="G606" t="s">
        <v>1624</v>
      </c>
      <c r="H606" t="s">
        <v>2144</v>
      </c>
      <c r="I606" t="s">
        <v>1634</v>
      </c>
      <c r="J606" t="s">
        <v>10</v>
      </c>
      <c r="K606">
        <v>3.8240000000000003E-2</v>
      </c>
      <c r="L606">
        <v>772.44800000000009</v>
      </c>
      <c r="M606" s="1">
        <v>15</v>
      </c>
      <c r="N606">
        <v>0</v>
      </c>
      <c r="O606">
        <v>400</v>
      </c>
      <c r="P606">
        <v>20200</v>
      </c>
      <c r="Q606" s="1">
        <v>19800</v>
      </c>
      <c r="R606">
        <v>11</v>
      </c>
      <c r="S606" s="2">
        <v>46253</v>
      </c>
      <c r="T606" s="2">
        <v>46263</v>
      </c>
      <c r="U606">
        <v>42800</v>
      </c>
      <c r="V606">
        <v>39800</v>
      </c>
      <c r="W606">
        <v>29600</v>
      </c>
      <c r="X606">
        <v>26800</v>
      </c>
      <c r="Y606">
        <v>26800</v>
      </c>
      <c r="Z606" s="8">
        <v>42800</v>
      </c>
      <c r="AA606">
        <v>34750</v>
      </c>
      <c r="AB606">
        <v>0.77122302158273381</v>
      </c>
      <c r="AC606">
        <v>1.2316546762589928</v>
      </c>
      <c r="AD606" s="1">
        <v>13</v>
      </c>
      <c r="AE606" s="2">
        <v>46261</v>
      </c>
      <c r="AF606" s="2">
        <v>46269</v>
      </c>
      <c r="AG606" s="2">
        <v>46276</v>
      </c>
      <c r="AH606">
        <v>18800</v>
      </c>
      <c r="AI606" s="3">
        <v>0.45439896873992908</v>
      </c>
      <c r="AJ606" s="1">
        <v>30</v>
      </c>
      <c r="AK606" s="2">
        <v>46293</v>
      </c>
      <c r="AL606" s="4">
        <v>15</v>
      </c>
      <c r="AM606" s="5">
        <v>15</v>
      </c>
      <c r="AN606" s="4">
        <v>13</v>
      </c>
      <c r="AO606">
        <v>9724.1379310344819</v>
      </c>
      <c r="AP606" s="4">
        <v>2</v>
      </c>
      <c r="AQ606">
        <v>232</v>
      </c>
      <c r="AR606" t="s">
        <v>2028</v>
      </c>
      <c r="AT606" s="16" t="str">
        <f>_xlfn.XLOOKUP(B606,'SWiSH Demand Forecast Sep-26'!D:D,'SWiSH Demand Forecast Sep-26'!G:G,"Not Exist")</f>
        <v>Not Exist</v>
      </c>
    </row>
    <row r="607" spans="1:46" hidden="1" x14ac:dyDescent="0.3">
      <c r="A607">
        <v>103400015</v>
      </c>
      <c r="B607" t="s">
        <v>365</v>
      </c>
      <c r="C607" t="s">
        <v>136</v>
      </c>
      <c r="D607" t="s">
        <v>1613</v>
      </c>
      <c r="E607" t="s">
        <v>1926</v>
      </c>
      <c r="F607" t="s">
        <v>1752</v>
      </c>
      <c r="G607" t="s">
        <v>1616</v>
      </c>
      <c r="H607" t="s">
        <v>1931</v>
      </c>
      <c r="I607" t="s">
        <v>1754</v>
      </c>
      <c r="J607" t="s">
        <v>1959</v>
      </c>
      <c r="K607">
        <v>0.60399999999999998</v>
      </c>
      <c r="L607">
        <v>954.31999999999994</v>
      </c>
      <c r="M607" s="1">
        <v>3</v>
      </c>
      <c r="N607">
        <v>0</v>
      </c>
      <c r="O607">
        <v>20</v>
      </c>
      <c r="P607">
        <v>1580</v>
      </c>
      <c r="Q607" s="1">
        <v>1560</v>
      </c>
      <c r="R607">
        <v>6.04</v>
      </c>
      <c r="S607" s="2">
        <v>46259</v>
      </c>
      <c r="T607" s="2">
        <v>46263</v>
      </c>
      <c r="U607">
        <v>3560</v>
      </c>
      <c r="V607">
        <v>3465</v>
      </c>
      <c r="W607">
        <v>3282.5</v>
      </c>
      <c r="X607">
        <v>3320</v>
      </c>
      <c r="Y607">
        <v>3282.5</v>
      </c>
      <c r="Z607" s="8">
        <v>3560</v>
      </c>
      <c r="AA607">
        <v>3406.875</v>
      </c>
      <c r="AB607">
        <v>0.96349293707576589</v>
      </c>
      <c r="AC607">
        <v>1.0449458814896349</v>
      </c>
      <c r="AD607" s="1">
        <v>13</v>
      </c>
      <c r="AE607" s="2">
        <v>46261</v>
      </c>
      <c r="AF607" s="2">
        <v>46269</v>
      </c>
      <c r="AG607" s="2">
        <v>46276</v>
      </c>
      <c r="AH607">
        <v>2830</v>
      </c>
      <c r="AI607" s="3">
        <v>0.82235567609453697</v>
      </c>
      <c r="AJ607" s="1">
        <v>15</v>
      </c>
      <c r="AK607" s="2">
        <v>46278</v>
      </c>
      <c r="AL607" s="4">
        <v>15</v>
      </c>
      <c r="AM607" s="5">
        <v>15</v>
      </c>
      <c r="AN607" s="4">
        <v>13</v>
      </c>
      <c r="AO607">
        <v>1463.7931034482758</v>
      </c>
      <c r="AP607" s="4">
        <v>2</v>
      </c>
      <c r="AQ607" t="s">
        <v>1619</v>
      </c>
      <c r="AR607" t="s">
        <v>1620</v>
      </c>
      <c r="AT607" s="16">
        <f>_xlfn.XLOOKUP(B607,'SWiSH Demand Forecast Sep-26'!D:D,'SWiSH Demand Forecast Sep-26'!G:G,"Not Exist")</f>
        <v>3299.76428571428</v>
      </c>
    </row>
    <row r="608" spans="1:46" x14ac:dyDescent="0.3">
      <c r="A608">
        <v>105200021</v>
      </c>
      <c r="B608" t="s">
        <v>2513</v>
      </c>
      <c r="C608" t="s">
        <v>10</v>
      </c>
      <c r="D608" t="s">
        <v>1613</v>
      </c>
      <c r="E608" t="s">
        <v>1638</v>
      </c>
      <c r="F608" t="s">
        <v>1664</v>
      </c>
      <c r="G608" t="s">
        <v>1624</v>
      </c>
      <c r="H608" t="s">
        <v>1779</v>
      </c>
      <c r="I608" t="s">
        <v>1634</v>
      </c>
      <c r="J608" t="s">
        <v>10</v>
      </c>
      <c r="K608">
        <v>1.9E-2</v>
      </c>
      <c r="L608">
        <v>182.4</v>
      </c>
      <c r="M608" s="1">
        <v>30</v>
      </c>
      <c r="N608">
        <v>0</v>
      </c>
      <c r="O608">
        <v>0</v>
      </c>
      <c r="P608">
        <v>9600</v>
      </c>
      <c r="Q608" s="1">
        <v>9600</v>
      </c>
      <c r="R608">
        <v>3.5000000000000003E-2</v>
      </c>
      <c r="S608" s="2">
        <v>44689</v>
      </c>
      <c r="T608" s="2">
        <v>46263</v>
      </c>
      <c r="U608">
        <v>18600</v>
      </c>
      <c r="V608">
        <v>11700</v>
      </c>
      <c r="W608">
        <v>15300</v>
      </c>
      <c r="X608">
        <v>21300</v>
      </c>
      <c r="Y608">
        <v>11700</v>
      </c>
      <c r="Z608" s="8">
        <v>21300</v>
      </c>
      <c r="AA608">
        <v>16725</v>
      </c>
      <c r="AB608">
        <v>0.69955156950672648</v>
      </c>
      <c r="AC608">
        <v>1.2735426008968609</v>
      </c>
      <c r="AD608" s="1">
        <v>13</v>
      </c>
      <c r="AE608" s="2">
        <v>46261</v>
      </c>
      <c r="AF608" s="2">
        <v>46269</v>
      </c>
      <c r="AG608" s="2">
        <v>46276</v>
      </c>
      <c r="AH608">
        <v>11400</v>
      </c>
      <c r="AI608" s="3">
        <v>0.55366682855755223</v>
      </c>
      <c r="AJ608" s="1">
        <v>24</v>
      </c>
      <c r="AK608" s="2">
        <v>46287</v>
      </c>
      <c r="AL608" s="4">
        <v>30</v>
      </c>
      <c r="AM608" s="5">
        <v>15</v>
      </c>
      <c r="AN608" s="4">
        <v>13</v>
      </c>
      <c r="AO608">
        <v>11793.103448275862</v>
      </c>
      <c r="AP608" s="4">
        <v>1</v>
      </c>
      <c r="AQ608" t="s">
        <v>1619</v>
      </c>
      <c r="AR608" t="s">
        <v>1620</v>
      </c>
      <c r="AT608" s="16" t="str">
        <f>_xlfn.XLOOKUP(B608,'SWiSH Demand Forecast Sep-26'!D:D,'SWiSH Demand Forecast Sep-26'!G:G,"Not Exist")</f>
        <v>Not Exist</v>
      </c>
    </row>
    <row r="609" spans="1:46" hidden="1" x14ac:dyDescent="0.3">
      <c r="A609">
        <v>103100014</v>
      </c>
      <c r="B609" t="s">
        <v>1149</v>
      </c>
      <c r="C609" t="s">
        <v>136</v>
      </c>
      <c r="D609" t="s">
        <v>1613</v>
      </c>
      <c r="E609" t="s">
        <v>1775</v>
      </c>
      <c r="F609" t="s">
        <v>1752</v>
      </c>
      <c r="G609" t="s">
        <v>1616</v>
      </c>
      <c r="H609" t="s">
        <v>1869</v>
      </c>
      <c r="I609" t="s">
        <v>1754</v>
      </c>
      <c r="J609" t="s">
        <v>2384</v>
      </c>
      <c r="K609">
        <v>3.0833333299999999</v>
      </c>
      <c r="L609">
        <v>240.49999973999999</v>
      </c>
      <c r="M609" s="1">
        <v>3</v>
      </c>
      <c r="N609">
        <v>0</v>
      </c>
      <c r="O609">
        <v>6</v>
      </c>
      <c r="P609">
        <v>78</v>
      </c>
      <c r="Q609" s="1">
        <v>72</v>
      </c>
      <c r="R609">
        <v>18.5</v>
      </c>
      <c r="S609" s="2">
        <v>46246</v>
      </c>
      <c r="T609" s="2">
        <v>46263</v>
      </c>
      <c r="U609">
        <v>162</v>
      </c>
      <c r="V609">
        <v>120</v>
      </c>
      <c r="W609">
        <v>12</v>
      </c>
      <c r="X609">
        <v>102</v>
      </c>
      <c r="Y609">
        <v>12</v>
      </c>
      <c r="Z609" s="8">
        <v>162</v>
      </c>
      <c r="AA609">
        <v>99</v>
      </c>
      <c r="AB609">
        <v>0.12121212121212122</v>
      </c>
      <c r="AC609">
        <v>1.6363636363636365</v>
      </c>
      <c r="AD609" s="1">
        <v>13</v>
      </c>
      <c r="AE609" s="2">
        <v>46261</v>
      </c>
      <c r="AF609" s="2">
        <v>46269</v>
      </c>
      <c r="AG609" s="2">
        <v>46276</v>
      </c>
      <c r="AH609">
        <v>84</v>
      </c>
      <c r="AI609" s="3">
        <v>0.53639846743295028</v>
      </c>
      <c r="AJ609" s="1">
        <v>24</v>
      </c>
      <c r="AK609" s="2">
        <v>46287</v>
      </c>
      <c r="AL609" s="4">
        <v>30</v>
      </c>
      <c r="AM609" s="5">
        <v>15</v>
      </c>
      <c r="AN609" s="4">
        <v>13</v>
      </c>
      <c r="AO609">
        <v>86.89655172413795</v>
      </c>
      <c r="AP609" s="4">
        <v>1</v>
      </c>
      <c r="AQ609" t="s">
        <v>1619</v>
      </c>
      <c r="AR609" t="s">
        <v>1620</v>
      </c>
      <c r="AT609" s="16">
        <f>_xlfn.XLOOKUP(B609,'SWiSH Demand Forecast Sep-26'!D:D,'SWiSH Demand Forecast Sep-26'!G:G,"Not Exist")</f>
        <v>83.759999999999906</v>
      </c>
    </row>
    <row r="610" spans="1:46" hidden="1" x14ac:dyDescent="0.3">
      <c r="A610">
        <v>101200021</v>
      </c>
      <c r="B610" t="s">
        <v>1035</v>
      </c>
      <c r="C610" t="s">
        <v>136</v>
      </c>
      <c r="D610" t="s">
        <v>1613</v>
      </c>
      <c r="E610" t="s">
        <v>2115</v>
      </c>
      <c r="F610" t="s">
        <v>1833</v>
      </c>
      <c r="G610" t="s">
        <v>1616</v>
      </c>
      <c r="H610" t="s">
        <v>1625</v>
      </c>
      <c r="I610" t="s">
        <v>1626</v>
      </c>
      <c r="J610" t="s">
        <v>136</v>
      </c>
      <c r="K610">
        <v>5.2561658500000004</v>
      </c>
      <c r="L610">
        <v>1533.4968990692003</v>
      </c>
      <c r="M610" s="1">
        <v>3</v>
      </c>
      <c r="N610">
        <v>0</v>
      </c>
      <c r="O610">
        <v>0</v>
      </c>
      <c r="P610">
        <v>291.75200000000001</v>
      </c>
      <c r="Q610" s="1">
        <v>291.75200000000001</v>
      </c>
      <c r="R610">
        <v>5.25</v>
      </c>
      <c r="S610" s="2">
        <v>46238</v>
      </c>
      <c r="T610" s="2">
        <v>46263</v>
      </c>
      <c r="U610">
        <v>424.14</v>
      </c>
      <c r="V610">
        <v>584.67200000000025</v>
      </c>
      <c r="W610">
        <v>668.20600000000002</v>
      </c>
      <c r="X610">
        <v>658.44700000000012</v>
      </c>
      <c r="Y610">
        <v>424.14</v>
      </c>
      <c r="Z610" s="8">
        <v>668.20600000000002</v>
      </c>
      <c r="AA610">
        <v>583.86625000000004</v>
      </c>
      <c r="AB610">
        <v>0.7264334939722924</v>
      </c>
      <c r="AC610">
        <v>1.144450462755811</v>
      </c>
      <c r="AD610" s="1">
        <v>13</v>
      </c>
      <c r="AE610" s="2">
        <v>46261</v>
      </c>
      <c r="AF610" s="2">
        <v>46269</v>
      </c>
      <c r="AG610" s="2">
        <v>46276</v>
      </c>
      <c r="AH610">
        <v>468.45000000000005</v>
      </c>
      <c r="AI610" s="3">
        <v>0.7252306149239337</v>
      </c>
      <c r="AJ610" s="1">
        <v>18</v>
      </c>
      <c r="AK610" s="2">
        <v>46281</v>
      </c>
      <c r="AL610" s="4">
        <v>30</v>
      </c>
      <c r="AM610" s="5">
        <v>15</v>
      </c>
      <c r="AN610" s="4">
        <v>13</v>
      </c>
      <c r="AO610">
        <v>484.60344827586204</v>
      </c>
      <c r="AP610" s="4">
        <v>1</v>
      </c>
      <c r="AQ610" t="s">
        <v>1619</v>
      </c>
      <c r="AR610" t="s">
        <v>2514</v>
      </c>
      <c r="AT610" s="16">
        <f>_xlfn.XLOOKUP(B610,'SWiSH Demand Forecast Sep-26'!D:D,'SWiSH Demand Forecast Sep-26'!G:G,"Not Exist")</f>
        <v>131.75256779177701</v>
      </c>
    </row>
    <row r="611" spans="1:46" x14ac:dyDescent="0.3">
      <c r="A611">
        <v>101300028</v>
      </c>
      <c r="B611" t="s">
        <v>2515</v>
      </c>
      <c r="C611" t="s">
        <v>136</v>
      </c>
      <c r="D611" t="s">
        <v>1613</v>
      </c>
      <c r="E611" t="s">
        <v>2161</v>
      </c>
      <c r="F611" t="s">
        <v>1752</v>
      </c>
      <c r="G611" t="s">
        <v>1616</v>
      </c>
      <c r="H611" t="s">
        <v>1980</v>
      </c>
      <c r="I611" t="s">
        <v>1754</v>
      </c>
      <c r="J611" t="s">
        <v>1942</v>
      </c>
      <c r="K611">
        <v>3.5</v>
      </c>
      <c r="L611">
        <v>154</v>
      </c>
      <c r="M611" s="1">
        <v>3</v>
      </c>
      <c r="N611">
        <v>0</v>
      </c>
      <c r="O611">
        <v>0</v>
      </c>
      <c r="P611">
        <v>44</v>
      </c>
      <c r="Q611" s="1">
        <v>44</v>
      </c>
      <c r="R611">
        <v>42</v>
      </c>
      <c r="S611" s="2">
        <v>46254</v>
      </c>
      <c r="T611" s="2">
        <v>46263</v>
      </c>
      <c r="U611">
        <v>50.75</v>
      </c>
      <c r="V611">
        <v>62.25</v>
      </c>
      <c r="W611">
        <v>72.25</v>
      </c>
      <c r="X611">
        <v>97</v>
      </c>
      <c r="Y611">
        <v>50.75</v>
      </c>
      <c r="Z611" s="8">
        <v>97</v>
      </c>
      <c r="AA611">
        <v>70.5625</v>
      </c>
      <c r="AB611">
        <v>0.71922054915854738</v>
      </c>
      <c r="AC611">
        <v>1.37466784765279</v>
      </c>
      <c r="AD611" s="1">
        <v>13</v>
      </c>
      <c r="AE611" s="2">
        <v>46261</v>
      </c>
      <c r="AF611" s="2">
        <v>46269</v>
      </c>
      <c r="AG611" s="2">
        <v>46276</v>
      </c>
      <c r="AH611">
        <v>78</v>
      </c>
      <c r="AI611" s="3">
        <v>0.83185211517952362</v>
      </c>
      <c r="AJ611" s="1">
        <v>16</v>
      </c>
      <c r="AK611" s="2">
        <v>46279</v>
      </c>
      <c r="AL611" s="4">
        <v>30</v>
      </c>
      <c r="AM611" s="5">
        <v>15</v>
      </c>
      <c r="AN611" s="4">
        <v>13</v>
      </c>
      <c r="AO611">
        <v>80.689655172413794</v>
      </c>
      <c r="AP611" s="4">
        <v>1</v>
      </c>
      <c r="AQ611" t="s">
        <v>1619</v>
      </c>
      <c r="AR611" t="s">
        <v>1620</v>
      </c>
      <c r="AT611" s="16" t="str">
        <f>_xlfn.XLOOKUP(B611,'SWiSH Demand Forecast Sep-26'!D:D,'SWiSH Demand Forecast Sep-26'!G:G,"Not Exist")</f>
        <v>Not Exist</v>
      </c>
    </row>
    <row r="612" spans="1:46" x14ac:dyDescent="0.3">
      <c r="A612">
        <v>104900008</v>
      </c>
      <c r="B612" t="s">
        <v>2516</v>
      </c>
      <c r="C612" t="s">
        <v>10</v>
      </c>
      <c r="D612" t="s">
        <v>1613</v>
      </c>
      <c r="E612" t="s">
        <v>1655</v>
      </c>
      <c r="F612" t="s">
        <v>1664</v>
      </c>
      <c r="G612" t="s">
        <v>1624</v>
      </c>
      <c r="H612" t="s">
        <v>1759</v>
      </c>
      <c r="I612" t="s">
        <v>1634</v>
      </c>
      <c r="J612" t="s">
        <v>2233</v>
      </c>
      <c r="K612">
        <v>2E-3</v>
      </c>
      <c r="L612">
        <v>328</v>
      </c>
      <c r="M612" s="1">
        <v>15</v>
      </c>
      <c r="N612">
        <v>0</v>
      </c>
      <c r="O612">
        <v>2000</v>
      </c>
      <c r="P612">
        <v>164000</v>
      </c>
      <c r="Q612" s="1">
        <v>162000</v>
      </c>
      <c r="R612">
        <v>4</v>
      </c>
      <c r="S612" s="2">
        <v>46210</v>
      </c>
      <c r="T612" s="2">
        <v>46263</v>
      </c>
      <c r="U612">
        <v>350000</v>
      </c>
      <c r="V612">
        <v>348000</v>
      </c>
      <c r="W612">
        <v>262000</v>
      </c>
      <c r="X612">
        <v>282000</v>
      </c>
      <c r="Y612">
        <v>262000</v>
      </c>
      <c r="Z612" s="8">
        <v>350000</v>
      </c>
      <c r="AA612">
        <v>310500</v>
      </c>
      <c r="AB612">
        <v>0.8438003220611916</v>
      </c>
      <c r="AC612">
        <v>1.1272141706924315</v>
      </c>
      <c r="AD612" s="1">
        <v>13</v>
      </c>
      <c r="AE612" s="2">
        <v>46261</v>
      </c>
      <c r="AF612" s="2">
        <v>46269</v>
      </c>
      <c r="AG612" s="2">
        <v>46276</v>
      </c>
      <c r="AH612">
        <v>252000</v>
      </c>
      <c r="AI612" s="3">
        <v>0.7448275862068966</v>
      </c>
      <c r="AJ612" s="1">
        <v>18</v>
      </c>
      <c r="AK612" s="2">
        <v>46281</v>
      </c>
      <c r="AL612" s="4">
        <v>15</v>
      </c>
      <c r="AM612" s="5">
        <v>15</v>
      </c>
      <c r="AN612" s="4">
        <v>13</v>
      </c>
      <c r="AO612">
        <v>130344.8275862069</v>
      </c>
      <c r="AP612" s="4">
        <v>2</v>
      </c>
      <c r="AQ612">
        <v>350</v>
      </c>
      <c r="AR612" t="s">
        <v>2517</v>
      </c>
      <c r="AT612" s="16" t="str">
        <f>_xlfn.XLOOKUP(B612,'SWiSH Demand Forecast Sep-26'!D:D,'SWiSH Demand Forecast Sep-26'!G:G,"Not Exist")</f>
        <v>Not Exist</v>
      </c>
    </row>
    <row r="613" spans="1:46" hidden="1" x14ac:dyDescent="0.3">
      <c r="A613">
        <v>106300012</v>
      </c>
      <c r="B613" t="s">
        <v>506</v>
      </c>
      <c r="C613" t="s">
        <v>136</v>
      </c>
      <c r="D613" t="s">
        <v>1613</v>
      </c>
      <c r="E613" t="s">
        <v>2049</v>
      </c>
      <c r="F613" t="s">
        <v>1927</v>
      </c>
      <c r="G613" t="s">
        <v>1616</v>
      </c>
      <c r="H613" t="s">
        <v>1860</v>
      </c>
      <c r="I613" t="s">
        <v>1618</v>
      </c>
      <c r="J613" t="s">
        <v>2518</v>
      </c>
      <c r="K613">
        <v>0.95356823000000002</v>
      </c>
      <c r="L613">
        <v>1355.97402306</v>
      </c>
      <c r="M613" s="1">
        <v>3</v>
      </c>
      <c r="N613">
        <v>0</v>
      </c>
      <c r="O613">
        <v>125</v>
      </c>
      <c r="P613">
        <v>1422</v>
      </c>
      <c r="Q613" s="1">
        <v>1297</v>
      </c>
      <c r="R613">
        <v>23.75</v>
      </c>
      <c r="S613" s="2">
        <v>46251</v>
      </c>
      <c r="T613" s="2">
        <v>46263</v>
      </c>
      <c r="U613">
        <v>2615</v>
      </c>
      <c r="V613">
        <v>2839</v>
      </c>
      <c r="W613">
        <v>2110</v>
      </c>
      <c r="X613">
        <v>2381</v>
      </c>
      <c r="Y613">
        <v>2110</v>
      </c>
      <c r="Z613" s="8">
        <v>2839</v>
      </c>
      <c r="AA613">
        <v>2486.25</v>
      </c>
      <c r="AB613">
        <v>0.84866767219708394</v>
      </c>
      <c r="AC613">
        <v>1.1418803418803418</v>
      </c>
      <c r="AD613" s="1">
        <v>13</v>
      </c>
      <c r="AE613" s="2">
        <v>46261</v>
      </c>
      <c r="AF613" s="2">
        <v>46269</v>
      </c>
      <c r="AG613" s="2">
        <v>46276</v>
      </c>
      <c r="AH613">
        <v>2089</v>
      </c>
      <c r="AI613" s="3">
        <v>0.76119566141550565</v>
      </c>
      <c r="AJ613" s="1">
        <v>18</v>
      </c>
      <c r="AK613" s="2">
        <v>46281</v>
      </c>
      <c r="AL613" s="4">
        <v>15</v>
      </c>
      <c r="AM613" s="5">
        <v>15</v>
      </c>
      <c r="AN613" s="4">
        <v>13</v>
      </c>
      <c r="AO613">
        <v>1080.5172413793102</v>
      </c>
      <c r="AP613" s="4">
        <v>2</v>
      </c>
      <c r="AQ613" t="s">
        <v>1619</v>
      </c>
      <c r="AR613" t="s">
        <v>2519</v>
      </c>
      <c r="AT613" s="16">
        <f>_xlfn.XLOOKUP(B613,'SWiSH Demand Forecast Sep-26'!D:D,'SWiSH Demand Forecast Sep-26'!G:G,"Not Exist")</f>
        <v>1536.1387029908201</v>
      </c>
    </row>
    <row r="614" spans="1:46" hidden="1" x14ac:dyDescent="0.3">
      <c r="A614">
        <v>100900010</v>
      </c>
      <c r="B614" t="s">
        <v>701</v>
      </c>
      <c r="C614" t="s">
        <v>10</v>
      </c>
      <c r="D614" t="s">
        <v>1613</v>
      </c>
      <c r="E614" t="s">
        <v>2520</v>
      </c>
      <c r="F614" t="s">
        <v>1639</v>
      </c>
      <c r="G614" t="s">
        <v>1616</v>
      </c>
      <c r="H614" t="s">
        <v>1640</v>
      </c>
      <c r="I614" t="s">
        <v>1618</v>
      </c>
      <c r="J614" t="s">
        <v>10</v>
      </c>
      <c r="K614">
        <v>0.16666666999999999</v>
      </c>
      <c r="L614">
        <v>52.000001039999994</v>
      </c>
      <c r="M614" s="1">
        <v>3</v>
      </c>
      <c r="N614">
        <v>0</v>
      </c>
      <c r="O614">
        <v>24</v>
      </c>
      <c r="P614">
        <v>312</v>
      </c>
      <c r="Q614" s="1">
        <v>288</v>
      </c>
      <c r="R614">
        <v>4</v>
      </c>
      <c r="S614" s="2">
        <v>46232</v>
      </c>
      <c r="T614" s="2">
        <v>46263</v>
      </c>
      <c r="U614">
        <v>552</v>
      </c>
      <c r="V614">
        <v>624</v>
      </c>
      <c r="W614">
        <v>432</v>
      </c>
      <c r="X614">
        <v>456</v>
      </c>
      <c r="Y614">
        <v>432</v>
      </c>
      <c r="Z614" s="8">
        <v>624</v>
      </c>
      <c r="AA614">
        <v>516</v>
      </c>
      <c r="AB614">
        <v>0.83720930232558144</v>
      </c>
      <c r="AC614">
        <v>1.2093023255813953</v>
      </c>
      <c r="AD614" s="1">
        <v>13</v>
      </c>
      <c r="AE614" s="2">
        <v>46261</v>
      </c>
      <c r="AF614" s="2">
        <v>46269</v>
      </c>
      <c r="AG614" s="2">
        <v>46276</v>
      </c>
      <c r="AH614">
        <v>383</v>
      </c>
      <c r="AI614" s="3">
        <v>0.63494694960212195</v>
      </c>
      <c r="AJ614" s="1">
        <v>21</v>
      </c>
      <c r="AK614" s="2">
        <v>46284</v>
      </c>
      <c r="AL614" s="4">
        <v>30</v>
      </c>
      <c r="AM614" s="5">
        <v>15</v>
      </c>
      <c r="AN614" s="4">
        <v>13</v>
      </c>
      <c r="AO614">
        <v>396.20689655172407</v>
      </c>
      <c r="AP614" s="4">
        <v>1</v>
      </c>
      <c r="AQ614" t="s">
        <v>1619</v>
      </c>
      <c r="AR614" t="s">
        <v>1620</v>
      </c>
      <c r="AT614" s="16">
        <f>_xlfn.XLOOKUP(B614,'SWiSH Demand Forecast Sep-26'!D:D,'SWiSH Demand Forecast Sep-26'!G:G,"Not Exist")</f>
        <v>619</v>
      </c>
    </row>
    <row r="615" spans="1:46" hidden="1" x14ac:dyDescent="0.3">
      <c r="A615">
        <v>100400140</v>
      </c>
      <c r="B615" t="s">
        <v>142</v>
      </c>
      <c r="C615" t="s">
        <v>10</v>
      </c>
      <c r="D615" t="s">
        <v>1613</v>
      </c>
      <c r="E615" t="s">
        <v>1638</v>
      </c>
      <c r="F615" t="s">
        <v>1664</v>
      </c>
      <c r="G615" t="s">
        <v>1624</v>
      </c>
      <c r="H615" t="s">
        <v>1810</v>
      </c>
      <c r="I615" t="s">
        <v>1634</v>
      </c>
      <c r="J615" t="s">
        <v>2113</v>
      </c>
      <c r="K615">
        <v>8.9999999999999993E-3</v>
      </c>
      <c r="L615">
        <v>81</v>
      </c>
      <c r="M615" s="1">
        <v>30</v>
      </c>
      <c r="N615">
        <v>0</v>
      </c>
      <c r="O615">
        <v>0</v>
      </c>
      <c r="P615">
        <v>9000</v>
      </c>
      <c r="Q615" s="1">
        <v>9000</v>
      </c>
      <c r="R615">
        <v>9</v>
      </c>
      <c r="S615" s="2">
        <v>46238</v>
      </c>
      <c r="T615" s="2">
        <v>46263</v>
      </c>
      <c r="U615">
        <v>18000</v>
      </c>
      <c r="V615">
        <v>16000</v>
      </c>
      <c r="W615">
        <v>14000</v>
      </c>
      <c r="X615">
        <v>20000</v>
      </c>
      <c r="Y615">
        <v>14000</v>
      </c>
      <c r="Z615" s="8">
        <v>20000</v>
      </c>
      <c r="AA615">
        <v>17000</v>
      </c>
      <c r="AB615">
        <v>0.82352941176470584</v>
      </c>
      <c r="AC615">
        <v>1.1764705882352942</v>
      </c>
      <c r="AD615" s="1">
        <v>13</v>
      </c>
      <c r="AE615" s="2">
        <v>46261</v>
      </c>
      <c r="AF615" s="2">
        <v>46269</v>
      </c>
      <c r="AG615" s="2">
        <v>46276</v>
      </c>
      <c r="AH615">
        <v>14000</v>
      </c>
      <c r="AI615" s="3">
        <v>0.72413793103448276</v>
      </c>
      <c r="AJ615" s="1">
        <v>18</v>
      </c>
      <c r="AK615" s="2">
        <v>46281</v>
      </c>
      <c r="AL615" s="4">
        <v>30</v>
      </c>
      <c r="AM615" s="5">
        <v>15</v>
      </c>
      <c r="AN615" s="4">
        <v>13</v>
      </c>
      <c r="AO615">
        <v>14482.758620689656</v>
      </c>
      <c r="AP615" s="4">
        <v>1</v>
      </c>
      <c r="AQ615">
        <v>155.1</v>
      </c>
      <c r="AR615" t="s">
        <v>2521</v>
      </c>
      <c r="AT615" s="16">
        <f>_xlfn.XLOOKUP(B615,'SWiSH Demand Forecast Sep-26'!D:D,'SWiSH Demand Forecast Sep-26'!G:G,"Not Exist")</f>
        <v>13294</v>
      </c>
    </row>
    <row r="616" spans="1:46" x14ac:dyDescent="0.3">
      <c r="A616">
        <v>101500007</v>
      </c>
      <c r="B616" t="s">
        <v>2522</v>
      </c>
      <c r="C616" t="s">
        <v>10</v>
      </c>
      <c r="D616" t="s">
        <v>1613</v>
      </c>
      <c r="E616" t="s">
        <v>2523</v>
      </c>
      <c r="F616" t="s">
        <v>1644</v>
      </c>
      <c r="G616" t="s">
        <v>1624</v>
      </c>
      <c r="H616" t="s">
        <v>1647</v>
      </c>
      <c r="I616" t="s">
        <v>1634</v>
      </c>
      <c r="J616" t="s">
        <v>10</v>
      </c>
      <c r="K616">
        <v>2</v>
      </c>
      <c r="L616">
        <v>36</v>
      </c>
      <c r="M616" s="1">
        <v>3</v>
      </c>
      <c r="N616">
        <v>0</v>
      </c>
      <c r="O616">
        <v>1</v>
      </c>
      <c r="P616">
        <v>18</v>
      </c>
      <c r="Q616" s="1">
        <v>17</v>
      </c>
      <c r="R616">
        <v>2</v>
      </c>
      <c r="S616" s="2">
        <v>46259</v>
      </c>
      <c r="T616" s="2">
        <v>46263</v>
      </c>
      <c r="U616">
        <v>33</v>
      </c>
      <c r="V616">
        <v>33</v>
      </c>
      <c r="W616">
        <v>25</v>
      </c>
      <c r="X616">
        <v>38</v>
      </c>
      <c r="Y616">
        <v>25</v>
      </c>
      <c r="Z616" s="8">
        <v>38</v>
      </c>
      <c r="AA616">
        <v>32.25</v>
      </c>
      <c r="AB616">
        <v>0.77519379844961245</v>
      </c>
      <c r="AC616">
        <v>1.1782945736434109</v>
      </c>
      <c r="AD616" s="1">
        <v>13</v>
      </c>
      <c r="AE616" s="2">
        <v>46261</v>
      </c>
      <c r="AF616" s="2">
        <v>46269</v>
      </c>
      <c r="AG616" s="2">
        <v>46276</v>
      </c>
      <c r="AH616">
        <v>35</v>
      </c>
      <c r="AI616" s="3">
        <v>0.95281306715063518</v>
      </c>
      <c r="AJ616" s="1">
        <v>14</v>
      </c>
      <c r="AK616" s="2">
        <v>46277</v>
      </c>
      <c r="AL616" s="4">
        <v>30</v>
      </c>
      <c r="AM616" s="5">
        <v>15</v>
      </c>
      <c r="AN616" s="4">
        <v>13</v>
      </c>
      <c r="AO616">
        <v>36.206896551724135</v>
      </c>
      <c r="AP616" s="4">
        <v>1</v>
      </c>
      <c r="AQ616" t="s">
        <v>1619</v>
      </c>
      <c r="AR616" t="s">
        <v>1620</v>
      </c>
      <c r="AT616" s="16" t="str">
        <f>_xlfn.XLOOKUP(B616,'SWiSH Demand Forecast Sep-26'!D:D,'SWiSH Demand Forecast Sep-26'!G:G,"Not Exist")</f>
        <v>Not Exist</v>
      </c>
    </row>
    <row r="617" spans="1:46" x14ac:dyDescent="0.3">
      <c r="A617">
        <v>106200112</v>
      </c>
      <c r="B617" t="s">
        <v>2524</v>
      </c>
      <c r="C617" t="s">
        <v>240</v>
      </c>
      <c r="D617" t="s">
        <v>1613</v>
      </c>
      <c r="E617" t="s">
        <v>1832</v>
      </c>
      <c r="F617" t="s">
        <v>1671</v>
      </c>
      <c r="G617" t="s">
        <v>1616</v>
      </c>
      <c r="H617" t="s">
        <v>1672</v>
      </c>
      <c r="I617" t="s">
        <v>1618</v>
      </c>
      <c r="J617" t="s">
        <v>2525</v>
      </c>
      <c r="K617">
        <v>1.9</v>
      </c>
      <c r="L617">
        <v>45.599999999999994</v>
      </c>
      <c r="M617" s="1">
        <v>3</v>
      </c>
      <c r="N617">
        <v>0</v>
      </c>
      <c r="O617">
        <v>0</v>
      </c>
      <c r="P617">
        <v>24</v>
      </c>
      <c r="Q617" s="1">
        <v>24</v>
      </c>
      <c r="R617">
        <v>22.25</v>
      </c>
      <c r="S617" s="2">
        <v>46263</v>
      </c>
      <c r="T617" s="2">
        <v>46263</v>
      </c>
      <c r="U617">
        <v>38</v>
      </c>
      <c r="V617">
        <v>49</v>
      </c>
      <c r="W617">
        <v>27</v>
      </c>
      <c r="X617">
        <v>21</v>
      </c>
      <c r="Y617">
        <v>21</v>
      </c>
      <c r="Z617" s="8">
        <v>49</v>
      </c>
      <c r="AA617">
        <v>33.75</v>
      </c>
      <c r="AB617">
        <v>0.62222222222222223</v>
      </c>
      <c r="AC617">
        <v>1.4518518518518519</v>
      </c>
      <c r="AD617" s="1">
        <v>14</v>
      </c>
      <c r="AE617" s="2">
        <v>46262</v>
      </c>
      <c r="AF617" s="2">
        <v>46270</v>
      </c>
      <c r="AG617" s="2">
        <v>46277</v>
      </c>
      <c r="AH617">
        <v>11.25</v>
      </c>
      <c r="AI617" s="3">
        <v>0.23750879662209709</v>
      </c>
      <c r="AJ617" s="1">
        <v>61</v>
      </c>
      <c r="AK617" s="2">
        <v>46324</v>
      </c>
      <c r="AL617" s="4">
        <v>30</v>
      </c>
      <c r="AM617" s="5">
        <v>15</v>
      </c>
      <c r="AN617" s="4">
        <v>14</v>
      </c>
      <c r="AO617">
        <v>11.637931034482758</v>
      </c>
      <c r="AP617" s="4">
        <v>1</v>
      </c>
      <c r="AQ617">
        <v>2</v>
      </c>
      <c r="AR617" t="s">
        <v>2366</v>
      </c>
      <c r="AT617" s="16" t="str">
        <f>_xlfn.XLOOKUP(B617,'SWiSH Demand Forecast Sep-26'!D:D,'SWiSH Demand Forecast Sep-26'!G:G,"Not Exist")</f>
        <v>Not Exist</v>
      </c>
    </row>
    <row r="618" spans="1:46" hidden="1" x14ac:dyDescent="0.3">
      <c r="A618">
        <v>105000028</v>
      </c>
      <c r="B618" t="s">
        <v>959</v>
      </c>
      <c r="C618" t="s">
        <v>240</v>
      </c>
      <c r="D618" t="s">
        <v>1613</v>
      </c>
      <c r="E618" t="s">
        <v>1940</v>
      </c>
      <c r="F618" t="s">
        <v>1671</v>
      </c>
      <c r="G618" t="s">
        <v>1624</v>
      </c>
      <c r="H618" t="s">
        <v>2002</v>
      </c>
      <c r="I618" t="s">
        <v>1618</v>
      </c>
      <c r="J618" t="s">
        <v>240</v>
      </c>
      <c r="K618">
        <v>0.76364074000000004</v>
      </c>
      <c r="L618">
        <v>198.54659240000001</v>
      </c>
      <c r="M618" s="1">
        <v>3</v>
      </c>
      <c r="N618">
        <v>0</v>
      </c>
      <c r="O618">
        <v>0</v>
      </c>
      <c r="P618">
        <v>260</v>
      </c>
      <c r="Q618" s="1">
        <v>260</v>
      </c>
      <c r="R618">
        <v>9.9</v>
      </c>
      <c r="S618" s="2">
        <v>46247</v>
      </c>
      <c r="T618" s="2">
        <v>46260</v>
      </c>
      <c r="U618">
        <v>522</v>
      </c>
      <c r="V618">
        <v>414</v>
      </c>
      <c r="W618">
        <v>504</v>
      </c>
      <c r="X618">
        <v>501</v>
      </c>
      <c r="Y618">
        <v>414</v>
      </c>
      <c r="Z618" s="8">
        <v>522</v>
      </c>
      <c r="AA618">
        <v>485.25</v>
      </c>
      <c r="AB618">
        <v>0.85316846986089645</v>
      </c>
      <c r="AC618">
        <v>1.0757341576506956</v>
      </c>
      <c r="AD618" s="1">
        <v>14</v>
      </c>
      <c r="AE618" s="2">
        <v>46262</v>
      </c>
      <c r="AF618" s="2">
        <v>46270</v>
      </c>
      <c r="AG618" s="2">
        <v>46277</v>
      </c>
      <c r="AH618">
        <v>260</v>
      </c>
      <c r="AI618" s="3">
        <v>0.51525961157352351</v>
      </c>
      <c r="AJ618" s="1">
        <v>29</v>
      </c>
      <c r="AK618" s="2">
        <v>46292</v>
      </c>
      <c r="AL618" s="4">
        <v>30</v>
      </c>
      <c r="AM618" s="5">
        <v>15</v>
      </c>
      <c r="AN618" s="4">
        <v>14</v>
      </c>
      <c r="AO618">
        <v>268.96551724137925</v>
      </c>
      <c r="AP618" s="4">
        <v>1</v>
      </c>
      <c r="AQ618" t="s">
        <v>1619</v>
      </c>
      <c r="AR618" t="s">
        <v>1620</v>
      </c>
      <c r="AT618" s="16">
        <f>_xlfn.XLOOKUP(B618,'SWiSH Demand Forecast Sep-26'!D:D,'SWiSH Demand Forecast Sep-26'!G:G,"Not Exist")</f>
        <v>186.55920041379301</v>
      </c>
    </row>
    <row r="619" spans="1:46" x14ac:dyDescent="0.3">
      <c r="A619">
        <v>106600039</v>
      </c>
      <c r="B619" t="s">
        <v>2526</v>
      </c>
      <c r="C619" t="s">
        <v>10</v>
      </c>
      <c r="D619" t="s">
        <v>1699</v>
      </c>
      <c r="E619" t="s">
        <v>1685</v>
      </c>
      <c r="F619" t="s">
        <v>1664</v>
      </c>
      <c r="G619" t="s">
        <v>1624</v>
      </c>
      <c r="H619" t="s">
        <v>1723</v>
      </c>
      <c r="I619" t="s">
        <v>1634</v>
      </c>
      <c r="J619" t="s">
        <v>10</v>
      </c>
      <c r="K619">
        <v>5.0000000000000001E-3</v>
      </c>
      <c r="L619">
        <v>12.5</v>
      </c>
      <c r="M619" s="1">
        <v>15</v>
      </c>
      <c r="N619">
        <v>0</v>
      </c>
      <c r="O619">
        <v>0</v>
      </c>
      <c r="P619">
        <v>2500</v>
      </c>
      <c r="Q619" s="1">
        <v>2500</v>
      </c>
      <c r="R619">
        <v>7.0000000000000001E-3</v>
      </c>
      <c r="S619" s="2">
        <v>46239</v>
      </c>
      <c r="T619" s="2">
        <v>46205</v>
      </c>
      <c r="U619">
        <v>900</v>
      </c>
      <c r="V619">
        <v>5100</v>
      </c>
      <c r="W619">
        <v>0</v>
      </c>
      <c r="X619">
        <v>0</v>
      </c>
      <c r="Y619">
        <v>0</v>
      </c>
      <c r="Z619" s="8">
        <v>5100</v>
      </c>
      <c r="AA619">
        <v>1500</v>
      </c>
      <c r="AB619">
        <v>0</v>
      </c>
      <c r="AC619">
        <v>3.4</v>
      </c>
      <c r="AD619" s="1">
        <v>14</v>
      </c>
      <c r="AE619" s="2">
        <v>46262</v>
      </c>
      <c r="AF619" s="2">
        <v>46270</v>
      </c>
      <c r="AG619" s="2">
        <v>46277</v>
      </c>
      <c r="AH619">
        <v>0</v>
      </c>
      <c r="AI619" s="3">
        <v>0</v>
      </c>
      <c r="AJ619" s="1" t="s">
        <v>1635</v>
      </c>
      <c r="AK619" s="2" t="s">
        <v>1635</v>
      </c>
      <c r="AL619" s="4" t="s">
        <v>1658</v>
      </c>
      <c r="AM619" s="5" t="s">
        <v>1658</v>
      </c>
      <c r="AN619" s="4">
        <v>14</v>
      </c>
      <c r="AO619" t="s">
        <v>1635</v>
      </c>
      <c r="AP619" s="4" t="s">
        <v>1658</v>
      </c>
      <c r="AQ619">
        <v>47500</v>
      </c>
      <c r="AR619" t="s">
        <v>2032</v>
      </c>
      <c r="AT619" s="16" t="str">
        <f>_xlfn.XLOOKUP(B619,'SWiSH Demand Forecast Sep-26'!D:D,'SWiSH Demand Forecast Sep-26'!G:G,"Not Exist")</f>
        <v>Not Exist</v>
      </c>
    </row>
    <row r="620" spans="1:46" x14ac:dyDescent="0.3">
      <c r="A620">
        <v>106700090</v>
      </c>
      <c r="B620" t="s">
        <v>2527</v>
      </c>
      <c r="C620" t="s">
        <v>10</v>
      </c>
      <c r="D620" t="s">
        <v>1613</v>
      </c>
      <c r="E620" t="s">
        <v>2528</v>
      </c>
      <c r="F620" t="s">
        <v>1650</v>
      </c>
      <c r="G620" t="s">
        <v>1624</v>
      </c>
      <c r="H620" t="s">
        <v>1651</v>
      </c>
      <c r="I620" t="s">
        <v>1634</v>
      </c>
      <c r="J620" t="s">
        <v>10</v>
      </c>
      <c r="K620">
        <v>0.75</v>
      </c>
      <c r="L620">
        <v>14.25</v>
      </c>
      <c r="M620" s="1">
        <v>3</v>
      </c>
      <c r="N620">
        <v>0</v>
      </c>
      <c r="O620">
        <v>0</v>
      </c>
      <c r="P620">
        <v>19</v>
      </c>
      <c r="Q620" s="1">
        <v>19</v>
      </c>
      <c r="R620">
        <v>0.75</v>
      </c>
      <c r="S620" s="2">
        <v>46258</v>
      </c>
      <c r="T620" s="2">
        <v>46260</v>
      </c>
      <c r="U620">
        <v>27</v>
      </c>
      <c r="V620">
        <v>39</v>
      </c>
      <c r="W620">
        <v>29</v>
      </c>
      <c r="X620">
        <v>27</v>
      </c>
      <c r="Y620">
        <v>27</v>
      </c>
      <c r="Z620" s="8">
        <v>39</v>
      </c>
      <c r="AA620">
        <v>30.5</v>
      </c>
      <c r="AB620">
        <v>0.88524590163934425</v>
      </c>
      <c r="AC620">
        <v>1.278688524590164</v>
      </c>
      <c r="AD620" s="1">
        <v>14</v>
      </c>
      <c r="AE620" s="2">
        <v>46262</v>
      </c>
      <c r="AF620" s="2">
        <v>46270</v>
      </c>
      <c r="AG620" s="2">
        <v>46277</v>
      </c>
      <c r="AH620">
        <v>15</v>
      </c>
      <c r="AI620" s="3">
        <v>0.39787798408488062</v>
      </c>
      <c r="AJ620" s="1">
        <v>36</v>
      </c>
      <c r="AK620" s="2">
        <v>46299</v>
      </c>
      <c r="AL620" s="4">
        <v>30</v>
      </c>
      <c r="AM620" s="5">
        <v>15</v>
      </c>
      <c r="AN620" s="4">
        <v>14</v>
      </c>
      <c r="AO620">
        <v>15.517241379310343</v>
      </c>
      <c r="AP620" s="4">
        <v>1</v>
      </c>
      <c r="AQ620" t="s">
        <v>1619</v>
      </c>
      <c r="AR620" t="s">
        <v>1620</v>
      </c>
      <c r="AT620" s="16" t="str">
        <f>_xlfn.XLOOKUP(B620,'SWiSH Demand Forecast Sep-26'!D:D,'SWiSH Demand Forecast Sep-26'!G:G,"Not Exist")</f>
        <v>Not Exist</v>
      </c>
    </row>
    <row r="621" spans="1:46" hidden="1" x14ac:dyDescent="0.3">
      <c r="A621">
        <v>103700086</v>
      </c>
      <c r="B621" t="s">
        <v>1245</v>
      </c>
      <c r="C621" t="s">
        <v>136</v>
      </c>
      <c r="D621" t="s">
        <v>1613</v>
      </c>
      <c r="E621" t="s">
        <v>1677</v>
      </c>
      <c r="F621" t="s">
        <v>1615</v>
      </c>
      <c r="G621" t="s">
        <v>1616</v>
      </c>
      <c r="H621" t="s">
        <v>1617</v>
      </c>
      <c r="I621" t="s">
        <v>1618</v>
      </c>
      <c r="J621" t="s">
        <v>2529</v>
      </c>
      <c r="K621">
        <v>3.2329961900000002</v>
      </c>
      <c r="L621">
        <v>221.60249084736</v>
      </c>
      <c r="M621" s="1">
        <v>3</v>
      </c>
      <c r="N621">
        <v>0</v>
      </c>
      <c r="O621">
        <v>0</v>
      </c>
      <c r="P621">
        <v>68.543999999999997</v>
      </c>
      <c r="Q621" s="1">
        <v>68.543999999999997</v>
      </c>
      <c r="R621">
        <v>2.64167</v>
      </c>
      <c r="S621" s="2">
        <v>46240</v>
      </c>
      <c r="T621" s="2">
        <v>46258</v>
      </c>
      <c r="U621">
        <v>146.88</v>
      </c>
      <c r="V621">
        <v>117.504</v>
      </c>
      <c r="W621">
        <v>97.92</v>
      </c>
      <c r="X621">
        <v>79.968000000000004</v>
      </c>
      <c r="Y621">
        <v>79.968000000000004</v>
      </c>
      <c r="Z621" s="8">
        <v>146.88</v>
      </c>
      <c r="AA621">
        <v>110.56800000000001</v>
      </c>
      <c r="AB621">
        <v>0.7232472324723247</v>
      </c>
      <c r="AC621">
        <v>1.3284132841328411</v>
      </c>
      <c r="AD621" s="1">
        <v>14</v>
      </c>
      <c r="AE621" s="2">
        <v>46262</v>
      </c>
      <c r="AF621" s="2">
        <v>46270</v>
      </c>
      <c r="AG621" s="2">
        <v>46277</v>
      </c>
      <c r="AH621">
        <v>97.92</v>
      </c>
      <c r="AI621" s="3">
        <v>0.68965517241379315</v>
      </c>
      <c r="AJ621" s="1">
        <v>20</v>
      </c>
      <c r="AK621" s="2">
        <v>46283</v>
      </c>
      <c r="AL621" s="4">
        <v>30</v>
      </c>
      <c r="AM621" s="5">
        <v>15</v>
      </c>
      <c r="AN621" s="4">
        <v>14</v>
      </c>
      <c r="AO621">
        <v>101.29655172413794</v>
      </c>
      <c r="AP621" s="4">
        <v>1</v>
      </c>
      <c r="AQ621" t="s">
        <v>1619</v>
      </c>
      <c r="AR621" t="s">
        <v>1620</v>
      </c>
      <c r="AT621" s="16">
        <f>_xlfn.XLOOKUP(B621,'SWiSH Demand Forecast Sep-26'!D:D,'SWiSH Demand Forecast Sep-26'!G:G,"Not Exist")</f>
        <v>43.457162022630797</v>
      </c>
    </row>
    <row r="622" spans="1:46" x14ac:dyDescent="0.3">
      <c r="A622">
        <v>105600052</v>
      </c>
      <c r="B622" t="s">
        <v>2530</v>
      </c>
      <c r="C622" t="s">
        <v>136</v>
      </c>
      <c r="D622" t="s">
        <v>1613</v>
      </c>
      <c r="E622" t="s">
        <v>2531</v>
      </c>
      <c r="F622" t="s">
        <v>1631</v>
      </c>
      <c r="G622" t="s">
        <v>1624</v>
      </c>
      <c r="H622" t="s">
        <v>1679</v>
      </c>
      <c r="I622" t="s">
        <v>1634</v>
      </c>
      <c r="J622" t="s">
        <v>136</v>
      </c>
      <c r="K622">
        <v>0.5</v>
      </c>
      <c r="L622">
        <v>200</v>
      </c>
      <c r="M622" s="1">
        <v>30</v>
      </c>
      <c r="N622">
        <v>0</v>
      </c>
      <c r="O622">
        <v>0</v>
      </c>
      <c r="P622">
        <v>400</v>
      </c>
      <c r="Q622" s="1">
        <v>400</v>
      </c>
      <c r="R622">
        <v>0.6</v>
      </c>
      <c r="S622" s="2">
        <v>46253</v>
      </c>
      <c r="T622" s="2">
        <v>46259</v>
      </c>
      <c r="U622">
        <v>825</v>
      </c>
      <c r="V622">
        <v>700</v>
      </c>
      <c r="W622">
        <v>725</v>
      </c>
      <c r="X622">
        <v>615</v>
      </c>
      <c r="Y622">
        <v>615</v>
      </c>
      <c r="Z622" s="8">
        <v>825</v>
      </c>
      <c r="AA622">
        <v>716.25</v>
      </c>
      <c r="AB622">
        <v>0.8586387434554974</v>
      </c>
      <c r="AC622">
        <v>1.1518324607329844</v>
      </c>
      <c r="AD622" s="1">
        <v>14</v>
      </c>
      <c r="AE622" s="2">
        <v>46262</v>
      </c>
      <c r="AF622" s="2">
        <v>46270</v>
      </c>
      <c r="AG622" s="2">
        <v>46277</v>
      </c>
      <c r="AH622">
        <v>600</v>
      </c>
      <c r="AI622" s="3">
        <v>0.75235109717868343</v>
      </c>
      <c r="AJ622" s="1">
        <v>19</v>
      </c>
      <c r="AK622" s="2">
        <v>46282</v>
      </c>
      <c r="AL622" s="4">
        <v>30</v>
      </c>
      <c r="AM622" s="5">
        <v>15</v>
      </c>
      <c r="AN622" s="4">
        <v>14</v>
      </c>
      <c r="AO622">
        <v>620.68965517241384</v>
      </c>
      <c r="AP622" s="4">
        <v>1</v>
      </c>
      <c r="AQ622" t="s">
        <v>1619</v>
      </c>
      <c r="AR622" t="s">
        <v>1620</v>
      </c>
      <c r="AT622" s="16" t="str">
        <f>_xlfn.XLOOKUP(B622,'SWiSH Demand Forecast Sep-26'!D:D,'SWiSH Demand Forecast Sep-26'!G:G,"Not Exist")</f>
        <v>Not Exist</v>
      </c>
    </row>
    <row r="623" spans="1:46" hidden="1" x14ac:dyDescent="0.3">
      <c r="A623">
        <v>103400010</v>
      </c>
      <c r="B623" t="s">
        <v>987</v>
      </c>
      <c r="C623" t="s">
        <v>136</v>
      </c>
      <c r="D623" t="s">
        <v>1613</v>
      </c>
      <c r="E623" t="s">
        <v>2532</v>
      </c>
      <c r="F623" t="s">
        <v>1752</v>
      </c>
      <c r="G623" t="s">
        <v>1616</v>
      </c>
      <c r="H623" t="s">
        <v>1931</v>
      </c>
      <c r="I623" t="s">
        <v>1754</v>
      </c>
      <c r="J623" t="s">
        <v>136</v>
      </c>
      <c r="K623">
        <v>0.76633523000000003</v>
      </c>
      <c r="L623">
        <v>99.317045808000003</v>
      </c>
      <c r="M623" s="1">
        <v>3</v>
      </c>
      <c r="N623">
        <v>0</v>
      </c>
      <c r="O623">
        <v>5.4</v>
      </c>
      <c r="P623">
        <v>129.6</v>
      </c>
      <c r="Q623" s="1">
        <v>124.19999999999999</v>
      </c>
      <c r="R623">
        <v>5</v>
      </c>
      <c r="S623" s="2">
        <v>46212</v>
      </c>
      <c r="T623" s="2">
        <v>46262</v>
      </c>
      <c r="U623">
        <v>264.60000000000014</v>
      </c>
      <c r="V623">
        <v>226.80000000000015</v>
      </c>
      <c r="W623">
        <v>253.80000000000013</v>
      </c>
      <c r="X623">
        <v>151.20000000000007</v>
      </c>
      <c r="Y623">
        <v>151.20000000000007</v>
      </c>
      <c r="Z623" s="8">
        <v>264.60000000000014</v>
      </c>
      <c r="AA623">
        <v>224.10000000000014</v>
      </c>
      <c r="AB623">
        <v>0.67469879518072284</v>
      </c>
      <c r="AC623">
        <v>1.1807228915662649</v>
      </c>
      <c r="AD623" s="1">
        <v>14</v>
      </c>
      <c r="AE623" s="2">
        <v>46262</v>
      </c>
      <c r="AF623" s="2">
        <v>46270</v>
      </c>
      <c r="AG623" s="2">
        <v>46277</v>
      </c>
      <c r="AH623">
        <v>140.40000000000006</v>
      </c>
      <c r="AI623" s="3">
        <v>0.54890921885995769</v>
      </c>
      <c r="AJ623" s="1">
        <v>25</v>
      </c>
      <c r="AK623" s="2">
        <v>46288</v>
      </c>
      <c r="AL623" s="4">
        <v>15</v>
      </c>
      <c r="AM623" s="5">
        <v>15</v>
      </c>
      <c r="AN623" s="4">
        <v>14</v>
      </c>
      <c r="AO623">
        <v>72.620689655172441</v>
      </c>
      <c r="AP623" s="4">
        <v>2</v>
      </c>
      <c r="AQ623" t="s">
        <v>1619</v>
      </c>
      <c r="AR623" t="s">
        <v>1620</v>
      </c>
      <c r="AT623" s="16">
        <f>_xlfn.XLOOKUP(B623,'SWiSH Demand Forecast Sep-26'!D:D,'SWiSH Demand Forecast Sep-26'!G:G,"Not Exist")</f>
        <v>158.148</v>
      </c>
    </row>
    <row r="624" spans="1:46" hidden="1" x14ac:dyDescent="0.3">
      <c r="A624">
        <v>103700064</v>
      </c>
      <c r="B624" t="s">
        <v>1160</v>
      </c>
      <c r="C624" t="s">
        <v>136</v>
      </c>
      <c r="D624" t="s">
        <v>1613</v>
      </c>
      <c r="E624" t="s">
        <v>2458</v>
      </c>
      <c r="F624" t="s">
        <v>1615</v>
      </c>
      <c r="G624" t="s">
        <v>1616</v>
      </c>
      <c r="H624" t="s">
        <v>1617</v>
      </c>
      <c r="I624" t="s">
        <v>1618</v>
      </c>
      <c r="J624" t="s">
        <v>136</v>
      </c>
      <c r="K624">
        <v>1.6297255799999999</v>
      </c>
      <c r="L624">
        <v>288.46142765999997</v>
      </c>
      <c r="M624" s="1">
        <v>3</v>
      </c>
      <c r="N624">
        <v>0</v>
      </c>
      <c r="O624">
        <v>0</v>
      </c>
      <c r="P624">
        <v>177</v>
      </c>
      <c r="Q624" s="1">
        <v>177</v>
      </c>
      <c r="R624">
        <v>1.75</v>
      </c>
      <c r="S624" s="2">
        <v>46250</v>
      </c>
      <c r="T624" s="2">
        <v>46261</v>
      </c>
      <c r="U624">
        <v>356</v>
      </c>
      <c r="V624">
        <v>327.5</v>
      </c>
      <c r="W624">
        <v>354.5</v>
      </c>
      <c r="X624">
        <v>321.5</v>
      </c>
      <c r="Y624">
        <v>321.5</v>
      </c>
      <c r="Z624" s="8">
        <v>356</v>
      </c>
      <c r="AA624">
        <v>339.875</v>
      </c>
      <c r="AB624">
        <v>0.94593600588451632</v>
      </c>
      <c r="AC624">
        <v>1.0474439132033837</v>
      </c>
      <c r="AD624" s="1">
        <v>14</v>
      </c>
      <c r="AE624" s="2">
        <v>46262</v>
      </c>
      <c r="AF624" s="2">
        <v>46270</v>
      </c>
      <c r="AG624" s="2">
        <v>46277</v>
      </c>
      <c r="AH624">
        <v>311</v>
      </c>
      <c r="AI624" s="3">
        <v>0.90371948857032158</v>
      </c>
      <c r="AJ624" s="1">
        <v>16</v>
      </c>
      <c r="AK624" s="2">
        <v>46279</v>
      </c>
      <c r="AL624" s="4">
        <v>30</v>
      </c>
      <c r="AM624" s="5">
        <v>15</v>
      </c>
      <c r="AN624" s="4">
        <v>14</v>
      </c>
      <c r="AO624">
        <v>321.72413793103448</v>
      </c>
      <c r="AP624" s="4">
        <v>1</v>
      </c>
      <c r="AQ624" t="s">
        <v>1619</v>
      </c>
      <c r="AR624" t="s">
        <v>1620</v>
      </c>
      <c r="AT624" s="16">
        <f>_xlfn.XLOOKUP(B624,'SWiSH Demand Forecast Sep-26'!D:D,'SWiSH Demand Forecast Sep-26'!G:G,"Not Exist")</f>
        <v>75.495993477681495</v>
      </c>
    </row>
    <row r="625" spans="1:46" x14ac:dyDescent="0.3">
      <c r="A625">
        <v>103400035</v>
      </c>
      <c r="B625" t="s">
        <v>2533</v>
      </c>
      <c r="C625" t="s">
        <v>136</v>
      </c>
      <c r="D625" t="s">
        <v>1613</v>
      </c>
      <c r="E625" t="s">
        <v>2161</v>
      </c>
      <c r="F625" t="s">
        <v>1752</v>
      </c>
      <c r="G625" t="s">
        <v>1616</v>
      </c>
      <c r="H625" t="s">
        <v>1931</v>
      </c>
      <c r="I625" t="s">
        <v>1754</v>
      </c>
      <c r="J625" t="s">
        <v>2534</v>
      </c>
      <c r="K625">
        <v>1.4749300000000001</v>
      </c>
      <c r="L625">
        <v>294.98599999999999</v>
      </c>
      <c r="M625" s="1">
        <v>3</v>
      </c>
      <c r="N625">
        <v>0</v>
      </c>
      <c r="O625">
        <v>0</v>
      </c>
      <c r="P625">
        <v>200</v>
      </c>
      <c r="Q625" s="1">
        <v>200</v>
      </c>
      <c r="R625">
        <v>17.5</v>
      </c>
      <c r="S625" s="2">
        <v>46183</v>
      </c>
      <c r="T625" s="2">
        <v>46262</v>
      </c>
      <c r="U625">
        <v>318.65999999999985</v>
      </c>
      <c r="V625">
        <v>372.89999999999981</v>
      </c>
      <c r="W625">
        <v>417.38</v>
      </c>
      <c r="X625">
        <v>262.5</v>
      </c>
      <c r="Y625">
        <v>262.5</v>
      </c>
      <c r="Z625" s="8">
        <v>417.38</v>
      </c>
      <c r="AA625">
        <v>342.8599999999999</v>
      </c>
      <c r="AB625">
        <v>0.76561861984483481</v>
      </c>
      <c r="AC625">
        <v>1.2173481887650939</v>
      </c>
      <c r="AD625" s="1">
        <v>14</v>
      </c>
      <c r="AE625" s="2">
        <v>46262</v>
      </c>
      <c r="AF625" s="2">
        <v>46270</v>
      </c>
      <c r="AG625" s="2">
        <v>46277</v>
      </c>
      <c r="AH625">
        <v>150</v>
      </c>
      <c r="AI625" s="3">
        <v>0.37177731034813233</v>
      </c>
      <c r="AJ625" s="1">
        <v>38</v>
      </c>
      <c r="AK625" s="2">
        <v>46301</v>
      </c>
      <c r="AL625" s="4">
        <v>15</v>
      </c>
      <c r="AM625" s="5">
        <v>15</v>
      </c>
      <c r="AN625" s="4">
        <v>14</v>
      </c>
      <c r="AO625">
        <v>77.58620689655173</v>
      </c>
      <c r="AP625" s="4">
        <v>2</v>
      </c>
      <c r="AQ625" t="s">
        <v>1619</v>
      </c>
      <c r="AR625" t="s">
        <v>1620</v>
      </c>
      <c r="AT625" s="16" t="str">
        <f>_xlfn.XLOOKUP(B625,'SWiSH Demand Forecast Sep-26'!D:D,'SWiSH Demand Forecast Sep-26'!G:G,"Not Exist")</f>
        <v>Not Exist</v>
      </c>
    </row>
    <row r="626" spans="1:46" x14ac:dyDescent="0.3">
      <c r="A626">
        <v>101400048</v>
      </c>
      <c r="B626" t="s">
        <v>2535</v>
      </c>
      <c r="C626" t="s">
        <v>240</v>
      </c>
      <c r="D626" t="s">
        <v>1613</v>
      </c>
      <c r="E626" t="s">
        <v>2536</v>
      </c>
      <c r="F626" t="s">
        <v>1644</v>
      </c>
      <c r="G626" t="s">
        <v>1624</v>
      </c>
      <c r="H626" t="s">
        <v>1693</v>
      </c>
      <c r="I626" t="s">
        <v>1634</v>
      </c>
      <c r="J626" t="s">
        <v>2039</v>
      </c>
      <c r="K626">
        <v>0.76</v>
      </c>
      <c r="L626">
        <v>1128.5999999999999</v>
      </c>
      <c r="M626" s="1">
        <v>3</v>
      </c>
      <c r="N626">
        <v>0</v>
      </c>
      <c r="O626">
        <v>35</v>
      </c>
      <c r="P626">
        <v>1485</v>
      </c>
      <c r="Q626" s="1">
        <v>1450</v>
      </c>
      <c r="R626">
        <v>15.2</v>
      </c>
      <c r="S626" s="2">
        <v>46257</v>
      </c>
      <c r="T626" s="2">
        <v>46263</v>
      </c>
      <c r="U626">
        <v>1255</v>
      </c>
      <c r="V626">
        <v>1330</v>
      </c>
      <c r="W626">
        <v>2055</v>
      </c>
      <c r="X626">
        <v>3075</v>
      </c>
      <c r="Y626">
        <v>1255</v>
      </c>
      <c r="Z626" s="8">
        <v>3075</v>
      </c>
      <c r="AA626">
        <v>1928.75</v>
      </c>
      <c r="AB626">
        <v>0.65068049254698634</v>
      </c>
      <c r="AC626">
        <v>1.5942968243681142</v>
      </c>
      <c r="AD626" s="1">
        <v>14</v>
      </c>
      <c r="AE626" s="2">
        <v>46262</v>
      </c>
      <c r="AF626" s="2">
        <v>46270</v>
      </c>
      <c r="AG626" s="2">
        <v>46277</v>
      </c>
      <c r="AH626">
        <v>2305</v>
      </c>
      <c r="AI626" s="3">
        <v>0.77544154751892347</v>
      </c>
      <c r="AJ626" s="1">
        <v>18</v>
      </c>
      <c r="AK626" s="2">
        <v>46281</v>
      </c>
      <c r="AL626" s="4">
        <v>10</v>
      </c>
      <c r="AM626" s="5">
        <v>10</v>
      </c>
      <c r="AN626" s="4">
        <v>14</v>
      </c>
      <c r="AO626">
        <v>794.82758620689651</v>
      </c>
      <c r="AP626" s="4">
        <v>3</v>
      </c>
      <c r="AQ626" t="s">
        <v>1619</v>
      </c>
      <c r="AR626" t="s">
        <v>1620</v>
      </c>
      <c r="AT626" s="16" t="str">
        <f>_xlfn.XLOOKUP(B626,'SWiSH Demand Forecast Sep-26'!D:D,'SWiSH Demand Forecast Sep-26'!G:G,"Not Exist")</f>
        <v>Not Exist</v>
      </c>
    </row>
    <row r="627" spans="1:46" hidden="1" x14ac:dyDescent="0.3">
      <c r="A627">
        <v>100300000</v>
      </c>
      <c r="B627" t="s">
        <v>925</v>
      </c>
      <c r="C627" t="s">
        <v>136</v>
      </c>
      <c r="D627" t="s">
        <v>1629</v>
      </c>
      <c r="E627" t="s">
        <v>2537</v>
      </c>
      <c r="F627" t="s">
        <v>1752</v>
      </c>
      <c r="G627" t="s">
        <v>1616</v>
      </c>
      <c r="H627" t="s">
        <v>2018</v>
      </c>
      <c r="I627" t="s">
        <v>1754</v>
      </c>
      <c r="J627" t="s">
        <v>136</v>
      </c>
      <c r="K627">
        <v>3.3291408200000001</v>
      </c>
      <c r="L627">
        <v>1797.7360428</v>
      </c>
      <c r="M627" s="1">
        <v>3</v>
      </c>
      <c r="N627">
        <v>0</v>
      </c>
      <c r="O627">
        <v>0</v>
      </c>
      <c r="P627">
        <v>540</v>
      </c>
      <c r="Q627" s="1">
        <v>540</v>
      </c>
      <c r="R627">
        <v>42</v>
      </c>
      <c r="S627" s="2">
        <v>46223</v>
      </c>
      <c r="T627" s="2">
        <v>46263</v>
      </c>
      <c r="U627">
        <v>1068</v>
      </c>
      <c r="V627">
        <v>1116</v>
      </c>
      <c r="W627">
        <v>1044</v>
      </c>
      <c r="X627">
        <v>824</v>
      </c>
      <c r="Y627">
        <v>824</v>
      </c>
      <c r="Z627" s="8">
        <v>1116</v>
      </c>
      <c r="AA627">
        <v>1013</v>
      </c>
      <c r="AB627">
        <v>0.81342546890424483</v>
      </c>
      <c r="AC627">
        <v>1.1016781836130305</v>
      </c>
      <c r="AD627" s="1">
        <v>14</v>
      </c>
      <c r="AE627" s="2">
        <v>46262</v>
      </c>
      <c r="AF627" s="2">
        <v>46270</v>
      </c>
      <c r="AG627" s="2">
        <v>46277</v>
      </c>
      <c r="AH627">
        <v>180</v>
      </c>
      <c r="AI627" s="3">
        <v>0.16685205784204671</v>
      </c>
      <c r="AJ627" s="1">
        <v>87</v>
      </c>
      <c r="AK627" s="2">
        <v>46350</v>
      </c>
      <c r="AL627" s="4" t="s">
        <v>1636</v>
      </c>
      <c r="AM627" s="5" t="s">
        <v>1636</v>
      </c>
      <c r="AN627" s="4">
        <v>14</v>
      </c>
      <c r="AO627" t="s">
        <v>1635</v>
      </c>
      <c r="AP627" s="4" t="s">
        <v>1636</v>
      </c>
      <c r="AQ627" t="s">
        <v>1619</v>
      </c>
      <c r="AR627" t="s">
        <v>1620</v>
      </c>
      <c r="AT627" s="16">
        <f>_xlfn.XLOOKUP(B627,'SWiSH Demand Forecast Sep-26'!D:D,'SWiSH Demand Forecast Sep-26'!G:G,"Not Exist")</f>
        <v>217.745</v>
      </c>
    </row>
    <row r="628" spans="1:46" hidden="1" x14ac:dyDescent="0.3">
      <c r="A628">
        <v>103100001</v>
      </c>
      <c r="B628" t="s">
        <v>91</v>
      </c>
      <c r="C628" t="s">
        <v>10</v>
      </c>
      <c r="D628" t="s">
        <v>1613</v>
      </c>
      <c r="E628" t="s">
        <v>2538</v>
      </c>
      <c r="F628" t="s">
        <v>1752</v>
      </c>
      <c r="G628" t="s">
        <v>1616</v>
      </c>
      <c r="H628" t="s">
        <v>1869</v>
      </c>
      <c r="I628" t="s">
        <v>1754</v>
      </c>
      <c r="J628" t="s">
        <v>2415</v>
      </c>
      <c r="K628">
        <v>7.6388890000000001E-2</v>
      </c>
      <c r="L628">
        <v>1155.0000167999999</v>
      </c>
      <c r="M628" s="1">
        <v>3</v>
      </c>
      <c r="N628">
        <v>0</v>
      </c>
      <c r="O628">
        <v>1350</v>
      </c>
      <c r="P628">
        <v>15120</v>
      </c>
      <c r="Q628" s="1">
        <v>13770</v>
      </c>
      <c r="R628">
        <v>6.875</v>
      </c>
      <c r="S628" s="2">
        <v>46260</v>
      </c>
      <c r="T628" s="2">
        <v>46263</v>
      </c>
      <c r="U628">
        <v>28626</v>
      </c>
      <c r="V628">
        <v>21144</v>
      </c>
      <c r="W628">
        <v>25470</v>
      </c>
      <c r="X628">
        <v>29250</v>
      </c>
      <c r="Y628">
        <v>21144</v>
      </c>
      <c r="Z628" s="8">
        <v>29250</v>
      </c>
      <c r="AA628">
        <v>26122.5</v>
      </c>
      <c r="AB628">
        <v>0.80941716910709161</v>
      </c>
      <c r="AC628">
        <v>1.119724375538329</v>
      </c>
      <c r="AD628" s="1">
        <v>14</v>
      </c>
      <c r="AE628" s="2">
        <v>46262</v>
      </c>
      <c r="AF628" s="2">
        <v>46270</v>
      </c>
      <c r="AG628" s="2">
        <v>46277</v>
      </c>
      <c r="AH628">
        <v>29700</v>
      </c>
      <c r="AI628" s="3">
        <v>1.0503978779840848</v>
      </c>
      <c r="AJ628" s="1">
        <v>13</v>
      </c>
      <c r="AK628" s="2">
        <v>46276</v>
      </c>
      <c r="AL628" s="4">
        <v>4</v>
      </c>
      <c r="AM628" s="5">
        <v>3</v>
      </c>
      <c r="AN628" s="4">
        <v>13</v>
      </c>
      <c r="AO628">
        <v>4096.5517241379303</v>
      </c>
      <c r="AP628" s="4">
        <v>9</v>
      </c>
      <c r="AQ628" t="s">
        <v>1619</v>
      </c>
      <c r="AR628" t="s">
        <v>2416</v>
      </c>
      <c r="AT628" s="16">
        <f>_xlfn.XLOOKUP(B628,'SWiSH Demand Forecast Sep-26'!D:D,'SWiSH Demand Forecast Sep-26'!G:G,"Not Exist")</f>
        <v>22107</v>
      </c>
    </row>
    <row r="629" spans="1:46" x14ac:dyDescent="0.3">
      <c r="A629">
        <v>106800375</v>
      </c>
      <c r="B629" t="s">
        <v>2539</v>
      </c>
      <c r="C629" t="s">
        <v>10</v>
      </c>
      <c r="D629" t="s">
        <v>1613</v>
      </c>
      <c r="E629" t="s">
        <v>1701</v>
      </c>
      <c r="F629" t="s">
        <v>1664</v>
      </c>
      <c r="G629" t="s">
        <v>1624</v>
      </c>
      <c r="H629" t="s">
        <v>1665</v>
      </c>
      <c r="I629" t="s">
        <v>1634</v>
      </c>
      <c r="J629" t="s">
        <v>10</v>
      </c>
      <c r="K629">
        <v>8.0000000000000002E-3</v>
      </c>
      <c r="L629">
        <v>56</v>
      </c>
      <c r="M629" s="1">
        <v>7</v>
      </c>
      <c r="N629">
        <v>0</v>
      </c>
      <c r="O629">
        <v>0</v>
      </c>
      <c r="P629">
        <v>7000</v>
      </c>
      <c r="Q629" s="1">
        <v>7000</v>
      </c>
      <c r="R629">
        <v>8.0000000000000002E-3</v>
      </c>
      <c r="S629" s="2">
        <v>46244</v>
      </c>
      <c r="T629" s="2">
        <v>46261</v>
      </c>
      <c r="U629">
        <v>0</v>
      </c>
      <c r="V629">
        <v>0</v>
      </c>
      <c r="W629">
        <v>15000</v>
      </c>
      <c r="X629">
        <v>11000</v>
      </c>
      <c r="Y629">
        <v>0</v>
      </c>
      <c r="Z629" s="8">
        <v>15000</v>
      </c>
      <c r="AA629">
        <v>6500</v>
      </c>
      <c r="AB629">
        <v>0</v>
      </c>
      <c r="AC629">
        <v>2.3076923076923075</v>
      </c>
      <c r="AD629" s="1">
        <v>14</v>
      </c>
      <c r="AE629" s="2">
        <v>46262</v>
      </c>
      <c r="AF629" s="2">
        <v>46270</v>
      </c>
      <c r="AG629" s="2">
        <v>46277</v>
      </c>
      <c r="AH629">
        <v>17000</v>
      </c>
      <c r="AI629" s="3">
        <v>1.1724137931034484</v>
      </c>
      <c r="AJ629" s="1">
        <v>11</v>
      </c>
      <c r="AK629" s="2">
        <v>46274</v>
      </c>
      <c r="AL629" s="4">
        <v>30</v>
      </c>
      <c r="AM629" s="5">
        <v>15</v>
      </c>
      <c r="AN629" s="4">
        <v>11</v>
      </c>
      <c r="AO629">
        <v>17586.206896551725</v>
      </c>
      <c r="AP629" s="4">
        <v>1</v>
      </c>
      <c r="AQ629">
        <v>15000</v>
      </c>
      <c r="AR629" t="s">
        <v>2215</v>
      </c>
      <c r="AT629" s="16" t="str">
        <f>_xlfn.XLOOKUP(B629,'SWiSH Demand Forecast Sep-26'!D:D,'SWiSH Demand Forecast Sep-26'!G:G,"Not Exist")</f>
        <v>Not Exist</v>
      </c>
    </row>
    <row r="630" spans="1:46" hidden="1" x14ac:dyDescent="0.3">
      <c r="A630">
        <v>106200118</v>
      </c>
      <c r="B630" t="s">
        <v>956</v>
      </c>
      <c r="C630" t="s">
        <v>240</v>
      </c>
      <c r="D630" t="s">
        <v>1613</v>
      </c>
      <c r="E630" t="s">
        <v>1732</v>
      </c>
      <c r="F630" t="s">
        <v>1671</v>
      </c>
      <c r="G630" t="s">
        <v>1616</v>
      </c>
      <c r="H630" t="s">
        <v>1672</v>
      </c>
      <c r="I630" t="s">
        <v>1618</v>
      </c>
      <c r="J630" t="s">
        <v>2540</v>
      </c>
      <c r="K630">
        <v>2.6124822299999999</v>
      </c>
      <c r="L630">
        <v>1211.9435689081499</v>
      </c>
      <c r="M630" s="1">
        <v>3</v>
      </c>
      <c r="N630">
        <v>0</v>
      </c>
      <c r="O630">
        <v>0</v>
      </c>
      <c r="P630">
        <v>463.90499999999997</v>
      </c>
      <c r="Q630" s="1">
        <v>463.90499999999997</v>
      </c>
      <c r="R630">
        <v>26.5</v>
      </c>
      <c r="S630" s="2">
        <v>46258</v>
      </c>
      <c r="T630" s="2">
        <v>46263</v>
      </c>
      <c r="U630">
        <v>966.03100000000018</v>
      </c>
      <c r="V630">
        <v>943.67</v>
      </c>
      <c r="W630">
        <v>916.70799999999997</v>
      </c>
      <c r="X630">
        <v>965.66800000000023</v>
      </c>
      <c r="Y630">
        <v>916.70799999999997</v>
      </c>
      <c r="Z630" s="8">
        <v>966.03100000000018</v>
      </c>
      <c r="AA630">
        <v>948.01925000000006</v>
      </c>
      <c r="AB630">
        <v>0.96697192593926751</v>
      </c>
      <c r="AC630">
        <v>1.0189993504878727</v>
      </c>
      <c r="AD630" s="1">
        <v>14</v>
      </c>
      <c r="AE630" s="2">
        <v>46262</v>
      </c>
      <c r="AF630" s="2">
        <v>46270</v>
      </c>
      <c r="AG630" s="2">
        <v>46277</v>
      </c>
      <c r="AH630">
        <v>854.85400000000004</v>
      </c>
      <c r="AI630" s="3">
        <v>0.91542789427868343</v>
      </c>
      <c r="AJ630" s="1">
        <v>15</v>
      </c>
      <c r="AK630" s="2">
        <v>46278</v>
      </c>
      <c r="AL630" s="4">
        <v>30</v>
      </c>
      <c r="AM630" s="5">
        <v>15</v>
      </c>
      <c r="AN630" s="4">
        <v>14</v>
      </c>
      <c r="AO630">
        <v>884.33172413793113</v>
      </c>
      <c r="AP630" s="4">
        <v>1</v>
      </c>
      <c r="AQ630" t="s">
        <v>1619</v>
      </c>
      <c r="AR630" t="s">
        <v>1620</v>
      </c>
      <c r="AT630" s="16">
        <f>_xlfn.XLOOKUP(B630,'SWiSH Demand Forecast Sep-26'!D:D,'SWiSH Demand Forecast Sep-26'!G:G,"Not Exist")</f>
        <v>187.20905365917099</v>
      </c>
    </row>
    <row r="631" spans="1:46" x14ac:dyDescent="0.3">
      <c r="A631">
        <v>104200006</v>
      </c>
      <c r="B631" t="s">
        <v>2541</v>
      </c>
      <c r="C631" t="s">
        <v>10</v>
      </c>
      <c r="D631" t="s">
        <v>1613</v>
      </c>
      <c r="E631" t="s">
        <v>2542</v>
      </c>
      <c r="F631" t="s">
        <v>1631</v>
      </c>
      <c r="G631" t="s">
        <v>1624</v>
      </c>
      <c r="H631" t="s">
        <v>1633</v>
      </c>
      <c r="I631" t="s">
        <v>1634</v>
      </c>
      <c r="J631" t="s">
        <v>1905</v>
      </c>
      <c r="K631">
        <v>4.4931600000000004E-3</v>
      </c>
      <c r="L631">
        <v>92.559096000000011</v>
      </c>
      <c r="M631" s="1">
        <v>3</v>
      </c>
      <c r="N631">
        <v>0</v>
      </c>
      <c r="O631">
        <v>1000</v>
      </c>
      <c r="P631">
        <v>20600</v>
      </c>
      <c r="Q631" s="1">
        <v>19600</v>
      </c>
      <c r="R631">
        <v>4.5</v>
      </c>
      <c r="S631" s="2">
        <v>46259</v>
      </c>
      <c r="T631" s="2">
        <v>46263</v>
      </c>
      <c r="U631">
        <v>36600</v>
      </c>
      <c r="V631">
        <v>40500</v>
      </c>
      <c r="W631">
        <v>39200</v>
      </c>
      <c r="X631">
        <v>42000</v>
      </c>
      <c r="Y631">
        <v>36600</v>
      </c>
      <c r="Z631" s="8">
        <v>42000</v>
      </c>
      <c r="AA631">
        <v>39575</v>
      </c>
      <c r="AB631">
        <v>0.92482627921667715</v>
      </c>
      <c r="AC631">
        <v>1.0612760581174985</v>
      </c>
      <c r="AD631" s="1">
        <v>14</v>
      </c>
      <c r="AE631" s="2">
        <v>46262</v>
      </c>
      <c r="AF631" s="2">
        <v>46270</v>
      </c>
      <c r="AG631" s="2">
        <v>46277</v>
      </c>
      <c r="AH631">
        <v>40000</v>
      </c>
      <c r="AI631" s="3">
        <v>0.98522167487684731</v>
      </c>
      <c r="AJ631" s="1">
        <v>14</v>
      </c>
      <c r="AK631" s="2">
        <v>46277</v>
      </c>
      <c r="AL631" s="4">
        <v>30</v>
      </c>
      <c r="AM631" s="5">
        <v>15</v>
      </c>
      <c r="AN631" s="4">
        <v>14</v>
      </c>
      <c r="AO631">
        <v>41379.310344827587</v>
      </c>
      <c r="AP631" s="4">
        <v>1</v>
      </c>
      <c r="AQ631">
        <v>10</v>
      </c>
      <c r="AR631" t="s">
        <v>2543</v>
      </c>
      <c r="AT631" s="16" t="str">
        <f>_xlfn.XLOOKUP(B631,'SWiSH Demand Forecast Sep-26'!D:D,'SWiSH Demand Forecast Sep-26'!G:G,"Not Exist")</f>
        <v>Not Exist</v>
      </c>
    </row>
    <row r="632" spans="1:46" hidden="1" x14ac:dyDescent="0.3">
      <c r="A632">
        <v>100100131</v>
      </c>
      <c r="B632" t="s">
        <v>635</v>
      </c>
      <c r="C632" t="s">
        <v>136</v>
      </c>
      <c r="D632" t="s">
        <v>1613</v>
      </c>
      <c r="E632" t="s">
        <v>2544</v>
      </c>
      <c r="F632" t="s">
        <v>1941</v>
      </c>
      <c r="G632" t="s">
        <v>1616</v>
      </c>
      <c r="H632" t="s">
        <v>1877</v>
      </c>
      <c r="I632" t="s">
        <v>1618</v>
      </c>
      <c r="J632" t="s">
        <v>136</v>
      </c>
      <c r="K632">
        <v>0.23287964999999999</v>
      </c>
      <c r="L632">
        <v>477.40328249999999</v>
      </c>
      <c r="M632" s="1">
        <v>3</v>
      </c>
      <c r="N632">
        <v>0</v>
      </c>
      <c r="O632">
        <v>0</v>
      </c>
      <c r="P632">
        <v>2050</v>
      </c>
      <c r="Q632" s="1">
        <v>2050</v>
      </c>
      <c r="R632">
        <v>12</v>
      </c>
      <c r="S632" s="2">
        <v>46261</v>
      </c>
      <c r="T632" s="2">
        <v>46263</v>
      </c>
      <c r="U632">
        <v>3700</v>
      </c>
      <c r="V632">
        <v>4150</v>
      </c>
      <c r="W632">
        <v>3700</v>
      </c>
      <c r="X632">
        <v>3850</v>
      </c>
      <c r="Y632">
        <v>3700</v>
      </c>
      <c r="Z632" s="8">
        <v>4150</v>
      </c>
      <c r="AA632">
        <v>3850</v>
      </c>
      <c r="AB632">
        <v>0.96103896103896103</v>
      </c>
      <c r="AC632">
        <v>1.0779220779220779</v>
      </c>
      <c r="AD632" s="1">
        <v>14</v>
      </c>
      <c r="AE632" s="2">
        <v>46262</v>
      </c>
      <c r="AF632" s="2">
        <v>46270</v>
      </c>
      <c r="AG632" s="2">
        <v>46277</v>
      </c>
      <c r="AH632">
        <v>3950</v>
      </c>
      <c r="AI632" s="3">
        <v>0.98462816784378893</v>
      </c>
      <c r="AJ632" s="1">
        <v>15</v>
      </c>
      <c r="AK632" s="2">
        <v>46278</v>
      </c>
      <c r="AL632" s="4">
        <v>15</v>
      </c>
      <c r="AM632" s="5">
        <v>15</v>
      </c>
      <c r="AN632" s="4">
        <v>14</v>
      </c>
      <c r="AO632">
        <v>2043.1034482758621</v>
      </c>
      <c r="AP632" s="4">
        <v>2</v>
      </c>
      <c r="AQ632" t="s">
        <v>1619</v>
      </c>
      <c r="AR632" t="s">
        <v>1620</v>
      </c>
      <c r="AT632" s="16">
        <f>_xlfn.XLOOKUP(B632,'SWiSH Demand Forecast Sep-26'!D:D,'SWiSH Demand Forecast Sep-26'!G:G,"Not Exist")</f>
        <v>853.82356271320998</v>
      </c>
    </row>
    <row r="633" spans="1:46" hidden="1" x14ac:dyDescent="0.3">
      <c r="A633">
        <v>104000002</v>
      </c>
      <c r="B633" t="s">
        <v>330</v>
      </c>
      <c r="C633" t="s">
        <v>10</v>
      </c>
      <c r="D633" t="s">
        <v>1613</v>
      </c>
      <c r="E633" t="s">
        <v>1796</v>
      </c>
      <c r="F633" t="s">
        <v>1639</v>
      </c>
      <c r="G633" t="s">
        <v>1616</v>
      </c>
      <c r="H633" t="s">
        <v>1850</v>
      </c>
      <c r="I633" t="s">
        <v>1618</v>
      </c>
      <c r="J633" t="s">
        <v>2545</v>
      </c>
      <c r="K633">
        <v>8.3747650000000007E-2</v>
      </c>
      <c r="L633">
        <v>445.53749800000003</v>
      </c>
      <c r="M633" s="1">
        <v>3</v>
      </c>
      <c r="N633">
        <v>0</v>
      </c>
      <c r="O633">
        <v>360</v>
      </c>
      <c r="P633">
        <v>5320</v>
      </c>
      <c r="Q633" s="1">
        <v>4960</v>
      </c>
      <c r="R633">
        <v>3.085</v>
      </c>
      <c r="S633" s="2">
        <v>46225</v>
      </c>
      <c r="T633" s="2">
        <v>46263</v>
      </c>
      <c r="U633">
        <v>5444</v>
      </c>
      <c r="V633">
        <v>7920</v>
      </c>
      <c r="W633">
        <v>10320</v>
      </c>
      <c r="X633">
        <v>9760</v>
      </c>
      <c r="Y633">
        <v>5444</v>
      </c>
      <c r="Z633" s="8">
        <v>10320</v>
      </c>
      <c r="AA633">
        <v>8361</v>
      </c>
      <c r="AB633">
        <v>0.6511182872862098</v>
      </c>
      <c r="AC633">
        <v>1.2343021169716542</v>
      </c>
      <c r="AD633" s="1">
        <v>14</v>
      </c>
      <c r="AE633" s="2">
        <v>46262</v>
      </c>
      <c r="AF633" s="2">
        <v>46270</v>
      </c>
      <c r="AG633" s="2">
        <v>46277</v>
      </c>
      <c r="AH633">
        <v>6000</v>
      </c>
      <c r="AI633" s="3">
        <v>0.60144346431435447</v>
      </c>
      <c r="AJ633" s="1">
        <v>23</v>
      </c>
      <c r="AK633" s="2">
        <v>46286</v>
      </c>
      <c r="AL633" s="4">
        <v>15</v>
      </c>
      <c r="AM633" s="5">
        <v>15</v>
      </c>
      <c r="AN633" s="4">
        <v>14</v>
      </c>
      <c r="AO633">
        <v>3103.4482758620688</v>
      </c>
      <c r="AP633" s="4">
        <v>2</v>
      </c>
      <c r="AQ633" t="s">
        <v>1619</v>
      </c>
      <c r="AR633" t="s">
        <v>1620</v>
      </c>
      <c r="AT633" s="16">
        <f>_xlfn.XLOOKUP(B633,'SWiSH Demand Forecast Sep-26'!D:D,'SWiSH Demand Forecast Sep-26'!G:G,"Not Exist")</f>
        <v>3979</v>
      </c>
    </row>
    <row r="634" spans="1:46" hidden="1" x14ac:dyDescent="0.3">
      <c r="A634">
        <v>100400197</v>
      </c>
      <c r="B634" t="s">
        <v>412</v>
      </c>
      <c r="C634" t="s">
        <v>10</v>
      </c>
      <c r="D634" t="s">
        <v>1613</v>
      </c>
      <c r="E634" t="s">
        <v>1663</v>
      </c>
      <c r="F634" t="s">
        <v>1664</v>
      </c>
      <c r="G634" t="s">
        <v>1624</v>
      </c>
      <c r="H634" t="s">
        <v>1810</v>
      </c>
      <c r="I634" t="s">
        <v>1634</v>
      </c>
      <c r="J634" t="s">
        <v>10</v>
      </c>
      <c r="K634">
        <v>4.1000000000000002E-2</v>
      </c>
      <c r="L634">
        <v>196.8</v>
      </c>
      <c r="M634" s="1">
        <v>30</v>
      </c>
      <c r="N634">
        <v>0</v>
      </c>
      <c r="O634">
        <v>100</v>
      </c>
      <c r="P634">
        <v>4800</v>
      </c>
      <c r="Q634" s="1">
        <v>4700</v>
      </c>
      <c r="R634">
        <v>4.1000000000000002E-2</v>
      </c>
      <c r="S634" s="2">
        <v>46233</v>
      </c>
      <c r="T634" s="2">
        <v>46263</v>
      </c>
      <c r="U634">
        <v>3040</v>
      </c>
      <c r="V634">
        <v>10000</v>
      </c>
      <c r="W634">
        <v>9650</v>
      </c>
      <c r="X634">
        <v>8800</v>
      </c>
      <c r="Y634">
        <v>3040</v>
      </c>
      <c r="Z634" s="8">
        <v>10000</v>
      </c>
      <c r="AA634">
        <v>7872.5</v>
      </c>
      <c r="AB634">
        <v>0.38615433470943156</v>
      </c>
      <c r="AC634">
        <v>1.2702445220704985</v>
      </c>
      <c r="AD634" s="1">
        <v>14</v>
      </c>
      <c r="AE634" s="2">
        <v>46262</v>
      </c>
      <c r="AF634" s="2">
        <v>46270</v>
      </c>
      <c r="AG634" s="2">
        <v>46277</v>
      </c>
      <c r="AH634">
        <v>8700</v>
      </c>
      <c r="AI634" s="3">
        <v>0.9</v>
      </c>
      <c r="AJ634" s="1">
        <v>15</v>
      </c>
      <c r="AK634" s="2">
        <v>46278</v>
      </c>
      <c r="AL634" s="4">
        <v>30</v>
      </c>
      <c r="AM634" s="5">
        <v>15</v>
      </c>
      <c r="AN634" s="4">
        <v>14</v>
      </c>
      <c r="AO634">
        <v>9000</v>
      </c>
      <c r="AP634" s="4">
        <v>1</v>
      </c>
      <c r="AQ634">
        <v>15000</v>
      </c>
      <c r="AR634" t="s">
        <v>2377</v>
      </c>
      <c r="AT634" s="16">
        <f>_xlfn.XLOOKUP(B634,'SWiSH Demand Forecast Sep-26'!D:D,'SWiSH Demand Forecast Sep-26'!G:G,"Not Exist")</f>
        <v>2487</v>
      </c>
    </row>
    <row r="635" spans="1:46" hidden="1" x14ac:dyDescent="0.3">
      <c r="A635">
        <v>103700063</v>
      </c>
      <c r="B635" t="s">
        <v>1328</v>
      </c>
      <c r="C635" t="s">
        <v>136</v>
      </c>
      <c r="D635" t="s">
        <v>1613</v>
      </c>
      <c r="E635" t="s">
        <v>1732</v>
      </c>
      <c r="F635" t="s">
        <v>1615</v>
      </c>
      <c r="G635" t="s">
        <v>1616</v>
      </c>
      <c r="H635" t="s">
        <v>1617</v>
      </c>
      <c r="I635" t="s">
        <v>1618</v>
      </c>
      <c r="J635" t="s">
        <v>136</v>
      </c>
      <c r="K635">
        <v>3.5</v>
      </c>
      <c r="L635">
        <v>122.5</v>
      </c>
      <c r="M635" s="1">
        <v>3</v>
      </c>
      <c r="N635">
        <v>0</v>
      </c>
      <c r="O635">
        <v>0</v>
      </c>
      <c r="P635">
        <v>35</v>
      </c>
      <c r="Q635" s="1">
        <v>35</v>
      </c>
      <c r="R635">
        <v>3.5</v>
      </c>
      <c r="S635" s="2">
        <v>46261</v>
      </c>
      <c r="T635" s="2">
        <v>46262</v>
      </c>
      <c r="U635">
        <v>30</v>
      </c>
      <c r="V635">
        <v>41</v>
      </c>
      <c r="W635">
        <v>70</v>
      </c>
      <c r="X635">
        <v>60</v>
      </c>
      <c r="Y635">
        <v>30</v>
      </c>
      <c r="Z635" s="8">
        <v>70</v>
      </c>
      <c r="AA635">
        <v>50.25</v>
      </c>
      <c r="AB635">
        <v>0.59701492537313428</v>
      </c>
      <c r="AC635">
        <v>1.3930348258706469</v>
      </c>
      <c r="AD635" s="1">
        <v>15</v>
      </c>
      <c r="AE635" s="2">
        <v>46263</v>
      </c>
      <c r="AF635" s="2">
        <v>46271</v>
      </c>
      <c r="AG635" s="2">
        <v>46278</v>
      </c>
      <c r="AH635">
        <v>45</v>
      </c>
      <c r="AI635" s="3">
        <v>0.66502463054187189</v>
      </c>
      <c r="AJ635" s="1">
        <v>22</v>
      </c>
      <c r="AK635" s="2">
        <v>46285</v>
      </c>
      <c r="AL635" s="4">
        <v>30</v>
      </c>
      <c r="AM635" s="5">
        <v>15</v>
      </c>
      <c r="AN635" s="4">
        <v>15</v>
      </c>
      <c r="AO635">
        <v>46.551724137931032</v>
      </c>
      <c r="AP635" s="4">
        <v>1</v>
      </c>
      <c r="AQ635" t="s">
        <v>1619</v>
      </c>
      <c r="AR635" t="s">
        <v>1620</v>
      </c>
      <c r="AT635" s="16">
        <f>_xlfn.XLOOKUP(B635,'SWiSH Demand Forecast Sep-26'!D:D,'SWiSH Demand Forecast Sep-26'!G:G,"Not Exist")</f>
        <v>26.372613492206899</v>
      </c>
    </row>
    <row r="636" spans="1:46" x14ac:dyDescent="0.3">
      <c r="A636">
        <v>101400037</v>
      </c>
      <c r="B636" t="s">
        <v>2546</v>
      </c>
      <c r="C636" t="s">
        <v>10</v>
      </c>
      <c r="D636" t="s">
        <v>1613</v>
      </c>
      <c r="E636" t="s">
        <v>1638</v>
      </c>
      <c r="F636" t="s">
        <v>1644</v>
      </c>
      <c r="G636" t="s">
        <v>1624</v>
      </c>
      <c r="H636" t="s">
        <v>1693</v>
      </c>
      <c r="I636" t="s">
        <v>1634</v>
      </c>
      <c r="J636" t="s">
        <v>2338</v>
      </c>
      <c r="K636">
        <v>2.8</v>
      </c>
      <c r="L636">
        <v>14</v>
      </c>
      <c r="M636" s="1">
        <v>3</v>
      </c>
      <c r="N636">
        <v>0</v>
      </c>
      <c r="O636">
        <v>0</v>
      </c>
      <c r="P636">
        <v>5</v>
      </c>
      <c r="Q636" s="1">
        <v>5</v>
      </c>
      <c r="R636">
        <v>2.8</v>
      </c>
      <c r="S636" s="2">
        <v>46253</v>
      </c>
      <c r="T636" s="2">
        <v>46248</v>
      </c>
      <c r="U636">
        <v>10</v>
      </c>
      <c r="V636">
        <v>8</v>
      </c>
      <c r="W636">
        <v>8</v>
      </c>
      <c r="X636">
        <v>8</v>
      </c>
      <c r="Y636">
        <v>8</v>
      </c>
      <c r="Z636" s="8">
        <v>10</v>
      </c>
      <c r="AA636">
        <v>8.5</v>
      </c>
      <c r="AB636">
        <v>0.94117647058823528</v>
      </c>
      <c r="AC636">
        <v>1.1764705882352942</v>
      </c>
      <c r="AD636" s="1">
        <v>15</v>
      </c>
      <c r="AE636" s="2">
        <v>46263</v>
      </c>
      <c r="AF636" s="2">
        <v>46271</v>
      </c>
      <c r="AG636" s="2">
        <v>46278</v>
      </c>
      <c r="AH636">
        <v>4</v>
      </c>
      <c r="AI636" s="3">
        <v>0.41379310344827591</v>
      </c>
      <c r="AJ636" s="1">
        <v>36</v>
      </c>
      <c r="AK636" s="2">
        <v>46299</v>
      </c>
      <c r="AL636" s="4">
        <v>30</v>
      </c>
      <c r="AM636" s="5">
        <v>15</v>
      </c>
      <c r="AN636" s="4">
        <v>15</v>
      </c>
      <c r="AO636">
        <v>4.1379310344827589</v>
      </c>
      <c r="AP636" s="4">
        <v>1</v>
      </c>
      <c r="AQ636" t="s">
        <v>1619</v>
      </c>
      <c r="AR636" t="s">
        <v>1620</v>
      </c>
      <c r="AT636" s="16" t="str">
        <f>_xlfn.XLOOKUP(B636,'SWiSH Demand Forecast Sep-26'!D:D,'SWiSH Demand Forecast Sep-26'!G:G,"Not Exist")</f>
        <v>Not Exist</v>
      </c>
    </row>
    <row r="637" spans="1:46" hidden="1" x14ac:dyDescent="0.3">
      <c r="A637">
        <v>103100025</v>
      </c>
      <c r="B637" t="s">
        <v>204</v>
      </c>
      <c r="C637" t="s">
        <v>10</v>
      </c>
      <c r="D637" t="s">
        <v>1613</v>
      </c>
      <c r="E637" t="s">
        <v>2547</v>
      </c>
      <c r="F637" t="s">
        <v>1752</v>
      </c>
      <c r="G637" t="s">
        <v>1616</v>
      </c>
      <c r="H637" t="s">
        <v>1869</v>
      </c>
      <c r="I637" t="s">
        <v>1754</v>
      </c>
      <c r="J637" t="s">
        <v>2548</v>
      </c>
      <c r="K637">
        <v>0.12083333</v>
      </c>
      <c r="L637">
        <v>1667.4999540000001</v>
      </c>
      <c r="M637" s="1">
        <v>3</v>
      </c>
      <c r="N637">
        <v>0</v>
      </c>
      <c r="O637">
        <v>1200</v>
      </c>
      <c r="P637">
        <v>13800</v>
      </c>
      <c r="Q637" s="1">
        <v>12600</v>
      </c>
      <c r="R637">
        <v>7.25</v>
      </c>
      <c r="S637" s="2">
        <v>46263</v>
      </c>
      <c r="T637" s="2">
        <v>46263</v>
      </c>
      <c r="U637">
        <v>17415</v>
      </c>
      <c r="V637">
        <v>25080</v>
      </c>
      <c r="W637">
        <v>13260</v>
      </c>
      <c r="X637">
        <v>15060</v>
      </c>
      <c r="Y637">
        <v>13260</v>
      </c>
      <c r="Z637" s="8">
        <v>25080</v>
      </c>
      <c r="AA637">
        <v>17703.75</v>
      </c>
      <c r="AB637">
        <v>0.74899385723363698</v>
      </c>
      <c r="AC637">
        <v>1.4166490150391866</v>
      </c>
      <c r="AD637" s="1">
        <v>15</v>
      </c>
      <c r="AE637" s="2">
        <v>46263</v>
      </c>
      <c r="AF637" s="2">
        <v>46271</v>
      </c>
      <c r="AG637" s="2">
        <v>46278</v>
      </c>
      <c r="AH637">
        <v>15660</v>
      </c>
      <c r="AI637" s="3">
        <v>0.64593301435406703</v>
      </c>
      <c r="AJ637" s="1">
        <v>23</v>
      </c>
      <c r="AK637" s="2">
        <v>46286</v>
      </c>
      <c r="AL637" s="4">
        <v>8</v>
      </c>
      <c r="AM637" s="5">
        <v>5</v>
      </c>
      <c r="AN637" s="4">
        <v>15</v>
      </c>
      <c r="AO637">
        <v>4320</v>
      </c>
      <c r="AP637" s="4">
        <v>4</v>
      </c>
      <c r="AQ637">
        <v>75</v>
      </c>
      <c r="AR637" t="s">
        <v>2297</v>
      </c>
      <c r="AT637" s="16">
        <f>_xlfn.XLOOKUP(B637,'SWiSH Demand Forecast Sep-26'!D:D,'SWiSH Demand Forecast Sep-26'!G:G,"Not Exist")</f>
        <v>8166</v>
      </c>
    </row>
    <row r="638" spans="1:46" hidden="1" x14ac:dyDescent="0.3">
      <c r="A638">
        <v>101200030</v>
      </c>
      <c r="B638" t="s">
        <v>1125</v>
      </c>
      <c r="C638" t="s">
        <v>136</v>
      </c>
      <c r="D638" t="s">
        <v>1613</v>
      </c>
      <c r="E638" t="s">
        <v>2177</v>
      </c>
      <c r="F638" t="s">
        <v>1833</v>
      </c>
      <c r="G638" t="s">
        <v>1616</v>
      </c>
      <c r="H638" t="s">
        <v>1625</v>
      </c>
      <c r="I638" t="s">
        <v>1626</v>
      </c>
      <c r="J638" t="s">
        <v>136</v>
      </c>
      <c r="K638">
        <v>1.9166666699999999</v>
      </c>
      <c r="L638">
        <v>103.50000018</v>
      </c>
      <c r="M638" s="1">
        <v>3</v>
      </c>
      <c r="N638">
        <v>0</v>
      </c>
      <c r="O638">
        <v>0</v>
      </c>
      <c r="P638">
        <v>54</v>
      </c>
      <c r="Q638" s="1">
        <v>54</v>
      </c>
      <c r="R638">
        <v>11.5</v>
      </c>
      <c r="S638" s="2">
        <v>46240</v>
      </c>
      <c r="T638" s="2">
        <v>46260</v>
      </c>
      <c r="U638">
        <v>96</v>
      </c>
      <c r="V638">
        <v>96</v>
      </c>
      <c r="W638">
        <v>108</v>
      </c>
      <c r="X638">
        <v>108</v>
      </c>
      <c r="Y638">
        <v>96</v>
      </c>
      <c r="Z638" s="8">
        <v>108</v>
      </c>
      <c r="AA638">
        <v>102</v>
      </c>
      <c r="AB638">
        <v>0.94117647058823528</v>
      </c>
      <c r="AC638">
        <v>1.0588235294117647</v>
      </c>
      <c r="AD638" s="1">
        <v>15</v>
      </c>
      <c r="AE638" s="2">
        <v>46263</v>
      </c>
      <c r="AF638" s="2">
        <v>46271</v>
      </c>
      <c r="AG638" s="2">
        <v>46278</v>
      </c>
      <c r="AH638">
        <v>108</v>
      </c>
      <c r="AI638" s="3">
        <v>1.0344827586206895</v>
      </c>
      <c r="AJ638" s="1">
        <v>14</v>
      </c>
      <c r="AK638" s="2">
        <v>46277</v>
      </c>
      <c r="AL638" s="4">
        <v>30</v>
      </c>
      <c r="AM638" s="5">
        <v>15</v>
      </c>
      <c r="AN638" s="4">
        <v>14</v>
      </c>
      <c r="AO638">
        <v>111.72413793103446</v>
      </c>
      <c r="AP638" s="4">
        <v>1</v>
      </c>
      <c r="AQ638" t="s">
        <v>1619</v>
      </c>
      <c r="AR638" t="s">
        <v>1620</v>
      </c>
      <c r="AT638" s="16">
        <f>_xlfn.XLOOKUP(B638,'SWiSH Demand Forecast Sep-26'!D:D,'SWiSH Demand Forecast Sep-26'!G:G,"Not Exist")</f>
        <v>95.02</v>
      </c>
    </row>
    <row r="639" spans="1:46" x14ac:dyDescent="0.3">
      <c r="A639">
        <v>103700015</v>
      </c>
      <c r="B639" t="s">
        <v>2549</v>
      </c>
      <c r="C639" t="s">
        <v>136</v>
      </c>
      <c r="D639" t="s">
        <v>1613</v>
      </c>
      <c r="E639" t="s">
        <v>1832</v>
      </c>
      <c r="F639" t="s">
        <v>1615</v>
      </c>
      <c r="G639" t="s">
        <v>1616</v>
      </c>
      <c r="H639" t="s">
        <v>1617</v>
      </c>
      <c r="I639" t="s">
        <v>1618</v>
      </c>
      <c r="J639" t="s">
        <v>136</v>
      </c>
      <c r="K639">
        <v>1.8</v>
      </c>
      <c r="L639">
        <v>1.8</v>
      </c>
      <c r="M639" s="1">
        <v>3</v>
      </c>
      <c r="N639">
        <v>0</v>
      </c>
      <c r="O639">
        <v>0</v>
      </c>
      <c r="P639">
        <v>1</v>
      </c>
      <c r="Q639" s="1">
        <v>1</v>
      </c>
      <c r="R639">
        <v>1.8</v>
      </c>
      <c r="S639" s="2">
        <v>46134</v>
      </c>
      <c r="T639" s="2">
        <v>46236</v>
      </c>
      <c r="U639">
        <v>2</v>
      </c>
      <c r="V639">
        <v>0</v>
      </c>
      <c r="W639">
        <v>2</v>
      </c>
      <c r="X639">
        <v>1</v>
      </c>
      <c r="Y639">
        <v>0</v>
      </c>
      <c r="Z639" s="8">
        <v>2</v>
      </c>
      <c r="AA639">
        <v>1.25</v>
      </c>
      <c r="AB639">
        <v>0</v>
      </c>
      <c r="AC639">
        <v>1.6</v>
      </c>
      <c r="AD639" s="1">
        <v>15</v>
      </c>
      <c r="AE639" s="2">
        <v>46263</v>
      </c>
      <c r="AF639" s="2">
        <v>46271</v>
      </c>
      <c r="AG639" s="2">
        <v>46278</v>
      </c>
      <c r="AH639">
        <v>1</v>
      </c>
      <c r="AI639" s="3">
        <v>0.51724137931034486</v>
      </c>
      <c r="AJ639" s="1">
        <v>29</v>
      </c>
      <c r="AK639" s="2">
        <v>46292</v>
      </c>
      <c r="AL639" s="4">
        <v>30</v>
      </c>
      <c r="AM639" s="5">
        <v>15</v>
      </c>
      <c r="AN639" s="4">
        <v>15</v>
      </c>
      <c r="AO639">
        <v>1.0344827586206897</v>
      </c>
      <c r="AP639" s="4">
        <v>1</v>
      </c>
      <c r="AQ639" t="s">
        <v>1619</v>
      </c>
      <c r="AR639" t="s">
        <v>1620</v>
      </c>
      <c r="AT639" s="16" t="str">
        <f>_xlfn.XLOOKUP(B639,'SWiSH Demand Forecast Sep-26'!D:D,'SWiSH Demand Forecast Sep-26'!G:G,"Not Exist")</f>
        <v>Not Exist</v>
      </c>
    </row>
    <row r="640" spans="1:46" x14ac:dyDescent="0.3">
      <c r="A640">
        <v>106700088</v>
      </c>
      <c r="B640" t="s">
        <v>2550</v>
      </c>
      <c r="C640" t="s">
        <v>10</v>
      </c>
      <c r="D640" t="s">
        <v>1613</v>
      </c>
      <c r="E640" t="s">
        <v>2551</v>
      </c>
      <c r="F640" t="s">
        <v>1650</v>
      </c>
      <c r="G640" t="s">
        <v>1624</v>
      </c>
      <c r="H640" t="s">
        <v>1651</v>
      </c>
      <c r="I640" t="s">
        <v>1634</v>
      </c>
      <c r="J640" t="s">
        <v>10</v>
      </c>
      <c r="K640">
        <v>1.75</v>
      </c>
      <c r="L640">
        <v>7</v>
      </c>
      <c r="M640" s="1">
        <v>3</v>
      </c>
      <c r="N640">
        <v>0</v>
      </c>
      <c r="O640">
        <v>0</v>
      </c>
      <c r="P640">
        <v>4</v>
      </c>
      <c r="Q640" s="1">
        <v>4</v>
      </c>
      <c r="R640">
        <v>1.75</v>
      </c>
      <c r="S640" s="2">
        <v>46231</v>
      </c>
      <c r="T640" s="2">
        <v>46240</v>
      </c>
      <c r="U640">
        <v>1</v>
      </c>
      <c r="V640">
        <v>2</v>
      </c>
      <c r="W640">
        <v>7</v>
      </c>
      <c r="X640">
        <v>8</v>
      </c>
      <c r="Y640">
        <v>1</v>
      </c>
      <c r="Z640" s="8">
        <v>8</v>
      </c>
      <c r="AA640">
        <v>4.5</v>
      </c>
      <c r="AB640">
        <v>0.22222222222222221</v>
      </c>
      <c r="AC640">
        <v>1.7777777777777777</v>
      </c>
      <c r="AD640" s="1">
        <v>15</v>
      </c>
      <c r="AE640" s="2">
        <v>46263</v>
      </c>
      <c r="AF640" s="2">
        <v>46271</v>
      </c>
      <c r="AG640" s="2">
        <v>46278</v>
      </c>
      <c r="AH640">
        <v>1</v>
      </c>
      <c r="AI640" s="3">
        <v>0.12931034482758622</v>
      </c>
      <c r="AJ640" s="1">
        <v>116</v>
      </c>
      <c r="AK640" s="2">
        <v>46379</v>
      </c>
      <c r="AL640" s="4">
        <v>30</v>
      </c>
      <c r="AM640" s="5">
        <v>15</v>
      </c>
      <c r="AN640" s="4">
        <v>15</v>
      </c>
      <c r="AO640">
        <v>1.0344827586206897</v>
      </c>
      <c r="AP640" s="4">
        <v>1</v>
      </c>
      <c r="AQ640" t="s">
        <v>1619</v>
      </c>
      <c r="AR640" t="s">
        <v>1620</v>
      </c>
      <c r="AT640" s="16" t="str">
        <f>_xlfn.XLOOKUP(B640,'SWiSH Demand Forecast Sep-26'!D:D,'SWiSH Demand Forecast Sep-26'!G:G,"Not Exist")</f>
        <v>Not Exist</v>
      </c>
    </row>
    <row r="641" spans="1:46" hidden="1" x14ac:dyDescent="0.3">
      <c r="A641">
        <v>106200048</v>
      </c>
      <c r="B641" t="s">
        <v>1448</v>
      </c>
      <c r="C641" t="s">
        <v>136</v>
      </c>
      <c r="D641" t="s">
        <v>1613</v>
      </c>
      <c r="E641" t="s">
        <v>1732</v>
      </c>
      <c r="F641" t="s">
        <v>1671</v>
      </c>
      <c r="G641" t="s">
        <v>1616</v>
      </c>
      <c r="H641" t="s">
        <v>1672</v>
      </c>
      <c r="I641" t="s">
        <v>1618</v>
      </c>
      <c r="J641" t="s">
        <v>2112</v>
      </c>
      <c r="K641">
        <v>1.9823788499999999</v>
      </c>
      <c r="L641">
        <v>21.599999949600001</v>
      </c>
      <c r="M641" s="1">
        <v>3</v>
      </c>
      <c r="N641">
        <v>0</v>
      </c>
      <c r="O641">
        <v>0</v>
      </c>
      <c r="P641">
        <v>10.896000000000001</v>
      </c>
      <c r="Q641" s="1">
        <v>10.896000000000001</v>
      </c>
      <c r="R641">
        <v>10.8</v>
      </c>
      <c r="S641" s="2">
        <v>46259</v>
      </c>
      <c r="T641" s="2">
        <v>46257</v>
      </c>
      <c r="U641">
        <v>16.8</v>
      </c>
      <c r="V641">
        <v>21.7</v>
      </c>
      <c r="W641">
        <v>10.896000000000001</v>
      </c>
      <c r="X641">
        <v>16.344000000000001</v>
      </c>
      <c r="Y641">
        <v>10.896000000000001</v>
      </c>
      <c r="Z641" s="8">
        <v>21.7</v>
      </c>
      <c r="AA641">
        <v>16.435000000000002</v>
      </c>
      <c r="AB641">
        <v>0.66297535746881653</v>
      </c>
      <c r="AC641">
        <v>1.3203529053848493</v>
      </c>
      <c r="AD641" s="1">
        <v>15</v>
      </c>
      <c r="AE641" s="2">
        <v>46263</v>
      </c>
      <c r="AF641" s="2">
        <v>46271</v>
      </c>
      <c r="AG641" s="2">
        <v>46278</v>
      </c>
      <c r="AH641">
        <v>10.896000000000001</v>
      </c>
      <c r="AI641" s="3">
        <v>0.51943429207055458</v>
      </c>
      <c r="AJ641" s="1">
        <v>29</v>
      </c>
      <c r="AK641" s="2">
        <v>46292</v>
      </c>
      <c r="AL641" s="4">
        <v>30</v>
      </c>
      <c r="AM641" s="5">
        <v>15</v>
      </c>
      <c r="AN641" s="4">
        <v>15</v>
      </c>
      <c r="AO641">
        <v>11.271724137931034</v>
      </c>
      <c r="AP641" s="4">
        <v>1</v>
      </c>
      <c r="AQ641" t="s">
        <v>1619</v>
      </c>
      <c r="AR641" t="s">
        <v>1620</v>
      </c>
      <c r="AT641" s="16">
        <f>_xlfn.XLOOKUP(B641,'SWiSH Demand Forecast Sep-26'!D:D,'SWiSH Demand Forecast Sep-26'!G:G,"Not Exist")</f>
        <v>7.6599519230769202</v>
      </c>
    </row>
    <row r="642" spans="1:46" hidden="1" x14ac:dyDescent="0.3">
      <c r="A642">
        <v>101000005</v>
      </c>
      <c r="B642" t="s">
        <v>1305</v>
      </c>
      <c r="C642" t="s">
        <v>240</v>
      </c>
      <c r="D642" t="s">
        <v>1629</v>
      </c>
      <c r="E642" t="s">
        <v>2108</v>
      </c>
      <c r="F642" t="s">
        <v>1639</v>
      </c>
      <c r="G642" t="s">
        <v>1616</v>
      </c>
      <c r="H642" t="s">
        <v>1889</v>
      </c>
      <c r="I642" t="s">
        <v>1618</v>
      </c>
      <c r="J642" t="s">
        <v>2502</v>
      </c>
      <c r="K642">
        <v>1.52631579</v>
      </c>
      <c r="L642">
        <v>116.00000004</v>
      </c>
      <c r="M642" s="1">
        <v>3</v>
      </c>
      <c r="N642">
        <v>0</v>
      </c>
      <c r="O642">
        <v>0</v>
      </c>
      <c r="P642">
        <v>76</v>
      </c>
      <c r="Q642" s="1">
        <v>76</v>
      </c>
      <c r="R642">
        <v>29</v>
      </c>
      <c r="S642" s="2">
        <v>46198</v>
      </c>
      <c r="T642" s="2">
        <v>46226</v>
      </c>
      <c r="U642">
        <v>95</v>
      </c>
      <c r="V642">
        <v>76</v>
      </c>
      <c r="W642">
        <v>152</v>
      </c>
      <c r="X642">
        <v>38</v>
      </c>
      <c r="Y642">
        <v>38</v>
      </c>
      <c r="Z642" s="8">
        <v>152</v>
      </c>
      <c r="AA642">
        <v>90.25</v>
      </c>
      <c r="AB642">
        <v>0.42105263157894735</v>
      </c>
      <c r="AC642">
        <v>1.6842105263157894</v>
      </c>
      <c r="AD642" s="1">
        <v>15</v>
      </c>
      <c r="AE642" s="2">
        <v>46263</v>
      </c>
      <c r="AF642" s="2">
        <v>46271</v>
      </c>
      <c r="AG642" s="2">
        <v>46278</v>
      </c>
      <c r="AH642">
        <v>0</v>
      </c>
      <c r="AI642" s="3">
        <v>0</v>
      </c>
      <c r="AJ642" s="1" t="s">
        <v>1635</v>
      </c>
      <c r="AK642" s="2" t="s">
        <v>1635</v>
      </c>
      <c r="AL642" s="4" t="s">
        <v>1636</v>
      </c>
      <c r="AM642" s="5" t="s">
        <v>1636</v>
      </c>
      <c r="AN642" s="4">
        <v>15</v>
      </c>
      <c r="AO642" t="s">
        <v>1635</v>
      </c>
      <c r="AP642" s="4" t="s">
        <v>1636</v>
      </c>
      <c r="AQ642" t="s">
        <v>1619</v>
      </c>
      <c r="AR642" t="s">
        <v>1620</v>
      </c>
      <c r="AT642" s="16">
        <f>_xlfn.XLOOKUP(B642,'SWiSH Demand Forecast Sep-26'!D:D,'SWiSH Demand Forecast Sep-26'!G:G,"Not Exist")</f>
        <v>30.509999999999899</v>
      </c>
    </row>
    <row r="643" spans="1:46" hidden="1" x14ac:dyDescent="0.3">
      <c r="A643">
        <v>103700009</v>
      </c>
      <c r="B643" t="s">
        <v>1389</v>
      </c>
      <c r="C643" t="s">
        <v>136</v>
      </c>
      <c r="D643" t="s">
        <v>1613</v>
      </c>
      <c r="E643" t="s">
        <v>1677</v>
      </c>
      <c r="F643" t="s">
        <v>1615</v>
      </c>
      <c r="G643" t="s">
        <v>1616</v>
      </c>
      <c r="H643" t="s">
        <v>1617</v>
      </c>
      <c r="I643" t="s">
        <v>1618</v>
      </c>
      <c r="J643" t="s">
        <v>136</v>
      </c>
      <c r="K643">
        <v>5</v>
      </c>
      <c r="L643">
        <v>130</v>
      </c>
      <c r="M643" s="1">
        <v>3</v>
      </c>
      <c r="N643">
        <v>0</v>
      </c>
      <c r="O643">
        <v>0</v>
      </c>
      <c r="P643">
        <v>26</v>
      </c>
      <c r="Q643" s="1">
        <v>26</v>
      </c>
      <c r="R643">
        <v>5</v>
      </c>
      <c r="S643" s="2">
        <v>46246</v>
      </c>
      <c r="T643" s="2">
        <v>46256</v>
      </c>
      <c r="U643">
        <v>38</v>
      </c>
      <c r="V643">
        <v>32</v>
      </c>
      <c r="W643">
        <v>15</v>
      </c>
      <c r="X643">
        <v>49</v>
      </c>
      <c r="Y643">
        <v>15</v>
      </c>
      <c r="Z643" s="8">
        <v>49</v>
      </c>
      <c r="AA643">
        <v>33.5</v>
      </c>
      <c r="AB643">
        <v>0.44776119402985076</v>
      </c>
      <c r="AC643">
        <v>1.4626865671641791</v>
      </c>
      <c r="AD643" s="1">
        <v>15</v>
      </c>
      <c r="AE643" s="2">
        <v>46263</v>
      </c>
      <c r="AF643" s="2">
        <v>46271</v>
      </c>
      <c r="AG643" s="2">
        <v>46278</v>
      </c>
      <c r="AH643">
        <v>32</v>
      </c>
      <c r="AI643" s="3">
        <v>0.67558057705840957</v>
      </c>
      <c r="AJ643" s="1">
        <v>23</v>
      </c>
      <c r="AK643" s="2">
        <v>46286</v>
      </c>
      <c r="AL643" s="4">
        <v>30</v>
      </c>
      <c r="AM643" s="5">
        <v>15</v>
      </c>
      <c r="AN643" s="4">
        <v>15</v>
      </c>
      <c r="AO643">
        <v>33.103448275862071</v>
      </c>
      <c r="AP643" s="4">
        <v>1</v>
      </c>
      <c r="AQ643" t="s">
        <v>1619</v>
      </c>
      <c r="AR643" t="s">
        <v>1620</v>
      </c>
      <c r="AT643" s="16">
        <f>_xlfn.XLOOKUP(B643,'SWiSH Demand Forecast Sep-26'!D:D,'SWiSH Demand Forecast Sep-26'!G:G,"Not Exist")</f>
        <v>15.6565005940005</v>
      </c>
    </row>
    <row r="644" spans="1:46" x14ac:dyDescent="0.3">
      <c r="A644">
        <v>101100019</v>
      </c>
      <c r="B644" t="s">
        <v>2552</v>
      </c>
      <c r="C644" t="s">
        <v>10</v>
      </c>
      <c r="D644" t="s">
        <v>1613</v>
      </c>
      <c r="E644" t="s">
        <v>1643</v>
      </c>
      <c r="F644" t="s">
        <v>1650</v>
      </c>
      <c r="G644" t="s">
        <v>1624</v>
      </c>
      <c r="H644" t="s">
        <v>1953</v>
      </c>
      <c r="I644" t="s">
        <v>1634</v>
      </c>
      <c r="J644" t="s">
        <v>10</v>
      </c>
      <c r="K644">
        <v>29</v>
      </c>
      <c r="L644">
        <v>58</v>
      </c>
      <c r="M644" s="1">
        <v>3</v>
      </c>
      <c r="N644">
        <v>0</v>
      </c>
      <c r="O644">
        <v>0</v>
      </c>
      <c r="P644">
        <v>2</v>
      </c>
      <c r="Q644" s="1">
        <v>2</v>
      </c>
      <c r="R644">
        <v>29</v>
      </c>
      <c r="S644" s="2">
        <v>46237</v>
      </c>
      <c r="T644" s="2">
        <v>46260</v>
      </c>
      <c r="U644">
        <v>3</v>
      </c>
      <c r="V644">
        <v>3</v>
      </c>
      <c r="W644">
        <v>3</v>
      </c>
      <c r="X644">
        <v>4</v>
      </c>
      <c r="Y644">
        <v>3</v>
      </c>
      <c r="Z644" s="8">
        <v>4</v>
      </c>
      <c r="AA644">
        <v>3.25</v>
      </c>
      <c r="AB644">
        <v>0.92307692307692313</v>
      </c>
      <c r="AC644">
        <v>1.2307692307692308</v>
      </c>
      <c r="AD644" s="1">
        <v>15</v>
      </c>
      <c r="AE644" s="2">
        <v>46263</v>
      </c>
      <c r="AF644" s="2">
        <v>46271</v>
      </c>
      <c r="AG644" s="2">
        <v>46278</v>
      </c>
      <c r="AH644">
        <v>3</v>
      </c>
      <c r="AI644" s="3">
        <v>0.77586206896551724</v>
      </c>
      <c r="AJ644" s="1">
        <v>19</v>
      </c>
      <c r="AK644" s="2">
        <v>46282</v>
      </c>
      <c r="AL644" s="4">
        <v>30</v>
      </c>
      <c r="AM644" s="5">
        <v>15</v>
      </c>
      <c r="AN644" s="4">
        <v>15</v>
      </c>
      <c r="AO644">
        <v>3.103448275862069</v>
      </c>
      <c r="AP644" s="4">
        <v>1</v>
      </c>
      <c r="AQ644" t="s">
        <v>1619</v>
      </c>
      <c r="AR644" t="s">
        <v>1620</v>
      </c>
      <c r="AT644" s="16" t="str">
        <f>_xlfn.XLOOKUP(B644,'SWiSH Demand Forecast Sep-26'!D:D,'SWiSH Demand Forecast Sep-26'!G:G,"Not Exist")</f>
        <v>Not Exist</v>
      </c>
    </row>
    <row r="645" spans="1:46" x14ac:dyDescent="0.3">
      <c r="A645">
        <v>100100063</v>
      </c>
      <c r="B645" t="s">
        <v>2553</v>
      </c>
      <c r="C645" t="s">
        <v>136</v>
      </c>
      <c r="D645" t="s">
        <v>1613</v>
      </c>
      <c r="E645" t="s">
        <v>2151</v>
      </c>
      <c r="F645" t="s">
        <v>1941</v>
      </c>
      <c r="G645" t="s">
        <v>1616</v>
      </c>
      <c r="H645" t="s">
        <v>1877</v>
      </c>
      <c r="I645" t="s">
        <v>1618</v>
      </c>
      <c r="J645" t="s">
        <v>136</v>
      </c>
      <c r="K645">
        <v>19.301469999999998</v>
      </c>
      <c r="L645">
        <v>607.99630499999989</v>
      </c>
      <c r="M645" s="1">
        <v>7</v>
      </c>
      <c r="N645">
        <v>0</v>
      </c>
      <c r="O645">
        <v>0</v>
      </c>
      <c r="P645">
        <v>31.5</v>
      </c>
      <c r="Q645" s="1">
        <v>31.5</v>
      </c>
      <c r="R645">
        <v>23</v>
      </c>
      <c r="S645" s="2">
        <v>46027</v>
      </c>
      <c r="T645" s="2">
        <v>46263</v>
      </c>
      <c r="U645">
        <v>6.8100000000000005</v>
      </c>
      <c r="V645">
        <v>55.9</v>
      </c>
      <c r="W645">
        <v>61.350000000000009</v>
      </c>
      <c r="X645">
        <v>45.314000000000007</v>
      </c>
      <c r="Y645">
        <v>6.8100000000000005</v>
      </c>
      <c r="Z645" s="8">
        <v>61.350000000000009</v>
      </c>
      <c r="AA645">
        <v>42.343500000000006</v>
      </c>
      <c r="AB645">
        <v>0.16082751780084309</v>
      </c>
      <c r="AC645">
        <v>1.4488646427432781</v>
      </c>
      <c r="AD645" s="1">
        <v>15</v>
      </c>
      <c r="AE645" s="2">
        <v>46263</v>
      </c>
      <c r="AF645" s="2">
        <v>46271</v>
      </c>
      <c r="AG645" s="2">
        <v>46278</v>
      </c>
      <c r="AH645">
        <v>44.52</v>
      </c>
      <c r="AI645" s="3">
        <v>0.75069555686704326</v>
      </c>
      <c r="AJ645" s="1">
        <v>20</v>
      </c>
      <c r="AK645" s="2">
        <v>46283</v>
      </c>
      <c r="AL645" s="4">
        <v>30</v>
      </c>
      <c r="AM645" s="5">
        <v>15</v>
      </c>
      <c r="AN645" s="4">
        <v>15</v>
      </c>
      <c r="AO645">
        <v>46.055172413793109</v>
      </c>
      <c r="AP645" s="4">
        <v>1</v>
      </c>
      <c r="AQ645" t="s">
        <v>1619</v>
      </c>
      <c r="AR645" t="s">
        <v>1620</v>
      </c>
      <c r="AT645" s="16" t="str">
        <f>_xlfn.XLOOKUP(B645,'SWiSH Demand Forecast Sep-26'!D:D,'SWiSH Demand Forecast Sep-26'!G:G,"Not Exist")</f>
        <v>Not Exist</v>
      </c>
    </row>
    <row r="646" spans="1:46" x14ac:dyDescent="0.3">
      <c r="A646">
        <v>106300059</v>
      </c>
      <c r="B646" t="s">
        <v>2554</v>
      </c>
      <c r="C646" t="s">
        <v>10</v>
      </c>
      <c r="D646" t="s">
        <v>1613</v>
      </c>
      <c r="E646" t="s">
        <v>1685</v>
      </c>
      <c r="F646" t="s">
        <v>1840</v>
      </c>
      <c r="G646" t="s">
        <v>1616</v>
      </c>
      <c r="H646" t="s">
        <v>1860</v>
      </c>
      <c r="I646" t="s">
        <v>1618</v>
      </c>
      <c r="J646" t="s">
        <v>2064</v>
      </c>
      <c r="K646">
        <v>0.62</v>
      </c>
      <c r="L646">
        <v>148.80000000000001</v>
      </c>
      <c r="M646" s="1">
        <v>3</v>
      </c>
      <c r="N646">
        <v>0</v>
      </c>
      <c r="O646">
        <v>0</v>
      </c>
      <c r="P646">
        <v>240</v>
      </c>
      <c r="Q646" s="1">
        <v>240</v>
      </c>
      <c r="R646">
        <v>12.401</v>
      </c>
      <c r="S646" s="2">
        <v>46184</v>
      </c>
      <c r="T646" s="2">
        <v>46262</v>
      </c>
      <c r="U646">
        <v>420</v>
      </c>
      <c r="V646">
        <v>480</v>
      </c>
      <c r="W646">
        <v>120</v>
      </c>
      <c r="X646">
        <v>160</v>
      </c>
      <c r="Y646">
        <v>120</v>
      </c>
      <c r="Z646" s="8">
        <v>480</v>
      </c>
      <c r="AA646">
        <v>295</v>
      </c>
      <c r="AB646">
        <v>0.40677966101694918</v>
      </c>
      <c r="AC646">
        <v>1.6271186440677967</v>
      </c>
      <c r="AD646" s="1">
        <v>15</v>
      </c>
      <c r="AE646" s="2">
        <v>46263</v>
      </c>
      <c r="AF646" s="2">
        <v>46271</v>
      </c>
      <c r="AG646" s="2">
        <v>46278</v>
      </c>
      <c r="AH646">
        <v>160</v>
      </c>
      <c r="AI646" s="3">
        <v>0.34482758620689657</v>
      </c>
      <c r="AJ646" s="1">
        <v>43</v>
      </c>
      <c r="AK646" s="2">
        <v>46306</v>
      </c>
      <c r="AL646" s="4">
        <v>30</v>
      </c>
      <c r="AM646" s="5">
        <v>15</v>
      </c>
      <c r="AN646" s="4">
        <v>15</v>
      </c>
      <c r="AO646">
        <v>165.51724137931035</v>
      </c>
      <c r="AP646" s="4">
        <v>1</v>
      </c>
      <c r="AQ646" t="s">
        <v>1619</v>
      </c>
      <c r="AR646" t="s">
        <v>1620</v>
      </c>
      <c r="AT646" s="16" t="str">
        <f>_xlfn.XLOOKUP(B646,'SWiSH Demand Forecast Sep-26'!D:D,'SWiSH Demand Forecast Sep-26'!G:G,"Not Exist")</f>
        <v>Not Exist</v>
      </c>
    </row>
    <row r="647" spans="1:46" hidden="1" x14ac:dyDescent="0.3">
      <c r="A647">
        <v>106300023</v>
      </c>
      <c r="B647" t="s">
        <v>671</v>
      </c>
      <c r="C647" t="s">
        <v>136</v>
      </c>
      <c r="D647" t="s">
        <v>1613</v>
      </c>
      <c r="E647" t="s">
        <v>2111</v>
      </c>
      <c r="F647" t="s">
        <v>1671</v>
      </c>
      <c r="G647" t="s">
        <v>1616</v>
      </c>
      <c r="H647" t="s">
        <v>1860</v>
      </c>
      <c r="I647" t="s">
        <v>1618</v>
      </c>
      <c r="J647" t="s">
        <v>136</v>
      </c>
      <c r="K647">
        <v>0.69300415999999998</v>
      </c>
      <c r="L647">
        <v>935.55561599999999</v>
      </c>
      <c r="M647" s="1">
        <v>3</v>
      </c>
      <c r="N647">
        <v>0</v>
      </c>
      <c r="O647">
        <v>0</v>
      </c>
      <c r="P647">
        <v>1350</v>
      </c>
      <c r="Q647" s="1">
        <v>1350</v>
      </c>
      <c r="R647">
        <v>0.72</v>
      </c>
      <c r="S647" s="2">
        <v>45873</v>
      </c>
      <c r="T647" s="2">
        <v>46263</v>
      </c>
      <c r="U647">
        <v>2625</v>
      </c>
      <c r="V647">
        <v>2625</v>
      </c>
      <c r="W647">
        <v>2550</v>
      </c>
      <c r="X647">
        <v>2450</v>
      </c>
      <c r="Y647">
        <v>2450</v>
      </c>
      <c r="Z647" s="8">
        <v>2625</v>
      </c>
      <c r="AA647">
        <v>2562.5</v>
      </c>
      <c r="AB647">
        <v>0.95609756097560972</v>
      </c>
      <c r="AC647">
        <v>1.024390243902439</v>
      </c>
      <c r="AD647" s="1">
        <v>15</v>
      </c>
      <c r="AE647" s="2">
        <v>46263</v>
      </c>
      <c r="AF647" s="2">
        <v>46271</v>
      </c>
      <c r="AG647" s="2">
        <v>46278</v>
      </c>
      <c r="AH647">
        <v>2175</v>
      </c>
      <c r="AI647" s="3">
        <v>0.8571428571428571</v>
      </c>
      <c r="AJ647" s="1">
        <v>18</v>
      </c>
      <c r="AK647" s="2">
        <v>46281</v>
      </c>
      <c r="AL647" s="4">
        <v>15</v>
      </c>
      <c r="AM647" s="5">
        <v>15</v>
      </c>
      <c r="AN647" s="4">
        <v>15</v>
      </c>
      <c r="AO647">
        <v>1125</v>
      </c>
      <c r="AP647" s="4">
        <v>2</v>
      </c>
      <c r="AQ647" t="s">
        <v>1619</v>
      </c>
      <c r="AR647" t="s">
        <v>1620</v>
      </c>
      <c r="AT647" s="16">
        <f>_xlfn.XLOOKUP(B647,'SWiSH Demand Forecast Sep-26'!D:D,'SWiSH Demand Forecast Sep-26'!G:G,"Not Exist")</f>
        <v>676.83047945205396</v>
      </c>
    </row>
    <row r="648" spans="1:46" hidden="1" x14ac:dyDescent="0.3">
      <c r="A648">
        <v>101300019</v>
      </c>
      <c r="B648" t="s">
        <v>241</v>
      </c>
      <c r="C648" t="s">
        <v>136</v>
      </c>
      <c r="D648" t="s">
        <v>1613</v>
      </c>
      <c r="E648" t="s">
        <v>1677</v>
      </c>
      <c r="F648" t="s">
        <v>1752</v>
      </c>
      <c r="G648" t="s">
        <v>1616</v>
      </c>
      <c r="H648" t="s">
        <v>1980</v>
      </c>
      <c r="I648" t="s">
        <v>1754</v>
      </c>
      <c r="J648" t="s">
        <v>2555</v>
      </c>
      <c r="K648">
        <v>1.16288156</v>
      </c>
      <c r="L648">
        <v>13846.430734919999</v>
      </c>
      <c r="M648" s="1">
        <v>3</v>
      </c>
      <c r="N648">
        <v>0</v>
      </c>
      <c r="O648">
        <v>0</v>
      </c>
      <c r="P648">
        <v>11907</v>
      </c>
      <c r="Q648" s="1">
        <v>11907</v>
      </c>
      <c r="R648">
        <v>10.5</v>
      </c>
      <c r="S648" s="2">
        <v>46258</v>
      </c>
      <c r="T648" s="2">
        <v>46263</v>
      </c>
      <c r="U648">
        <v>22505.4</v>
      </c>
      <c r="V648">
        <v>20394.900000000001</v>
      </c>
      <c r="W648">
        <v>20097</v>
      </c>
      <c r="X648">
        <v>17811</v>
      </c>
      <c r="Y648">
        <v>17811</v>
      </c>
      <c r="Z648" s="8">
        <v>22505.4</v>
      </c>
      <c r="AA648">
        <v>20202.075000000001</v>
      </c>
      <c r="AB648">
        <v>0.88164210854578051</v>
      </c>
      <c r="AC648">
        <v>1.1140142782362703</v>
      </c>
      <c r="AD648" s="1">
        <v>15</v>
      </c>
      <c r="AE648" s="2">
        <v>46263</v>
      </c>
      <c r="AF648" s="2">
        <v>46271</v>
      </c>
      <c r="AG648" s="2">
        <v>46278</v>
      </c>
      <c r="AH648">
        <v>17633</v>
      </c>
      <c r="AI648" s="3">
        <v>0.81051811932952178</v>
      </c>
      <c r="AJ648" s="1">
        <v>19</v>
      </c>
      <c r="AK648" s="2">
        <v>46282</v>
      </c>
      <c r="AL648" s="4">
        <v>4</v>
      </c>
      <c r="AM648" s="5">
        <v>3</v>
      </c>
      <c r="AN648" s="4">
        <v>15</v>
      </c>
      <c r="AO648">
        <v>2432.1379310344828</v>
      </c>
      <c r="AP648" s="4">
        <v>9</v>
      </c>
      <c r="AQ648" t="s">
        <v>1619</v>
      </c>
      <c r="AR648" t="s">
        <v>1620</v>
      </c>
      <c r="AT648" s="16">
        <f>_xlfn.XLOOKUP(B648,'SWiSH Demand Forecast Sep-26'!D:D,'SWiSH Demand Forecast Sep-26'!G:G,"Not Exist")</f>
        <v>7211.7</v>
      </c>
    </row>
    <row r="649" spans="1:46" x14ac:dyDescent="0.3">
      <c r="A649">
        <v>100400219</v>
      </c>
      <c r="B649" t="s">
        <v>2556</v>
      </c>
      <c r="C649" t="s">
        <v>10</v>
      </c>
      <c r="D649" t="s">
        <v>1613</v>
      </c>
      <c r="E649" t="s">
        <v>2147</v>
      </c>
      <c r="F649" t="s">
        <v>1664</v>
      </c>
      <c r="G649" t="s">
        <v>1624</v>
      </c>
      <c r="H649" t="s">
        <v>1810</v>
      </c>
      <c r="I649" t="s">
        <v>1634</v>
      </c>
      <c r="J649" t="s">
        <v>10</v>
      </c>
      <c r="K649">
        <v>8.5000000000000006E-3</v>
      </c>
      <c r="L649">
        <v>110.50000000000001</v>
      </c>
      <c r="M649" s="1">
        <v>30</v>
      </c>
      <c r="N649">
        <v>0</v>
      </c>
      <c r="O649">
        <v>0</v>
      </c>
      <c r="P649">
        <v>13000</v>
      </c>
      <c r="Q649" s="1">
        <v>13000</v>
      </c>
      <c r="R649">
        <v>8.5000000000000006E-3</v>
      </c>
      <c r="S649" s="2">
        <v>46235</v>
      </c>
      <c r="T649" s="2">
        <v>46262</v>
      </c>
      <c r="U649">
        <v>15000</v>
      </c>
      <c r="V649">
        <v>26000</v>
      </c>
      <c r="W649">
        <v>15000</v>
      </c>
      <c r="X649">
        <v>15000</v>
      </c>
      <c r="Y649">
        <v>15000</v>
      </c>
      <c r="Z649" s="8">
        <v>26000</v>
      </c>
      <c r="AA649">
        <v>17750</v>
      </c>
      <c r="AB649">
        <v>0.84507042253521125</v>
      </c>
      <c r="AC649">
        <v>1.4647887323943662</v>
      </c>
      <c r="AD649" s="1">
        <v>15</v>
      </c>
      <c r="AE649" s="2">
        <v>46263</v>
      </c>
      <c r="AF649" s="2">
        <v>46271</v>
      </c>
      <c r="AG649" s="2">
        <v>46278</v>
      </c>
      <c r="AH649">
        <v>16000</v>
      </c>
      <c r="AI649" s="3">
        <v>0.63660477453580899</v>
      </c>
      <c r="AJ649" s="1">
        <v>23</v>
      </c>
      <c r="AK649" s="2">
        <v>46286</v>
      </c>
      <c r="AL649" s="4">
        <v>30</v>
      </c>
      <c r="AM649" s="5">
        <v>15</v>
      </c>
      <c r="AN649" s="4">
        <v>15</v>
      </c>
      <c r="AO649">
        <v>16551.724137931033</v>
      </c>
      <c r="AP649" s="4">
        <v>1</v>
      </c>
      <c r="AQ649">
        <v>77000</v>
      </c>
      <c r="AR649" t="s">
        <v>2521</v>
      </c>
      <c r="AT649" s="16" t="str">
        <f>_xlfn.XLOOKUP(B649,'SWiSH Demand Forecast Sep-26'!D:D,'SWiSH Demand Forecast Sep-26'!G:G,"Not Exist")</f>
        <v>Not Exist</v>
      </c>
    </row>
    <row r="650" spans="1:46" x14ac:dyDescent="0.3">
      <c r="A650">
        <v>101400030</v>
      </c>
      <c r="B650" t="s">
        <v>2557</v>
      </c>
      <c r="C650" t="s">
        <v>240</v>
      </c>
      <c r="D650" t="s">
        <v>1613</v>
      </c>
      <c r="E650" t="s">
        <v>2558</v>
      </c>
      <c r="F650" t="s">
        <v>1644</v>
      </c>
      <c r="G650" t="s">
        <v>1624</v>
      </c>
      <c r="H650" t="s">
        <v>1693</v>
      </c>
      <c r="I650" t="s">
        <v>1634</v>
      </c>
      <c r="J650" t="s">
        <v>2039</v>
      </c>
      <c r="K650">
        <v>3</v>
      </c>
      <c r="L650">
        <v>360</v>
      </c>
      <c r="M650" s="1">
        <v>3</v>
      </c>
      <c r="N650">
        <v>0</v>
      </c>
      <c r="O650">
        <v>0</v>
      </c>
      <c r="P650">
        <v>120</v>
      </c>
      <c r="Q650" s="1">
        <v>120</v>
      </c>
      <c r="R650">
        <v>30</v>
      </c>
      <c r="S650" s="2">
        <v>46228</v>
      </c>
      <c r="T650" s="2">
        <v>46263</v>
      </c>
      <c r="U650">
        <v>145</v>
      </c>
      <c r="V650">
        <v>230</v>
      </c>
      <c r="W650">
        <v>140</v>
      </c>
      <c r="X650">
        <v>130</v>
      </c>
      <c r="Y650">
        <v>130</v>
      </c>
      <c r="Z650" s="8">
        <v>230</v>
      </c>
      <c r="AA650">
        <v>161.25</v>
      </c>
      <c r="AB650">
        <v>0.80620155038759689</v>
      </c>
      <c r="AC650">
        <v>1.4263565891472869</v>
      </c>
      <c r="AD650" s="1">
        <v>15</v>
      </c>
      <c r="AE650" s="2">
        <v>46263</v>
      </c>
      <c r="AF650" s="2">
        <v>46271</v>
      </c>
      <c r="AG650" s="2">
        <v>46278</v>
      </c>
      <c r="AH650">
        <v>100</v>
      </c>
      <c r="AI650" s="3">
        <v>0.4497751124437781</v>
      </c>
      <c r="AJ650" s="1">
        <v>34</v>
      </c>
      <c r="AK650" s="2">
        <v>46297</v>
      </c>
      <c r="AL650" s="4">
        <v>30</v>
      </c>
      <c r="AM650" s="5">
        <v>15</v>
      </c>
      <c r="AN650" s="4">
        <v>15</v>
      </c>
      <c r="AO650">
        <v>103.44827586206897</v>
      </c>
      <c r="AP650" s="4">
        <v>1</v>
      </c>
      <c r="AQ650" t="s">
        <v>1619</v>
      </c>
      <c r="AR650" t="s">
        <v>1620</v>
      </c>
      <c r="AT650" s="16" t="str">
        <f>_xlfn.XLOOKUP(B650,'SWiSH Demand Forecast Sep-26'!D:D,'SWiSH Demand Forecast Sep-26'!G:G,"Not Exist")</f>
        <v>Not Exist</v>
      </c>
    </row>
    <row r="651" spans="1:46" hidden="1" x14ac:dyDescent="0.3">
      <c r="A651">
        <v>101200011</v>
      </c>
      <c r="B651" t="s">
        <v>887</v>
      </c>
      <c r="C651" t="s">
        <v>136</v>
      </c>
      <c r="D651" t="s">
        <v>1613</v>
      </c>
      <c r="E651" t="s">
        <v>2277</v>
      </c>
      <c r="F651" t="s">
        <v>1752</v>
      </c>
      <c r="G651" t="s">
        <v>1616</v>
      </c>
      <c r="H651" t="s">
        <v>1625</v>
      </c>
      <c r="I651" t="s">
        <v>1754</v>
      </c>
      <c r="J651" t="s">
        <v>136</v>
      </c>
      <c r="K651">
        <v>2.06266346</v>
      </c>
      <c r="L651">
        <v>632.20635048999998</v>
      </c>
      <c r="M651" s="1">
        <v>3</v>
      </c>
      <c r="N651">
        <v>0</v>
      </c>
      <c r="O651">
        <v>21.75</v>
      </c>
      <c r="P651">
        <v>306.5</v>
      </c>
      <c r="Q651" s="1">
        <v>284.75</v>
      </c>
      <c r="R651">
        <v>21</v>
      </c>
      <c r="S651" s="2">
        <v>46245</v>
      </c>
      <c r="T651" s="2">
        <v>46263</v>
      </c>
      <c r="U651">
        <v>200</v>
      </c>
      <c r="V651">
        <v>537.75</v>
      </c>
      <c r="W651">
        <v>429.25</v>
      </c>
      <c r="X651">
        <v>430.5</v>
      </c>
      <c r="Y651">
        <v>200</v>
      </c>
      <c r="Z651" s="8">
        <v>537.75</v>
      </c>
      <c r="AA651">
        <v>399.375</v>
      </c>
      <c r="AB651">
        <v>0.50078247261345854</v>
      </c>
      <c r="AC651">
        <v>1.3464788732394366</v>
      </c>
      <c r="AD651" s="1">
        <v>15</v>
      </c>
      <c r="AE651" s="2">
        <v>46263</v>
      </c>
      <c r="AF651" s="2">
        <v>46271</v>
      </c>
      <c r="AG651" s="2">
        <v>46278</v>
      </c>
      <c r="AH651">
        <v>398.75</v>
      </c>
      <c r="AI651" s="3">
        <v>0.76708507670850767</v>
      </c>
      <c r="AJ651" s="1">
        <v>20</v>
      </c>
      <c r="AK651" s="2">
        <v>46283</v>
      </c>
      <c r="AL651" s="4">
        <v>8</v>
      </c>
      <c r="AM651" s="5">
        <v>5</v>
      </c>
      <c r="AN651" s="4">
        <v>15</v>
      </c>
      <c r="AO651">
        <v>110</v>
      </c>
      <c r="AP651" s="4">
        <v>4</v>
      </c>
      <c r="AQ651" t="s">
        <v>1619</v>
      </c>
      <c r="AR651" t="s">
        <v>1620</v>
      </c>
      <c r="AT651" s="16">
        <f>_xlfn.XLOOKUP(B651,'SWiSH Demand Forecast Sep-26'!D:D,'SWiSH Demand Forecast Sep-26'!G:G,"Not Exist")</f>
        <v>257.660956175298</v>
      </c>
    </row>
    <row r="652" spans="1:46" x14ac:dyDescent="0.3">
      <c r="A652">
        <v>101500006</v>
      </c>
      <c r="B652" t="s">
        <v>2559</v>
      </c>
      <c r="C652" t="s">
        <v>10</v>
      </c>
      <c r="D652" t="s">
        <v>1613</v>
      </c>
      <c r="E652" t="s">
        <v>2560</v>
      </c>
      <c r="F652" t="s">
        <v>1644</v>
      </c>
      <c r="G652" t="s">
        <v>1624</v>
      </c>
      <c r="H652" t="s">
        <v>1647</v>
      </c>
      <c r="I652" t="s">
        <v>1634</v>
      </c>
      <c r="J652" t="s">
        <v>10</v>
      </c>
      <c r="K652">
        <v>0.28333332999999999</v>
      </c>
      <c r="L652">
        <v>162.06666476000001</v>
      </c>
      <c r="M652" s="1">
        <v>3</v>
      </c>
      <c r="N652">
        <v>0</v>
      </c>
      <c r="O652">
        <v>0</v>
      </c>
      <c r="P652">
        <v>572</v>
      </c>
      <c r="Q652" s="1">
        <v>572</v>
      </c>
      <c r="R652">
        <v>0.85</v>
      </c>
      <c r="S652" s="2">
        <v>46254</v>
      </c>
      <c r="T652" s="2">
        <v>46263</v>
      </c>
      <c r="U652">
        <v>732</v>
      </c>
      <c r="V652">
        <v>876</v>
      </c>
      <c r="W652">
        <v>940</v>
      </c>
      <c r="X652">
        <v>1076</v>
      </c>
      <c r="Y652">
        <v>732</v>
      </c>
      <c r="Z652" s="8">
        <v>1076</v>
      </c>
      <c r="AA652">
        <v>906</v>
      </c>
      <c r="AB652">
        <v>0.80794701986754969</v>
      </c>
      <c r="AC652">
        <v>1.1876379690949228</v>
      </c>
      <c r="AD652" s="1">
        <v>15</v>
      </c>
      <c r="AE652" s="2">
        <v>46263</v>
      </c>
      <c r="AF652" s="2">
        <v>46271</v>
      </c>
      <c r="AG652" s="2">
        <v>46278</v>
      </c>
      <c r="AH652">
        <v>1082</v>
      </c>
      <c r="AI652" s="3">
        <v>1.0402512498397642</v>
      </c>
      <c r="AJ652" s="1">
        <v>15</v>
      </c>
      <c r="AK652" s="2">
        <v>46278</v>
      </c>
      <c r="AL652" s="4">
        <v>30</v>
      </c>
      <c r="AM652" s="5">
        <v>15</v>
      </c>
      <c r="AN652" s="4">
        <v>15</v>
      </c>
      <c r="AO652">
        <v>1119.3103448275863</v>
      </c>
      <c r="AP652" s="4">
        <v>1</v>
      </c>
      <c r="AQ652" t="s">
        <v>1619</v>
      </c>
      <c r="AR652" t="s">
        <v>1620</v>
      </c>
      <c r="AT652" s="16" t="str">
        <f>_xlfn.XLOOKUP(B652,'SWiSH Demand Forecast Sep-26'!D:D,'SWiSH Demand Forecast Sep-26'!G:G,"Not Exist")</f>
        <v>Not Exist</v>
      </c>
    </row>
    <row r="653" spans="1:46" x14ac:dyDescent="0.3">
      <c r="A653">
        <v>105900016</v>
      </c>
      <c r="B653" t="s">
        <v>2561</v>
      </c>
      <c r="C653" t="s">
        <v>10</v>
      </c>
      <c r="D653" t="s">
        <v>1613</v>
      </c>
      <c r="E653" t="s">
        <v>1732</v>
      </c>
      <c r="F653" t="s">
        <v>1664</v>
      </c>
      <c r="G653" t="s">
        <v>1616</v>
      </c>
      <c r="H653" t="s">
        <v>1729</v>
      </c>
      <c r="I653" t="s">
        <v>1634</v>
      </c>
      <c r="J653" t="s">
        <v>1733</v>
      </c>
      <c r="K653">
        <v>3.9357899999999998E-3</v>
      </c>
      <c r="L653">
        <v>33.454214999999998</v>
      </c>
      <c r="M653" s="1">
        <v>90</v>
      </c>
      <c r="N653">
        <v>0</v>
      </c>
      <c r="O653">
        <v>0</v>
      </c>
      <c r="P653">
        <v>8500</v>
      </c>
      <c r="Q653" s="1">
        <v>8500</v>
      </c>
      <c r="R653">
        <v>4.1440000000000001</v>
      </c>
      <c r="S653" s="2">
        <v>46082</v>
      </c>
      <c r="T653" s="2">
        <v>46263</v>
      </c>
      <c r="U653">
        <v>11900</v>
      </c>
      <c r="V653">
        <v>10200</v>
      </c>
      <c r="W653">
        <v>8500</v>
      </c>
      <c r="X653">
        <v>17000</v>
      </c>
      <c r="Y653">
        <v>8500</v>
      </c>
      <c r="Z653" s="8">
        <v>17000</v>
      </c>
      <c r="AA653">
        <v>11900</v>
      </c>
      <c r="AB653">
        <v>0.7142857142857143</v>
      </c>
      <c r="AC653">
        <v>1.4285714285714286</v>
      </c>
      <c r="AD653" s="1">
        <v>15</v>
      </c>
      <c r="AE653" s="2">
        <v>46263</v>
      </c>
      <c r="AF653" s="2">
        <v>46271</v>
      </c>
      <c r="AG653" s="2">
        <v>46278</v>
      </c>
      <c r="AH653">
        <v>8500</v>
      </c>
      <c r="AI653" s="3">
        <v>0.51724137931034486</v>
      </c>
      <c r="AJ653" s="1">
        <v>29</v>
      </c>
      <c r="AK653" s="2">
        <v>46292</v>
      </c>
      <c r="AL653" s="4">
        <v>120</v>
      </c>
      <c r="AM653" s="5">
        <v>100</v>
      </c>
      <c r="AN653" s="4">
        <v>15</v>
      </c>
      <c r="AO653">
        <v>35172.413793103449</v>
      </c>
      <c r="AP653" s="4">
        <v>1</v>
      </c>
      <c r="AQ653" t="s">
        <v>1619</v>
      </c>
      <c r="AR653" t="s">
        <v>1620</v>
      </c>
      <c r="AT653" s="16" t="str">
        <f>_xlfn.XLOOKUP(B653,'SWiSH Demand Forecast Sep-26'!D:D,'SWiSH Demand Forecast Sep-26'!G:G,"Not Exist")</f>
        <v>Not Exist</v>
      </c>
    </row>
    <row r="654" spans="1:46" hidden="1" x14ac:dyDescent="0.3">
      <c r="A654">
        <v>101800029</v>
      </c>
      <c r="B654" t="s">
        <v>35</v>
      </c>
      <c r="C654" t="s">
        <v>10</v>
      </c>
      <c r="D654" t="s">
        <v>1613</v>
      </c>
      <c r="E654" t="s">
        <v>2049</v>
      </c>
      <c r="F654" t="s">
        <v>1664</v>
      </c>
      <c r="G654" t="s">
        <v>1624</v>
      </c>
      <c r="H654" t="s">
        <v>2144</v>
      </c>
      <c r="I654" t="s">
        <v>1634</v>
      </c>
      <c r="J654" t="s">
        <v>2287</v>
      </c>
      <c r="K654">
        <v>2.4E-2</v>
      </c>
      <c r="L654">
        <v>1032</v>
      </c>
      <c r="M654" s="1">
        <v>30</v>
      </c>
      <c r="N654">
        <v>0</v>
      </c>
      <c r="O654">
        <v>2250</v>
      </c>
      <c r="P654">
        <v>43000</v>
      </c>
      <c r="Q654" s="1">
        <v>40750</v>
      </c>
      <c r="R654">
        <v>6</v>
      </c>
      <c r="S654" s="2">
        <v>46245</v>
      </c>
      <c r="T654" s="2">
        <v>46263</v>
      </c>
      <c r="U654">
        <v>70250</v>
      </c>
      <c r="V654">
        <v>79750</v>
      </c>
      <c r="W654">
        <v>67750</v>
      </c>
      <c r="X654">
        <v>75750</v>
      </c>
      <c r="Y654">
        <v>67750</v>
      </c>
      <c r="Z654" s="8">
        <v>79750</v>
      </c>
      <c r="AA654">
        <v>73375</v>
      </c>
      <c r="AB654">
        <v>0.92333901192504264</v>
      </c>
      <c r="AC654">
        <v>1.0868824531516184</v>
      </c>
      <c r="AD654" s="1">
        <v>15</v>
      </c>
      <c r="AE654" s="2">
        <v>46263</v>
      </c>
      <c r="AF654" s="2">
        <v>46271</v>
      </c>
      <c r="AG654" s="2">
        <v>46278</v>
      </c>
      <c r="AH654">
        <v>69750</v>
      </c>
      <c r="AI654" s="3">
        <v>0.90476705221057185</v>
      </c>
      <c r="AJ654" s="1">
        <v>16</v>
      </c>
      <c r="AK654" s="2">
        <v>46279</v>
      </c>
      <c r="AL654" s="4">
        <v>15</v>
      </c>
      <c r="AM654" s="5">
        <v>15</v>
      </c>
      <c r="AN654" s="4">
        <v>15</v>
      </c>
      <c r="AO654">
        <v>36077.586206896551</v>
      </c>
      <c r="AP654" s="4">
        <v>2</v>
      </c>
      <c r="AQ654">
        <v>200</v>
      </c>
      <c r="AR654" t="s">
        <v>2146</v>
      </c>
      <c r="AT654" s="16">
        <f>_xlfn.XLOOKUP(B654,'SWiSH Demand Forecast Sep-26'!D:D,'SWiSH Demand Forecast Sep-26'!G:G,"Not Exist")</f>
        <v>67125</v>
      </c>
    </row>
    <row r="655" spans="1:46" hidden="1" x14ac:dyDescent="0.3">
      <c r="A655">
        <v>100900042</v>
      </c>
      <c r="B655" t="s">
        <v>593</v>
      </c>
      <c r="C655" t="s">
        <v>10</v>
      </c>
      <c r="D655" t="s">
        <v>1613</v>
      </c>
      <c r="E655" t="s">
        <v>1638</v>
      </c>
      <c r="F655" t="s">
        <v>1639</v>
      </c>
      <c r="G655" t="s">
        <v>1616</v>
      </c>
      <c r="H655" t="s">
        <v>1640</v>
      </c>
      <c r="I655" t="s">
        <v>1618</v>
      </c>
      <c r="J655" t="s">
        <v>1641</v>
      </c>
      <c r="K655">
        <v>0.06</v>
      </c>
      <c r="L655">
        <v>37.86</v>
      </c>
      <c r="M655" s="1">
        <v>3</v>
      </c>
      <c r="N655">
        <v>0</v>
      </c>
      <c r="O655">
        <v>0</v>
      </c>
      <c r="P655">
        <v>631</v>
      </c>
      <c r="Q655" s="1">
        <v>631</v>
      </c>
      <c r="R655">
        <v>1.8</v>
      </c>
      <c r="S655" s="2">
        <v>46250</v>
      </c>
      <c r="T655" s="2">
        <v>46263</v>
      </c>
      <c r="U655">
        <v>1200</v>
      </c>
      <c r="V655">
        <v>630</v>
      </c>
      <c r="W655">
        <v>750</v>
      </c>
      <c r="X655">
        <v>180</v>
      </c>
      <c r="Y655">
        <v>180</v>
      </c>
      <c r="Z655" s="8">
        <v>1200</v>
      </c>
      <c r="AA655">
        <v>690</v>
      </c>
      <c r="AB655">
        <v>0.2608695652173913</v>
      </c>
      <c r="AC655">
        <v>1.7391304347826086</v>
      </c>
      <c r="AD655" s="1">
        <v>15</v>
      </c>
      <c r="AE655" s="2">
        <v>46263</v>
      </c>
      <c r="AF655" s="2">
        <v>46271</v>
      </c>
      <c r="AG655" s="2">
        <v>46278</v>
      </c>
      <c r="AH655">
        <v>1439</v>
      </c>
      <c r="AI655" s="3">
        <v>1.2405172413793102</v>
      </c>
      <c r="AJ655" s="1">
        <v>12</v>
      </c>
      <c r="AK655" s="2">
        <v>46275</v>
      </c>
      <c r="AL655" s="4">
        <v>10</v>
      </c>
      <c r="AM655" s="5">
        <v>10</v>
      </c>
      <c r="AN655" s="4">
        <v>12</v>
      </c>
      <c r="AO655">
        <v>496.20689655172407</v>
      </c>
      <c r="AP655" s="4">
        <v>3</v>
      </c>
      <c r="AQ655" t="s">
        <v>1619</v>
      </c>
      <c r="AR655" t="s">
        <v>2163</v>
      </c>
      <c r="AT655" s="16">
        <f>_xlfn.XLOOKUP(B655,'SWiSH Demand Forecast Sep-26'!D:D,'SWiSH Demand Forecast Sep-26'!G:G,"Not Exist")</f>
        <v>1051</v>
      </c>
    </row>
    <row r="656" spans="1:46" hidden="1" x14ac:dyDescent="0.3">
      <c r="A656">
        <v>106200012</v>
      </c>
      <c r="B656" t="s">
        <v>745</v>
      </c>
      <c r="C656" t="s">
        <v>240</v>
      </c>
      <c r="D656" t="s">
        <v>1613</v>
      </c>
      <c r="E656" t="s">
        <v>2562</v>
      </c>
      <c r="F656" t="s">
        <v>1671</v>
      </c>
      <c r="G656" t="s">
        <v>1616</v>
      </c>
      <c r="H656" t="s">
        <v>1672</v>
      </c>
      <c r="I656" t="s">
        <v>1618</v>
      </c>
      <c r="J656" t="s">
        <v>1673</v>
      </c>
      <c r="K656">
        <v>1.76532183</v>
      </c>
      <c r="L656">
        <v>2922.7374346212</v>
      </c>
      <c r="M656" s="1">
        <v>3</v>
      </c>
      <c r="N656">
        <v>0</v>
      </c>
      <c r="O656">
        <v>0</v>
      </c>
      <c r="P656">
        <v>1655.64</v>
      </c>
      <c r="Q656" s="1">
        <v>1655.64</v>
      </c>
      <c r="R656">
        <v>26.5</v>
      </c>
      <c r="S656" s="2">
        <v>46250</v>
      </c>
      <c r="T656" s="2">
        <v>46263</v>
      </c>
      <c r="U656">
        <v>2237.7599999999989</v>
      </c>
      <c r="V656">
        <v>2997.5399999999995</v>
      </c>
      <c r="W656">
        <v>2766.9599999999991</v>
      </c>
      <c r="X656">
        <v>3152.5199999999995</v>
      </c>
      <c r="Y656">
        <v>2237.7599999999989</v>
      </c>
      <c r="Z656" s="8">
        <v>3152.5199999999995</v>
      </c>
      <c r="AA656">
        <v>2788.6949999999993</v>
      </c>
      <c r="AB656">
        <v>0.80243985089800052</v>
      </c>
      <c r="AC656">
        <v>1.1304642494069808</v>
      </c>
      <c r="AD656" s="1">
        <v>15</v>
      </c>
      <c r="AE656" s="2">
        <v>46263</v>
      </c>
      <c r="AF656" s="2">
        <v>46271</v>
      </c>
      <c r="AG656" s="2">
        <v>46278</v>
      </c>
      <c r="AH656">
        <v>2812.32</v>
      </c>
      <c r="AI656" s="3">
        <v>0.92284792855370901</v>
      </c>
      <c r="AJ656" s="1">
        <v>17</v>
      </c>
      <c r="AK656" s="2">
        <v>46280</v>
      </c>
      <c r="AL656" s="4">
        <v>15</v>
      </c>
      <c r="AM656" s="5">
        <v>15</v>
      </c>
      <c r="AN656" s="4">
        <v>15</v>
      </c>
      <c r="AO656">
        <v>1454.6482758620691</v>
      </c>
      <c r="AP656" s="4">
        <v>2</v>
      </c>
      <c r="AQ656" t="s">
        <v>1619</v>
      </c>
      <c r="AR656" t="s">
        <v>2563</v>
      </c>
      <c r="AT656" s="16">
        <f>_xlfn.XLOOKUP(B656,'SWiSH Demand Forecast Sep-26'!D:D,'SWiSH Demand Forecast Sep-26'!G:G,"Not Exist")</f>
        <v>517.48240270843803</v>
      </c>
    </row>
    <row r="657" spans="1:46" hidden="1" x14ac:dyDescent="0.3">
      <c r="A657">
        <v>100400109</v>
      </c>
      <c r="B657" t="s">
        <v>15</v>
      </c>
      <c r="C657" t="s">
        <v>10</v>
      </c>
      <c r="D657" t="s">
        <v>1613</v>
      </c>
      <c r="E657" t="s">
        <v>1638</v>
      </c>
      <c r="F657" t="s">
        <v>1664</v>
      </c>
      <c r="G657" t="s">
        <v>1624</v>
      </c>
      <c r="H657" t="s">
        <v>1810</v>
      </c>
      <c r="I657" t="s">
        <v>1634</v>
      </c>
      <c r="J657" t="s">
        <v>10</v>
      </c>
      <c r="K657">
        <v>5.4999999999999997E-3</v>
      </c>
      <c r="L657">
        <v>41.25</v>
      </c>
      <c r="M657" s="1">
        <v>30</v>
      </c>
      <c r="N657">
        <v>0</v>
      </c>
      <c r="O657">
        <v>0</v>
      </c>
      <c r="P657">
        <v>7500</v>
      </c>
      <c r="Q657" s="1">
        <v>7500</v>
      </c>
      <c r="R657">
        <v>5.4999999999999997E-3</v>
      </c>
      <c r="S657" s="2">
        <v>46163</v>
      </c>
      <c r="T657" s="2">
        <v>46262</v>
      </c>
      <c r="U657">
        <v>7500</v>
      </c>
      <c r="V657">
        <v>10000</v>
      </c>
      <c r="W657">
        <v>15000</v>
      </c>
      <c r="X657">
        <v>7500</v>
      </c>
      <c r="Y657">
        <v>7500</v>
      </c>
      <c r="Z657" s="8">
        <v>15000</v>
      </c>
      <c r="AA657">
        <v>10000</v>
      </c>
      <c r="AB657">
        <v>0.75</v>
      </c>
      <c r="AC657">
        <v>1.5</v>
      </c>
      <c r="AD657" s="1">
        <v>15</v>
      </c>
      <c r="AE657" s="2">
        <v>46263</v>
      </c>
      <c r="AF657" s="2">
        <v>46271</v>
      </c>
      <c r="AG657" s="2">
        <v>46278</v>
      </c>
      <c r="AH657">
        <v>15000</v>
      </c>
      <c r="AI657" s="3">
        <v>1.0344827586206897</v>
      </c>
      <c r="AJ657" s="1">
        <v>14</v>
      </c>
      <c r="AK657" s="2">
        <v>46277</v>
      </c>
      <c r="AL657" s="4">
        <v>30</v>
      </c>
      <c r="AM657" s="5">
        <v>15</v>
      </c>
      <c r="AN657" s="4">
        <v>14</v>
      </c>
      <c r="AO657">
        <v>15517.241379310346</v>
      </c>
      <c r="AP657" s="4">
        <v>1</v>
      </c>
      <c r="AQ657">
        <v>50000</v>
      </c>
      <c r="AR657" t="s">
        <v>2076</v>
      </c>
      <c r="AT657" s="16">
        <f>_xlfn.XLOOKUP(B657,'SWiSH Demand Forecast Sep-26'!D:D,'SWiSH Demand Forecast Sep-26'!G:G,"Not Exist")</f>
        <v>172724</v>
      </c>
    </row>
    <row r="658" spans="1:46" hidden="1" x14ac:dyDescent="0.3">
      <c r="A658">
        <v>105000011</v>
      </c>
      <c r="B658" t="s">
        <v>927</v>
      </c>
      <c r="C658" t="s">
        <v>240</v>
      </c>
      <c r="D658" t="s">
        <v>1613</v>
      </c>
      <c r="E658" t="s">
        <v>2564</v>
      </c>
      <c r="F658" t="s">
        <v>1671</v>
      </c>
      <c r="G658" t="s">
        <v>1616</v>
      </c>
      <c r="H658" t="s">
        <v>2002</v>
      </c>
      <c r="I658" t="s">
        <v>1618</v>
      </c>
      <c r="J658" t="s">
        <v>240</v>
      </c>
      <c r="K658">
        <v>0.72222224000000002</v>
      </c>
      <c r="L658">
        <v>431.16667727999999</v>
      </c>
      <c r="M658" s="1">
        <v>3</v>
      </c>
      <c r="N658">
        <v>0</v>
      </c>
      <c r="O658">
        <v>0</v>
      </c>
      <c r="P658">
        <v>597</v>
      </c>
      <c r="Q658" s="1">
        <v>597</v>
      </c>
      <c r="R658">
        <v>7.75</v>
      </c>
      <c r="S658" s="2">
        <v>46257</v>
      </c>
      <c r="T658" s="2">
        <v>46263</v>
      </c>
      <c r="U658">
        <v>1161</v>
      </c>
      <c r="V658">
        <v>684</v>
      </c>
      <c r="W658">
        <v>624</v>
      </c>
      <c r="X658">
        <v>651</v>
      </c>
      <c r="Y658">
        <v>624</v>
      </c>
      <c r="Z658" s="8">
        <v>1161</v>
      </c>
      <c r="AA658">
        <v>780</v>
      </c>
      <c r="AB658">
        <v>0.8</v>
      </c>
      <c r="AC658">
        <v>1.4884615384615385</v>
      </c>
      <c r="AD658" s="1">
        <v>15</v>
      </c>
      <c r="AE658" s="2">
        <v>46263</v>
      </c>
      <c r="AF658" s="2">
        <v>46271</v>
      </c>
      <c r="AG658" s="2">
        <v>46278</v>
      </c>
      <c r="AH658">
        <v>957</v>
      </c>
      <c r="AI658" s="3">
        <v>0.8527131782945736</v>
      </c>
      <c r="AJ658" s="1">
        <v>18</v>
      </c>
      <c r="AK658" s="2">
        <v>46281</v>
      </c>
      <c r="AL658" s="4">
        <v>30</v>
      </c>
      <c r="AM658" s="5">
        <v>15</v>
      </c>
      <c r="AN658" s="4">
        <v>15</v>
      </c>
      <c r="AO658">
        <v>990</v>
      </c>
      <c r="AP658" s="4">
        <v>1</v>
      </c>
      <c r="AQ658" t="s">
        <v>1619</v>
      </c>
      <c r="AR658" t="s">
        <v>1620</v>
      </c>
      <c r="AT658" s="16">
        <f>_xlfn.XLOOKUP(B658,'SWiSH Demand Forecast Sep-26'!D:D,'SWiSH Demand Forecast Sep-26'!G:G,"Not Exist")</f>
        <v>215.93053588270499</v>
      </c>
    </row>
    <row r="659" spans="1:46" x14ac:dyDescent="0.3">
      <c r="A659">
        <v>105300025</v>
      </c>
      <c r="B659" t="s">
        <v>2565</v>
      </c>
      <c r="C659" t="s">
        <v>10</v>
      </c>
      <c r="D659" t="s">
        <v>1613</v>
      </c>
      <c r="E659" t="s">
        <v>1745</v>
      </c>
      <c r="F659" t="s">
        <v>1664</v>
      </c>
      <c r="G659" t="s">
        <v>1624</v>
      </c>
      <c r="H659" t="s">
        <v>1978</v>
      </c>
      <c r="I659" t="s">
        <v>1634</v>
      </c>
      <c r="J659" t="s">
        <v>10</v>
      </c>
      <c r="K659">
        <v>3.5000000000000003E-2</v>
      </c>
      <c r="L659">
        <v>38.500000000000007</v>
      </c>
      <c r="M659" s="1">
        <v>30</v>
      </c>
      <c r="N659">
        <v>0</v>
      </c>
      <c r="O659">
        <v>100</v>
      </c>
      <c r="P659">
        <v>1100</v>
      </c>
      <c r="Q659" s="1">
        <v>1000</v>
      </c>
      <c r="R659">
        <v>3.5000000000000003E-2</v>
      </c>
      <c r="S659" s="2">
        <v>46210</v>
      </c>
      <c r="T659" s="2">
        <v>46261</v>
      </c>
      <c r="U659">
        <v>1400</v>
      </c>
      <c r="V659">
        <v>1700</v>
      </c>
      <c r="W659">
        <v>1900</v>
      </c>
      <c r="X659">
        <v>1800</v>
      </c>
      <c r="Y659">
        <v>1400</v>
      </c>
      <c r="Z659" s="8">
        <v>1900</v>
      </c>
      <c r="AA659">
        <v>4762.8229829974807</v>
      </c>
      <c r="AB659">
        <v>0.29394331995914547</v>
      </c>
      <c r="AC659">
        <v>0.39892307708741165</v>
      </c>
      <c r="AD659" s="1">
        <v>15</v>
      </c>
      <c r="AE659" s="2">
        <v>46263</v>
      </c>
      <c r="AF659" s="2">
        <v>46271</v>
      </c>
      <c r="AG659" s="2">
        <v>46278</v>
      </c>
      <c r="AH659">
        <v>1400</v>
      </c>
      <c r="AI659" s="3">
        <v>0.76225045372050815</v>
      </c>
      <c r="AJ659" s="1">
        <v>20</v>
      </c>
      <c r="AK659" s="2">
        <v>46283</v>
      </c>
      <c r="AL659" s="4">
        <v>30</v>
      </c>
      <c r="AM659" s="5">
        <v>15</v>
      </c>
      <c r="AN659" s="4">
        <v>15</v>
      </c>
      <c r="AO659">
        <v>1448.2758620689656</v>
      </c>
      <c r="AP659" s="4">
        <v>1</v>
      </c>
      <c r="AQ659">
        <v>10000</v>
      </c>
      <c r="AR659" t="s">
        <v>2098</v>
      </c>
      <c r="AT659" s="16" t="str">
        <f>_xlfn.XLOOKUP(B659,'SWiSH Demand Forecast Sep-26'!D:D,'SWiSH Demand Forecast Sep-26'!G:G,"Not Exist")</f>
        <v>Not Exist</v>
      </c>
    </row>
    <row r="660" spans="1:46" x14ac:dyDescent="0.3">
      <c r="A660">
        <v>101400002</v>
      </c>
      <c r="B660" t="s">
        <v>2566</v>
      </c>
      <c r="C660" t="s">
        <v>240</v>
      </c>
      <c r="D660" t="s">
        <v>1613</v>
      </c>
      <c r="E660" t="s">
        <v>2567</v>
      </c>
      <c r="F660" t="s">
        <v>1644</v>
      </c>
      <c r="G660" t="s">
        <v>1624</v>
      </c>
      <c r="H660" t="s">
        <v>1693</v>
      </c>
      <c r="I660" t="s">
        <v>1634</v>
      </c>
      <c r="J660" t="s">
        <v>1743</v>
      </c>
      <c r="K660">
        <v>0.32500000000000001</v>
      </c>
      <c r="L660">
        <v>503.75</v>
      </c>
      <c r="M660" s="1">
        <v>3</v>
      </c>
      <c r="N660">
        <v>0</v>
      </c>
      <c r="O660">
        <v>20</v>
      </c>
      <c r="P660">
        <v>1550</v>
      </c>
      <c r="Q660" s="1">
        <v>1530</v>
      </c>
      <c r="R660">
        <v>6.5</v>
      </c>
      <c r="S660" s="2">
        <v>46263</v>
      </c>
      <c r="T660" s="2">
        <v>46263</v>
      </c>
      <c r="U660">
        <v>2050</v>
      </c>
      <c r="V660">
        <v>2680</v>
      </c>
      <c r="W660">
        <v>2830</v>
      </c>
      <c r="X660">
        <v>2070</v>
      </c>
      <c r="Y660">
        <v>2050</v>
      </c>
      <c r="Z660" s="8">
        <v>2830</v>
      </c>
      <c r="AA660">
        <v>2407.5</v>
      </c>
      <c r="AB660">
        <v>0.85150571131879538</v>
      </c>
      <c r="AC660">
        <v>1.1754932502596054</v>
      </c>
      <c r="AD660" s="1">
        <v>16</v>
      </c>
      <c r="AE660" s="2">
        <v>46264</v>
      </c>
      <c r="AF660" s="2">
        <v>46272</v>
      </c>
      <c r="AG660" s="2">
        <v>46279</v>
      </c>
      <c r="AH660">
        <v>2525</v>
      </c>
      <c r="AI660" s="3">
        <v>0.92299256732057999</v>
      </c>
      <c r="AJ660" s="1">
        <v>17</v>
      </c>
      <c r="AK660" s="2">
        <v>46280</v>
      </c>
      <c r="AL660" s="4">
        <v>10</v>
      </c>
      <c r="AM660" s="5">
        <v>10</v>
      </c>
      <c r="AN660" s="4">
        <v>16</v>
      </c>
      <c r="AO660">
        <v>870.68965517241372</v>
      </c>
      <c r="AP660" s="4">
        <v>3</v>
      </c>
      <c r="AQ660" t="s">
        <v>1619</v>
      </c>
      <c r="AR660" t="s">
        <v>1620</v>
      </c>
      <c r="AT660" s="16" t="str">
        <f>_xlfn.XLOOKUP(B660,'SWiSH Demand Forecast Sep-26'!D:D,'SWiSH Demand Forecast Sep-26'!G:G,"Not Exist")</f>
        <v>Not Exist</v>
      </c>
    </row>
    <row r="661" spans="1:46" hidden="1" x14ac:dyDescent="0.3">
      <c r="A661">
        <v>100400025</v>
      </c>
      <c r="B661" t="s">
        <v>84</v>
      </c>
      <c r="C661" t="s">
        <v>10</v>
      </c>
      <c r="D661" t="s">
        <v>1613</v>
      </c>
      <c r="E661" t="s">
        <v>2091</v>
      </c>
      <c r="F661" t="s">
        <v>1664</v>
      </c>
      <c r="G661" t="s">
        <v>1624</v>
      </c>
      <c r="H661" t="s">
        <v>1810</v>
      </c>
      <c r="I661" t="s">
        <v>1634</v>
      </c>
      <c r="J661" t="s">
        <v>10</v>
      </c>
      <c r="K661">
        <v>1.4999999999999999E-2</v>
      </c>
      <c r="L661">
        <v>371.25</v>
      </c>
      <c r="M661" s="1">
        <v>30</v>
      </c>
      <c r="N661">
        <v>0</v>
      </c>
      <c r="O661">
        <v>0</v>
      </c>
      <c r="P661">
        <v>24750</v>
      </c>
      <c r="Q661" s="1">
        <v>24750</v>
      </c>
      <c r="R661">
        <v>1.4999999999999999E-2</v>
      </c>
      <c r="S661" s="2">
        <v>46260</v>
      </c>
      <c r="T661" s="2">
        <v>46263</v>
      </c>
      <c r="U661">
        <v>39500</v>
      </c>
      <c r="V661">
        <v>42250</v>
      </c>
      <c r="W661">
        <v>44750</v>
      </c>
      <c r="X661">
        <v>43000</v>
      </c>
      <c r="Y661">
        <v>39500</v>
      </c>
      <c r="Z661" s="8">
        <v>44750</v>
      </c>
      <c r="AA661">
        <v>42375</v>
      </c>
      <c r="AB661">
        <v>0.93215339233038352</v>
      </c>
      <c r="AC661">
        <v>1.056047197640118</v>
      </c>
      <c r="AD661" s="1">
        <v>16</v>
      </c>
      <c r="AE661" s="2">
        <v>46264</v>
      </c>
      <c r="AF661" s="2">
        <v>46272</v>
      </c>
      <c r="AG661" s="2">
        <v>46279</v>
      </c>
      <c r="AH661">
        <v>42000</v>
      </c>
      <c r="AI661" s="3">
        <v>0.97091119244846846</v>
      </c>
      <c r="AJ661" s="1">
        <v>17</v>
      </c>
      <c r="AK661" s="2">
        <v>46280</v>
      </c>
      <c r="AL661" s="4">
        <v>10</v>
      </c>
      <c r="AM661" s="5">
        <v>10</v>
      </c>
      <c r="AN661" s="4">
        <v>16</v>
      </c>
      <c r="AO661">
        <v>14482.758620689656</v>
      </c>
      <c r="AP661" s="4">
        <v>3</v>
      </c>
      <c r="AQ661">
        <v>137500</v>
      </c>
      <c r="AR661" t="s">
        <v>2076</v>
      </c>
      <c r="AT661" s="16">
        <f>_xlfn.XLOOKUP(B661,'SWiSH Demand Forecast Sep-26'!D:D,'SWiSH Demand Forecast Sep-26'!G:G,"Not Exist")</f>
        <v>26808</v>
      </c>
    </row>
    <row r="662" spans="1:46" hidden="1" x14ac:dyDescent="0.3">
      <c r="A662">
        <v>101700022</v>
      </c>
      <c r="B662" t="s">
        <v>866</v>
      </c>
      <c r="C662" t="s">
        <v>240</v>
      </c>
      <c r="D662" t="s">
        <v>1613</v>
      </c>
      <c r="E662" t="s">
        <v>1940</v>
      </c>
      <c r="F662" t="s">
        <v>1833</v>
      </c>
      <c r="G662" t="s">
        <v>1616</v>
      </c>
      <c r="H662" t="s">
        <v>2221</v>
      </c>
      <c r="I662" t="s">
        <v>1626</v>
      </c>
      <c r="J662" t="s">
        <v>2568</v>
      </c>
      <c r="K662">
        <v>1.7856663500000001</v>
      </c>
      <c r="L662">
        <v>492.84391260000001</v>
      </c>
      <c r="M662" s="1">
        <v>3</v>
      </c>
      <c r="N662">
        <v>0</v>
      </c>
      <c r="O662">
        <v>0</v>
      </c>
      <c r="P662">
        <v>276</v>
      </c>
      <c r="Q662" s="1">
        <v>276</v>
      </c>
      <c r="R662">
        <v>26.352</v>
      </c>
      <c r="S662" s="2">
        <v>46254</v>
      </c>
      <c r="T662" s="2">
        <v>46258</v>
      </c>
      <c r="U662">
        <v>408</v>
      </c>
      <c r="V662">
        <v>498</v>
      </c>
      <c r="W662">
        <v>264</v>
      </c>
      <c r="X662">
        <v>492</v>
      </c>
      <c r="Y662">
        <v>264</v>
      </c>
      <c r="Z662" s="8">
        <v>498</v>
      </c>
      <c r="AA662">
        <v>415.5</v>
      </c>
      <c r="AB662">
        <v>0.63537906137184119</v>
      </c>
      <c r="AC662">
        <v>1.1985559566787003</v>
      </c>
      <c r="AD662" s="1">
        <v>16</v>
      </c>
      <c r="AE662" s="2">
        <v>46264</v>
      </c>
      <c r="AF662" s="2">
        <v>46272</v>
      </c>
      <c r="AG662" s="2">
        <v>46279</v>
      </c>
      <c r="AH662">
        <v>408</v>
      </c>
      <c r="AI662" s="3">
        <v>0.84752804320731201</v>
      </c>
      <c r="AJ662" s="1">
        <v>19</v>
      </c>
      <c r="AK662" s="2">
        <v>46282</v>
      </c>
      <c r="AL662" s="4">
        <v>30</v>
      </c>
      <c r="AM662" s="5">
        <v>15</v>
      </c>
      <c r="AN662" s="4">
        <v>16</v>
      </c>
      <c r="AO662">
        <v>422.06896551724145</v>
      </c>
      <c r="AP662" s="4">
        <v>1</v>
      </c>
      <c r="AQ662" t="s">
        <v>1619</v>
      </c>
      <c r="AR662" t="s">
        <v>1620</v>
      </c>
      <c r="AT662" s="16">
        <f>_xlfn.XLOOKUP(B662,'SWiSH Demand Forecast Sep-26'!D:D,'SWiSH Demand Forecast Sep-26'!G:G,"Not Exist")</f>
        <v>282.37478083233998</v>
      </c>
    </row>
    <row r="663" spans="1:46" hidden="1" x14ac:dyDescent="0.3">
      <c r="A663">
        <v>106200095</v>
      </c>
      <c r="B663" t="s">
        <v>1327</v>
      </c>
      <c r="C663" t="s">
        <v>240</v>
      </c>
      <c r="D663" t="s">
        <v>1613</v>
      </c>
      <c r="E663" t="s">
        <v>2161</v>
      </c>
      <c r="F663" t="s">
        <v>1671</v>
      </c>
      <c r="G663" t="s">
        <v>1616</v>
      </c>
      <c r="H663" t="s">
        <v>1672</v>
      </c>
      <c r="I663" t="s">
        <v>1618</v>
      </c>
      <c r="J663" t="s">
        <v>2569</v>
      </c>
      <c r="K663">
        <v>10</v>
      </c>
      <c r="L663">
        <v>85</v>
      </c>
      <c r="M663" s="1">
        <v>3</v>
      </c>
      <c r="N663">
        <v>0</v>
      </c>
      <c r="O663">
        <v>0</v>
      </c>
      <c r="P663">
        <v>8.5</v>
      </c>
      <c r="Q663" s="1">
        <v>8.5</v>
      </c>
      <c r="R663">
        <v>15</v>
      </c>
      <c r="S663" s="2">
        <v>46246</v>
      </c>
      <c r="T663" s="2">
        <v>46244</v>
      </c>
      <c r="U663">
        <v>10</v>
      </c>
      <c r="V663">
        <v>12.25</v>
      </c>
      <c r="W663">
        <v>14.25</v>
      </c>
      <c r="X663">
        <v>15.5</v>
      </c>
      <c r="Y663">
        <v>10</v>
      </c>
      <c r="Z663" s="8">
        <v>15.5</v>
      </c>
      <c r="AA663">
        <v>13</v>
      </c>
      <c r="AB663">
        <v>0.76923076923076927</v>
      </c>
      <c r="AC663">
        <v>1.1923076923076923</v>
      </c>
      <c r="AD663" s="1">
        <v>16</v>
      </c>
      <c r="AE663" s="2">
        <v>46264</v>
      </c>
      <c r="AF663" s="2">
        <v>46272</v>
      </c>
      <c r="AG663" s="2">
        <v>46279</v>
      </c>
      <c r="AH663">
        <v>4.5</v>
      </c>
      <c r="AI663" s="3">
        <v>0.30033370411568405</v>
      </c>
      <c r="AJ663" s="1">
        <v>54</v>
      </c>
      <c r="AK663" s="2">
        <v>46317</v>
      </c>
      <c r="AL663" s="4">
        <v>30</v>
      </c>
      <c r="AM663" s="5">
        <v>15</v>
      </c>
      <c r="AN663" s="4">
        <v>16</v>
      </c>
      <c r="AO663">
        <v>4.6551724137931032</v>
      </c>
      <c r="AP663" s="4">
        <v>1</v>
      </c>
      <c r="AQ663" t="s">
        <v>1619</v>
      </c>
      <c r="AR663" t="s">
        <v>1620</v>
      </c>
      <c r="AT663" s="16">
        <f>_xlfn.XLOOKUP(B663,'SWiSH Demand Forecast Sep-26'!D:D,'SWiSH Demand Forecast Sep-26'!G:G,"Not Exist")</f>
        <v>26.773904052936299</v>
      </c>
    </row>
    <row r="664" spans="1:46" hidden="1" x14ac:dyDescent="0.3">
      <c r="A664">
        <v>101000000</v>
      </c>
      <c r="B664" t="s">
        <v>1162</v>
      </c>
      <c r="C664" t="s">
        <v>240</v>
      </c>
      <c r="D664" t="s">
        <v>1629</v>
      </c>
      <c r="E664" t="s">
        <v>2501</v>
      </c>
      <c r="F664" t="s">
        <v>1639</v>
      </c>
      <c r="G664" t="s">
        <v>1616</v>
      </c>
      <c r="H664" t="s">
        <v>1889</v>
      </c>
      <c r="I664" t="s">
        <v>1618</v>
      </c>
      <c r="J664" t="s">
        <v>2502</v>
      </c>
      <c r="K664">
        <v>1.52631579</v>
      </c>
      <c r="L664">
        <v>232.00000008000001</v>
      </c>
      <c r="M664" s="1">
        <v>3</v>
      </c>
      <c r="N664">
        <v>0</v>
      </c>
      <c r="O664">
        <v>0</v>
      </c>
      <c r="P664">
        <v>152</v>
      </c>
      <c r="Q664" s="1">
        <v>152</v>
      </c>
      <c r="R664">
        <v>29</v>
      </c>
      <c r="S664" s="2">
        <v>46214</v>
      </c>
      <c r="T664" s="2">
        <v>46221</v>
      </c>
      <c r="U664">
        <v>285</v>
      </c>
      <c r="V664">
        <v>228</v>
      </c>
      <c r="W664">
        <v>228</v>
      </c>
      <c r="X664">
        <v>152</v>
      </c>
      <c r="Y664">
        <v>152</v>
      </c>
      <c r="Z664" s="8">
        <v>285</v>
      </c>
      <c r="AA664">
        <v>223.25</v>
      </c>
      <c r="AB664">
        <v>0.68085106382978722</v>
      </c>
      <c r="AC664">
        <v>1.2765957446808511</v>
      </c>
      <c r="AD664" s="1">
        <v>16</v>
      </c>
      <c r="AE664" s="2">
        <v>46264</v>
      </c>
      <c r="AF664" s="2">
        <v>46272</v>
      </c>
      <c r="AG664" s="2">
        <v>46279</v>
      </c>
      <c r="AH664">
        <v>0</v>
      </c>
      <c r="AI664" s="3">
        <v>0</v>
      </c>
      <c r="AJ664" s="1" t="s">
        <v>1635</v>
      </c>
      <c r="AK664" s="2" t="s">
        <v>1635</v>
      </c>
      <c r="AL664" s="4" t="s">
        <v>1636</v>
      </c>
      <c r="AM664" s="5" t="s">
        <v>1636</v>
      </c>
      <c r="AN664" s="4">
        <v>16</v>
      </c>
      <c r="AO664" t="s">
        <v>1635</v>
      </c>
      <c r="AP664" s="4" t="s">
        <v>1636</v>
      </c>
      <c r="AQ664" t="s">
        <v>1619</v>
      </c>
      <c r="AR664" t="s">
        <v>1794</v>
      </c>
      <c r="AT664" s="16">
        <f>_xlfn.XLOOKUP(B664,'SWiSH Demand Forecast Sep-26'!D:D,'SWiSH Demand Forecast Sep-26'!G:G,"Not Exist")</f>
        <v>74.92</v>
      </c>
    </row>
    <row r="665" spans="1:46" hidden="1" x14ac:dyDescent="0.3">
      <c r="A665">
        <v>102500003</v>
      </c>
      <c r="B665" t="s">
        <v>1383</v>
      </c>
      <c r="C665" t="s">
        <v>136</v>
      </c>
      <c r="D665" t="s">
        <v>1613</v>
      </c>
      <c r="E665" t="s">
        <v>2111</v>
      </c>
      <c r="F665" t="s">
        <v>1927</v>
      </c>
      <c r="G665" t="s">
        <v>1616</v>
      </c>
      <c r="H665" t="s">
        <v>1928</v>
      </c>
      <c r="I665" t="s">
        <v>1618</v>
      </c>
      <c r="J665" t="s">
        <v>2125</v>
      </c>
      <c r="K665">
        <v>0.59756164000000001</v>
      </c>
      <c r="L665">
        <v>103.0793829</v>
      </c>
      <c r="M665" s="1">
        <v>3</v>
      </c>
      <c r="N665">
        <v>0</v>
      </c>
      <c r="O665">
        <v>0</v>
      </c>
      <c r="P665">
        <v>172.5</v>
      </c>
      <c r="Q665" s="1">
        <v>172.5</v>
      </c>
      <c r="R665">
        <v>4.49</v>
      </c>
      <c r="S665" s="2">
        <v>46212</v>
      </c>
      <c r="T665" s="2">
        <v>46250</v>
      </c>
      <c r="U665">
        <v>292.5</v>
      </c>
      <c r="V665">
        <v>322.5</v>
      </c>
      <c r="W665">
        <v>210</v>
      </c>
      <c r="X665">
        <v>142.5</v>
      </c>
      <c r="Y665">
        <v>142.5</v>
      </c>
      <c r="Z665" s="8">
        <v>322.5</v>
      </c>
      <c r="AA665">
        <v>241.875</v>
      </c>
      <c r="AB665">
        <v>0.58914728682170547</v>
      </c>
      <c r="AC665">
        <v>1.3333333333333333</v>
      </c>
      <c r="AD665" s="1">
        <v>16</v>
      </c>
      <c r="AE665" s="2">
        <v>46264</v>
      </c>
      <c r="AF665" s="2">
        <v>46272</v>
      </c>
      <c r="AG665" s="2">
        <v>46279</v>
      </c>
      <c r="AH665">
        <v>187.5</v>
      </c>
      <c r="AI665" s="3">
        <v>0.60144346431435447</v>
      </c>
      <c r="AJ665" s="1">
        <v>26</v>
      </c>
      <c r="AK665" s="2">
        <v>46289</v>
      </c>
      <c r="AL665" s="4">
        <v>30</v>
      </c>
      <c r="AM665" s="5">
        <v>15</v>
      </c>
      <c r="AN665" s="4">
        <v>16</v>
      </c>
      <c r="AO665">
        <v>193.9655172413793</v>
      </c>
      <c r="AP665" s="4">
        <v>1</v>
      </c>
      <c r="AQ665" t="s">
        <v>1619</v>
      </c>
      <c r="AR665" t="s">
        <v>2189</v>
      </c>
      <c r="AT665" s="16">
        <f>_xlfn.XLOOKUP(B665,'SWiSH Demand Forecast Sep-26'!D:D,'SWiSH Demand Forecast Sep-26'!G:G,"Not Exist")</f>
        <v>16.961073825503298</v>
      </c>
    </row>
    <row r="666" spans="1:46" hidden="1" x14ac:dyDescent="0.3">
      <c r="A666">
        <v>103700114</v>
      </c>
      <c r="B666" t="s">
        <v>1329</v>
      </c>
      <c r="C666" t="s">
        <v>136</v>
      </c>
      <c r="D666" t="s">
        <v>1613</v>
      </c>
      <c r="E666" t="s">
        <v>1732</v>
      </c>
      <c r="F666" t="s">
        <v>1615</v>
      </c>
      <c r="G666" t="s">
        <v>1616</v>
      </c>
      <c r="H666" t="s">
        <v>1617</v>
      </c>
      <c r="I666" t="s">
        <v>1618</v>
      </c>
      <c r="J666" t="s">
        <v>136</v>
      </c>
      <c r="K666">
        <v>4</v>
      </c>
      <c r="L666">
        <v>200</v>
      </c>
      <c r="M666" s="1">
        <v>7</v>
      </c>
      <c r="N666">
        <v>0</v>
      </c>
      <c r="O666">
        <v>0</v>
      </c>
      <c r="P666">
        <v>50</v>
      </c>
      <c r="Q666" s="1">
        <v>50</v>
      </c>
      <c r="R666">
        <v>4</v>
      </c>
      <c r="S666" s="2">
        <v>46183</v>
      </c>
      <c r="T666" s="2">
        <v>46258</v>
      </c>
      <c r="U666">
        <v>91</v>
      </c>
      <c r="V666">
        <v>36</v>
      </c>
      <c r="W666">
        <v>40</v>
      </c>
      <c r="X666">
        <v>20</v>
      </c>
      <c r="Y666">
        <v>20</v>
      </c>
      <c r="Z666" s="8">
        <v>91</v>
      </c>
      <c r="AA666">
        <v>46.75</v>
      </c>
      <c r="AB666">
        <v>0.42780748663101603</v>
      </c>
      <c r="AC666">
        <v>1.946524064171123</v>
      </c>
      <c r="AD666" s="1">
        <v>16</v>
      </c>
      <c r="AE666" s="2">
        <v>46264</v>
      </c>
      <c r="AF666" s="2">
        <v>46272</v>
      </c>
      <c r="AG666" s="2">
        <v>46279</v>
      </c>
      <c r="AH666">
        <v>30</v>
      </c>
      <c r="AI666" s="3">
        <v>0.34103827207275483</v>
      </c>
      <c r="AJ666" s="1">
        <v>48</v>
      </c>
      <c r="AK666" s="2">
        <v>46311</v>
      </c>
      <c r="AL666" s="4">
        <v>30</v>
      </c>
      <c r="AM666" s="5">
        <v>15</v>
      </c>
      <c r="AN666" s="4">
        <v>16</v>
      </c>
      <c r="AO666">
        <v>31.03448275862069</v>
      </c>
      <c r="AP666" s="4">
        <v>1</v>
      </c>
      <c r="AQ666" t="s">
        <v>1619</v>
      </c>
      <c r="AR666" t="s">
        <v>1859</v>
      </c>
      <c r="AT666" s="16">
        <f>_xlfn.XLOOKUP(B666,'SWiSH Demand Forecast Sep-26'!D:D,'SWiSH Demand Forecast Sep-26'!G:G,"Not Exist")</f>
        <v>26.260466082408001</v>
      </c>
    </row>
    <row r="667" spans="1:46" x14ac:dyDescent="0.3">
      <c r="A667">
        <v>106700018</v>
      </c>
      <c r="B667" t="s">
        <v>2570</v>
      </c>
      <c r="C667" t="s">
        <v>10</v>
      </c>
      <c r="D667" t="s">
        <v>1613</v>
      </c>
      <c r="E667" t="s">
        <v>2571</v>
      </c>
      <c r="F667" t="s">
        <v>1650</v>
      </c>
      <c r="G667" t="s">
        <v>1624</v>
      </c>
      <c r="H667" t="s">
        <v>1651</v>
      </c>
      <c r="I667" t="s">
        <v>1634</v>
      </c>
      <c r="J667" t="s">
        <v>10</v>
      </c>
      <c r="K667">
        <v>0.35</v>
      </c>
      <c r="L667">
        <v>22.4</v>
      </c>
      <c r="M667" s="1">
        <v>3</v>
      </c>
      <c r="N667">
        <v>0</v>
      </c>
      <c r="O667">
        <v>0</v>
      </c>
      <c r="P667">
        <v>64</v>
      </c>
      <c r="Q667" s="1">
        <v>64</v>
      </c>
      <c r="R667">
        <v>0.35</v>
      </c>
      <c r="S667" s="2">
        <v>46223</v>
      </c>
      <c r="T667" s="2">
        <v>46257</v>
      </c>
      <c r="U667">
        <v>120</v>
      </c>
      <c r="V667">
        <v>117</v>
      </c>
      <c r="W667">
        <v>60</v>
      </c>
      <c r="X667">
        <v>115</v>
      </c>
      <c r="Y667">
        <v>60</v>
      </c>
      <c r="Z667" s="8">
        <v>120</v>
      </c>
      <c r="AA667">
        <v>103</v>
      </c>
      <c r="AB667">
        <v>0.58252427184466016</v>
      </c>
      <c r="AC667">
        <v>1.1650485436893203</v>
      </c>
      <c r="AD667" s="1">
        <v>16</v>
      </c>
      <c r="AE667" s="2">
        <v>46264</v>
      </c>
      <c r="AF667" s="2">
        <v>46272</v>
      </c>
      <c r="AG667" s="2">
        <v>46279</v>
      </c>
      <c r="AH667">
        <v>40</v>
      </c>
      <c r="AI667" s="3">
        <v>0.34482758620689657</v>
      </c>
      <c r="AJ667" s="1">
        <v>46</v>
      </c>
      <c r="AK667" s="2">
        <v>46309</v>
      </c>
      <c r="AL667" s="4">
        <v>30</v>
      </c>
      <c r="AM667" s="5">
        <v>15</v>
      </c>
      <c r="AN667" s="4">
        <v>16</v>
      </c>
      <c r="AO667">
        <v>41.379310344827587</v>
      </c>
      <c r="AP667" s="4">
        <v>1</v>
      </c>
      <c r="AQ667" t="s">
        <v>1619</v>
      </c>
      <c r="AR667" t="s">
        <v>1620</v>
      </c>
      <c r="AT667" s="16" t="str">
        <f>_xlfn.XLOOKUP(B667,'SWiSH Demand Forecast Sep-26'!D:D,'SWiSH Demand Forecast Sep-26'!G:G,"Not Exist")</f>
        <v>Not Exist</v>
      </c>
    </row>
    <row r="668" spans="1:46" hidden="1" x14ac:dyDescent="0.3">
      <c r="A668">
        <v>100100010</v>
      </c>
      <c r="B668" t="s">
        <v>1393</v>
      </c>
      <c r="C668" t="s">
        <v>136</v>
      </c>
      <c r="D668" t="s">
        <v>1613</v>
      </c>
      <c r="E668" t="s">
        <v>1638</v>
      </c>
      <c r="F668" t="s">
        <v>1941</v>
      </c>
      <c r="G668" t="s">
        <v>1616</v>
      </c>
      <c r="H668" t="s">
        <v>1877</v>
      </c>
      <c r="I668" t="s">
        <v>1618</v>
      </c>
      <c r="J668" t="s">
        <v>2572</v>
      </c>
      <c r="K668">
        <v>2.0286080900000001</v>
      </c>
      <c r="L668">
        <v>46.7391303936</v>
      </c>
      <c r="M668" s="1">
        <v>3</v>
      </c>
      <c r="N668">
        <v>0</v>
      </c>
      <c r="O668">
        <v>0</v>
      </c>
      <c r="P668">
        <v>23.04</v>
      </c>
      <c r="Q668" s="1">
        <v>23.04</v>
      </c>
      <c r="R668">
        <v>10.75</v>
      </c>
      <c r="S668" s="2">
        <v>46238</v>
      </c>
      <c r="T668" s="2">
        <v>46259</v>
      </c>
      <c r="U668">
        <v>42.392000000000003</v>
      </c>
      <c r="V668">
        <v>21.196000000000002</v>
      </c>
      <c r="W668">
        <v>26.495000000000001</v>
      </c>
      <c r="X668">
        <v>31.794000000000004</v>
      </c>
      <c r="Y668">
        <v>21.196000000000002</v>
      </c>
      <c r="Z668" s="8">
        <v>42.392000000000003</v>
      </c>
      <c r="AA668">
        <v>30.469250000000002</v>
      </c>
      <c r="AB668">
        <v>0.69565217391304346</v>
      </c>
      <c r="AC668">
        <v>1.3913043478260869</v>
      </c>
      <c r="AD668" s="1">
        <v>16</v>
      </c>
      <c r="AE668" s="2">
        <v>46264</v>
      </c>
      <c r="AF668" s="2">
        <v>46272</v>
      </c>
      <c r="AG668" s="2">
        <v>46279</v>
      </c>
      <c r="AH668">
        <v>15.206</v>
      </c>
      <c r="AI668" s="3">
        <v>0.37106871172830264</v>
      </c>
      <c r="AJ668" s="1">
        <v>43</v>
      </c>
      <c r="AK668" s="2">
        <v>46306</v>
      </c>
      <c r="AL668" s="4">
        <v>30</v>
      </c>
      <c r="AM668" s="5">
        <v>15</v>
      </c>
      <c r="AN668" s="4">
        <v>16</v>
      </c>
      <c r="AO668">
        <v>15.730344827586206</v>
      </c>
      <c r="AP668" s="4">
        <v>1</v>
      </c>
      <c r="AQ668" t="s">
        <v>1619</v>
      </c>
      <c r="AR668" t="s">
        <v>1620</v>
      </c>
      <c r="AT668" s="16">
        <f>_xlfn.XLOOKUP(B668,'SWiSH Demand Forecast Sep-26'!D:D,'SWiSH Demand Forecast Sep-26'!G:G,"Not Exist")</f>
        <v>14.837999999999999</v>
      </c>
    </row>
    <row r="669" spans="1:46" hidden="1" x14ac:dyDescent="0.3">
      <c r="A669">
        <v>102400005</v>
      </c>
      <c r="B669" t="s">
        <v>1226</v>
      </c>
      <c r="C669" t="s">
        <v>136</v>
      </c>
      <c r="D669" t="s">
        <v>1613</v>
      </c>
      <c r="E669" t="s">
        <v>2351</v>
      </c>
      <c r="F669" t="s">
        <v>1752</v>
      </c>
      <c r="G669" t="s">
        <v>1616</v>
      </c>
      <c r="H669" t="s">
        <v>2382</v>
      </c>
      <c r="I669" t="s">
        <v>1754</v>
      </c>
      <c r="J669" t="s">
        <v>1997</v>
      </c>
      <c r="K669">
        <v>1.6</v>
      </c>
      <c r="L669">
        <v>352</v>
      </c>
      <c r="M669" s="1">
        <v>3</v>
      </c>
      <c r="N669">
        <v>0</v>
      </c>
      <c r="O669">
        <v>0</v>
      </c>
      <c r="P669">
        <v>220</v>
      </c>
      <c r="Q669" s="1">
        <v>220</v>
      </c>
      <c r="R669">
        <v>20.5</v>
      </c>
      <c r="S669" s="2">
        <v>46252</v>
      </c>
      <c r="T669" s="2">
        <v>46262</v>
      </c>
      <c r="U669">
        <v>410</v>
      </c>
      <c r="V669">
        <v>370</v>
      </c>
      <c r="W669">
        <v>410</v>
      </c>
      <c r="X669">
        <v>270</v>
      </c>
      <c r="Y669">
        <v>270</v>
      </c>
      <c r="Z669" s="8">
        <v>410</v>
      </c>
      <c r="AA669">
        <v>365</v>
      </c>
      <c r="AB669">
        <v>0.73972602739726023</v>
      </c>
      <c r="AC669">
        <v>1.1232876712328768</v>
      </c>
      <c r="AD669" s="1">
        <v>16</v>
      </c>
      <c r="AE669" s="2">
        <v>46264</v>
      </c>
      <c r="AF669" s="2">
        <v>46272</v>
      </c>
      <c r="AG669" s="2">
        <v>46279</v>
      </c>
      <c r="AH669">
        <v>271</v>
      </c>
      <c r="AI669" s="3">
        <v>0.68376787216148027</v>
      </c>
      <c r="AJ669" s="1">
        <v>23</v>
      </c>
      <c r="AK669" s="2">
        <v>46286</v>
      </c>
      <c r="AL669" s="4">
        <v>15</v>
      </c>
      <c r="AM669" s="5">
        <v>15</v>
      </c>
      <c r="AN669" s="4">
        <v>16</v>
      </c>
      <c r="AO669">
        <v>140.17241379310346</v>
      </c>
      <c r="AP669" s="4">
        <v>2</v>
      </c>
      <c r="AQ669" t="s">
        <v>1619</v>
      </c>
      <c r="AR669" t="s">
        <v>1620</v>
      </c>
      <c r="AT669" s="16">
        <f>_xlfn.XLOOKUP(B669,'SWiSH Demand Forecast Sep-26'!D:D,'SWiSH Demand Forecast Sep-26'!G:G,"Not Exist")</f>
        <v>48.728870711597402</v>
      </c>
    </row>
    <row r="670" spans="1:46" hidden="1" x14ac:dyDescent="0.3">
      <c r="A670">
        <v>103700041</v>
      </c>
      <c r="B670" t="s">
        <v>1401</v>
      </c>
      <c r="C670" t="s">
        <v>136</v>
      </c>
      <c r="D670" t="s">
        <v>1613</v>
      </c>
      <c r="E670" t="s">
        <v>1677</v>
      </c>
      <c r="F670" t="s">
        <v>1615</v>
      </c>
      <c r="G670" t="s">
        <v>1616</v>
      </c>
      <c r="H670" t="s">
        <v>1617</v>
      </c>
      <c r="I670" t="s">
        <v>1618</v>
      </c>
      <c r="J670" t="s">
        <v>136</v>
      </c>
      <c r="K670">
        <v>5.508</v>
      </c>
      <c r="L670">
        <v>297.43200000000002</v>
      </c>
      <c r="M670" s="1">
        <v>3</v>
      </c>
      <c r="N670">
        <v>0</v>
      </c>
      <c r="O670">
        <v>0</v>
      </c>
      <c r="P670">
        <v>54</v>
      </c>
      <c r="Q670" s="1">
        <v>54</v>
      </c>
      <c r="R670">
        <v>26.6</v>
      </c>
      <c r="S670" s="2">
        <v>46246</v>
      </c>
      <c r="T670" s="2">
        <v>46260</v>
      </c>
      <c r="U670">
        <v>90</v>
      </c>
      <c r="V670">
        <v>99</v>
      </c>
      <c r="W670">
        <v>94.5</v>
      </c>
      <c r="X670">
        <v>67.5</v>
      </c>
      <c r="Y670">
        <v>67.5</v>
      </c>
      <c r="Z670" s="8">
        <v>99</v>
      </c>
      <c r="AA670">
        <v>87.75</v>
      </c>
      <c r="AB670">
        <v>0.76923076923076927</v>
      </c>
      <c r="AC670">
        <v>1.1282051282051282</v>
      </c>
      <c r="AD670" s="1">
        <v>16</v>
      </c>
      <c r="AE670" s="2">
        <v>46264</v>
      </c>
      <c r="AF670" s="2">
        <v>46272</v>
      </c>
      <c r="AG670" s="2">
        <v>46279</v>
      </c>
      <c r="AH670">
        <v>45</v>
      </c>
      <c r="AI670" s="3">
        <v>0.47021943573667707</v>
      </c>
      <c r="AJ670" s="1">
        <v>34</v>
      </c>
      <c r="AK670" s="2">
        <v>46297</v>
      </c>
      <c r="AL670" s="4">
        <v>30</v>
      </c>
      <c r="AM670" s="5">
        <v>15</v>
      </c>
      <c r="AN670" s="4">
        <v>16</v>
      </c>
      <c r="AO670">
        <v>46.551724137931032</v>
      </c>
      <c r="AP670" s="4">
        <v>1</v>
      </c>
      <c r="AQ670" t="s">
        <v>1619</v>
      </c>
      <c r="AR670" t="s">
        <v>1620</v>
      </c>
      <c r="AT670" s="16">
        <f>_xlfn.XLOOKUP(B670,'SWiSH Demand Forecast Sep-26'!D:D,'SWiSH Demand Forecast Sep-26'!G:G,"Not Exist")</f>
        <v>13.5885764499121</v>
      </c>
    </row>
    <row r="671" spans="1:46" x14ac:dyDescent="0.3">
      <c r="A671">
        <v>105700009</v>
      </c>
      <c r="B671" t="s">
        <v>2573</v>
      </c>
      <c r="C671" t="s">
        <v>10</v>
      </c>
      <c r="D671" t="s">
        <v>1613</v>
      </c>
      <c r="E671" t="s">
        <v>1655</v>
      </c>
      <c r="F671" t="s">
        <v>1631</v>
      </c>
      <c r="G671" t="s">
        <v>1624</v>
      </c>
      <c r="H671" t="s">
        <v>2574</v>
      </c>
      <c r="I671" t="s">
        <v>1634</v>
      </c>
      <c r="J671" t="s">
        <v>10</v>
      </c>
      <c r="K671">
        <v>1.7999999999999999E-2</v>
      </c>
      <c r="L671">
        <v>46.8</v>
      </c>
      <c r="M671" s="1">
        <v>7</v>
      </c>
      <c r="N671">
        <v>0</v>
      </c>
      <c r="O671">
        <v>0</v>
      </c>
      <c r="P671">
        <v>2600</v>
      </c>
      <c r="Q671" s="1">
        <v>2600</v>
      </c>
      <c r="R671">
        <v>18</v>
      </c>
      <c r="S671" s="2">
        <v>46244</v>
      </c>
      <c r="T671" s="2">
        <v>46258</v>
      </c>
      <c r="U671">
        <v>2000</v>
      </c>
      <c r="V671">
        <v>1000</v>
      </c>
      <c r="W671">
        <v>100</v>
      </c>
      <c r="X671">
        <v>4600</v>
      </c>
      <c r="Y671">
        <v>100</v>
      </c>
      <c r="Z671" s="8">
        <v>4600</v>
      </c>
      <c r="AA671">
        <v>1925</v>
      </c>
      <c r="AB671">
        <v>5.1948051948051951E-2</v>
      </c>
      <c r="AC671">
        <v>2.3896103896103895</v>
      </c>
      <c r="AD671" s="1">
        <v>16</v>
      </c>
      <c r="AE671" s="2">
        <v>46264</v>
      </c>
      <c r="AF671" s="2">
        <v>46272</v>
      </c>
      <c r="AG671" s="2">
        <v>46279</v>
      </c>
      <c r="AH671">
        <v>1400</v>
      </c>
      <c r="AI671" s="3">
        <v>0.31484257871064469</v>
      </c>
      <c r="AJ671" s="1">
        <v>53</v>
      </c>
      <c r="AK671" s="2">
        <v>46316</v>
      </c>
      <c r="AL671" s="4">
        <v>30</v>
      </c>
      <c r="AM671" s="5">
        <v>15</v>
      </c>
      <c r="AN671" s="4">
        <v>16</v>
      </c>
      <c r="AO671">
        <v>1448.2758620689656</v>
      </c>
      <c r="AP671" s="4">
        <v>1</v>
      </c>
      <c r="AQ671" t="s">
        <v>1619</v>
      </c>
      <c r="AR671" t="s">
        <v>1620</v>
      </c>
      <c r="AT671" s="16" t="str">
        <f>_xlfn.XLOOKUP(B671,'SWiSH Demand Forecast Sep-26'!D:D,'SWiSH Demand Forecast Sep-26'!G:G,"Not Exist")</f>
        <v>Not Exist</v>
      </c>
    </row>
    <row r="672" spans="1:46" x14ac:dyDescent="0.3">
      <c r="A672">
        <v>101400041</v>
      </c>
      <c r="B672" t="s">
        <v>2575</v>
      </c>
      <c r="C672" t="s">
        <v>240</v>
      </c>
      <c r="D672" t="s">
        <v>1613</v>
      </c>
      <c r="E672" t="s">
        <v>2466</v>
      </c>
      <c r="F672" t="s">
        <v>1644</v>
      </c>
      <c r="G672" t="s">
        <v>1624</v>
      </c>
      <c r="H672" t="s">
        <v>1693</v>
      </c>
      <c r="I672" t="s">
        <v>1634</v>
      </c>
      <c r="J672" t="s">
        <v>2039</v>
      </c>
      <c r="K672">
        <v>0.78000009000000003</v>
      </c>
      <c r="L672">
        <v>265.20003059999999</v>
      </c>
      <c r="M672" s="1">
        <v>3</v>
      </c>
      <c r="N672">
        <v>0</v>
      </c>
      <c r="O672">
        <v>5</v>
      </c>
      <c r="P672">
        <v>340</v>
      </c>
      <c r="Q672" s="1">
        <v>335</v>
      </c>
      <c r="R672">
        <v>15.6</v>
      </c>
      <c r="S672" s="2">
        <v>46258</v>
      </c>
      <c r="T672" s="2">
        <v>46261</v>
      </c>
      <c r="U672">
        <v>480</v>
      </c>
      <c r="V672">
        <v>595</v>
      </c>
      <c r="W672">
        <v>470</v>
      </c>
      <c r="X672">
        <v>510</v>
      </c>
      <c r="Y672">
        <v>470</v>
      </c>
      <c r="Z672" s="8">
        <v>595</v>
      </c>
      <c r="AA672">
        <v>513.75</v>
      </c>
      <c r="AB672">
        <v>0.91484184914841848</v>
      </c>
      <c r="AC672">
        <v>1.1581508515815084</v>
      </c>
      <c r="AD672" s="1">
        <v>16</v>
      </c>
      <c r="AE672" s="2">
        <v>46264</v>
      </c>
      <c r="AF672" s="2">
        <v>46272</v>
      </c>
      <c r="AG672" s="2">
        <v>46279</v>
      </c>
      <c r="AH672">
        <v>430</v>
      </c>
      <c r="AI672" s="3">
        <v>0.7476093885830194</v>
      </c>
      <c r="AJ672" s="1">
        <v>22</v>
      </c>
      <c r="AK672" s="2">
        <v>46285</v>
      </c>
      <c r="AL672" s="4">
        <v>30</v>
      </c>
      <c r="AM672" s="5">
        <v>15</v>
      </c>
      <c r="AN672" s="4">
        <v>16</v>
      </c>
      <c r="AO672">
        <v>444.82758620689651</v>
      </c>
      <c r="AP672" s="4">
        <v>1</v>
      </c>
      <c r="AQ672" t="s">
        <v>1619</v>
      </c>
      <c r="AR672" t="s">
        <v>1620</v>
      </c>
      <c r="AT672" s="16" t="str">
        <f>_xlfn.XLOOKUP(B672,'SWiSH Demand Forecast Sep-26'!D:D,'SWiSH Demand Forecast Sep-26'!G:G,"Not Exist")</f>
        <v>Not Exist</v>
      </c>
    </row>
    <row r="673" spans="1:46" x14ac:dyDescent="0.3">
      <c r="A673">
        <v>104200046</v>
      </c>
      <c r="B673" t="s">
        <v>2576</v>
      </c>
      <c r="C673" t="s">
        <v>10</v>
      </c>
      <c r="D673" t="s">
        <v>1613</v>
      </c>
      <c r="E673" t="s">
        <v>2432</v>
      </c>
      <c r="F673" t="s">
        <v>1631</v>
      </c>
      <c r="G673" t="s">
        <v>1624</v>
      </c>
      <c r="H673" t="s">
        <v>1633</v>
      </c>
      <c r="I673" t="s">
        <v>1634</v>
      </c>
      <c r="J673" t="s">
        <v>2145</v>
      </c>
      <c r="K673">
        <v>1.8499999999999999E-2</v>
      </c>
      <c r="L673">
        <v>233.1</v>
      </c>
      <c r="M673" s="1">
        <v>3</v>
      </c>
      <c r="N673">
        <v>0</v>
      </c>
      <c r="O673">
        <v>500</v>
      </c>
      <c r="P673">
        <v>12600</v>
      </c>
      <c r="Q673" s="1">
        <v>12100</v>
      </c>
      <c r="R673">
        <v>18.5</v>
      </c>
      <c r="S673" s="2">
        <v>46239</v>
      </c>
      <c r="T673" s="2">
        <v>46263</v>
      </c>
      <c r="U673">
        <v>20900</v>
      </c>
      <c r="V673">
        <v>20100</v>
      </c>
      <c r="W673">
        <v>20800</v>
      </c>
      <c r="X673">
        <v>22000</v>
      </c>
      <c r="Y673">
        <v>20100</v>
      </c>
      <c r="Z673" s="8">
        <v>22000</v>
      </c>
      <c r="AA673">
        <v>20950</v>
      </c>
      <c r="AB673">
        <v>0.95942720763723155</v>
      </c>
      <c r="AC673">
        <v>1.0501193317422435</v>
      </c>
      <c r="AD673" s="1">
        <v>16</v>
      </c>
      <c r="AE673" s="2">
        <v>46264</v>
      </c>
      <c r="AF673" s="2">
        <v>46272</v>
      </c>
      <c r="AG673" s="2">
        <v>46279</v>
      </c>
      <c r="AH673">
        <v>8500</v>
      </c>
      <c r="AI673" s="3">
        <v>0.39968652037617558</v>
      </c>
      <c r="AJ673" s="1">
        <v>41</v>
      </c>
      <c r="AK673" s="2">
        <v>46304</v>
      </c>
      <c r="AL673" s="4">
        <v>30</v>
      </c>
      <c r="AM673" s="5">
        <v>15</v>
      </c>
      <c r="AN673" s="4">
        <v>16</v>
      </c>
      <c r="AO673">
        <v>8793.1034482758623</v>
      </c>
      <c r="AP673" s="4">
        <v>1</v>
      </c>
      <c r="AQ673" t="s">
        <v>1619</v>
      </c>
      <c r="AR673" t="s">
        <v>1620</v>
      </c>
      <c r="AT673" s="16" t="str">
        <f>_xlfn.XLOOKUP(B673,'SWiSH Demand Forecast Sep-26'!D:D,'SWiSH Demand Forecast Sep-26'!G:G,"Not Exist")</f>
        <v>Not Exist</v>
      </c>
    </row>
    <row r="674" spans="1:46" hidden="1" x14ac:dyDescent="0.3">
      <c r="A674">
        <v>103700065</v>
      </c>
      <c r="B674" t="s">
        <v>1200</v>
      </c>
      <c r="C674" t="s">
        <v>136</v>
      </c>
      <c r="D674" t="s">
        <v>1613</v>
      </c>
      <c r="E674" t="s">
        <v>1732</v>
      </c>
      <c r="F674" t="s">
        <v>1615</v>
      </c>
      <c r="G674" t="s">
        <v>1616</v>
      </c>
      <c r="H674" t="s">
        <v>1617</v>
      </c>
      <c r="I674" t="s">
        <v>1618</v>
      </c>
      <c r="J674" t="s">
        <v>2577</v>
      </c>
      <c r="K674">
        <v>6.2222222199999999</v>
      </c>
      <c r="L674">
        <v>503.99999981999997</v>
      </c>
      <c r="M674" s="1">
        <v>3</v>
      </c>
      <c r="N674">
        <v>0</v>
      </c>
      <c r="O674">
        <v>0</v>
      </c>
      <c r="P674">
        <v>81</v>
      </c>
      <c r="Q674" s="1">
        <v>81</v>
      </c>
      <c r="R674">
        <v>10.08</v>
      </c>
      <c r="S674" s="2">
        <v>46259</v>
      </c>
      <c r="T674" s="2">
        <v>46263</v>
      </c>
      <c r="U674">
        <v>103.68000000000005</v>
      </c>
      <c r="V674">
        <v>119.88000000000005</v>
      </c>
      <c r="W674">
        <v>145.80000000000001</v>
      </c>
      <c r="X674">
        <v>136.08000000000001</v>
      </c>
      <c r="Y674">
        <v>103.68000000000005</v>
      </c>
      <c r="Z674" s="8">
        <v>145.80000000000001</v>
      </c>
      <c r="AA674">
        <v>126.36000000000004</v>
      </c>
      <c r="AB674">
        <v>0.8205128205128206</v>
      </c>
      <c r="AC674">
        <v>1.1538461538461535</v>
      </c>
      <c r="AD674" s="1">
        <v>16</v>
      </c>
      <c r="AE674" s="2">
        <v>46264</v>
      </c>
      <c r="AF674" s="2">
        <v>46272</v>
      </c>
      <c r="AG674" s="2">
        <v>46279</v>
      </c>
      <c r="AH674">
        <v>137.70000000000005</v>
      </c>
      <c r="AI674" s="3">
        <v>0.97701149425287381</v>
      </c>
      <c r="AJ674" s="1">
        <v>17</v>
      </c>
      <c r="AK674" s="2">
        <v>46280</v>
      </c>
      <c r="AL674" s="4">
        <v>30</v>
      </c>
      <c r="AM674" s="5">
        <v>15</v>
      </c>
      <c r="AN674" s="4">
        <v>16</v>
      </c>
      <c r="AO674">
        <v>142.44827586206901</v>
      </c>
      <c r="AP674" s="4">
        <v>1</v>
      </c>
      <c r="AQ674" t="s">
        <v>1619</v>
      </c>
      <c r="AR674" t="s">
        <v>1620</v>
      </c>
      <c r="AT674" s="16">
        <f>_xlfn.XLOOKUP(B674,'SWiSH Demand Forecast Sep-26'!D:D,'SWiSH Demand Forecast Sep-26'!G:G,"Not Exist")</f>
        <v>58.343376470588197</v>
      </c>
    </row>
    <row r="675" spans="1:46" x14ac:dyDescent="0.3">
      <c r="A675">
        <v>101200054</v>
      </c>
      <c r="B675" t="s">
        <v>2578</v>
      </c>
      <c r="C675" t="s">
        <v>136</v>
      </c>
      <c r="D675" t="s">
        <v>1613</v>
      </c>
      <c r="E675" t="s">
        <v>1685</v>
      </c>
      <c r="F675" t="s">
        <v>1833</v>
      </c>
      <c r="G675" t="s">
        <v>1616</v>
      </c>
      <c r="H675" t="s">
        <v>1625</v>
      </c>
      <c r="I675" t="s">
        <v>1626</v>
      </c>
      <c r="J675" t="s">
        <v>2450</v>
      </c>
      <c r="K675">
        <v>3.1944499999999998</v>
      </c>
      <c r="L675">
        <v>74.750129999999984</v>
      </c>
      <c r="M675" s="1">
        <v>3</v>
      </c>
      <c r="N675">
        <v>0</v>
      </c>
      <c r="O675">
        <v>0</v>
      </c>
      <c r="P675">
        <v>23.4</v>
      </c>
      <c r="Q675" s="1">
        <v>23.4</v>
      </c>
      <c r="R675">
        <v>0.63888999999999996</v>
      </c>
      <c r="S675" s="2">
        <v>46116</v>
      </c>
      <c r="T675" s="2">
        <v>46263</v>
      </c>
      <c r="U675">
        <v>38.599999999999994</v>
      </c>
      <c r="V675">
        <v>43.2</v>
      </c>
      <c r="W675">
        <v>35.4</v>
      </c>
      <c r="X675">
        <v>30.800000000000004</v>
      </c>
      <c r="Y675">
        <v>30.800000000000004</v>
      </c>
      <c r="Z675" s="8">
        <v>43.2</v>
      </c>
      <c r="AA675">
        <v>37</v>
      </c>
      <c r="AB675">
        <v>0.83243243243243259</v>
      </c>
      <c r="AC675">
        <v>1.1675675675675676</v>
      </c>
      <c r="AD675" s="1">
        <v>16</v>
      </c>
      <c r="AE675" s="2">
        <v>46264</v>
      </c>
      <c r="AF675" s="2">
        <v>46272</v>
      </c>
      <c r="AG675" s="2">
        <v>46279</v>
      </c>
      <c r="AH675">
        <v>21.199999999999996</v>
      </c>
      <c r="AI675" s="3">
        <v>0.50766283524904199</v>
      </c>
      <c r="AJ675" s="1">
        <v>32</v>
      </c>
      <c r="AK675" s="2">
        <v>46295</v>
      </c>
      <c r="AL675" s="4">
        <v>30</v>
      </c>
      <c r="AM675" s="5">
        <v>15</v>
      </c>
      <c r="AN675" s="4">
        <v>16</v>
      </c>
      <c r="AO675">
        <v>21.931034482758616</v>
      </c>
      <c r="AP675" s="4">
        <v>1</v>
      </c>
      <c r="AQ675" t="s">
        <v>1619</v>
      </c>
      <c r="AR675" t="s">
        <v>1620</v>
      </c>
      <c r="AT675" s="16" t="str">
        <f>_xlfn.XLOOKUP(B675,'SWiSH Demand Forecast Sep-26'!D:D,'SWiSH Demand Forecast Sep-26'!G:G,"Not Exist")</f>
        <v>Not Exist</v>
      </c>
    </row>
    <row r="676" spans="1:46" hidden="1" x14ac:dyDescent="0.3">
      <c r="A676">
        <v>104000005</v>
      </c>
      <c r="B676" t="s">
        <v>869</v>
      </c>
      <c r="C676" t="s">
        <v>10</v>
      </c>
      <c r="D676" t="s">
        <v>1613</v>
      </c>
      <c r="E676" t="s">
        <v>1926</v>
      </c>
      <c r="F676" t="s">
        <v>1639</v>
      </c>
      <c r="G676" t="s">
        <v>1616</v>
      </c>
      <c r="H676" t="s">
        <v>1850</v>
      </c>
      <c r="I676" t="s">
        <v>1618</v>
      </c>
      <c r="J676" t="s">
        <v>2579</v>
      </c>
      <c r="K676">
        <v>0.13636861</v>
      </c>
      <c r="L676">
        <v>14.727809880000001</v>
      </c>
      <c r="M676" s="1">
        <v>3</v>
      </c>
      <c r="N676">
        <v>0</v>
      </c>
      <c r="O676">
        <v>0</v>
      </c>
      <c r="P676">
        <v>108</v>
      </c>
      <c r="Q676" s="1">
        <v>108</v>
      </c>
      <c r="R676">
        <v>2.4489999999999998</v>
      </c>
      <c r="S676" s="2">
        <v>46256</v>
      </c>
      <c r="T676" s="2">
        <v>46262</v>
      </c>
      <c r="U676">
        <v>144</v>
      </c>
      <c r="V676">
        <v>144</v>
      </c>
      <c r="W676">
        <v>198</v>
      </c>
      <c r="X676">
        <v>180</v>
      </c>
      <c r="Y676">
        <v>144</v>
      </c>
      <c r="Z676" s="8">
        <v>198</v>
      </c>
      <c r="AA676">
        <v>166.5</v>
      </c>
      <c r="AB676">
        <v>0.86486486486486491</v>
      </c>
      <c r="AC676">
        <v>1.1891891891891893</v>
      </c>
      <c r="AD676" s="1">
        <v>16</v>
      </c>
      <c r="AE676" s="2">
        <v>46264</v>
      </c>
      <c r="AF676" s="2">
        <v>46272</v>
      </c>
      <c r="AG676" s="2">
        <v>46279</v>
      </c>
      <c r="AH676">
        <v>126</v>
      </c>
      <c r="AI676" s="3">
        <v>0.65830721003134796</v>
      </c>
      <c r="AJ676" s="1">
        <v>24</v>
      </c>
      <c r="AK676" s="2">
        <v>46287</v>
      </c>
      <c r="AL676" s="4">
        <v>30</v>
      </c>
      <c r="AM676" s="5">
        <v>15</v>
      </c>
      <c r="AN676" s="4">
        <v>16</v>
      </c>
      <c r="AO676">
        <v>130.34482758620689</v>
      </c>
      <c r="AP676" s="4">
        <v>1</v>
      </c>
      <c r="AQ676" t="s">
        <v>1619</v>
      </c>
      <c r="AR676" t="s">
        <v>1620</v>
      </c>
      <c r="AT676" s="16">
        <f>_xlfn.XLOOKUP(B676,'SWiSH Demand Forecast Sep-26'!D:D,'SWiSH Demand Forecast Sep-26'!G:G,"Not Exist")</f>
        <v>281</v>
      </c>
    </row>
    <row r="677" spans="1:46" x14ac:dyDescent="0.3">
      <c r="A677">
        <v>107400099</v>
      </c>
      <c r="B677" t="s">
        <v>2580</v>
      </c>
      <c r="C677" t="s">
        <v>10</v>
      </c>
      <c r="D677" t="s">
        <v>1613</v>
      </c>
      <c r="E677" t="s">
        <v>1949</v>
      </c>
      <c r="F677" t="s">
        <v>1664</v>
      </c>
      <c r="G677" t="s">
        <v>1624</v>
      </c>
      <c r="H677" t="s">
        <v>2016</v>
      </c>
      <c r="I677" t="s">
        <v>1634</v>
      </c>
      <c r="J677" t="s">
        <v>10</v>
      </c>
      <c r="K677">
        <v>1.2999999999999999E-2</v>
      </c>
      <c r="L677">
        <v>175.5</v>
      </c>
      <c r="M677" s="1">
        <v>15</v>
      </c>
      <c r="N677">
        <v>0</v>
      </c>
      <c r="O677">
        <v>500</v>
      </c>
      <c r="P677">
        <v>13500</v>
      </c>
      <c r="Q677" s="1">
        <v>13000</v>
      </c>
      <c r="R677">
        <v>1.2999999999999999E-2</v>
      </c>
      <c r="S677" s="2">
        <v>46200</v>
      </c>
      <c r="T677" s="2">
        <v>46262</v>
      </c>
      <c r="U677">
        <v>0</v>
      </c>
      <c r="V677">
        <v>0</v>
      </c>
      <c r="W677">
        <v>6500</v>
      </c>
      <c r="X677">
        <v>23500</v>
      </c>
      <c r="Y677">
        <v>0</v>
      </c>
      <c r="Z677" s="8">
        <v>23500</v>
      </c>
      <c r="AA677">
        <v>7500</v>
      </c>
      <c r="AB677">
        <v>0</v>
      </c>
      <c r="AC677">
        <v>3.1333333333333333</v>
      </c>
      <c r="AD677" s="1">
        <v>16</v>
      </c>
      <c r="AE677" s="2">
        <v>46264</v>
      </c>
      <c r="AF677" s="2">
        <v>46272</v>
      </c>
      <c r="AG677" s="2">
        <v>46279</v>
      </c>
      <c r="AH677">
        <v>10000</v>
      </c>
      <c r="AI677" s="3">
        <v>0.44020542920029349</v>
      </c>
      <c r="AJ677" s="1">
        <v>37</v>
      </c>
      <c r="AK677" s="2">
        <v>46300</v>
      </c>
      <c r="AL677" s="4">
        <v>30</v>
      </c>
      <c r="AM677" s="5">
        <v>15</v>
      </c>
      <c r="AN677" s="4">
        <v>16</v>
      </c>
      <c r="AO677">
        <v>10344.827586206897</v>
      </c>
      <c r="AP677" s="4">
        <v>1</v>
      </c>
      <c r="AQ677">
        <v>125000</v>
      </c>
      <c r="AR677" t="s">
        <v>2032</v>
      </c>
      <c r="AT677" s="16" t="str">
        <f>_xlfn.XLOOKUP(B677,'SWiSH Demand Forecast Sep-26'!D:D,'SWiSH Demand Forecast Sep-26'!G:G,"Not Exist")</f>
        <v>Not Exist</v>
      </c>
    </row>
    <row r="678" spans="1:46" x14ac:dyDescent="0.3">
      <c r="A678">
        <v>101500034</v>
      </c>
      <c r="B678" t="s">
        <v>2581</v>
      </c>
      <c r="C678" t="s">
        <v>10</v>
      </c>
      <c r="D678" t="s">
        <v>1613</v>
      </c>
      <c r="E678" t="s">
        <v>2582</v>
      </c>
      <c r="F678" t="s">
        <v>1644</v>
      </c>
      <c r="G678" t="s">
        <v>1624</v>
      </c>
      <c r="H678" t="s">
        <v>1647</v>
      </c>
      <c r="I678" t="s">
        <v>1634</v>
      </c>
      <c r="J678" t="s">
        <v>10</v>
      </c>
      <c r="K678">
        <v>0.15</v>
      </c>
      <c r="L678">
        <v>91.5</v>
      </c>
      <c r="M678" s="1">
        <v>3</v>
      </c>
      <c r="N678">
        <v>0</v>
      </c>
      <c r="O678">
        <v>20</v>
      </c>
      <c r="P678">
        <v>610</v>
      </c>
      <c r="Q678" s="1">
        <v>590</v>
      </c>
      <c r="R678">
        <v>0.15</v>
      </c>
      <c r="S678" s="2">
        <v>46247</v>
      </c>
      <c r="T678" s="2">
        <v>46263</v>
      </c>
      <c r="U678">
        <v>860</v>
      </c>
      <c r="V678">
        <v>730</v>
      </c>
      <c r="W678">
        <v>670</v>
      </c>
      <c r="X678">
        <v>1090</v>
      </c>
      <c r="Y678">
        <v>670</v>
      </c>
      <c r="Z678" s="8">
        <v>1090</v>
      </c>
      <c r="AA678">
        <v>837.5</v>
      </c>
      <c r="AB678">
        <v>0.8</v>
      </c>
      <c r="AC678">
        <v>1.3014925373134327</v>
      </c>
      <c r="AD678" s="1">
        <v>16</v>
      </c>
      <c r="AE678" s="2">
        <v>46264</v>
      </c>
      <c r="AF678" s="2">
        <v>46272</v>
      </c>
      <c r="AG678" s="2">
        <v>46279</v>
      </c>
      <c r="AH678">
        <v>1070</v>
      </c>
      <c r="AI678" s="3">
        <v>1.0155014236001265</v>
      </c>
      <c r="AJ678" s="1">
        <v>15</v>
      </c>
      <c r="AK678" s="2">
        <v>46278</v>
      </c>
      <c r="AL678" s="4">
        <v>30</v>
      </c>
      <c r="AM678" s="5">
        <v>15</v>
      </c>
      <c r="AN678" s="4">
        <v>15</v>
      </c>
      <c r="AO678">
        <v>1106.8965517241379</v>
      </c>
      <c r="AP678" s="4">
        <v>1</v>
      </c>
      <c r="AQ678" t="s">
        <v>1619</v>
      </c>
      <c r="AR678" t="s">
        <v>1620</v>
      </c>
      <c r="AT678" s="16" t="str">
        <f>_xlfn.XLOOKUP(B678,'SWiSH Demand Forecast Sep-26'!D:D,'SWiSH Demand Forecast Sep-26'!G:G,"Not Exist")</f>
        <v>Not Exist</v>
      </c>
    </row>
    <row r="679" spans="1:46" x14ac:dyDescent="0.3">
      <c r="A679">
        <v>100400024</v>
      </c>
      <c r="B679" t="s">
        <v>2583</v>
      </c>
      <c r="C679" t="s">
        <v>10</v>
      </c>
      <c r="D679" t="s">
        <v>1613</v>
      </c>
      <c r="E679" t="s">
        <v>1638</v>
      </c>
      <c r="F679" t="s">
        <v>1664</v>
      </c>
      <c r="G679" t="s">
        <v>1624</v>
      </c>
      <c r="H679" t="s">
        <v>1810</v>
      </c>
      <c r="I679" t="s">
        <v>1634</v>
      </c>
      <c r="J679" t="s">
        <v>10</v>
      </c>
      <c r="K679">
        <v>1.4999999999999999E-2</v>
      </c>
      <c r="L679">
        <v>258.75</v>
      </c>
      <c r="M679" s="1">
        <v>30</v>
      </c>
      <c r="N679">
        <v>0</v>
      </c>
      <c r="O679">
        <v>0</v>
      </c>
      <c r="P679">
        <v>17250</v>
      </c>
      <c r="Q679" s="1">
        <v>17250</v>
      </c>
      <c r="R679">
        <v>1.4999999999999999E-2</v>
      </c>
      <c r="S679" s="2">
        <v>46255</v>
      </c>
      <c r="T679" s="2">
        <v>46263</v>
      </c>
      <c r="U679">
        <v>32000</v>
      </c>
      <c r="V679">
        <v>22500</v>
      </c>
      <c r="W679">
        <v>27000</v>
      </c>
      <c r="X679">
        <v>28500</v>
      </c>
      <c r="Y679">
        <v>22500</v>
      </c>
      <c r="Z679" s="8">
        <v>32000</v>
      </c>
      <c r="AA679">
        <v>27500</v>
      </c>
      <c r="AB679">
        <v>0.81818181818181823</v>
      </c>
      <c r="AC679">
        <v>1.1636363636363636</v>
      </c>
      <c r="AD679" s="1">
        <v>16</v>
      </c>
      <c r="AE679" s="2">
        <v>46264</v>
      </c>
      <c r="AF679" s="2">
        <v>46272</v>
      </c>
      <c r="AG679" s="2">
        <v>46279</v>
      </c>
      <c r="AH679">
        <v>24500</v>
      </c>
      <c r="AI679" s="3">
        <v>0.79202586206896541</v>
      </c>
      <c r="AJ679" s="1">
        <v>20</v>
      </c>
      <c r="AK679" s="2">
        <v>46283</v>
      </c>
      <c r="AL679" s="4">
        <v>15</v>
      </c>
      <c r="AM679" s="5">
        <v>15</v>
      </c>
      <c r="AN679" s="4">
        <v>16</v>
      </c>
      <c r="AO679">
        <v>12672.413793103447</v>
      </c>
      <c r="AP679" s="4">
        <v>2</v>
      </c>
      <c r="AQ679">
        <v>188500</v>
      </c>
      <c r="AR679" t="s">
        <v>2076</v>
      </c>
      <c r="AT679" s="16" t="str">
        <f>_xlfn.XLOOKUP(B679,'SWiSH Demand Forecast Sep-26'!D:D,'SWiSH Demand Forecast Sep-26'!G:G,"Not Exist")</f>
        <v>Not Exist</v>
      </c>
    </row>
    <row r="680" spans="1:46" x14ac:dyDescent="0.3">
      <c r="A680">
        <v>107400066</v>
      </c>
      <c r="B680" t="s">
        <v>2584</v>
      </c>
      <c r="C680" t="s">
        <v>10</v>
      </c>
      <c r="D680" t="s">
        <v>1613</v>
      </c>
      <c r="E680" t="s">
        <v>1949</v>
      </c>
      <c r="F680" t="s">
        <v>1631</v>
      </c>
      <c r="G680" t="s">
        <v>1624</v>
      </c>
      <c r="H680" t="s">
        <v>2016</v>
      </c>
      <c r="I680" t="s">
        <v>1634</v>
      </c>
      <c r="J680" t="s">
        <v>10</v>
      </c>
      <c r="K680">
        <v>7.0000000000000001E-3</v>
      </c>
      <c r="L680">
        <v>84</v>
      </c>
      <c r="M680" s="1">
        <v>7</v>
      </c>
      <c r="N680">
        <v>0</v>
      </c>
      <c r="O680">
        <v>0</v>
      </c>
      <c r="P680">
        <v>12000</v>
      </c>
      <c r="Q680" s="1">
        <v>12000</v>
      </c>
      <c r="R680">
        <v>7.0000000000000001E-3</v>
      </c>
      <c r="S680" s="2">
        <v>46202</v>
      </c>
      <c r="T680" s="2">
        <v>46237</v>
      </c>
      <c r="U680">
        <v>21000</v>
      </c>
      <c r="V680">
        <v>20000</v>
      </c>
      <c r="W680">
        <v>16000</v>
      </c>
      <c r="X680">
        <v>0</v>
      </c>
      <c r="Y680">
        <v>0</v>
      </c>
      <c r="Z680" s="8">
        <v>21000</v>
      </c>
      <c r="AA680">
        <v>14250</v>
      </c>
      <c r="AB680">
        <v>0</v>
      </c>
      <c r="AC680">
        <v>1.4736842105263157</v>
      </c>
      <c r="AD680" s="1">
        <v>17</v>
      </c>
      <c r="AE680" s="2">
        <v>46265</v>
      </c>
      <c r="AF680" s="2">
        <v>46273</v>
      </c>
      <c r="AG680" s="2">
        <v>46280</v>
      </c>
      <c r="AH680">
        <v>1000</v>
      </c>
      <c r="AI680" s="3">
        <v>4.926108374384236E-2</v>
      </c>
      <c r="AJ680" s="1">
        <v>348</v>
      </c>
      <c r="AK680" s="2">
        <v>46611</v>
      </c>
      <c r="AL680" s="4">
        <v>30</v>
      </c>
      <c r="AM680" s="5">
        <v>15</v>
      </c>
      <c r="AN680" s="4">
        <v>17</v>
      </c>
      <c r="AO680">
        <v>1034.4827586206895</v>
      </c>
      <c r="AP680" s="4">
        <v>1</v>
      </c>
      <c r="AQ680">
        <v>25000</v>
      </c>
      <c r="AR680" t="s">
        <v>2034</v>
      </c>
      <c r="AS680" t="s">
        <v>1666</v>
      </c>
      <c r="AT680" s="16" t="str">
        <f>_xlfn.XLOOKUP(B680,'SWiSH Demand Forecast Sep-26'!D:D,'SWiSH Demand Forecast Sep-26'!G:G,"Not Exist")</f>
        <v>Not Exist</v>
      </c>
    </row>
    <row r="681" spans="1:46" x14ac:dyDescent="0.3">
      <c r="A681">
        <v>101600060</v>
      </c>
      <c r="B681" t="s">
        <v>2585</v>
      </c>
      <c r="C681" t="s">
        <v>10</v>
      </c>
      <c r="D681" t="s">
        <v>1613</v>
      </c>
      <c r="E681" t="s">
        <v>2161</v>
      </c>
      <c r="F681" t="s">
        <v>1631</v>
      </c>
      <c r="G681" t="s">
        <v>1624</v>
      </c>
      <c r="H681" t="s">
        <v>1768</v>
      </c>
      <c r="I681" t="s">
        <v>1634</v>
      </c>
      <c r="J681" t="s">
        <v>2226</v>
      </c>
      <c r="K681">
        <v>6.166667E-2</v>
      </c>
      <c r="L681">
        <v>74.000004000000004</v>
      </c>
      <c r="M681" s="1">
        <v>7</v>
      </c>
      <c r="N681">
        <v>0</v>
      </c>
      <c r="O681">
        <v>0</v>
      </c>
      <c r="P681">
        <v>1200</v>
      </c>
      <c r="Q681" s="1">
        <v>1200</v>
      </c>
      <c r="R681">
        <v>18.5</v>
      </c>
      <c r="S681" s="2">
        <v>46188</v>
      </c>
      <c r="T681" s="2">
        <v>46242</v>
      </c>
      <c r="U681">
        <v>2100</v>
      </c>
      <c r="V681">
        <v>2100</v>
      </c>
      <c r="W681">
        <v>600</v>
      </c>
      <c r="X681">
        <v>2100</v>
      </c>
      <c r="Y681">
        <v>600</v>
      </c>
      <c r="Z681" s="8">
        <v>2100</v>
      </c>
      <c r="AA681">
        <v>1725</v>
      </c>
      <c r="AB681">
        <v>0.34782608695652173</v>
      </c>
      <c r="AC681">
        <v>1.2173913043478262</v>
      </c>
      <c r="AD681" s="1">
        <v>17</v>
      </c>
      <c r="AE681" s="2">
        <v>46265</v>
      </c>
      <c r="AF681" s="2">
        <v>46273</v>
      </c>
      <c r="AG681" s="2">
        <v>46280</v>
      </c>
      <c r="AH681">
        <v>300</v>
      </c>
      <c r="AI681" s="3">
        <v>0.14778325123152711</v>
      </c>
      <c r="AJ681" s="1">
        <v>116</v>
      </c>
      <c r="AK681" s="2">
        <v>46379</v>
      </c>
      <c r="AL681" s="4">
        <v>15</v>
      </c>
      <c r="AM681" s="5">
        <v>15</v>
      </c>
      <c r="AN681" s="4">
        <v>17</v>
      </c>
      <c r="AO681">
        <v>155.17241379310346</v>
      </c>
      <c r="AP681" s="4">
        <v>2</v>
      </c>
      <c r="AQ681" t="s">
        <v>1619</v>
      </c>
      <c r="AR681" t="s">
        <v>1620</v>
      </c>
      <c r="AT681" s="16" t="str">
        <f>_xlfn.XLOOKUP(B681,'SWiSH Demand Forecast Sep-26'!D:D,'SWiSH Demand Forecast Sep-26'!G:G,"Not Exist")</f>
        <v>Not Exist</v>
      </c>
    </row>
    <row r="682" spans="1:46" x14ac:dyDescent="0.3">
      <c r="A682">
        <v>107400047</v>
      </c>
      <c r="B682" t="s">
        <v>2586</v>
      </c>
      <c r="C682" t="s">
        <v>10</v>
      </c>
      <c r="D682" t="s">
        <v>1613</v>
      </c>
      <c r="E682" t="s">
        <v>2587</v>
      </c>
      <c r="F682" t="s">
        <v>1664</v>
      </c>
      <c r="G682" t="s">
        <v>1624</v>
      </c>
      <c r="H682" t="s">
        <v>2016</v>
      </c>
      <c r="I682" t="s">
        <v>1634</v>
      </c>
      <c r="J682" t="s">
        <v>10</v>
      </c>
      <c r="K682">
        <v>1.4999999999999999E-2</v>
      </c>
      <c r="L682">
        <v>3</v>
      </c>
      <c r="M682" s="1">
        <v>15</v>
      </c>
      <c r="N682">
        <v>0</v>
      </c>
      <c r="O682">
        <v>0</v>
      </c>
      <c r="P682">
        <v>200</v>
      </c>
      <c r="Q682" s="1">
        <v>200</v>
      </c>
      <c r="R682">
        <v>1.4999999999999999E-2</v>
      </c>
      <c r="S682" s="2">
        <v>45979</v>
      </c>
      <c r="T682" s="2">
        <v>46213</v>
      </c>
      <c r="U682">
        <v>0</v>
      </c>
      <c r="V682">
        <v>0</v>
      </c>
      <c r="W682">
        <v>350</v>
      </c>
      <c r="X682">
        <v>200</v>
      </c>
      <c r="Y682">
        <v>0</v>
      </c>
      <c r="Z682" s="8">
        <v>350</v>
      </c>
      <c r="AA682">
        <v>137.5</v>
      </c>
      <c r="AB682">
        <v>0</v>
      </c>
      <c r="AC682">
        <v>2.5454545454545454</v>
      </c>
      <c r="AD682" s="1">
        <v>17</v>
      </c>
      <c r="AE682" s="2">
        <v>46265</v>
      </c>
      <c r="AF682" s="2">
        <v>46273</v>
      </c>
      <c r="AG682" s="2">
        <v>46280</v>
      </c>
      <c r="AH682">
        <v>0</v>
      </c>
      <c r="AI682" s="3">
        <v>0</v>
      </c>
      <c r="AJ682" s="1" t="s">
        <v>1635</v>
      </c>
      <c r="AK682" s="2" t="s">
        <v>1635</v>
      </c>
      <c r="AL682" s="4">
        <v>30</v>
      </c>
      <c r="AM682" s="5">
        <v>15</v>
      </c>
      <c r="AN682" s="4">
        <v>17</v>
      </c>
      <c r="AO682">
        <v>0</v>
      </c>
      <c r="AP682" s="4">
        <v>1</v>
      </c>
      <c r="AQ682">
        <v>8000</v>
      </c>
      <c r="AR682" t="s">
        <v>2076</v>
      </c>
      <c r="AT682" s="16" t="str">
        <f>_xlfn.XLOOKUP(B682,'SWiSH Demand Forecast Sep-26'!D:D,'SWiSH Demand Forecast Sep-26'!G:G,"Not Exist")</f>
        <v>Not Exist</v>
      </c>
    </row>
    <row r="683" spans="1:46" x14ac:dyDescent="0.3">
      <c r="A683">
        <v>105200096</v>
      </c>
      <c r="B683" t="s">
        <v>2588</v>
      </c>
      <c r="C683" t="s">
        <v>10</v>
      </c>
      <c r="D683" t="s">
        <v>1613</v>
      </c>
      <c r="E683" t="s">
        <v>1685</v>
      </c>
      <c r="F683" t="s">
        <v>1664</v>
      </c>
      <c r="G683" t="s">
        <v>1624</v>
      </c>
      <c r="H683" t="s">
        <v>1779</v>
      </c>
      <c r="I683" t="s">
        <v>1634</v>
      </c>
      <c r="J683" t="s">
        <v>10</v>
      </c>
      <c r="K683">
        <v>1.2E-2</v>
      </c>
      <c r="L683">
        <v>80.400000000000006</v>
      </c>
      <c r="M683" s="1">
        <v>15</v>
      </c>
      <c r="N683">
        <v>0</v>
      </c>
      <c r="O683">
        <v>0</v>
      </c>
      <c r="P683">
        <v>6700</v>
      </c>
      <c r="Q683" s="1">
        <v>6700</v>
      </c>
      <c r="R683">
        <v>1.2E-2</v>
      </c>
      <c r="S683" s="2">
        <v>46214</v>
      </c>
      <c r="T683" s="2">
        <v>46260</v>
      </c>
      <c r="U683">
        <v>0</v>
      </c>
      <c r="V683">
        <v>0</v>
      </c>
      <c r="W683">
        <v>0</v>
      </c>
      <c r="X683">
        <v>11400</v>
      </c>
      <c r="Y683">
        <v>0</v>
      </c>
      <c r="Z683" s="8">
        <v>11400</v>
      </c>
      <c r="AA683">
        <v>2850</v>
      </c>
      <c r="AB683">
        <v>0</v>
      </c>
      <c r="AC683">
        <v>4</v>
      </c>
      <c r="AD683" s="1">
        <v>17</v>
      </c>
      <c r="AE683" s="2">
        <v>46265</v>
      </c>
      <c r="AF683" s="2">
        <v>46273</v>
      </c>
      <c r="AG683" s="2">
        <v>46280</v>
      </c>
      <c r="AH683">
        <v>10100</v>
      </c>
      <c r="AI683" s="3">
        <v>0.91651542649727769</v>
      </c>
      <c r="AJ683" s="1">
        <v>19</v>
      </c>
      <c r="AK683" s="2">
        <v>46282</v>
      </c>
      <c r="AL683" s="4">
        <v>30</v>
      </c>
      <c r="AM683" s="5">
        <v>15</v>
      </c>
      <c r="AN683" s="4">
        <v>17</v>
      </c>
      <c r="AO683">
        <v>10448.275862068966</v>
      </c>
      <c r="AP683" s="4">
        <v>1</v>
      </c>
      <c r="AQ683">
        <v>15000</v>
      </c>
      <c r="AR683" t="s">
        <v>2034</v>
      </c>
      <c r="AT683" s="16" t="str">
        <f>_xlfn.XLOOKUP(B683,'SWiSH Demand Forecast Sep-26'!D:D,'SWiSH Demand Forecast Sep-26'!G:G,"Not Exist")</f>
        <v>Not Exist</v>
      </c>
    </row>
    <row r="684" spans="1:46" x14ac:dyDescent="0.3">
      <c r="A684">
        <v>101100008</v>
      </c>
      <c r="B684" t="s">
        <v>2589</v>
      </c>
      <c r="C684" t="s">
        <v>10</v>
      </c>
      <c r="D684" t="s">
        <v>1613</v>
      </c>
      <c r="E684" t="s">
        <v>2590</v>
      </c>
      <c r="F684" t="s">
        <v>1650</v>
      </c>
      <c r="G684" t="s">
        <v>1624</v>
      </c>
      <c r="H684" t="s">
        <v>1953</v>
      </c>
      <c r="I684" t="s">
        <v>1634</v>
      </c>
      <c r="J684" t="s">
        <v>10</v>
      </c>
      <c r="K684">
        <v>9.5</v>
      </c>
      <c r="L684">
        <v>304</v>
      </c>
      <c r="M684" s="1">
        <v>3</v>
      </c>
      <c r="N684">
        <v>0</v>
      </c>
      <c r="O684">
        <v>0</v>
      </c>
      <c r="P684">
        <v>32</v>
      </c>
      <c r="Q684" s="1">
        <v>32</v>
      </c>
      <c r="R684">
        <v>9.5</v>
      </c>
      <c r="S684" s="2">
        <v>46254</v>
      </c>
      <c r="T684" s="2">
        <v>46263</v>
      </c>
      <c r="U684">
        <v>28</v>
      </c>
      <c r="V684">
        <v>39</v>
      </c>
      <c r="W684">
        <v>56</v>
      </c>
      <c r="X684">
        <v>44</v>
      </c>
      <c r="Y684">
        <v>28</v>
      </c>
      <c r="Z684" s="8">
        <v>56</v>
      </c>
      <c r="AA684">
        <v>41.75</v>
      </c>
      <c r="AB684">
        <v>0.6706586826347305</v>
      </c>
      <c r="AC684">
        <v>1.341317365269461</v>
      </c>
      <c r="AD684" s="1">
        <v>17</v>
      </c>
      <c r="AE684" s="2">
        <v>46265</v>
      </c>
      <c r="AF684" s="2">
        <v>46273</v>
      </c>
      <c r="AG684" s="2">
        <v>46280</v>
      </c>
      <c r="AH684">
        <v>43</v>
      </c>
      <c r="AI684" s="3">
        <v>0.79433497536945818</v>
      </c>
      <c r="AJ684" s="1">
        <v>21</v>
      </c>
      <c r="AK684" s="2">
        <v>46284</v>
      </c>
      <c r="AL684" s="4">
        <v>30</v>
      </c>
      <c r="AM684" s="5">
        <v>15</v>
      </c>
      <c r="AN684" s="4">
        <v>17</v>
      </c>
      <c r="AO684">
        <v>44.482758620689658</v>
      </c>
      <c r="AP684" s="4">
        <v>1</v>
      </c>
      <c r="AQ684" t="s">
        <v>1619</v>
      </c>
      <c r="AR684" t="s">
        <v>1620</v>
      </c>
      <c r="AT684" s="16" t="str">
        <f>_xlfn.XLOOKUP(B684,'SWiSH Demand Forecast Sep-26'!D:D,'SWiSH Demand Forecast Sep-26'!G:G,"Not Exist")</f>
        <v>Not Exist</v>
      </c>
    </row>
    <row r="685" spans="1:46" hidden="1" x14ac:dyDescent="0.3">
      <c r="A685">
        <v>100900040</v>
      </c>
      <c r="B685" t="s">
        <v>515</v>
      </c>
      <c r="C685" t="s">
        <v>10</v>
      </c>
      <c r="D685" t="s">
        <v>1613</v>
      </c>
      <c r="E685" t="s">
        <v>2323</v>
      </c>
      <c r="F685" t="s">
        <v>1639</v>
      </c>
      <c r="G685" t="s">
        <v>1616</v>
      </c>
      <c r="H685" t="s">
        <v>1640</v>
      </c>
      <c r="I685" t="s">
        <v>1618</v>
      </c>
      <c r="J685" t="s">
        <v>1641</v>
      </c>
      <c r="K685">
        <v>6.166667E-2</v>
      </c>
      <c r="L685">
        <v>77.700004199999995</v>
      </c>
      <c r="M685" s="1">
        <v>3</v>
      </c>
      <c r="N685">
        <v>0</v>
      </c>
      <c r="O685">
        <v>30</v>
      </c>
      <c r="P685">
        <v>1260</v>
      </c>
      <c r="Q685" s="1">
        <v>1230</v>
      </c>
      <c r="R685">
        <v>1.85</v>
      </c>
      <c r="S685" s="2">
        <v>46257</v>
      </c>
      <c r="T685" s="2">
        <v>46263</v>
      </c>
      <c r="U685">
        <v>1980</v>
      </c>
      <c r="V685">
        <v>2006</v>
      </c>
      <c r="W685">
        <v>1710</v>
      </c>
      <c r="X685">
        <v>2130</v>
      </c>
      <c r="Y685">
        <v>1710</v>
      </c>
      <c r="Z685" s="8">
        <v>2130</v>
      </c>
      <c r="AA685">
        <v>1956.5</v>
      </c>
      <c r="AB685">
        <v>0.8740097112190135</v>
      </c>
      <c r="AC685">
        <v>1.0886787630973678</v>
      </c>
      <c r="AD685" s="1">
        <v>17</v>
      </c>
      <c r="AE685" s="2">
        <v>46265</v>
      </c>
      <c r="AF685" s="2">
        <v>46273</v>
      </c>
      <c r="AG685" s="2">
        <v>46280</v>
      </c>
      <c r="AH685">
        <v>1350</v>
      </c>
      <c r="AI685" s="3">
        <v>0.65565808644973278</v>
      </c>
      <c r="AJ685" s="1">
        <v>26</v>
      </c>
      <c r="AK685" s="2">
        <v>46289</v>
      </c>
      <c r="AL685" s="4">
        <v>10</v>
      </c>
      <c r="AM685" s="5">
        <v>10</v>
      </c>
      <c r="AN685" s="4">
        <v>17</v>
      </c>
      <c r="AO685">
        <v>465.51724137931029</v>
      </c>
      <c r="AP685" s="4">
        <v>3</v>
      </c>
      <c r="AQ685" t="s">
        <v>1619</v>
      </c>
      <c r="AR685" t="s">
        <v>1620</v>
      </c>
      <c r="AT685" s="16">
        <f>_xlfn.XLOOKUP(B685,'SWiSH Demand Forecast Sep-26'!D:D,'SWiSH Demand Forecast Sep-26'!G:G,"Not Exist")</f>
        <v>1458</v>
      </c>
    </row>
    <row r="686" spans="1:46" hidden="1" x14ac:dyDescent="0.3">
      <c r="A686">
        <v>105600047</v>
      </c>
      <c r="B686" t="s">
        <v>620</v>
      </c>
      <c r="C686" t="s">
        <v>136</v>
      </c>
      <c r="D686" t="s">
        <v>1613</v>
      </c>
      <c r="E686" t="s">
        <v>1655</v>
      </c>
      <c r="F686" t="s">
        <v>1664</v>
      </c>
      <c r="G686" t="s">
        <v>1624</v>
      </c>
      <c r="H686" t="s">
        <v>1679</v>
      </c>
      <c r="I686" t="s">
        <v>1634</v>
      </c>
      <c r="J686" t="s">
        <v>136</v>
      </c>
      <c r="K686">
        <v>0.62460225000000003</v>
      </c>
      <c r="L686">
        <v>181.75925475</v>
      </c>
      <c r="M686" s="1">
        <v>30</v>
      </c>
      <c r="N686">
        <v>0</v>
      </c>
      <c r="O686">
        <v>5</v>
      </c>
      <c r="P686">
        <v>291</v>
      </c>
      <c r="Q686" s="1">
        <v>286</v>
      </c>
      <c r="R686">
        <v>0.63</v>
      </c>
      <c r="S686" s="2">
        <v>46245</v>
      </c>
      <c r="T686" s="2">
        <v>46263</v>
      </c>
      <c r="U686">
        <v>492</v>
      </c>
      <c r="V686">
        <v>442.5</v>
      </c>
      <c r="W686">
        <v>367.3</v>
      </c>
      <c r="X686">
        <v>456.60000000000014</v>
      </c>
      <c r="Y686">
        <v>367.3</v>
      </c>
      <c r="Z686" s="8">
        <v>492</v>
      </c>
      <c r="AA686">
        <v>439.6</v>
      </c>
      <c r="AB686">
        <v>0.8355323020928116</v>
      </c>
      <c r="AC686">
        <v>1.119199272065514</v>
      </c>
      <c r="AD686" s="1">
        <v>17</v>
      </c>
      <c r="AE686" s="2">
        <v>46265</v>
      </c>
      <c r="AF686" s="2">
        <v>46273</v>
      </c>
      <c r="AG686" s="2">
        <v>46280</v>
      </c>
      <c r="AH686">
        <v>425</v>
      </c>
      <c r="AI686" s="3">
        <v>0.89360807401177456</v>
      </c>
      <c r="AJ686" s="1">
        <v>19</v>
      </c>
      <c r="AK686" s="2">
        <v>46282</v>
      </c>
      <c r="AL686" s="4">
        <v>30</v>
      </c>
      <c r="AM686" s="5">
        <v>15</v>
      </c>
      <c r="AN686" s="4">
        <v>17</v>
      </c>
      <c r="AO686">
        <v>439.65517241379303</v>
      </c>
      <c r="AP686" s="4">
        <v>1</v>
      </c>
      <c r="AQ686">
        <v>554</v>
      </c>
      <c r="AR686" t="s">
        <v>2591</v>
      </c>
      <c r="AT686" s="16">
        <f>_xlfn.XLOOKUP(B686,'SWiSH Demand Forecast Sep-26'!D:D,'SWiSH Demand Forecast Sep-26'!G:G,"Not Exist")</f>
        <v>918.04599999999903</v>
      </c>
    </row>
    <row r="687" spans="1:46" hidden="1" x14ac:dyDescent="0.3">
      <c r="A687">
        <v>100300015</v>
      </c>
      <c r="B687" t="s">
        <v>333</v>
      </c>
      <c r="C687" t="s">
        <v>136</v>
      </c>
      <c r="D687" t="s">
        <v>1613</v>
      </c>
      <c r="E687" t="s">
        <v>2111</v>
      </c>
      <c r="F687" t="s">
        <v>1752</v>
      </c>
      <c r="G687" t="s">
        <v>1624</v>
      </c>
      <c r="H687" t="s">
        <v>2018</v>
      </c>
      <c r="I687" t="s">
        <v>1754</v>
      </c>
      <c r="J687" t="s">
        <v>136</v>
      </c>
      <c r="K687">
        <v>3.5722281699999998</v>
      </c>
      <c r="L687">
        <v>33657.405217525877</v>
      </c>
      <c r="M687" s="1">
        <v>3</v>
      </c>
      <c r="N687">
        <v>0</v>
      </c>
      <c r="O687">
        <v>0</v>
      </c>
      <c r="P687">
        <v>9421.9639999999999</v>
      </c>
      <c r="Q687" s="1">
        <v>9421.9639999999999</v>
      </c>
      <c r="R687">
        <v>3.5</v>
      </c>
      <c r="S687" s="2">
        <v>45873</v>
      </c>
      <c r="T687" s="2">
        <v>46263</v>
      </c>
      <c r="U687">
        <v>15635.036000000002</v>
      </c>
      <c r="V687">
        <v>15973.153999999999</v>
      </c>
      <c r="W687">
        <v>13216.884999999998</v>
      </c>
      <c r="X687">
        <v>14367.779999999997</v>
      </c>
      <c r="Y687">
        <v>13216.884999999998</v>
      </c>
      <c r="Z687" s="8">
        <v>15973.153999999999</v>
      </c>
      <c r="AA687">
        <v>14798.213749999999</v>
      </c>
      <c r="AB687">
        <v>0.8931405656983431</v>
      </c>
      <c r="AC687">
        <v>1.079397437410309</v>
      </c>
      <c r="AD687" s="1">
        <v>17</v>
      </c>
      <c r="AE687" s="2">
        <v>46265</v>
      </c>
      <c r="AF687" s="2">
        <v>46273</v>
      </c>
      <c r="AG687" s="2">
        <v>46280</v>
      </c>
      <c r="AH687">
        <v>13342.488999999996</v>
      </c>
      <c r="AI687" s="3">
        <v>0.86411079662702828</v>
      </c>
      <c r="AJ687" s="1">
        <v>20</v>
      </c>
      <c r="AK687" s="2">
        <v>46283</v>
      </c>
      <c r="AL687" s="4">
        <v>7</v>
      </c>
      <c r="AM687" s="5">
        <v>7</v>
      </c>
      <c r="AN687" s="4">
        <v>17</v>
      </c>
      <c r="AO687">
        <v>3220.6007931034474</v>
      </c>
      <c r="AP687" s="4">
        <v>5</v>
      </c>
      <c r="AQ687" t="s">
        <v>1619</v>
      </c>
      <c r="AR687" t="s">
        <v>1620</v>
      </c>
      <c r="AT687" s="16">
        <f>_xlfn.XLOOKUP(B687,'SWiSH Demand Forecast Sep-26'!D:D,'SWiSH Demand Forecast Sep-26'!G:G,"Not Exist")</f>
        <v>3943.89359129383</v>
      </c>
    </row>
    <row r="688" spans="1:46" x14ac:dyDescent="0.3">
      <c r="A688">
        <v>101400019</v>
      </c>
      <c r="B688" t="s">
        <v>2592</v>
      </c>
      <c r="C688" t="s">
        <v>10</v>
      </c>
      <c r="D688" t="s">
        <v>1613</v>
      </c>
      <c r="E688" t="s">
        <v>1630</v>
      </c>
      <c r="F688" t="s">
        <v>1644</v>
      </c>
      <c r="G688" t="s">
        <v>1624</v>
      </c>
      <c r="H688" t="s">
        <v>1693</v>
      </c>
      <c r="I688" t="s">
        <v>1634</v>
      </c>
      <c r="J688" t="s">
        <v>1905</v>
      </c>
      <c r="K688">
        <v>0.05</v>
      </c>
      <c r="L688">
        <v>65</v>
      </c>
      <c r="M688" s="1">
        <v>3</v>
      </c>
      <c r="N688">
        <v>0</v>
      </c>
      <c r="O688">
        <v>0</v>
      </c>
      <c r="P688">
        <v>1300</v>
      </c>
      <c r="Q688" s="1">
        <v>1300</v>
      </c>
      <c r="R688">
        <v>5</v>
      </c>
      <c r="S688" s="2">
        <v>46259</v>
      </c>
      <c r="T688" s="2">
        <v>46263</v>
      </c>
      <c r="U688">
        <v>1899</v>
      </c>
      <c r="V688">
        <v>2200</v>
      </c>
      <c r="W688">
        <v>1100</v>
      </c>
      <c r="X688">
        <v>1000</v>
      </c>
      <c r="Y688">
        <v>1000</v>
      </c>
      <c r="Z688" s="8">
        <v>2200</v>
      </c>
      <c r="AA688">
        <v>1549.75</v>
      </c>
      <c r="AB688">
        <v>0.64526536538151313</v>
      </c>
      <c r="AC688">
        <v>1.4195838038393289</v>
      </c>
      <c r="AD688" s="1">
        <v>17</v>
      </c>
      <c r="AE688" s="2">
        <v>46265</v>
      </c>
      <c r="AF688" s="2">
        <v>46273</v>
      </c>
      <c r="AG688" s="2">
        <v>46280</v>
      </c>
      <c r="AH688">
        <v>1000</v>
      </c>
      <c r="AI688" s="3">
        <v>0.47021943573667707</v>
      </c>
      <c r="AJ688" s="1">
        <v>37</v>
      </c>
      <c r="AK688" s="2">
        <v>46300</v>
      </c>
      <c r="AL688" s="4">
        <v>30</v>
      </c>
      <c r="AM688" s="5">
        <v>15</v>
      </c>
      <c r="AN688" s="4">
        <v>17</v>
      </c>
      <c r="AO688">
        <v>1034.4827586206895</v>
      </c>
      <c r="AP688" s="4">
        <v>1</v>
      </c>
      <c r="AQ688" t="s">
        <v>1619</v>
      </c>
      <c r="AR688" t="s">
        <v>1620</v>
      </c>
      <c r="AT688" s="16" t="str">
        <f>_xlfn.XLOOKUP(B688,'SWiSH Demand Forecast Sep-26'!D:D,'SWiSH Demand Forecast Sep-26'!G:G,"Not Exist")</f>
        <v>Not Exist</v>
      </c>
    </row>
    <row r="689" spans="1:46" hidden="1" x14ac:dyDescent="0.3">
      <c r="A689">
        <v>103700132</v>
      </c>
      <c r="B689" t="s">
        <v>1210</v>
      </c>
      <c r="C689" t="s">
        <v>136</v>
      </c>
      <c r="D689" t="s">
        <v>1613</v>
      </c>
      <c r="E689" t="s">
        <v>2593</v>
      </c>
      <c r="F689" t="s">
        <v>1615</v>
      </c>
      <c r="G689" t="s">
        <v>1616</v>
      </c>
      <c r="H689" t="s">
        <v>1617</v>
      </c>
      <c r="I689" t="s">
        <v>1618</v>
      </c>
      <c r="J689" t="s">
        <v>136</v>
      </c>
      <c r="K689">
        <v>4.0009013299999996</v>
      </c>
      <c r="L689">
        <v>660.14871944999993</v>
      </c>
      <c r="M689" s="1">
        <v>3</v>
      </c>
      <c r="N689">
        <v>0</v>
      </c>
      <c r="O689">
        <v>0</v>
      </c>
      <c r="P689">
        <v>165</v>
      </c>
      <c r="Q689" s="1">
        <v>165</v>
      </c>
      <c r="R689">
        <v>2</v>
      </c>
      <c r="S689" s="2">
        <v>46257</v>
      </c>
      <c r="T689" s="2">
        <v>46263</v>
      </c>
      <c r="U689">
        <v>266</v>
      </c>
      <c r="V689">
        <v>245</v>
      </c>
      <c r="W689">
        <v>279</v>
      </c>
      <c r="X689">
        <v>255</v>
      </c>
      <c r="Y689">
        <v>245</v>
      </c>
      <c r="Z689" s="8">
        <v>279</v>
      </c>
      <c r="AA689">
        <v>261.25</v>
      </c>
      <c r="AB689">
        <v>0.93779904306220097</v>
      </c>
      <c r="AC689">
        <v>1.0679425837320575</v>
      </c>
      <c r="AD689" s="1">
        <v>17</v>
      </c>
      <c r="AE689" s="2">
        <v>46265</v>
      </c>
      <c r="AF689" s="2">
        <v>46273</v>
      </c>
      <c r="AG689" s="2">
        <v>46280</v>
      </c>
      <c r="AH689">
        <v>271</v>
      </c>
      <c r="AI689" s="3">
        <v>1.0048201705598814</v>
      </c>
      <c r="AJ689" s="1">
        <v>17</v>
      </c>
      <c r="AK689" s="2">
        <v>46280</v>
      </c>
      <c r="AL689" s="4">
        <v>30</v>
      </c>
      <c r="AM689" s="5">
        <v>15</v>
      </c>
      <c r="AN689" s="4">
        <v>17</v>
      </c>
      <c r="AO689">
        <v>280.34482758620692</v>
      </c>
      <c r="AP689" s="4">
        <v>1</v>
      </c>
      <c r="AQ689" t="s">
        <v>1619</v>
      </c>
      <c r="AR689" t="s">
        <v>1620</v>
      </c>
      <c r="AT689" s="16">
        <f>_xlfn.XLOOKUP(B689,'SWiSH Demand Forecast Sep-26'!D:D,'SWiSH Demand Forecast Sep-26'!G:G,"Not Exist")</f>
        <v>53.761750436438</v>
      </c>
    </row>
    <row r="690" spans="1:46" hidden="1" x14ac:dyDescent="0.3">
      <c r="A690">
        <v>107400031</v>
      </c>
      <c r="B690" t="s">
        <v>22</v>
      </c>
      <c r="C690" t="s">
        <v>10</v>
      </c>
      <c r="D690" t="s">
        <v>1613</v>
      </c>
      <c r="E690" t="s">
        <v>2594</v>
      </c>
      <c r="F690" t="s">
        <v>1664</v>
      </c>
      <c r="G690" t="s">
        <v>1624</v>
      </c>
      <c r="H690" t="s">
        <v>2016</v>
      </c>
      <c r="I690" t="s">
        <v>1634</v>
      </c>
      <c r="J690" t="s">
        <v>10</v>
      </c>
      <c r="K690">
        <v>5.5485600000000001E-3</v>
      </c>
      <c r="L690">
        <v>477.17616000000004</v>
      </c>
      <c r="M690" s="1">
        <v>30</v>
      </c>
      <c r="N690">
        <v>0</v>
      </c>
      <c r="O690">
        <v>2000</v>
      </c>
      <c r="P690">
        <v>86000</v>
      </c>
      <c r="Q690" s="1">
        <v>84000</v>
      </c>
      <c r="R690">
        <v>5.4999999999999997E-3</v>
      </c>
      <c r="S690" s="2">
        <v>46201</v>
      </c>
      <c r="T690" s="2">
        <v>46261</v>
      </c>
      <c r="U690">
        <v>142500</v>
      </c>
      <c r="V690">
        <v>123000</v>
      </c>
      <c r="W690">
        <v>122000</v>
      </c>
      <c r="X690">
        <v>134000</v>
      </c>
      <c r="Y690">
        <v>122000</v>
      </c>
      <c r="Z690" s="8">
        <v>142500</v>
      </c>
      <c r="AA690">
        <v>130375</v>
      </c>
      <c r="AB690">
        <v>0.93576222435282841</v>
      </c>
      <c r="AC690">
        <v>1.0930009587727709</v>
      </c>
      <c r="AD690" s="1">
        <v>17</v>
      </c>
      <c r="AE690" s="2">
        <v>46265</v>
      </c>
      <c r="AF690" s="2">
        <v>46273</v>
      </c>
      <c r="AG690" s="2">
        <v>46280</v>
      </c>
      <c r="AH690">
        <v>98000</v>
      </c>
      <c r="AI690" s="3">
        <v>0.71143375680580756</v>
      </c>
      <c r="AJ690" s="1">
        <v>24</v>
      </c>
      <c r="AK690" s="2">
        <v>46287</v>
      </c>
      <c r="AL690" s="4">
        <v>30</v>
      </c>
      <c r="AM690" s="5">
        <v>15</v>
      </c>
      <c r="AN690" s="4">
        <v>17</v>
      </c>
      <c r="AO690">
        <v>101379.31034482758</v>
      </c>
      <c r="AP690" s="4">
        <v>1</v>
      </c>
      <c r="AQ690">
        <v>904000</v>
      </c>
      <c r="AR690" t="s">
        <v>2150</v>
      </c>
      <c r="AT690" s="16">
        <f>_xlfn.XLOOKUP(B690,'SWiSH Demand Forecast Sep-26'!D:D,'SWiSH Demand Forecast Sep-26'!G:G,"Not Exist")</f>
        <v>115928</v>
      </c>
    </row>
    <row r="691" spans="1:46" hidden="1" x14ac:dyDescent="0.3">
      <c r="A691">
        <v>101600044</v>
      </c>
      <c r="B691" t="s">
        <v>282</v>
      </c>
      <c r="C691" t="s">
        <v>10</v>
      </c>
      <c r="D691" t="s">
        <v>1613</v>
      </c>
      <c r="E691" t="s">
        <v>2595</v>
      </c>
      <c r="F691" t="s">
        <v>1664</v>
      </c>
      <c r="G691" t="s">
        <v>1624</v>
      </c>
      <c r="H691" t="s">
        <v>1768</v>
      </c>
      <c r="I691" t="s">
        <v>1634</v>
      </c>
      <c r="J691" t="s">
        <v>10</v>
      </c>
      <c r="K691">
        <v>9.9442200000000001E-3</v>
      </c>
      <c r="L691">
        <v>99.4422</v>
      </c>
      <c r="M691" s="1">
        <v>7</v>
      </c>
      <c r="N691">
        <v>0</v>
      </c>
      <c r="O691">
        <v>0</v>
      </c>
      <c r="P691">
        <v>10000</v>
      </c>
      <c r="Q691" s="1">
        <v>10000</v>
      </c>
      <c r="R691">
        <v>0.01</v>
      </c>
      <c r="S691" s="2">
        <v>46062</v>
      </c>
      <c r="T691" s="2">
        <v>46262</v>
      </c>
      <c r="U691">
        <v>17000</v>
      </c>
      <c r="V691">
        <v>16000</v>
      </c>
      <c r="W691">
        <v>9000</v>
      </c>
      <c r="X691">
        <v>14000</v>
      </c>
      <c r="Y691">
        <v>9000</v>
      </c>
      <c r="Z691" s="8">
        <v>17000</v>
      </c>
      <c r="AA691">
        <v>14000</v>
      </c>
      <c r="AB691">
        <v>0.6428571428571429</v>
      </c>
      <c r="AC691">
        <v>1.2142857142857142</v>
      </c>
      <c r="AD691" s="1">
        <v>17</v>
      </c>
      <c r="AE691" s="2">
        <v>46265</v>
      </c>
      <c r="AF691" s="2">
        <v>46273</v>
      </c>
      <c r="AG691" s="2">
        <v>46280</v>
      </c>
      <c r="AH691">
        <v>11000</v>
      </c>
      <c r="AI691" s="3">
        <v>0.66937119675456391</v>
      </c>
      <c r="AJ691" s="1">
        <v>26</v>
      </c>
      <c r="AK691" s="2">
        <v>46289</v>
      </c>
      <c r="AL691" s="4">
        <v>30</v>
      </c>
      <c r="AM691" s="5">
        <v>15</v>
      </c>
      <c r="AN691" s="4">
        <v>17</v>
      </c>
      <c r="AO691">
        <v>11379.310344827587</v>
      </c>
      <c r="AP691" s="4">
        <v>1</v>
      </c>
      <c r="AQ691">
        <v>25000</v>
      </c>
      <c r="AR691" t="s">
        <v>2076</v>
      </c>
      <c r="AT691" s="16">
        <f>_xlfn.XLOOKUP(B691,'SWiSH Demand Forecast Sep-26'!D:D,'SWiSH Demand Forecast Sep-26'!G:G,"Not Exist")</f>
        <v>5496</v>
      </c>
    </row>
    <row r="692" spans="1:46" hidden="1" x14ac:dyDescent="0.3">
      <c r="A692">
        <v>101600041</v>
      </c>
      <c r="B692" t="s">
        <v>1056</v>
      </c>
      <c r="C692" t="s">
        <v>10</v>
      </c>
      <c r="D692" t="s">
        <v>1613</v>
      </c>
      <c r="E692" t="s">
        <v>1732</v>
      </c>
      <c r="F692" t="s">
        <v>1631</v>
      </c>
      <c r="G692" t="s">
        <v>1616</v>
      </c>
      <c r="H692" t="s">
        <v>1768</v>
      </c>
      <c r="I692" t="s">
        <v>1634</v>
      </c>
      <c r="J692" t="s">
        <v>10</v>
      </c>
      <c r="K692">
        <v>0.21667</v>
      </c>
      <c r="L692">
        <v>41.600639999999999</v>
      </c>
      <c r="M692" s="1">
        <v>3</v>
      </c>
      <c r="N692">
        <v>0</v>
      </c>
      <c r="O692">
        <v>0</v>
      </c>
      <c r="P692">
        <v>192</v>
      </c>
      <c r="Q692" s="1">
        <v>192</v>
      </c>
      <c r="R692">
        <v>0.21667</v>
      </c>
      <c r="S692" s="2">
        <v>46256</v>
      </c>
      <c r="T692" s="2">
        <v>46262</v>
      </c>
      <c r="U692">
        <v>252</v>
      </c>
      <c r="V692">
        <v>252</v>
      </c>
      <c r="W692">
        <v>324</v>
      </c>
      <c r="X692">
        <v>324</v>
      </c>
      <c r="Y692">
        <v>252</v>
      </c>
      <c r="Z692" s="8">
        <v>324</v>
      </c>
      <c r="AA692">
        <v>288</v>
      </c>
      <c r="AB692">
        <v>0.875</v>
      </c>
      <c r="AC692">
        <v>1.125</v>
      </c>
      <c r="AD692" s="1">
        <v>17</v>
      </c>
      <c r="AE692" s="2">
        <v>46265</v>
      </c>
      <c r="AF692" s="2">
        <v>46273</v>
      </c>
      <c r="AG692" s="2">
        <v>46280</v>
      </c>
      <c r="AH692">
        <v>276</v>
      </c>
      <c r="AI692" s="3">
        <v>0.88122605363984674</v>
      </c>
      <c r="AJ692" s="1">
        <v>20</v>
      </c>
      <c r="AK692" s="2">
        <v>46283</v>
      </c>
      <c r="AL692" s="4">
        <v>30</v>
      </c>
      <c r="AM692" s="5">
        <v>15</v>
      </c>
      <c r="AN692" s="4">
        <v>17</v>
      </c>
      <c r="AO692">
        <v>285.51724137931035</v>
      </c>
      <c r="AP692" s="4">
        <v>1</v>
      </c>
      <c r="AQ692" t="s">
        <v>1619</v>
      </c>
      <c r="AR692" t="s">
        <v>1620</v>
      </c>
      <c r="AT692" s="16">
        <f>_xlfn.XLOOKUP(B692,'SWiSH Demand Forecast Sep-26'!D:D,'SWiSH Demand Forecast Sep-26'!G:G,"Not Exist")</f>
        <v>125.91</v>
      </c>
    </row>
    <row r="693" spans="1:46" hidden="1" x14ac:dyDescent="0.3">
      <c r="A693">
        <v>106600113</v>
      </c>
      <c r="B693" t="s">
        <v>32</v>
      </c>
      <c r="C693" t="s">
        <v>10</v>
      </c>
      <c r="D693" t="s">
        <v>1613</v>
      </c>
      <c r="E693" t="s">
        <v>1638</v>
      </c>
      <c r="F693" t="s">
        <v>1664</v>
      </c>
      <c r="G693" t="s">
        <v>1624</v>
      </c>
      <c r="H693" t="s">
        <v>1723</v>
      </c>
      <c r="I693" t="s">
        <v>1634</v>
      </c>
      <c r="J693" t="s">
        <v>10</v>
      </c>
      <c r="K693">
        <v>0.01</v>
      </c>
      <c r="L693">
        <v>220</v>
      </c>
      <c r="M693" s="1">
        <v>15</v>
      </c>
      <c r="N693">
        <v>0</v>
      </c>
      <c r="O693">
        <v>0</v>
      </c>
      <c r="P693">
        <v>22000</v>
      </c>
      <c r="Q693" s="1">
        <v>22000</v>
      </c>
      <c r="R693">
        <v>0.01</v>
      </c>
      <c r="S693" s="2">
        <v>46244</v>
      </c>
      <c r="T693" s="2">
        <v>46263</v>
      </c>
      <c r="U693">
        <v>29750</v>
      </c>
      <c r="V693">
        <v>37050</v>
      </c>
      <c r="W693">
        <v>21800</v>
      </c>
      <c r="X693">
        <v>30200</v>
      </c>
      <c r="Y693">
        <v>21800</v>
      </c>
      <c r="Z693" s="8">
        <v>37050</v>
      </c>
      <c r="AA693">
        <v>29700</v>
      </c>
      <c r="AB693">
        <v>0.734006734006734</v>
      </c>
      <c r="AC693">
        <v>1.2474747474747474</v>
      </c>
      <c r="AD693" s="1">
        <v>17</v>
      </c>
      <c r="AE693" s="2">
        <v>46265</v>
      </c>
      <c r="AF693" s="2">
        <v>46273</v>
      </c>
      <c r="AG693" s="2">
        <v>46280</v>
      </c>
      <c r="AH693">
        <v>28000</v>
      </c>
      <c r="AI693" s="3">
        <v>0.78179533714923921</v>
      </c>
      <c r="AJ693" s="1">
        <v>22</v>
      </c>
      <c r="AK693" s="2">
        <v>46285</v>
      </c>
      <c r="AL693" s="4">
        <v>30</v>
      </c>
      <c r="AM693" s="5">
        <v>15</v>
      </c>
      <c r="AN693" s="4">
        <v>17</v>
      </c>
      <c r="AO693">
        <v>28965.517241379312</v>
      </c>
      <c r="AP693" s="4">
        <v>1</v>
      </c>
      <c r="AQ693">
        <v>75000</v>
      </c>
      <c r="AR693" t="s">
        <v>2076</v>
      </c>
      <c r="AT693" s="16">
        <f>_xlfn.XLOOKUP(B693,'SWiSH Demand Forecast Sep-26'!D:D,'SWiSH Demand Forecast Sep-26'!G:G,"Not Exist")</f>
        <v>83755</v>
      </c>
    </row>
    <row r="694" spans="1:46" hidden="1" x14ac:dyDescent="0.3">
      <c r="A694">
        <v>103700135</v>
      </c>
      <c r="B694" t="s">
        <v>1470</v>
      </c>
      <c r="C694" t="s">
        <v>136</v>
      </c>
      <c r="D694" t="s">
        <v>1613</v>
      </c>
      <c r="E694" t="s">
        <v>1832</v>
      </c>
      <c r="F694" t="s">
        <v>1615</v>
      </c>
      <c r="G694" t="s">
        <v>1616</v>
      </c>
      <c r="H694" t="s">
        <v>1617</v>
      </c>
      <c r="I694" t="s">
        <v>1618</v>
      </c>
      <c r="J694" t="s">
        <v>136</v>
      </c>
      <c r="K694">
        <v>0.75</v>
      </c>
      <c r="L694">
        <v>5.25</v>
      </c>
      <c r="M694" s="1">
        <v>3</v>
      </c>
      <c r="N694">
        <v>0</v>
      </c>
      <c r="O694">
        <v>0</v>
      </c>
      <c r="P694">
        <v>7</v>
      </c>
      <c r="Q694" s="1">
        <v>7</v>
      </c>
      <c r="R694">
        <v>0.75</v>
      </c>
      <c r="S694" s="2">
        <v>46253</v>
      </c>
      <c r="T694" s="2">
        <v>46263</v>
      </c>
      <c r="U694">
        <v>12</v>
      </c>
      <c r="V694">
        <v>5</v>
      </c>
      <c r="W694">
        <v>1</v>
      </c>
      <c r="X694">
        <v>7</v>
      </c>
      <c r="Y694">
        <v>1</v>
      </c>
      <c r="Z694" s="8">
        <v>12</v>
      </c>
      <c r="AA694">
        <v>6.25</v>
      </c>
      <c r="AB694">
        <v>0.16</v>
      </c>
      <c r="AC694">
        <v>1.92</v>
      </c>
      <c r="AD694" s="1">
        <v>17</v>
      </c>
      <c r="AE694" s="2">
        <v>46265</v>
      </c>
      <c r="AF694" s="2">
        <v>46273</v>
      </c>
      <c r="AG694" s="2">
        <v>46280</v>
      </c>
      <c r="AH694">
        <v>18</v>
      </c>
      <c r="AI694" s="3">
        <v>1.5517241379310345</v>
      </c>
      <c r="AJ694" s="1">
        <v>11</v>
      </c>
      <c r="AK694" s="2">
        <v>46274</v>
      </c>
      <c r="AL694" s="4">
        <v>30</v>
      </c>
      <c r="AM694" s="5">
        <v>15</v>
      </c>
      <c r="AN694" s="4">
        <v>11</v>
      </c>
      <c r="AO694">
        <v>18.620689655172413</v>
      </c>
      <c r="AP694" s="4">
        <v>1</v>
      </c>
      <c r="AQ694" t="s">
        <v>1619</v>
      </c>
      <c r="AR694" t="s">
        <v>1620</v>
      </c>
      <c r="AT694" s="16">
        <f>_xlfn.XLOOKUP(B694,'SWiSH Demand Forecast Sep-26'!D:D,'SWiSH Demand Forecast Sep-26'!G:G,"Not Exist")</f>
        <v>5.1725898752751203</v>
      </c>
    </row>
    <row r="695" spans="1:46" hidden="1" x14ac:dyDescent="0.3">
      <c r="A695">
        <v>105000035</v>
      </c>
      <c r="B695" t="s">
        <v>1496</v>
      </c>
      <c r="C695" t="s">
        <v>240</v>
      </c>
      <c r="D695" t="s">
        <v>1613</v>
      </c>
      <c r="E695" t="s">
        <v>1832</v>
      </c>
      <c r="F695" t="s">
        <v>1671</v>
      </c>
      <c r="G695" t="s">
        <v>1616</v>
      </c>
      <c r="H695" t="s">
        <v>2002</v>
      </c>
      <c r="I695" t="s">
        <v>1618</v>
      </c>
      <c r="J695" t="s">
        <v>2569</v>
      </c>
      <c r="K695">
        <v>25</v>
      </c>
      <c r="L695">
        <v>300</v>
      </c>
      <c r="M695" s="1">
        <v>3</v>
      </c>
      <c r="N695">
        <v>0</v>
      </c>
      <c r="O695">
        <v>0</v>
      </c>
      <c r="P695">
        <v>12</v>
      </c>
      <c r="Q695" s="1">
        <v>12</v>
      </c>
      <c r="R695">
        <v>37.5</v>
      </c>
      <c r="S695" s="2">
        <v>46263</v>
      </c>
      <c r="T695" s="2">
        <v>46248</v>
      </c>
      <c r="U695">
        <v>1.5</v>
      </c>
      <c r="V695">
        <v>16.5</v>
      </c>
      <c r="W695">
        <v>14.5</v>
      </c>
      <c r="X695">
        <v>20</v>
      </c>
      <c r="Y695">
        <v>1.5</v>
      </c>
      <c r="Z695" s="8">
        <v>20</v>
      </c>
      <c r="AA695">
        <v>13.125</v>
      </c>
      <c r="AB695">
        <v>0.11428571428571428</v>
      </c>
      <c r="AC695">
        <v>1.5238095238095237</v>
      </c>
      <c r="AD695" s="1">
        <v>18</v>
      </c>
      <c r="AE695" s="2">
        <v>46266</v>
      </c>
      <c r="AF695" s="2">
        <v>46274</v>
      </c>
      <c r="AG695" s="2">
        <v>46281</v>
      </c>
      <c r="AH695">
        <v>18</v>
      </c>
      <c r="AI695" s="3">
        <v>0.93103448275862066</v>
      </c>
      <c r="AJ695" s="1">
        <v>19</v>
      </c>
      <c r="AK695" s="2">
        <v>46282</v>
      </c>
      <c r="AL695" s="4">
        <v>30</v>
      </c>
      <c r="AM695" s="5">
        <v>15</v>
      </c>
      <c r="AN695" s="4">
        <v>18</v>
      </c>
      <c r="AO695">
        <v>18.620689655172413</v>
      </c>
      <c r="AP695" s="4">
        <v>1</v>
      </c>
      <c r="AQ695" t="s">
        <v>1619</v>
      </c>
      <c r="AR695" t="s">
        <v>1620</v>
      </c>
      <c r="AT695" s="16">
        <f>_xlfn.XLOOKUP(B695,'SWiSH Demand Forecast Sep-26'!D:D,'SWiSH Demand Forecast Sep-26'!G:G,"Not Exist")</f>
        <v>3.6746561249999901</v>
      </c>
    </row>
    <row r="696" spans="1:46" x14ac:dyDescent="0.3">
      <c r="A696">
        <v>106700100</v>
      </c>
      <c r="B696" t="s">
        <v>2596</v>
      </c>
      <c r="C696" t="s">
        <v>10</v>
      </c>
      <c r="D696" t="s">
        <v>1613</v>
      </c>
      <c r="E696" t="s">
        <v>2597</v>
      </c>
      <c r="F696" t="s">
        <v>1650</v>
      </c>
      <c r="G696" t="s">
        <v>1624</v>
      </c>
      <c r="H696" t="s">
        <v>1651</v>
      </c>
      <c r="I696" t="s">
        <v>1634</v>
      </c>
      <c r="J696" t="s">
        <v>10</v>
      </c>
      <c r="K696">
        <v>0.25</v>
      </c>
      <c r="L696">
        <v>1.25</v>
      </c>
      <c r="M696" s="1">
        <v>3</v>
      </c>
      <c r="N696">
        <v>0</v>
      </c>
      <c r="O696">
        <v>0</v>
      </c>
      <c r="P696">
        <v>5</v>
      </c>
      <c r="Q696" s="1">
        <v>5</v>
      </c>
      <c r="R696">
        <v>0.25</v>
      </c>
      <c r="S696" s="2">
        <v>46263</v>
      </c>
      <c r="T696" s="2">
        <v>46262</v>
      </c>
      <c r="U696">
        <v>2</v>
      </c>
      <c r="V696">
        <v>1</v>
      </c>
      <c r="W696">
        <v>8</v>
      </c>
      <c r="X696">
        <v>5</v>
      </c>
      <c r="Y696">
        <v>1</v>
      </c>
      <c r="Z696" s="8">
        <v>8</v>
      </c>
      <c r="AA696">
        <v>4</v>
      </c>
      <c r="AB696">
        <v>0.25</v>
      </c>
      <c r="AC696">
        <v>2</v>
      </c>
      <c r="AD696" s="1">
        <v>18</v>
      </c>
      <c r="AE696" s="2">
        <v>46266</v>
      </c>
      <c r="AF696" s="2">
        <v>46274</v>
      </c>
      <c r="AG696" s="2">
        <v>46281</v>
      </c>
      <c r="AH696">
        <v>6</v>
      </c>
      <c r="AI696" s="3">
        <v>0.77586206896551724</v>
      </c>
      <c r="AJ696" s="1">
        <v>24</v>
      </c>
      <c r="AK696" s="2">
        <v>46287</v>
      </c>
      <c r="AL696" s="4">
        <v>30</v>
      </c>
      <c r="AM696" s="5">
        <v>15</v>
      </c>
      <c r="AN696" s="4">
        <v>18</v>
      </c>
      <c r="AO696">
        <v>6.2068965517241379</v>
      </c>
      <c r="AP696" s="4">
        <v>1</v>
      </c>
      <c r="AQ696">
        <v>5</v>
      </c>
      <c r="AR696" t="s">
        <v>2598</v>
      </c>
      <c r="AT696" s="16" t="str">
        <f>_xlfn.XLOOKUP(B696,'SWiSH Demand Forecast Sep-26'!D:D,'SWiSH Demand Forecast Sep-26'!G:G,"Not Exist")</f>
        <v>Not Exist</v>
      </c>
    </row>
    <row r="697" spans="1:46" hidden="1" x14ac:dyDescent="0.3">
      <c r="A697">
        <v>104700007</v>
      </c>
      <c r="B697" t="s">
        <v>396</v>
      </c>
      <c r="C697" t="s">
        <v>240</v>
      </c>
      <c r="D697" t="s">
        <v>1613</v>
      </c>
      <c r="E697" t="s">
        <v>2599</v>
      </c>
      <c r="F697" t="s">
        <v>1833</v>
      </c>
      <c r="G697" t="s">
        <v>1616</v>
      </c>
      <c r="H697" t="s">
        <v>2025</v>
      </c>
      <c r="I697" t="s">
        <v>1626</v>
      </c>
      <c r="J697" t="s">
        <v>240</v>
      </c>
      <c r="K697">
        <v>0.31799603999999998</v>
      </c>
      <c r="L697">
        <v>2827.6207876799999</v>
      </c>
      <c r="M697" s="1">
        <v>3</v>
      </c>
      <c r="N697">
        <v>0</v>
      </c>
      <c r="O697">
        <v>12</v>
      </c>
      <c r="P697">
        <v>8892</v>
      </c>
      <c r="Q697" s="1">
        <v>8880</v>
      </c>
      <c r="R697">
        <v>3.8159999999999998</v>
      </c>
      <c r="S697" s="2">
        <v>46262</v>
      </c>
      <c r="T697" s="2">
        <v>46263</v>
      </c>
      <c r="U697">
        <v>12153</v>
      </c>
      <c r="V697">
        <v>12612</v>
      </c>
      <c r="W697">
        <v>13332</v>
      </c>
      <c r="X697">
        <v>14472</v>
      </c>
      <c r="Y697">
        <v>12153</v>
      </c>
      <c r="Z697" s="8">
        <v>14472</v>
      </c>
      <c r="AA697">
        <v>13142.25</v>
      </c>
      <c r="AB697">
        <v>0.92472750099868739</v>
      </c>
      <c r="AC697">
        <v>1.1011813045711352</v>
      </c>
      <c r="AD697" s="1">
        <v>18</v>
      </c>
      <c r="AE697" s="2">
        <v>46266</v>
      </c>
      <c r="AF697" s="2">
        <v>46274</v>
      </c>
      <c r="AG697" s="2">
        <v>46281</v>
      </c>
      <c r="AH697">
        <v>12191</v>
      </c>
      <c r="AI697" s="3">
        <v>0.87143306456224623</v>
      </c>
      <c r="AJ697" s="1">
        <v>21</v>
      </c>
      <c r="AK697" s="2">
        <v>46284</v>
      </c>
      <c r="AL697" s="4">
        <v>8</v>
      </c>
      <c r="AM697" s="5">
        <v>5</v>
      </c>
      <c r="AN697" s="4">
        <v>18</v>
      </c>
      <c r="AO697">
        <v>3363.0344827586205</v>
      </c>
      <c r="AP697" s="4">
        <v>4</v>
      </c>
      <c r="AQ697" t="s">
        <v>1619</v>
      </c>
      <c r="AR697" t="s">
        <v>1620</v>
      </c>
      <c r="AT697" s="16">
        <f>_xlfn.XLOOKUP(B697,'SWiSH Demand Forecast Sep-26'!D:D,'SWiSH Demand Forecast Sep-26'!G:G,"Not Exist")</f>
        <v>2761.9842105263101</v>
      </c>
    </row>
    <row r="698" spans="1:46" x14ac:dyDescent="0.3">
      <c r="A698">
        <v>107200041</v>
      </c>
      <c r="B698" t="s">
        <v>2600</v>
      </c>
      <c r="C698" t="s">
        <v>10</v>
      </c>
      <c r="D698" t="s">
        <v>1613</v>
      </c>
      <c r="E698" t="s">
        <v>1655</v>
      </c>
      <c r="F698" t="s">
        <v>1656</v>
      </c>
      <c r="G698" t="s">
        <v>1624</v>
      </c>
      <c r="H698" t="s">
        <v>1657</v>
      </c>
      <c r="I698" t="s">
        <v>1634</v>
      </c>
      <c r="J698" t="s">
        <v>10</v>
      </c>
      <c r="K698">
        <v>6</v>
      </c>
      <c r="L698">
        <v>330</v>
      </c>
      <c r="M698" s="1">
        <v>7</v>
      </c>
      <c r="N698">
        <v>0</v>
      </c>
      <c r="O698">
        <v>0</v>
      </c>
      <c r="P698">
        <v>55</v>
      </c>
      <c r="Q698" s="1">
        <v>55</v>
      </c>
      <c r="R698">
        <v>6</v>
      </c>
      <c r="S698" s="2">
        <v>46257</v>
      </c>
      <c r="T698" s="2">
        <v>46258</v>
      </c>
      <c r="U698">
        <v>0</v>
      </c>
      <c r="V698">
        <v>90</v>
      </c>
      <c r="W698">
        <v>0</v>
      </c>
      <c r="X698">
        <v>0</v>
      </c>
      <c r="Y698">
        <v>0</v>
      </c>
      <c r="Z698" s="8">
        <v>90</v>
      </c>
      <c r="AA698">
        <v>22.5</v>
      </c>
      <c r="AB698">
        <v>0</v>
      </c>
      <c r="AC698">
        <v>4</v>
      </c>
      <c r="AD698" s="1">
        <v>18</v>
      </c>
      <c r="AE698" s="2">
        <v>46266</v>
      </c>
      <c r="AF698" s="2">
        <v>46274</v>
      </c>
      <c r="AG698" s="2">
        <v>46281</v>
      </c>
      <c r="AH698">
        <v>0</v>
      </c>
      <c r="AI698" s="3">
        <v>0</v>
      </c>
      <c r="AJ698" s="1" t="s">
        <v>1635</v>
      </c>
      <c r="AK698" s="2" t="s">
        <v>1635</v>
      </c>
      <c r="AL698" s="4" t="s">
        <v>1658</v>
      </c>
      <c r="AM698" s="5" t="s">
        <v>1658</v>
      </c>
      <c r="AN698" s="4">
        <v>18</v>
      </c>
      <c r="AO698" t="s">
        <v>1635</v>
      </c>
      <c r="AP698" s="4" t="s">
        <v>1658</v>
      </c>
      <c r="AQ698" t="s">
        <v>1619</v>
      </c>
      <c r="AR698" t="s">
        <v>1620</v>
      </c>
      <c r="AT698" s="16" t="str">
        <f>_xlfn.XLOOKUP(B698,'SWiSH Demand Forecast Sep-26'!D:D,'SWiSH Demand Forecast Sep-26'!G:G,"Not Exist")</f>
        <v>Not Exist</v>
      </c>
    </row>
    <row r="699" spans="1:46" x14ac:dyDescent="0.3">
      <c r="A699">
        <v>103900007</v>
      </c>
      <c r="B699" t="s">
        <v>2601</v>
      </c>
      <c r="C699" t="s">
        <v>10</v>
      </c>
      <c r="D699" t="s">
        <v>1613</v>
      </c>
      <c r="E699" t="s">
        <v>2602</v>
      </c>
      <c r="F699" t="s">
        <v>1840</v>
      </c>
      <c r="G699" t="s">
        <v>1616</v>
      </c>
      <c r="H699" t="s">
        <v>2063</v>
      </c>
      <c r="I699" t="s">
        <v>1618</v>
      </c>
      <c r="J699" t="s">
        <v>2603</v>
      </c>
      <c r="K699">
        <v>2.47E-2</v>
      </c>
      <c r="L699">
        <v>7.41</v>
      </c>
      <c r="M699" s="1">
        <v>3</v>
      </c>
      <c r="N699">
        <v>0</v>
      </c>
      <c r="O699">
        <v>0</v>
      </c>
      <c r="P699">
        <v>300</v>
      </c>
      <c r="Q699" s="1">
        <v>300</v>
      </c>
      <c r="R699">
        <v>1.57</v>
      </c>
      <c r="S699" s="2">
        <v>46249</v>
      </c>
      <c r="T699" s="2">
        <v>46250</v>
      </c>
      <c r="U699">
        <v>350</v>
      </c>
      <c r="V699">
        <v>498</v>
      </c>
      <c r="W699">
        <v>400</v>
      </c>
      <c r="X699">
        <v>350</v>
      </c>
      <c r="Y699">
        <v>350</v>
      </c>
      <c r="Z699" s="8">
        <v>498</v>
      </c>
      <c r="AA699">
        <v>399.5</v>
      </c>
      <c r="AB699">
        <v>0.87609511889862324</v>
      </c>
      <c r="AC699">
        <v>1.246558197747184</v>
      </c>
      <c r="AD699" s="1">
        <v>18</v>
      </c>
      <c r="AE699" s="2">
        <v>46266</v>
      </c>
      <c r="AF699" s="2">
        <v>46274</v>
      </c>
      <c r="AG699" s="2">
        <v>46281</v>
      </c>
      <c r="AH699">
        <v>150</v>
      </c>
      <c r="AI699" s="3">
        <v>0.31159119235562943</v>
      </c>
      <c r="AJ699" s="1">
        <v>58</v>
      </c>
      <c r="AK699" s="2">
        <v>46321</v>
      </c>
      <c r="AL699" s="4">
        <v>30</v>
      </c>
      <c r="AM699" s="5">
        <v>15</v>
      </c>
      <c r="AN699" s="4">
        <v>18</v>
      </c>
      <c r="AO699">
        <v>155.17241379310349</v>
      </c>
      <c r="AP699" s="4">
        <v>1</v>
      </c>
      <c r="AQ699" t="s">
        <v>1619</v>
      </c>
      <c r="AR699" t="s">
        <v>1620</v>
      </c>
      <c r="AT699" s="16" t="str">
        <f>_xlfn.XLOOKUP(B699,'SWiSH Demand Forecast Sep-26'!D:D,'SWiSH Demand Forecast Sep-26'!G:G,"Not Exist")</f>
        <v>Not Exist</v>
      </c>
    </row>
    <row r="700" spans="1:46" x14ac:dyDescent="0.3">
      <c r="A700">
        <v>100100009</v>
      </c>
      <c r="B700" t="s">
        <v>2604</v>
      </c>
      <c r="C700" t="s">
        <v>136</v>
      </c>
      <c r="D700" t="s">
        <v>1613</v>
      </c>
      <c r="E700" t="s">
        <v>1832</v>
      </c>
      <c r="F700" t="s">
        <v>1941</v>
      </c>
      <c r="G700" t="s">
        <v>1616</v>
      </c>
      <c r="H700" t="s">
        <v>1877</v>
      </c>
      <c r="I700" t="s">
        <v>1618</v>
      </c>
      <c r="J700" t="s">
        <v>2605</v>
      </c>
      <c r="K700">
        <v>1.3599536999999999</v>
      </c>
      <c r="L700">
        <v>7.0499999808</v>
      </c>
      <c r="M700" s="1">
        <v>3</v>
      </c>
      <c r="N700">
        <v>0</v>
      </c>
      <c r="O700">
        <v>0</v>
      </c>
      <c r="P700">
        <v>5.1840000000000002</v>
      </c>
      <c r="Q700" s="1">
        <v>5.1840000000000002</v>
      </c>
      <c r="R700">
        <v>2.35</v>
      </c>
      <c r="S700" s="2">
        <v>46247</v>
      </c>
      <c r="T700" s="2">
        <v>46251</v>
      </c>
      <c r="U700">
        <v>8.64</v>
      </c>
      <c r="V700">
        <v>3.456</v>
      </c>
      <c r="W700">
        <v>3.456</v>
      </c>
      <c r="X700">
        <v>8.64</v>
      </c>
      <c r="Y700">
        <v>3.456</v>
      </c>
      <c r="Z700" s="8">
        <v>8.64</v>
      </c>
      <c r="AA700">
        <v>6.048</v>
      </c>
      <c r="AB700">
        <v>0.5714285714285714</v>
      </c>
      <c r="AC700">
        <v>1.4285714285714286</v>
      </c>
      <c r="AD700" s="1">
        <v>18</v>
      </c>
      <c r="AE700" s="2">
        <v>46266</v>
      </c>
      <c r="AF700" s="2">
        <v>46274</v>
      </c>
      <c r="AG700" s="2">
        <v>46281</v>
      </c>
      <c r="AH700">
        <v>5.1840000000000002</v>
      </c>
      <c r="AI700" s="3">
        <v>0.62068965517241381</v>
      </c>
      <c r="AJ700" s="1">
        <v>29</v>
      </c>
      <c r="AK700" s="2">
        <v>46292</v>
      </c>
      <c r="AL700" s="4">
        <v>30</v>
      </c>
      <c r="AM700" s="5">
        <v>15</v>
      </c>
      <c r="AN700" s="4">
        <v>18</v>
      </c>
      <c r="AO700">
        <v>5.3627586206896556</v>
      </c>
      <c r="AP700" s="4">
        <v>1</v>
      </c>
      <c r="AQ700" t="s">
        <v>1619</v>
      </c>
      <c r="AR700" t="s">
        <v>1620</v>
      </c>
      <c r="AT700" s="16" t="str">
        <f>_xlfn.XLOOKUP(B700,'SWiSH Demand Forecast Sep-26'!D:D,'SWiSH Demand Forecast Sep-26'!G:G,"Not Exist")</f>
        <v>Not Exist</v>
      </c>
    </row>
    <row r="701" spans="1:46" x14ac:dyDescent="0.3">
      <c r="A701">
        <v>103700004</v>
      </c>
      <c r="B701" t="s">
        <v>2606</v>
      </c>
      <c r="C701" t="s">
        <v>136</v>
      </c>
      <c r="D701" t="s">
        <v>1613</v>
      </c>
      <c r="E701" t="s">
        <v>1685</v>
      </c>
      <c r="F701" t="s">
        <v>1615</v>
      </c>
      <c r="G701" t="s">
        <v>1616</v>
      </c>
      <c r="H701" t="s">
        <v>1617</v>
      </c>
      <c r="I701" t="s">
        <v>1618</v>
      </c>
      <c r="J701" t="s">
        <v>1858</v>
      </c>
      <c r="K701">
        <v>3.6579999999999999</v>
      </c>
      <c r="L701">
        <v>10.974</v>
      </c>
      <c r="M701" s="1">
        <v>3</v>
      </c>
      <c r="N701">
        <v>0</v>
      </c>
      <c r="O701">
        <v>0</v>
      </c>
      <c r="P701">
        <v>3</v>
      </c>
      <c r="Q701" s="1">
        <v>3</v>
      </c>
      <c r="R701">
        <v>3.6579999999999999</v>
      </c>
      <c r="S701" s="2">
        <v>46174</v>
      </c>
      <c r="T701" s="2">
        <v>46236</v>
      </c>
      <c r="U701">
        <v>5</v>
      </c>
      <c r="V701">
        <v>0</v>
      </c>
      <c r="W701">
        <v>1</v>
      </c>
      <c r="X701">
        <v>2</v>
      </c>
      <c r="Y701">
        <v>0</v>
      </c>
      <c r="Z701" s="8">
        <v>5</v>
      </c>
      <c r="AA701">
        <v>2</v>
      </c>
      <c r="AB701">
        <v>0</v>
      </c>
      <c r="AC701">
        <v>2.5</v>
      </c>
      <c r="AD701" s="1">
        <v>18</v>
      </c>
      <c r="AE701" s="2">
        <v>46266</v>
      </c>
      <c r="AF701" s="2">
        <v>46274</v>
      </c>
      <c r="AG701" s="2">
        <v>46281</v>
      </c>
      <c r="AH701">
        <v>2</v>
      </c>
      <c r="AI701" s="3">
        <v>0.41379310344827591</v>
      </c>
      <c r="AJ701" s="1">
        <v>43</v>
      </c>
      <c r="AK701" s="2">
        <v>46306</v>
      </c>
      <c r="AL701" s="4">
        <v>30</v>
      </c>
      <c r="AM701" s="5">
        <v>15</v>
      </c>
      <c r="AN701" s="4">
        <v>18</v>
      </c>
      <c r="AO701">
        <v>2.0689655172413794</v>
      </c>
      <c r="AP701" s="4">
        <v>1</v>
      </c>
      <c r="AQ701" t="s">
        <v>1619</v>
      </c>
      <c r="AR701" t="s">
        <v>1620</v>
      </c>
      <c r="AT701" s="16" t="str">
        <f>_xlfn.XLOOKUP(B701,'SWiSH Demand Forecast Sep-26'!D:D,'SWiSH Demand Forecast Sep-26'!G:G,"Not Exist")</f>
        <v>Not Exist</v>
      </c>
    </row>
    <row r="702" spans="1:46" hidden="1" x14ac:dyDescent="0.3">
      <c r="A702">
        <v>104000017</v>
      </c>
      <c r="B702" t="s">
        <v>1134</v>
      </c>
      <c r="C702" t="s">
        <v>10</v>
      </c>
      <c r="D702" t="s">
        <v>1613</v>
      </c>
      <c r="E702" t="s">
        <v>1926</v>
      </c>
      <c r="F702" t="s">
        <v>1840</v>
      </c>
      <c r="G702" t="s">
        <v>1616</v>
      </c>
      <c r="H702" t="s">
        <v>1850</v>
      </c>
      <c r="I702" t="s">
        <v>1618</v>
      </c>
      <c r="J702" t="s">
        <v>2579</v>
      </c>
      <c r="K702">
        <v>0.1</v>
      </c>
      <c r="L702">
        <v>5.4</v>
      </c>
      <c r="M702" s="1">
        <v>3</v>
      </c>
      <c r="N702">
        <v>0</v>
      </c>
      <c r="O702">
        <v>0</v>
      </c>
      <c r="P702">
        <v>54</v>
      </c>
      <c r="Q702" s="1">
        <v>54</v>
      </c>
      <c r="R702">
        <v>1.8</v>
      </c>
      <c r="S702" s="2">
        <v>46239</v>
      </c>
      <c r="T702" s="2">
        <v>46246</v>
      </c>
      <c r="U702">
        <v>54</v>
      </c>
      <c r="V702">
        <v>54</v>
      </c>
      <c r="W702">
        <v>72</v>
      </c>
      <c r="X702">
        <v>90</v>
      </c>
      <c r="Y702">
        <v>54</v>
      </c>
      <c r="Z702" s="8">
        <v>90</v>
      </c>
      <c r="AA702">
        <v>67.5</v>
      </c>
      <c r="AB702">
        <v>0.8</v>
      </c>
      <c r="AC702">
        <v>1.3333333333333333</v>
      </c>
      <c r="AD702" s="1">
        <v>18</v>
      </c>
      <c r="AE702" s="2">
        <v>46266</v>
      </c>
      <c r="AF702" s="2">
        <v>46274</v>
      </c>
      <c r="AG702" s="2">
        <v>46281</v>
      </c>
      <c r="AH702">
        <v>54</v>
      </c>
      <c r="AI702" s="3">
        <v>0.62068965517241381</v>
      </c>
      <c r="AJ702" s="1">
        <v>29</v>
      </c>
      <c r="AK702" s="2">
        <v>46292</v>
      </c>
      <c r="AL702" s="4">
        <v>30</v>
      </c>
      <c r="AM702" s="5">
        <v>15</v>
      </c>
      <c r="AN702" s="4">
        <v>18</v>
      </c>
      <c r="AO702">
        <v>55.862068965517246</v>
      </c>
      <c r="AP702" s="4">
        <v>1</v>
      </c>
      <c r="AQ702" t="s">
        <v>1619</v>
      </c>
      <c r="AR702" t="s">
        <v>1620</v>
      </c>
      <c r="AT702" s="16">
        <f>_xlfn.XLOOKUP(B702,'SWiSH Demand Forecast Sep-26'!D:D,'SWiSH Demand Forecast Sep-26'!G:G,"Not Exist")</f>
        <v>90</v>
      </c>
    </row>
    <row r="703" spans="1:46" hidden="1" x14ac:dyDescent="0.3">
      <c r="A703">
        <v>103700073</v>
      </c>
      <c r="B703" t="s">
        <v>1189</v>
      </c>
      <c r="C703" t="s">
        <v>136</v>
      </c>
      <c r="D703" t="s">
        <v>1613</v>
      </c>
      <c r="E703" t="s">
        <v>1677</v>
      </c>
      <c r="F703" t="s">
        <v>1615</v>
      </c>
      <c r="G703" t="s">
        <v>1616</v>
      </c>
      <c r="H703" t="s">
        <v>1617</v>
      </c>
      <c r="I703" t="s">
        <v>1618</v>
      </c>
      <c r="J703" t="s">
        <v>2607</v>
      </c>
      <c r="K703">
        <v>3.95</v>
      </c>
      <c r="L703">
        <v>511.92</v>
      </c>
      <c r="M703" s="1">
        <v>3</v>
      </c>
      <c r="N703">
        <v>0</v>
      </c>
      <c r="O703">
        <v>0</v>
      </c>
      <c r="P703">
        <v>129.6</v>
      </c>
      <c r="Q703" s="1">
        <v>129.6</v>
      </c>
      <c r="R703">
        <v>21.2</v>
      </c>
      <c r="S703" s="2">
        <v>46229</v>
      </c>
      <c r="T703" s="2">
        <v>46246</v>
      </c>
      <c r="U703">
        <v>206.39999999999998</v>
      </c>
      <c r="V703">
        <v>86.399999999999991</v>
      </c>
      <c r="W703">
        <v>119.99999999999999</v>
      </c>
      <c r="X703">
        <v>139.19999999999999</v>
      </c>
      <c r="Y703">
        <v>86.399999999999991</v>
      </c>
      <c r="Z703" s="8">
        <v>206.39999999999998</v>
      </c>
      <c r="AA703">
        <v>138</v>
      </c>
      <c r="AB703">
        <v>0.62608695652173907</v>
      </c>
      <c r="AC703">
        <v>1.4956521739130433</v>
      </c>
      <c r="AD703" s="1">
        <v>18</v>
      </c>
      <c r="AE703" s="2">
        <v>46266</v>
      </c>
      <c r="AF703" s="2">
        <v>46274</v>
      </c>
      <c r="AG703" s="2">
        <v>46281</v>
      </c>
      <c r="AH703">
        <v>52.800000000000004</v>
      </c>
      <c r="AI703" s="3">
        <v>0.26463512429831604</v>
      </c>
      <c r="AJ703" s="1">
        <v>71</v>
      </c>
      <c r="AK703" s="2">
        <v>46334</v>
      </c>
      <c r="AL703" s="4">
        <v>30</v>
      </c>
      <c r="AM703" s="5">
        <v>15</v>
      </c>
      <c r="AN703" s="4">
        <v>18</v>
      </c>
      <c r="AO703">
        <v>54.620689655172427</v>
      </c>
      <c r="AP703" s="4">
        <v>1</v>
      </c>
      <c r="AQ703" t="s">
        <v>1619</v>
      </c>
      <c r="AR703" t="s">
        <v>1620</v>
      </c>
      <c r="AT703" s="16">
        <f>_xlfn.XLOOKUP(B703,'SWiSH Demand Forecast Sep-26'!D:D,'SWiSH Demand Forecast Sep-26'!G:G,"Not Exist")</f>
        <v>60.734424419766498</v>
      </c>
    </row>
    <row r="704" spans="1:46" hidden="1" x14ac:dyDescent="0.3">
      <c r="A704">
        <v>100800022</v>
      </c>
      <c r="B704" t="s">
        <v>975</v>
      </c>
      <c r="C704" t="s">
        <v>10</v>
      </c>
      <c r="D704" t="s">
        <v>1613</v>
      </c>
      <c r="E704" t="s">
        <v>1819</v>
      </c>
      <c r="F704" t="s">
        <v>1639</v>
      </c>
      <c r="G704" t="s">
        <v>1616</v>
      </c>
      <c r="H704" t="s">
        <v>1914</v>
      </c>
      <c r="I704" t="s">
        <v>1618</v>
      </c>
      <c r="J704" t="s">
        <v>1781</v>
      </c>
      <c r="K704">
        <v>0.16666666999999999</v>
      </c>
      <c r="L704">
        <v>24.000000479999997</v>
      </c>
      <c r="M704" s="1">
        <v>3</v>
      </c>
      <c r="N704">
        <v>0</v>
      </c>
      <c r="O704">
        <v>0</v>
      </c>
      <c r="P704">
        <v>144</v>
      </c>
      <c r="Q704" s="1">
        <v>144</v>
      </c>
      <c r="R704">
        <v>4</v>
      </c>
      <c r="S704" s="2">
        <v>46193</v>
      </c>
      <c r="T704" s="2">
        <v>46253</v>
      </c>
      <c r="U704">
        <v>240</v>
      </c>
      <c r="V704">
        <v>192</v>
      </c>
      <c r="W704">
        <v>144</v>
      </c>
      <c r="X704">
        <v>120</v>
      </c>
      <c r="Y704">
        <v>120</v>
      </c>
      <c r="Z704" s="8">
        <v>240</v>
      </c>
      <c r="AA704">
        <v>174</v>
      </c>
      <c r="AB704">
        <v>0.68965517241379315</v>
      </c>
      <c r="AC704">
        <v>1.3793103448275863</v>
      </c>
      <c r="AD704" s="1">
        <v>18</v>
      </c>
      <c r="AE704" s="2">
        <v>46266</v>
      </c>
      <c r="AF704" s="2">
        <v>46274</v>
      </c>
      <c r="AG704" s="2">
        <v>46281</v>
      </c>
      <c r="AH704">
        <v>240</v>
      </c>
      <c r="AI704" s="3">
        <v>1.0344827586206897</v>
      </c>
      <c r="AJ704" s="1">
        <v>17</v>
      </c>
      <c r="AK704" s="2">
        <v>46280</v>
      </c>
      <c r="AL704" s="4">
        <v>30</v>
      </c>
      <c r="AM704" s="5">
        <v>15</v>
      </c>
      <c r="AN704" s="4">
        <v>17</v>
      </c>
      <c r="AO704">
        <v>248.27586206896552</v>
      </c>
      <c r="AP704" s="4">
        <v>1</v>
      </c>
      <c r="AQ704" t="s">
        <v>1619</v>
      </c>
      <c r="AR704" t="s">
        <v>1620</v>
      </c>
      <c r="AT704" s="16">
        <f>_xlfn.XLOOKUP(B704,'SWiSH Demand Forecast Sep-26'!D:D,'SWiSH Demand Forecast Sep-26'!G:G,"Not Exist")</f>
        <v>172</v>
      </c>
    </row>
    <row r="705" spans="1:46" x14ac:dyDescent="0.3">
      <c r="A705">
        <v>106200067</v>
      </c>
      <c r="B705" t="s">
        <v>2608</v>
      </c>
      <c r="C705" t="s">
        <v>240</v>
      </c>
      <c r="D705" t="s">
        <v>1613</v>
      </c>
      <c r="E705" t="s">
        <v>1832</v>
      </c>
      <c r="F705" t="s">
        <v>1671</v>
      </c>
      <c r="G705" t="s">
        <v>1616</v>
      </c>
      <c r="H705" t="s">
        <v>1672</v>
      </c>
      <c r="I705" t="s">
        <v>1618</v>
      </c>
      <c r="J705" t="s">
        <v>240</v>
      </c>
      <c r="K705">
        <v>2.1145999999999998</v>
      </c>
      <c r="L705">
        <v>5.9208799999999995</v>
      </c>
      <c r="M705" s="1">
        <v>3</v>
      </c>
      <c r="N705">
        <v>0</v>
      </c>
      <c r="O705">
        <v>0</v>
      </c>
      <c r="P705">
        <v>2.8</v>
      </c>
      <c r="Q705" s="1">
        <v>2.8</v>
      </c>
      <c r="R705">
        <v>0.46457999999999999</v>
      </c>
      <c r="S705" s="2">
        <v>46240</v>
      </c>
      <c r="T705" s="2">
        <v>46248</v>
      </c>
      <c r="U705">
        <v>4.4000000000000004</v>
      </c>
      <c r="V705">
        <v>3.8</v>
      </c>
      <c r="W705">
        <v>1.2</v>
      </c>
      <c r="X705">
        <v>4.5999999999999996</v>
      </c>
      <c r="Y705">
        <v>1.2</v>
      </c>
      <c r="Z705" s="8">
        <v>4.5999999999999996</v>
      </c>
      <c r="AA705">
        <v>3.4999999999999996</v>
      </c>
      <c r="AB705">
        <v>0.34285714285714286</v>
      </c>
      <c r="AC705">
        <v>1.3142857142857143</v>
      </c>
      <c r="AD705" s="1">
        <v>18</v>
      </c>
      <c r="AE705" s="2">
        <v>46266</v>
      </c>
      <c r="AF705" s="2">
        <v>46274</v>
      </c>
      <c r="AG705" s="2">
        <v>46281</v>
      </c>
      <c r="AH705">
        <v>2</v>
      </c>
      <c r="AI705" s="3">
        <v>0.44977511244377816</v>
      </c>
      <c r="AJ705" s="1">
        <v>40</v>
      </c>
      <c r="AK705" s="2">
        <v>46303</v>
      </c>
      <c r="AL705" s="4">
        <v>30</v>
      </c>
      <c r="AM705" s="5">
        <v>15</v>
      </c>
      <c r="AN705" s="4">
        <v>18</v>
      </c>
      <c r="AO705">
        <v>2.0689655172413794</v>
      </c>
      <c r="AP705" s="4">
        <v>1</v>
      </c>
      <c r="AQ705" t="s">
        <v>1619</v>
      </c>
      <c r="AR705" t="s">
        <v>1620</v>
      </c>
      <c r="AT705" s="16" t="str">
        <f>_xlfn.XLOOKUP(B705,'SWiSH Demand Forecast Sep-26'!D:D,'SWiSH Demand Forecast Sep-26'!G:G,"Not Exist")</f>
        <v>Not Exist</v>
      </c>
    </row>
    <row r="706" spans="1:46" x14ac:dyDescent="0.3">
      <c r="A706">
        <v>100400169</v>
      </c>
      <c r="B706" t="s">
        <v>2609</v>
      </c>
      <c r="C706" t="s">
        <v>10</v>
      </c>
      <c r="D706" t="s">
        <v>1613</v>
      </c>
      <c r="E706" t="s">
        <v>1796</v>
      </c>
      <c r="F706" t="s">
        <v>1664</v>
      </c>
      <c r="G706" t="s">
        <v>1624</v>
      </c>
      <c r="H706" t="s">
        <v>1810</v>
      </c>
      <c r="I706" t="s">
        <v>1634</v>
      </c>
      <c r="J706" t="s">
        <v>10</v>
      </c>
      <c r="K706">
        <v>1.2999999999999999E-2</v>
      </c>
      <c r="L706">
        <v>149.5</v>
      </c>
      <c r="M706" s="1">
        <v>15</v>
      </c>
      <c r="N706">
        <v>0</v>
      </c>
      <c r="O706">
        <v>0</v>
      </c>
      <c r="P706">
        <v>11500</v>
      </c>
      <c r="Q706" s="1">
        <v>11500</v>
      </c>
      <c r="R706">
        <v>1.2999999999999999E-2</v>
      </c>
      <c r="S706" s="2">
        <v>46243</v>
      </c>
      <c r="T706" s="2">
        <v>46258</v>
      </c>
      <c r="U706">
        <v>10500</v>
      </c>
      <c r="V706">
        <v>13050</v>
      </c>
      <c r="W706">
        <v>15000</v>
      </c>
      <c r="X706">
        <v>19000</v>
      </c>
      <c r="Y706">
        <v>10500</v>
      </c>
      <c r="Z706" s="8">
        <v>19000</v>
      </c>
      <c r="AA706">
        <v>14387.5</v>
      </c>
      <c r="AB706">
        <v>0.72980017376194617</v>
      </c>
      <c r="AC706">
        <v>1.3205907906168548</v>
      </c>
      <c r="AD706" s="1">
        <v>18</v>
      </c>
      <c r="AE706" s="2">
        <v>46266</v>
      </c>
      <c r="AF706" s="2">
        <v>46274</v>
      </c>
      <c r="AG706" s="2">
        <v>46281</v>
      </c>
      <c r="AH706">
        <v>9500</v>
      </c>
      <c r="AI706" s="3">
        <v>0.51724137931034486</v>
      </c>
      <c r="AJ706" s="1">
        <v>35</v>
      </c>
      <c r="AK706" s="2">
        <v>46298</v>
      </c>
      <c r="AL706" s="4">
        <v>30</v>
      </c>
      <c r="AM706" s="5">
        <v>15</v>
      </c>
      <c r="AN706" s="4">
        <v>18</v>
      </c>
      <c r="AO706">
        <v>9827.5862068965525</v>
      </c>
      <c r="AP706" s="4">
        <v>1</v>
      </c>
      <c r="AQ706">
        <v>30000</v>
      </c>
      <c r="AR706" t="s">
        <v>2610</v>
      </c>
      <c r="AT706" s="16" t="str">
        <f>_xlfn.XLOOKUP(B706,'SWiSH Demand Forecast Sep-26'!D:D,'SWiSH Demand Forecast Sep-26'!G:G,"Not Exist")</f>
        <v>Not Exist</v>
      </c>
    </row>
    <row r="707" spans="1:46" hidden="1" x14ac:dyDescent="0.3">
      <c r="A707">
        <v>103800026</v>
      </c>
      <c r="B707" t="s">
        <v>1539</v>
      </c>
      <c r="C707" t="s">
        <v>136</v>
      </c>
      <c r="D707" t="s">
        <v>1613</v>
      </c>
      <c r="E707" t="s">
        <v>2611</v>
      </c>
      <c r="F707" t="s">
        <v>1615</v>
      </c>
      <c r="G707" t="s">
        <v>1616</v>
      </c>
      <c r="H707" t="s">
        <v>1822</v>
      </c>
      <c r="I707" t="s">
        <v>1618</v>
      </c>
      <c r="J707" t="s">
        <v>136</v>
      </c>
      <c r="K707">
        <v>4.4848676799999998</v>
      </c>
      <c r="L707">
        <v>26.909206079999997</v>
      </c>
      <c r="M707" s="1">
        <v>3</v>
      </c>
      <c r="N707">
        <v>0</v>
      </c>
      <c r="O707">
        <v>0</v>
      </c>
      <c r="P707">
        <v>6</v>
      </c>
      <c r="Q707" s="1">
        <v>6</v>
      </c>
      <c r="R707">
        <v>4.5</v>
      </c>
      <c r="S707" s="2">
        <v>46247</v>
      </c>
      <c r="T707" s="2">
        <v>46254</v>
      </c>
      <c r="U707">
        <v>8</v>
      </c>
      <c r="V707">
        <v>10</v>
      </c>
      <c r="W707">
        <v>6</v>
      </c>
      <c r="X707">
        <v>8</v>
      </c>
      <c r="Y707">
        <v>6</v>
      </c>
      <c r="Z707" s="8">
        <v>10</v>
      </c>
      <c r="AA707">
        <v>8</v>
      </c>
      <c r="AB707">
        <v>0.75</v>
      </c>
      <c r="AC707">
        <v>1.25</v>
      </c>
      <c r="AD707" s="1">
        <v>18</v>
      </c>
      <c r="AE707" s="2">
        <v>46266</v>
      </c>
      <c r="AF707" s="2">
        <v>46274</v>
      </c>
      <c r="AG707" s="2">
        <v>46281</v>
      </c>
      <c r="AH707">
        <v>5</v>
      </c>
      <c r="AI707" s="3">
        <v>0.51724137931034486</v>
      </c>
      <c r="AJ707" s="1">
        <v>34</v>
      </c>
      <c r="AK707" s="2">
        <v>46297</v>
      </c>
      <c r="AL707" s="4">
        <v>30</v>
      </c>
      <c r="AM707" s="5">
        <v>15</v>
      </c>
      <c r="AN707" s="4">
        <v>18</v>
      </c>
      <c r="AO707">
        <v>5.1724137931034484</v>
      </c>
      <c r="AP707" s="4">
        <v>1</v>
      </c>
      <c r="AQ707" t="s">
        <v>1619</v>
      </c>
      <c r="AR707" t="s">
        <v>1620</v>
      </c>
      <c r="AT707" s="16">
        <f>_xlfn.XLOOKUP(B707,'SWiSH Demand Forecast Sep-26'!D:D,'SWiSH Demand Forecast Sep-26'!G:G,"Not Exist")</f>
        <v>1.00818584070796</v>
      </c>
    </row>
    <row r="708" spans="1:46" hidden="1" x14ac:dyDescent="0.3">
      <c r="A708">
        <v>106200014</v>
      </c>
      <c r="B708" t="s">
        <v>1445</v>
      </c>
      <c r="C708" t="s">
        <v>240</v>
      </c>
      <c r="D708" t="s">
        <v>1613</v>
      </c>
      <c r="E708" t="s">
        <v>2612</v>
      </c>
      <c r="F708" t="s">
        <v>1671</v>
      </c>
      <c r="G708" t="s">
        <v>1616</v>
      </c>
      <c r="H708" t="s">
        <v>1672</v>
      </c>
      <c r="I708" t="s">
        <v>1618</v>
      </c>
      <c r="J708" t="s">
        <v>2613</v>
      </c>
      <c r="K708">
        <v>3.7124917599999998</v>
      </c>
      <c r="L708">
        <v>70.166094263999994</v>
      </c>
      <c r="M708" s="1">
        <v>3</v>
      </c>
      <c r="N708">
        <v>0</v>
      </c>
      <c r="O708">
        <v>0</v>
      </c>
      <c r="P708">
        <v>18.899999999999999</v>
      </c>
      <c r="Q708" s="1">
        <v>18.899999999999999</v>
      </c>
      <c r="R708">
        <v>28</v>
      </c>
      <c r="S708" s="2">
        <v>46240</v>
      </c>
      <c r="T708" s="2">
        <v>46260</v>
      </c>
      <c r="U708">
        <v>13.23</v>
      </c>
      <c r="V708">
        <v>30.240000000000002</v>
      </c>
      <c r="W708">
        <v>17.010000000000002</v>
      </c>
      <c r="X708">
        <v>11.1</v>
      </c>
      <c r="Y708">
        <v>11.1</v>
      </c>
      <c r="Z708" s="8">
        <v>30.240000000000002</v>
      </c>
      <c r="AA708">
        <v>17.895</v>
      </c>
      <c r="AB708">
        <v>0.62028499580888519</v>
      </c>
      <c r="AC708">
        <v>1.6898575020955575</v>
      </c>
      <c r="AD708" s="1">
        <v>18</v>
      </c>
      <c r="AE708" s="2">
        <v>46266</v>
      </c>
      <c r="AF708" s="2">
        <v>46274</v>
      </c>
      <c r="AG708" s="2">
        <v>46281</v>
      </c>
      <c r="AH708">
        <v>26.81</v>
      </c>
      <c r="AI708" s="3">
        <v>0.91714559386973171</v>
      </c>
      <c r="AJ708" s="1">
        <v>20</v>
      </c>
      <c r="AK708" s="2">
        <v>46283</v>
      </c>
      <c r="AL708" s="4">
        <v>30</v>
      </c>
      <c r="AM708" s="5">
        <v>15</v>
      </c>
      <c r="AN708" s="4">
        <v>18</v>
      </c>
      <c r="AO708">
        <v>27.73448275862069</v>
      </c>
      <c r="AP708" s="4">
        <v>1</v>
      </c>
      <c r="AQ708" t="s">
        <v>1619</v>
      </c>
      <c r="AR708" t="s">
        <v>1620</v>
      </c>
      <c r="AT708" s="16">
        <f>_xlfn.XLOOKUP(B708,'SWiSH Demand Forecast Sep-26'!D:D,'SWiSH Demand Forecast Sep-26'!G:G,"Not Exist")</f>
        <v>8.1675000000000004</v>
      </c>
    </row>
    <row r="709" spans="1:46" x14ac:dyDescent="0.3">
      <c r="A709">
        <v>106800372</v>
      </c>
      <c r="B709" t="s">
        <v>2614</v>
      </c>
      <c r="C709" t="s">
        <v>10</v>
      </c>
      <c r="D709" t="s">
        <v>1613</v>
      </c>
      <c r="E709" t="s">
        <v>1701</v>
      </c>
      <c r="F709" t="s">
        <v>1664</v>
      </c>
      <c r="G709" t="s">
        <v>1624</v>
      </c>
      <c r="H709" t="s">
        <v>1665</v>
      </c>
      <c r="I709" t="s">
        <v>1634</v>
      </c>
      <c r="J709" t="s">
        <v>10</v>
      </c>
      <c r="K709">
        <v>8.0000000000000002E-3</v>
      </c>
      <c r="L709">
        <v>256</v>
      </c>
      <c r="M709" s="1">
        <v>7</v>
      </c>
      <c r="N709">
        <v>0</v>
      </c>
      <c r="O709">
        <v>1000</v>
      </c>
      <c r="P709">
        <v>32000</v>
      </c>
      <c r="Q709" s="1">
        <v>31000</v>
      </c>
      <c r="R709">
        <v>8.0000000000000002E-3</v>
      </c>
      <c r="S709" s="2">
        <v>46244</v>
      </c>
      <c r="T709" s="2">
        <v>46260</v>
      </c>
      <c r="U709">
        <v>0</v>
      </c>
      <c r="V709">
        <v>0</v>
      </c>
      <c r="W709">
        <v>50000</v>
      </c>
      <c r="X709">
        <v>12000</v>
      </c>
      <c r="Y709">
        <v>0</v>
      </c>
      <c r="Z709" s="8">
        <v>50000</v>
      </c>
      <c r="AA709">
        <v>15500</v>
      </c>
      <c r="AB709">
        <v>0</v>
      </c>
      <c r="AC709">
        <v>3.225806451612903</v>
      </c>
      <c r="AD709" s="1">
        <v>18</v>
      </c>
      <c r="AE709" s="2">
        <v>46266</v>
      </c>
      <c r="AF709" s="2">
        <v>46274</v>
      </c>
      <c r="AG709" s="2">
        <v>46281</v>
      </c>
      <c r="AH709">
        <v>21000</v>
      </c>
      <c r="AI709" s="3">
        <v>0.43448275862068964</v>
      </c>
      <c r="AJ709" s="1">
        <v>42</v>
      </c>
      <c r="AK709" s="2">
        <v>46305</v>
      </c>
      <c r="AL709" s="4">
        <v>30</v>
      </c>
      <c r="AM709" s="5">
        <v>15</v>
      </c>
      <c r="AN709" s="4">
        <v>18</v>
      </c>
      <c r="AO709">
        <v>21724.137931034482</v>
      </c>
      <c r="AP709" s="4">
        <v>1</v>
      </c>
      <c r="AQ709">
        <v>50000</v>
      </c>
      <c r="AR709" t="s">
        <v>2215</v>
      </c>
      <c r="AT709" s="16" t="str">
        <f>_xlfn.XLOOKUP(B709,'SWiSH Demand Forecast Sep-26'!D:D,'SWiSH Demand Forecast Sep-26'!G:G,"Not Exist")</f>
        <v>Not Exist</v>
      </c>
    </row>
    <row r="710" spans="1:46" hidden="1" x14ac:dyDescent="0.3">
      <c r="A710">
        <v>100100068</v>
      </c>
      <c r="B710" t="s">
        <v>1406</v>
      </c>
      <c r="C710" t="s">
        <v>136</v>
      </c>
      <c r="D710" t="s">
        <v>1613</v>
      </c>
      <c r="E710" t="s">
        <v>2448</v>
      </c>
      <c r="F710" t="s">
        <v>1615</v>
      </c>
      <c r="G710" t="s">
        <v>1616</v>
      </c>
      <c r="H710" t="s">
        <v>1877</v>
      </c>
      <c r="I710" t="s">
        <v>1618</v>
      </c>
      <c r="J710" t="s">
        <v>136</v>
      </c>
      <c r="K710">
        <v>0.70576324000000001</v>
      </c>
      <c r="L710">
        <v>112.9221184</v>
      </c>
      <c r="M710" s="1">
        <v>3</v>
      </c>
      <c r="N710">
        <v>0</v>
      </c>
      <c r="O710">
        <v>5</v>
      </c>
      <c r="P710">
        <v>160</v>
      </c>
      <c r="Q710" s="1">
        <v>155</v>
      </c>
      <c r="R710">
        <v>0.75</v>
      </c>
      <c r="S710" s="2">
        <v>46230</v>
      </c>
      <c r="T710" s="2">
        <v>46261</v>
      </c>
      <c r="U710">
        <v>130</v>
      </c>
      <c r="V710">
        <v>170</v>
      </c>
      <c r="W710">
        <v>248</v>
      </c>
      <c r="X710">
        <v>155</v>
      </c>
      <c r="Y710">
        <v>130</v>
      </c>
      <c r="Z710" s="8">
        <v>248</v>
      </c>
      <c r="AA710">
        <v>175.75</v>
      </c>
      <c r="AB710">
        <v>0.73968705547652913</v>
      </c>
      <c r="AC710">
        <v>1.411095305832148</v>
      </c>
      <c r="AD710" s="1">
        <v>18</v>
      </c>
      <c r="AE710" s="2">
        <v>46266</v>
      </c>
      <c r="AF710" s="2">
        <v>46274</v>
      </c>
      <c r="AG710" s="2">
        <v>46281</v>
      </c>
      <c r="AH710">
        <v>140</v>
      </c>
      <c r="AI710" s="3">
        <v>0.58398220244716348</v>
      </c>
      <c r="AJ710" s="1">
        <v>32</v>
      </c>
      <c r="AK710" s="2">
        <v>46295</v>
      </c>
      <c r="AL710" s="4">
        <v>15</v>
      </c>
      <c r="AM710" s="5">
        <v>15</v>
      </c>
      <c r="AN710" s="4">
        <v>18</v>
      </c>
      <c r="AO710">
        <v>72.413793103448285</v>
      </c>
      <c r="AP710" s="4">
        <v>2</v>
      </c>
      <c r="AQ710" t="s">
        <v>1619</v>
      </c>
      <c r="AR710" t="s">
        <v>1620</v>
      </c>
      <c r="AT710" s="16">
        <f>_xlfn.XLOOKUP(B710,'SWiSH Demand Forecast Sep-26'!D:D,'SWiSH Demand Forecast Sep-26'!G:G,"Not Exist")</f>
        <v>12.7543662146884</v>
      </c>
    </row>
    <row r="711" spans="1:46" x14ac:dyDescent="0.3">
      <c r="A711">
        <v>106800374</v>
      </c>
      <c r="B711" t="s">
        <v>2615</v>
      </c>
      <c r="C711" t="s">
        <v>10</v>
      </c>
      <c r="D711" t="s">
        <v>1613</v>
      </c>
      <c r="E711" t="s">
        <v>1701</v>
      </c>
      <c r="F711" t="s">
        <v>1664</v>
      </c>
      <c r="G711" t="s">
        <v>1624</v>
      </c>
      <c r="H711" t="s">
        <v>1665</v>
      </c>
      <c r="I711" t="s">
        <v>1634</v>
      </c>
      <c r="J711" t="s">
        <v>10</v>
      </c>
      <c r="K711">
        <v>8.0000000000000002E-3</v>
      </c>
      <c r="L711">
        <v>104</v>
      </c>
      <c r="M711" s="1">
        <v>7</v>
      </c>
      <c r="N711">
        <v>0</v>
      </c>
      <c r="O711">
        <v>0</v>
      </c>
      <c r="P711">
        <v>13000</v>
      </c>
      <c r="Q711" s="1">
        <v>13000</v>
      </c>
      <c r="R711">
        <v>8.0000000000000002E-3</v>
      </c>
      <c r="S711" s="2">
        <v>46244</v>
      </c>
      <c r="T711" s="2">
        <v>46261</v>
      </c>
      <c r="U711">
        <v>0</v>
      </c>
      <c r="V711">
        <v>0</v>
      </c>
      <c r="W711">
        <v>20000</v>
      </c>
      <c r="X711">
        <v>21000</v>
      </c>
      <c r="Y711">
        <v>0</v>
      </c>
      <c r="Z711" s="8">
        <v>21000</v>
      </c>
      <c r="AA711">
        <v>10250</v>
      </c>
      <c r="AB711">
        <v>0</v>
      </c>
      <c r="AC711">
        <v>2.0487804878048781</v>
      </c>
      <c r="AD711" s="1">
        <v>18</v>
      </c>
      <c r="AE711" s="2">
        <v>46266</v>
      </c>
      <c r="AF711" s="2">
        <v>46274</v>
      </c>
      <c r="AG711" s="2">
        <v>46281</v>
      </c>
      <c r="AH711">
        <v>21000</v>
      </c>
      <c r="AI711" s="3">
        <v>1.0344827586206897</v>
      </c>
      <c r="AJ711" s="1">
        <v>17</v>
      </c>
      <c r="AK711" s="2">
        <v>46280</v>
      </c>
      <c r="AL711" s="4">
        <v>30</v>
      </c>
      <c r="AM711" s="5">
        <v>15</v>
      </c>
      <c r="AN711" s="4">
        <v>17</v>
      </c>
      <c r="AO711">
        <v>21724.137931034486</v>
      </c>
      <c r="AP711" s="4">
        <v>1</v>
      </c>
      <c r="AQ711">
        <v>21000</v>
      </c>
      <c r="AR711" t="s">
        <v>2215</v>
      </c>
      <c r="AT711" s="16" t="str">
        <f>_xlfn.XLOOKUP(B711,'SWiSH Demand Forecast Sep-26'!D:D,'SWiSH Demand Forecast Sep-26'!G:G,"Not Exist")</f>
        <v>Not Exist</v>
      </c>
    </row>
    <row r="712" spans="1:46" x14ac:dyDescent="0.3">
      <c r="A712">
        <v>106700118</v>
      </c>
      <c r="B712" t="s">
        <v>2616</v>
      </c>
      <c r="C712" t="s">
        <v>10</v>
      </c>
      <c r="D712" t="s">
        <v>1613</v>
      </c>
      <c r="E712" t="s">
        <v>2617</v>
      </c>
      <c r="F712" t="s">
        <v>1650</v>
      </c>
      <c r="G712" t="s">
        <v>1624</v>
      </c>
      <c r="H712" t="s">
        <v>1651</v>
      </c>
      <c r="I712" t="s">
        <v>1634</v>
      </c>
      <c r="J712" t="s">
        <v>2618</v>
      </c>
      <c r="K712">
        <v>0.24305556</v>
      </c>
      <c r="L712">
        <v>34.027778400000003</v>
      </c>
      <c r="M712" s="1">
        <v>3</v>
      </c>
      <c r="N712">
        <v>0</v>
      </c>
      <c r="O712">
        <v>0</v>
      </c>
      <c r="P712">
        <v>140</v>
      </c>
      <c r="Q712" s="1">
        <v>140</v>
      </c>
      <c r="R712">
        <v>17.5</v>
      </c>
      <c r="S712" s="2">
        <v>46244</v>
      </c>
      <c r="T712" s="2">
        <v>46262</v>
      </c>
      <c r="U712">
        <v>112</v>
      </c>
      <c r="V712">
        <v>96</v>
      </c>
      <c r="W712">
        <v>225</v>
      </c>
      <c r="X712">
        <v>94</v>
      </c>
      <c r="Y712">
        <v>94</v>
      </c>
      <c r="Z712" s="8">
        <v>225</v>
      </c>
      <c r="AA712">
        <v>131.75</v>
      </c>
      <c r="AB712">
        <v>0.71347248576850097</v>
      </c>
      <c r="AC712">
        <v>1.7077798861480076</v>
      </c>
      <c r="AD712" s="1">
        <v>18</v>
      </c>
      <c r="AE712" s="2">
        <v>46266</v>
      </c>
      <c r="AF712" s="2">
        <v>46274</v>
      </c>
      <c r="AG712" s="2">
        <v>46281</v>
      </c>
      <c r="AH712">
        <v>53</v>
      </c>
      <c r="AI712" s="3">
        <v>0.24367816091954023</v>
      </c>
      <c r="AJ712" s="1">
        <v>76</v>
      </c>
      <c r="AK712" s="2">
        <v>46339</v>
      </c>
      <c r="AL712" s="4">
        <v>30</v>
      </c>
      <c r="AM712" s="5">
        <v>15</v>
      </c>
      <c r="AN712" s="4">
        <v>18</v>
      </c>
      <c r="AO712">
        <v>54.827586206896548</v>
      </c>
      <c r="AP712" s="4">
        <v>1</v>
      </c>
      <c r="AQ712" t="s">
        <v>1619</v>
      </c>
      <c r="AR712" t="s">
        <v>2335</v>
      </c>
      <c r="AT712" s="16" t="str">
        <f>_xlfn.XLOOKUP(B712,'SWiSH Demand Forecast Sep-26'!D:D,'SWiSH Demand Forecast Sep-26'!G:G,"Not Exist")</f>
        <v>Not Exist</v>
      </c>
    </row>
    <row r="713" spans="1:46" hidden="1" x14ac:dyDescent="0.3">
      <c r="A713">
        <v>106200123</v>
      </c>
      <c r="B713" t="s">
        <v>1065</v>
      </c>
      <c r="C713" t="s">
        <v>240</v>
      </c>
      <c r="D713" t="s">
        <v>1613</v>
      </c>
      <c r="E713" t="s">
        <v>1677</v>
      </c>
      <c r="F713" t="s">
        <v>1671</v>
      </c>
      <c r="G713" t="s">
        <v>1616</v>
      </c>
      <c r="H713" t="s">
        <v>1672</v>
      </c>
      <c r="I713" t="s">
        <v>1618</v>
      </c>
      <c r="J713" t="s">
        <v>2619</v>
      </c>
      <c r="K713">
        <v>1.44916303</v>
      </c>
      <c r="L713">
        <v>377.36205301199999</v>
      </c>
      <c r="M713" s="1">
        <v>3</v>
      </c>
      <c r="N713">
        <v>0</v>
      </c>
      <c r="O713">
        <v>0</v>
      </c>
      <c r="P713">
        <v>260.39999999999998</v>
      </c>
      <c r="Q713" s="1">
        <v>260.39999999999998</v>
      </c>
      <c r="R713">
        <v>9</v>
      </c>
      <c r="S713" s="2">
        <v>45943</v>
      </c>
      <c r="T713" s="2">
        <v>46263</v>
      </c>
      <c r="U713">
        <v>428.40000000000003</v>
      </c>
      <c r="V713">
        <v>411.6</v>
      </c>
      <c r="W713">
        <v>428.40000000000009</v>
      </c>
      <c r="X713">
        <v>327.60000000000002</v>
      </c>
      <c r="Y713">
        <v>327.60000000000002</v>
      </c>
      <c r="Z713" s="8">
        <v>428.40000000000009</v>
      </c>
      <c r="AA713">
        <v>399</v>
      </c>
      <c r="AB713">
        <v>0.82105263157894748</v>
      </c>
      <c r="AC713">
        <v>1.073684210526316</v>
      </c>
      <c r="AD713" s="1">
        <v>18</v>
      </c>
      <c r="AE713" s="2">
        <v>46266</v>
      </c>
      <c r="AF713" s="2">
        <v>46274</v>
      </c>
      <c r="AG713" s="2">
        <v>46281</v>
      </c>
      <c r="AH713">
        <v>394.79999999999995</v>
      </c>
      <c r="AI713" s="3">
        <v>0.95334685598377245</v>
      </c>
      <c r="AJ713" s="1">
        <v>19</v>
      </c>
      <c r="AK713" s="2">
        <v>46282</v>
      </c>
      <c r="AL713" s="4">
        <v>15</v>
      </c>
      <c r="AM713" s="5">
        <v>15</v>
      </c>
      <c r="AN713" s="4">
        <v>18</v>
      </c>
      <c r="AO713">
        <v>204.2068965517241</v>
      </c>
      <c r="AP713" s="4">
        <v>2</v>
      </c>
      <c r="AQ713" t="s">
        <v>1619</v>
      </c>
      <c r="AR713" t="s">
        <v>1620</v>
      </c>
      <c r="AT713" s="16">
        <f>_xlfn.XLOOKUP(B713,'SWiSH Demand Forecast Sep-26'!D:D,'SWiSH Demand Forecast Sep-26'!G:G,"Not Exist")</f>
        <v>121.630929708012</v>
      </c>
    </row>
    <row r="714" spans="1:46" hidden="1" x14ac:dyDescent="0.3">
      <c r="A714">
        <v>101600079</v>
      </c>
      <c r="B714" t="s">
        <v>248</v>
      </c>
      <c r="C714" t="s">
        <v>10</v>
      </c>
      <c r="D714" t="s">
        <v>1613</v>
      </c>
      <c r="E714" t="s">
        <v>1701</v>
      </c>
      <c r="F714" t="s">
        <v>1631</v>
      </c>
      <c r="G714" t="s">
        <v>1624</v>
      </c>
      <c r="H714" t="s">
        <v>1768</v>
      </c>
      <c r="I714" t="s">
        <v>1634</v>
      </c>
      <c r="J714" t="s">
        <v>10</v>
      </c>
      <c r="K714">
        <v>2.1259980000000001E-2</v>
      </c>
      <c r="L714">
        <v>172.205838</v>
      </c>
      <c r="M714" s="1">
        <v>7</v>
      </c>
      <c r="N714">
        <v>0</v>
      </c>
      <c r="O714">
        <v>900</v>
      </c>
      <c r="P714">
        <v>8100</v>
      </c>
      <c r="Q714" s="1">
        <v>7200</v>
      </c>
      <c r="R714">
        <v>18.5</v>
      </c>
      <c r="S714" s="2">
        <v>46231</v>
      </c>
      <c r="T714" s="2">
        <v>46263</v>
      </c>
      <c r="U714">
        <v>10250</v>
      </c>
      <c r="V714">
        <v>10000</v>
      </c>
      <c r="W714">
        <v>11700</v>
      </c>
      <c r="X714">
        <v>4500</v>
      </c>
      <c r="Y714">
        <v>4500</v>
      </c>
      <c r="Z714" s="8">
        <v>11700</v>
      </c>
      <c r="AA714">
        <v>9112.5</v>
      </c>
      <c r="AB714">
        <v>0.49382716049382713</v>
      </c>
      <c r="AC714">
        <v>1.2839506172839505</v>
      </c>
      <c r="AD714" s="1">
        <v>18</v>
      </c>
      <c r="AE714" s="2">
        <v>46266</v>
      </c>
      <c r="AF714" s="2">
        <v>46274</v>
      </c>
      <c r="AG714" s="2">
        <v>46281</v>
      </c>
      <c r="AH714">
        <v>3600</v>
      </c>
      <c r="AI714" s="3">
        <v>0.3183023872679045</v>
      </c>
      <c r="AJ714" s="1">
        <v>58</v>
      </c>
      <c r="AK714" s="2">
        <v>46321</v>
      </c>
      <c r="AL714" s="4">
        <v>30</v>
      </c>
      <c r="AM714" s="5">
        <v>15</v>
      </c>
      <c r="AN714" s="4">
        <v>18</v>
      </c>
      <c r="AO714">
        <v>3724.1379310344828</v>
      </c>
      <c r="AP714" s="4">
        <v>1</v>
      </c>
      <c r="AQ714">
        <v>4</v>
      </c>
      <c r="AR714" t="s">
        <v>2146</v>
      </c>
      <c r="AT714" s="16">
        <f>_xlfn.XLOOKUP(B714,'SWiSH Demand Forecast Sep-26'!D:D,'SWiSH Demand Forecast Sep-26'!G:G,"Not Exist")</f>
        <v>6879</v>
      </c>
    </row>
    <row r="715" spans="1:46" hidden="1" x14ac:dyDescent="0.3">
      <c r="A715">
        <v>104000020</v>
      </c>
      <c r="B715" t="s">
        <v>364</v>
      </c>
      <c r="C715" t="s">
        <v>10</v>
      </c>
      <c r="D715" t="s">
        <v>1613</v>
      </c>
      <c r="E715" t="s">
        <v>1796</v>
      </c>
      <c r="F715" t="s">
        <v>1639</v>
      </c>
      <c r="G715" t="s">
        <v>1616</v>
      </c>
      <c r="H715" t="s">
        <v>1850</v>
      </c>
      <c r="I715" t="s">
        <v>1618</v>
      </c>
      <c r="J715" t="s">
        <v>2579</v>
      </c>
      <c r="K715">
        <v>8.1667030000000002E-2</v>
      </c>
      <c r="L715">
        <v>488.85884157999999</v>
      </c>
      <c r="M715" s="1">
        <v>3</v>
      </c>
      <c r="N715">
        <v>0</v>
      </c>
      <c r="O715">
        <v>378</v>
      </c>
      <c r="P715">
        <v>5986</v>
      </c>
      <c r="Q715" s="1">
        <v>5608</v>
      </c>
      <c r="R715">
        <v>1.47</v>
      </c>
      <c r="S715" s="2">
        <v>46263</v>
      </c>
      <c r="T715" s="2">
        <v>46263</v>
      </c>
      <c r="U715">
        <v>3780</v>
      </c>
      <c r="V715">
        <v>6120</v>
      </c>
      <c r="W715">
        <v>8424</v>
      </c>
      <c r="X715">
        <v>7848</v>
      </c>
      <c r="Y715">
        <v>3780</v>
      </c>
      <c r="Z715" s="8">
        <v>8424</v>
      </c>
      <c r="AA715">
        <v>6543</v>
      </c>
      <c r="AB715">
        <v>0.57771664374140308</v>
      </c>
      <c r="AC715">
        <v>1.2874828060522696</v>
      </c>
      <c r="AD715" s="1">
        <v>19</v>
      </c>
      <c r="AE715" s="2">
        <v>46267</v>
      </c>
      <c r="AF715" s="2">
        <v>46275</v>
      </c>
      <c r="AG715" s="2">
        <v>46282</v>
      </c>
      <c r="AH715">
        <v>5040</v>
      </c>
      <c r="AI715" s="3">
        <v>0.61892130857648109</v>
      </c>
      <c r="AJ715" s="1">
        <v>32</v>
      </c>
      <c r="AK715" s="2">
        <v>46295</v>
      </c>
      <c r="AL715" s="4">
        <v>4</v>
      </c>
      <c r="AM715" s="5">
        <v>3</v>
      </c>
      <c r="AN715" s="4">
        <v>19</v>
      </c>
      <c r="AO715">
        <v>695.1724137931036</v>
      </c>
      <c r="AP715" s="4">
        <v>9</v>
      </c>
      <c r="AQ715" t="s">
        <v>1619</v>
      </c>
      <c r="AR715" t="s">
        <v>1620</v>
      </c>
      <c r="AT715" s="16">
        <f>_xlfn.XLOOKUP(B715,'SWiSH Demand Forecast Sep-26'!D:D,'SWiSH Demand Forecast Sep-26'!G:G,"Not Exist")</f>
        <v>3348</v>
      </c>
    </row>
    <row r="716" spans="1:46" hidden="1" x14ac:dyDescent="0.3">
      <c r="A716">
        <v>103700022</v>
      </c>
      <c r="B716" t="s">
        <v>1302</v>
      </c>
      <c r="C716" t="s">
        <v>136</v>
      </c>
      <c r="D716" t="s">
        <v>1613</v>
      </c>
      <c r="E716" t="s">
        <v>1732</v>
      </c>
      <c r="F716" t="s">
        <v>1615</v>
      </c>
      <c r="G716" t="s">
        <v>1616</v>
      </c>
      <c r="H716" t="s">
        <v>1617</v>
      </c>
      <c r="I716" t="s">
        <v>1618</v>
      </c>
      <c r="J716" t="s">
        <v>2620</v>
      </c>
      <c r="K716">
        <v>8.5222394900000005</v>
      </c>
      <c r="L716">
        <v>1210.15800758</v>
      </c>
      <c r="M716" s="1">
        <v>3</v>
      </c>
      <c r="N716">
        <v>0</v>
      </c>
      <c r="O716">
        <v>0</v>
      </c>
      <c r="P716">
        <v>142</v>
      </c>
      <c r="Q716" s="1">
        <v>142</v>
      </c>
      <c r="R716">
        <v>3.6</v>
      </c>
      <c r="S716" s="2">
        <v>46263</v>
      </c>
      <c r="T716" s="2">
        <v>46263</v>
      </c>
      <c r="U716">
        <v>83.28</v>
      </c>
      <c r="V716">
        <v>79.266999999999996</v>
      </c>
      <c r="W716">
        <v>223.29499999999999</v>
      </c>
      <c r="X716">
        <v>163.518</v>
      </c>
      <c r="Y716">
        <v>79.266999999999996</v>
      </c>
      <c r="Z716" s="8">
        <v>223.29499999999999</v>
      </c>
      <c r="AA716">
        <v>137.34</v>
      </c>
      <c r="AB716">
        <v>0.57715887578272895</v>
      </c>
      <c r="AC716">
        <v>1.6258555409931554</v>
      </c>
      <c r="AD716" s="1">
        <v>19</v>
      </c>
      <c r="AE716" s="2">
        <v>46267</v>
      </c>
      <c r="AF716" s="2">
        <v>46275</v>
      </c>
      <c r="AG716" s="2">
        <v>46282</v>
      </c>
      <c r="AH716">
        <v>126.032</v>
      </c>
      <c r="AI716" s="3">
        <v>0.58388199930353457</v>
      </c>
      <c r="AJ716" s="1">
        <v>32</v>
      </c>
      <c r="AK716" s="2">
        <v>46295</v>
      </c>
      <c r="AL716" s="4">
        <v>30</v>
      </c>
      <c r="AM716" s="5">
        <v>15</v>
      </c>
      <c r="AN716" s="4">
        <v>19</v>
      </c>
      <c r="AO716">
        <v>130.37793103448274</v>
      </c>
      <c r="AP716" s="4">
        <v>1</v>
      </c>
      <c r="AQ716">
        <v>50</v>
      </c>
      <c r="AR716" t="s">
        <v>2621</v>
      </c>
      <c r="AT716" s="16">
        <f>_xlfn.XLOOKUP(B716,'SWiSH Demand Forecast Sep-26'!D:D,'SWiSH Demand Forecast Sep-26'!G:G,"Not Exist")</f>
        <v>31.455371011974101</v>
      </c>
    </row>
    <row r="717" spans="1:46" x14ac:dyDescent="0.3">
      <c r="A717">
        <v>101500018</v>
      </c>
      <c r="B717" t="s">
        <v>2622</v>
      </c>
      <c r="C717" t="s">
        <v>10</v>
      </c>
      <c r="D717" t="s">
        <v>1613</v>
      </c>
      <c r="E717" t="s">
        <v>2623</v>
      </c>
      <c r="F717" t="s">
        <v>1631</v>
      </c>
      <c r="G717" t="s">
        <v>1624</v>
      </c>
      <c r="H717" t="s">
        <v>1647</v>
      </c>
      <c r="I717" t="s">
        <v>1634</v>
      </c>
      <c r="J717" t="s">
        <v>1688</v>
      </c>
      <c r="K717">
        <v>0.25</v>
      </c>
      <c r="L717">
        <v>358</v>
      </c>
      <c r="M717" s="1">
        <v>3</v>
      </c>
      <c r="N717">
        <v>0</v>
      </c>
      <c r="O717">
        <v>10</v>
      </c>
      <c r="P717">
        <v>1432</v>
      </c>
      <c r="Q717" s="1">
        <v>1422</v>
      </c>
      <c r="R717">
        <v>0.6</v>
      </c>
      <c r="S717" s="2">
        <v>46254</v>
      </c>
      <c r="T717" s="2">
        <v>46261</v>
      </c>
      <c r="U717">
        <v>2172</v>
      </c>
      <c r="V717">
        <v>1560</v>
      </c>
      <c r="W717">
        <v>0</v>
      </c>
      <c r="X717">
        <v>0</v>
      </c>
      <c r="Y717">
        <v>0</v>
      </c>
      <c r="Z717" s="8">
        <v>2172</v>
      </c>
      <c r="AA717">
        <v>933</v>
      </c>
      <c r="AB717">
        <v>0</v>
      </c>
      <c r="AC717">
        <v>2.327974276527331</v>
      </c>
      <c r="AD717" s="1">
        <v>19</v>
      </c>
      <c r="AE717" s="2">
        <v>46267</v>
      </c>
      <c r="AF717" s="2">
        <v>46275</v>
      </c>
      <c r="AG717" s="2">
        <v>46282</v>
      </c>
      <c r="AH717">
        <v>8</v>
      </c>
      <c r="AI717" s="3">
        <v>3.8102495713469237E-3</v>
      </c>
      <c r="AJ717" s="1">
        <v>5154</v>
      </c>
      <c r="AK717" s="2">
        <v>51417</v>
      </c>
      <c r="AL717" s="4">
        <v>30</v>
      </c>
      <c r="AM717" s="5">
        <v>15</v>
      </c>
      <c r="AN717" s="4">
        <v>19</v>
      </c>
      <c r="AO717">
        <v>8.2758620689655178</v>
      </c>
      <c r="AP717" s="4">
        <v>1</v>
      </c>
      <c r="AQ717" t="s">
        <v>1619</v>
      </c>
      <c r="AR717" t="s">
        <v>1620</v>
      </c>
      <c r="AT717" s="16" t="str">
        <f>_xlfn.XLOOKUP(B717,'SWiSH Demand Forecast Sep-26'!D:D,'SWiSH Demand Forecast Sep-26'!G:G,"Not Exist")</f>
        <v>Not Exist</v>
      </c>
    </row>
    <row r="718" spans="1:46" x14ac:dyDescent="0.3">
      <c r="A718">
        <v>106700010</v>
      </c>
      <c r="B718" t="s">
        <v>2624</v>
      </c>
      <c r="C718" t="s">
        <v>10</v>
      </c>
      <c r="D718" t="s">
        <v>1613</v>
      </c>
      <c r="E718" t="s">
        <v>2625</v>
      </c>
      <c r="F718" t="s">
        <v>1650</v>
      </c>
      <c r="G718" t="s">
        <v>1624</v>
      </c>
      <c r="H718" t="s">
        <v>1651</v>
      </c>
      <c r="I718" t="s">
        <v>1634</v>
      </c>
      <c r="J718" t="s">
        <v>10</v>
      </c>
      <c r="K718">
        <v>13.5</v>
      </c>
      <c r="L718">
        <v>202.5</v>
      </c>
      <c r="M718" s="1">
        <v>3</v>
      </c>
      <c r="N718">
        <v>0</v>
      </c>
      <c r="O718">
        <v>0</v>
      </c>
      <c r="P718">
        <v>15</v>
      </c>
      <c r="Q718" s="1">
        <v>15</v>
      </c>
      <c r="R718">
        <v>13.5</v>
      </c>
      <c r="S718" s="2">
        <v>46254</v>
      </c>
      <c r="T718" s="2">
        <v>46260</v>
      </c>
      <c r="U718">
        <v>23</v>
      </c>
      <c r="V718">
        <v>19</v>
      </c>
      <c r="W718">
        <v>19</v>
      </c>
      <c r="X718">
        <v>22</v>
      </c>
      <c r="Y718">
        <v>19</v>
      </c>
      <c r="Z718" s="8">
        <v>23</v>
      </c>
      <c r="AA718">
        <v>20.75</v>
      </c>
      <c r="AB718">
        <v>0.91566265060240959</v>
      </c>
      <c r="AC718">
        <v>1.1084337349397591</v>
      </c>
      <c r="AD718" s="1">
        <v>19</v>
      </c>
      <c r="AE718" s="2">
        <v>46267</v>
      </c>
      <c r="AF718" s="2">
        <v>46275</v>
      </c>
      <c r="AG718" s="2">
        <v>46282</v>
      </c>
      <c r="AH718">
        <v>38</v>
      </c>
      <c r="AI718" s="3">
        <v>1.7091454272863569</v>
      </c>
      <c r="AJ718" s="1">
        <v>11</v>
      </c>
      <c r="AK718" s="2">
        <v>46274</v>
      </c>
      <c r="AL718" s="4">
        <v>30</v>
      </c>
      <c r="AM718" s="5">
        <v>15</v>
      </c>
      <c r="AN718" s="4">
        <v>11</v>
      </c>
      <c r="AO718">
        <v>39.310344827586206</v>
      </c>
      <c r="AP718" s="4">
        <v>1</v>
      </c>
      <c r="AQ718" t="s">
        <v>1619</v>
      </c>
      <c r="AR718" t="s">
        <v>2626</v>
      </c>
      <c r="AT718" s="16" t="str">
        <f>_xlfn.XLOOKUP(B718,'SWiSH Demand Forecast Sep-26'!D:D,'SWiSH Demand Forecast Sep-26'!G:G,"Not Exist")</f>
        <v>Not Exist</v>
      </c>
    </row>
    <row r="719" spans="1:46" x14ac:dyDescent="0.3">
      <c r="A719">
        <v>101500001</v>
      </c>
      <c r="B719" t="s">
        <v>2627</v>
      </c>
      <c r="C719" t="s">
        <v>10</v>
      </c>
      <c r="D719" t="s">
        <v>1613</v>
      </c>
      <c r="E719" t="s">
        <v>2628</v>
      </c>
      <c r="F719" t="s">
        <v>1644</v>
      </c>
      <c r="G719" t="s">
        <v>1624</v>
      </c>
      <c r="H719" t="s">
        <v>1647</v>
      </c>
      <c r="I719" t="s">
        <v>1634</v>
      </c>
      <c r="J719" t="s">
        <v>10</v>
      </c>
      <c r="K719">
        <v>1.75</v>
      </c>
      <c r="L719">
        <v>52.5</v>
      </c>
      <c r="M719" s="1">
        <v>3</v>
      </c>
      <c r="N719">
        <v>0</v>
      </c>
      <c r="O719">
        <v>2</v>
      </c>
      <c r="P719">
        <v>30</v>
      </c>
      <c r="Q719" s="1">
        <v>28</v>
      </c>
      <c r="R719">
        <v>1.75</v>
      </c>
      <c r="S719" s="2">
        <v>46259</v>
      </c>
      <c r="T719" s="2">
        <v>46260</v>
      </c>
      <c r="U719">
        <v>30</v>
      </c>
      <c r="V719">
        <v>44</v>
      </c>
      <c r="W719">
        <v>17</v>
      </c>
      <c r="X719">
        <v>21</v>
      </c>
      <c r="Y719">
        <v>17</v>
      </c>
      <c r="Z719" s="8">
        <v>44</v>
      </c>
      <c r="AA719">
        <v>28</v>
      </c>
      <c r="AB719">
        <v>0.6071428571428571</v>
      </c>
      <c r="AC719">
        <v>1.5714285714285714</v>
      </c>
      <c r="AD719" s="1">
        <v>19</v>
      </c>
      <c r="AE719" s="2">
        <v>46267</v>
      </c>
      <c r="AF719" s="2">
        <v>46275</v>
      </c>
      <c r="AG719" s="2">
        <v>46282</v>
      </c>
      <c r="AH719">
        <v>14</v>
      </c>
      <c r="AI719" s="3">
        <v>0.32915360501567398</v>
      </c>
      <c r="AJ719" s="1">
        <v>58</v>
      </c>
      <c r="AK719" s="2">
        <v>46321</v>
      </c>
      <c r="AL719" s="4">
        <v>30</v>
      </c>
      <c r="AM719" s="5">
        <v>15</v>
      </c>
      <c r="AN719" s="4">
        <v>19</v>
      </c>
      <c r="AO719">
        <v>14.482758620689655</v>
      </c>
      <c r="AP719" s="4">
        <v>1</v>
      </c>
      <c r="AQ719">
        <v>23</v>
      </c>
      <c r="AR719" t="s">
        <v>2629</v>
      </c>
      <c r="AT719" s="16" t="str">
        <f>_xlfn.XLOOKUP(B719,'SWiSH Demand Forecast Sep-26'!D:D,'SWiSH Demand Forecast Sep-26'!G:G,"Not Exist")</f>
        <v>Not Exist</v>
      </c>
    </row>
    <row r="720" spans="1:46" x14ac:dyDescent="0.3">
      <c r="A720">
        <v>100100008</v>
      </c>
      <c r="B720" t="s">
        <v>2630</v>
      </c>
      <c r="C720" t="s">
        <v>136</v>
      </c>
      <c r="D720" t="s">
        <v>1613</v>
      </c>
      <c r="E720" t="s">
        <v>1832</v>
      </c>
      <c r="F720" t="s">
        <v>1941</v>
      </c>
      <c r="G720" t="s">
        <v>1616</v>
      </c>
      <c r="H720" t="s">
        <v>1877</v>
      </c>
      <c r="I720" t="s">
        <v>1618</v>
      </c>
      <c r="J720" t="s">
        <v>2631</v>
      </c>
      <c r="K720">
        <v>2.7416666699999999</v>
      </c>
      <c r="L720">
        <v>43.866666719999998</v>
      </c>
      <c r="M720" s="1">
        <v>3</v>
      </c>
      <c r="N720">
        <v>0</v>
      </c>
      <c r="O720">
        <v>0</v>
      </c>
      <c r="P720">
        <v>16</v>
      </c>
      <c r="Q720" s="1">
        <v>16</v>
      </c>
      <c r="R720">
        <v>9.375</v>
      </c>
      <c r="S720" s="2">
        <v>46252</v>
      </c>
      <c r="T720" s="2">
        <v>46258</v>
      </c>
      <c r="U720">
        <v>15.562999999999999</v>
      </c>
      <c r="V720">
        <v>24.75</v>
      </c>
      <c r="W720">
        <v>8</v>
      </c>
      <c r="X720">
        <v>16</v>
      </c>
      <c r="Y720">
        <v>8</v>
      </c>
      <c r="Z720" s="8">
        <v>24.75</v>
      </c>
      <c r="AA720">
        <v>16.078250000000001</v>
      </c>
      <c r="AB720">
        <v>0.49756658840358869</v>
      </c>
      <c r="AC720">
        <v>1.5393466328736025</v>
      </c>
      <c r="AD720" s="1">
        <v>19</v>
      </c>
      <c r="AE720" s="2">
        <v>46267</v>
      </c>
      <c r="AF720" s="2">
        <v>46275</v>
      </c>
      <c r="AG720" s="2">
        <v>46282</v>
      </c>
      <c r="AH720">
        <v>6</v>
      </c>
      <c r="AI720" s="3">
        <v>0.2507836990595611</v>
      </c>
      <c r="AJ720" s="1">
        <v>77</v>
      </c>
      <c r="AK720" s="2">
        <v>46340</v>
      </c>
      <c r="AL720" s="4">
        <v>30</v>
      </c>
      <c r="AM720" s="5">
        <v>15</v>
      </c>
      <c r="AN720" s="4">
        <v>19</v>
      </c>
      <c r="AO720">
        <v>6.206896551724137</v>
      </c>
      <c r="AP720" s="4">
        <v>1</v>
      </c>
      <c r="AQ720" t="s">
        <v>1619</v>
      </c>
      <c r="AR720" t="s">
        <v>1620</v>
      </c>
      <c r="AT720" s="16" t="str">
        <f>_xlfn.XLOOKUP(B720,'SWiSH Demand Forecast Sep-26'!D:D,'SWiSH Demand Forecast Sep-26'!G:G,"Not Exist")</f>
        <v>Not Exist</v>
      </c>
    </row>
    <row r="721" spans="1:46" x14ac:dyDescent="0.3">
      <c r="A721">
        <v>101600063</v>
      </c>
      <c r="B721" t="s">
        <v>2632</v>
      </c>
      <c r="C721" t="s">
        <v>10</v>
      </c>
      <c r="D721" t="s">
        <v>1629</v>
      </c>
      <c r="E721" t="s">
        <v>1685</v>
      </c>
      <c r="F721" t="s">
        <v>1631</v>
      </c>
      <c r="G721" t="s">
        <v>1624</v>
      </c>
      <c r="H721" t="s">
        <v>1768</v>
      </c>
      <c r="I721" t="s">
        <v>1634</v>
      </c>
      <c r="J721" t="s">
        <v>2273</v>
      </c>
      <c r="K721">
        <v>3.3000000000000002E-2</v>
      </c>
      <c r="L721">
        <v>231</v>
      </c>
      <c r="M721" s="1">
        <v>3</v>
      </c>
      <c r="N721">
        <v>0</v>
      </c>
      <c r="O721">
        <v>0</v>
      </c>
      <c r="P721">
        <v>7000</v>
      </c>
      <c r="Q721" s="1">
        <v>7000</v>
      </c>
      <c r="R721">
        <v>20.5</v>
      </c>
      <c r="S721" s="2">
        <v>46238</v>
      </c>
      <c r="T721" s="2">
        <v>46162</v>
      </c>
      <c r="U721">
        <v>11000</v>
      </c>
      <c r="V721">
        <v>5500</v>
      </c>
      <c r="W721">
        <v>0</v>
      </c>
      <c r="X721">
        <v>0</v>
      </c>
      <c r="Y721">
        <v>0</v>
      </c>
      <c r="Z721" s="8">
        <v>11000</v>
      </c>
      <c r="AA721">
        <v>4125</v>
      </c>
      <c r="AB721">
        <v>0</v>
      </c>
      <c r="AC721">
        <v>2.6666666666666665</v>
      </c>
      <c r="AD721" s="1">
        <v>19</v>
      </c>
      <c r="AE721" s="2">
        <v>46267</v>
      </c>
      <c r="AF721" s="2">
        <v>46275</v>
      </c>
      <c r="AG721" s="2">
        <v>46282</v>
      </c>
      <c r="AH721">
        <v>0</v>
      </c>
      <c r="AI721" s="3">
        <v>0</v>
      </c>
      <c r="AJ721" s="1" t="s">
        <v>1635</v>
      </c>
      <c r="AK721" s="2" t="s">
        <v>1635</v>
      </c>
      <c r="AL721" s="4" t="s">
        <v>1636</v>
      </c>
      <c r="AM721" s="5" t="s">
        <v>1636</v>
      </c>
      <c r="AN721" s="4">
        <v>19</v>
      </c>
      <c r="AO721" t="s">
        <v>1635</v>
      </c>
      <c r="AP721" s="4" t="s">
        <v>1636</v>
      </c>
      <c r="AQ721" t="s">
        <v>1619</v>
      </c>
      <c r="AR721" t="s">
        <v>1620</v>
      </c>
      <c r="AT721" s="16" t="str">
        <f>_xlfn.XLOOKUP(B721,'SWiSH Demand Forecast Sep-26'!D:D,'SWiSH Demand Forecast Sep-26'!G:G,"Not Exist")</f>
        <v>Not Exist</v>
      </c>
    </row>
    <row r="722" spans="1:46" x14ac:dyDescent="0.3">
      <c r="A722">
        <v>102000007</v>
      </c>
      <c r="B722" t="s">
        <v>2633</v>
      </c>
      <c r="C722" t="s">
        <v>136</v>
      </c>
      <c r="D722" t="s">
        <v>1613</v>
      </c>
      <c r="E722" t="s">
        <v>1832</v>
      </c>
      <c r="F722" t="s">
        <v>1840</v>
      </c>
      <c r="G722" t="s">
        <v>1616</v>
      </c>
      <c r="H722" t="s">
        <v>2000</v>
      </c>
      <c r="I722" t="s">
        <v>1618</v>
      </c>
      <c r="J722" t="s">
        <v>136</v>
      </c>
      <c r="K722">
        <v>4.03226</v>
      </c>
      <c r="L722">
        <v>105.24198600000001</v>
      </c>
      <c r="M722" s="1">
        <v>3</v>
      </c>
      <c r="N722">
        <v>0</v>
      </c>
      <c r="O722">
        <v>0</v>
      </c>
      <c r="P722">
        <v>26.1</v>
      </c>
      <c r="Q722" s="1">
        <v>26.1</v>
      </c>
      <c r="R722">
        <v>11.69</v>
      </c>
      <c r="S722" s="2">
        <v>46223</v>
      </c>
      <c r="T722" s="2">
        <v>46260</v>
      </c>
      <c r="U722">
        <v>34.799999999999997</v>
      </c>
      <c r="V722">
        <v>14.5</v>
      </c>
      <c r="W722">
        <v>20.299999999999997</v>
      </c>
      <c r="X722">
        <v>40.599999999999994</v>
      </c>
      <c r="Y722">
        <v>14.5</v>
      </c>
      <c r="Z722" s="8">
        <v>40.599999999999994</v>
      </c>
      <c r="AA722">
        <v>27.549999999999997</v>
      </c>
      <c r="AB722">
        <v>0.52631578947368429</v>
      </c>
      <c r="AC722">
        <v>1.4736842105263157</v>
      </c>
      <c r="AD722" s="1">
        <v>19</v>
      </c>
      <c r="AE722" s="2">
        <v>46267</v>
      </c>
      <c r="AF722" s="2">
        <v>46275</v>
      </c>
      <c r="AG722" s="2">
        <v>46282</v>
      </c>
      <c r="AH722">
        <v>11.6</v>
      </c>
      <c r="AI722" s="3">
        <v>0.29556650246305421</v>
      </c>
      <c r="AJ722" s="1">
        <v>65</v>
      </c>
      <c r="AK722" s="2">
        <v>46328</v>
      </c>
      <c r="AL722" s="4">
        <v>30</v>
      </c>
      <c r="AM722" s="5">
        <v>15</v>
      </c>
      <c r="AN722" s="4">
        <v>19</v>
      </c>
      <c r="AO722">
        <v>12</v>
      </c>
      <c r="AP722" s="4">
        <v>1</v>
      </c>
      <c r="AQ722" t="s">
        <v>1619</v>
      </c>
      <c r="AR722" t="s">
        <v>1620</v>
      </c>
      <c r="AT722" s="16" t="str">
        <f>_xlfn.XLOOKUP(B722,'SWiSH Demand Forecast Sep-26'!D:D,'SWiSH Demand Forecast Sep-26'!G:G,"Not Exist")</f>
        <v>Not Exist</v>
      </c>
    </row>
    <row r="723" spans="1:46" x14ac:dyDescent="0.3">
      <c r="A723">
        <v>100300023</v>
      </c>
      <c r="B723" t="s">
        <v>2634</v>
      </c>
      <c r="C723" t="s">
        <v>136</v>
      </c>
      <c r="D723" t="s">
        <v>1613</v>
      </c>
      <c r="E723" t="s">
        <v>1832</v>
      </c>
      <c r="F723" t="s">
        <v>1752</v>
      </c>
      <c r="G723" t="s">
        <v>1616</v>
      </c>
      <c r="H723" t="s">
        <v>2018</v>
      </c>
      <c r="I723" t="s">
        <v>1754</v>
      </c>
      <c r="J723" t="s">
        <v>136</v>
      </c>
      <c r="K723">
        <v>5</v>
      </c>
      <c r="L723">
        <v>2845.5</v>
      </c>
      <c r="M723" s="1">
        <v>3</v>
      </c>
      <c r="N723">
        <v>0</v>
      </c>
      <c r="O723">
        <v>0</v>
      </c>
      <c r="P723">
        <v>569.1</v>
      </c>
      <c r="Q723" s="1">
        <v>569.1</v>
      </c>
      <c r="R723">
        <v>5.75</v>
      </c>
      <c r="S723" s="2">
        <v>46224</v>
      </c>
      <c r="T723" s="2">
        <v>46262</v>
      </c>
      <c r="U723">
        <v>669.15999999999985</v>
      </c>
      <c r="V723">
        <v>372.43400000000003</v>
      </c>
      <c r="W723">
        <v>893.26099999999985</v>
      </c>
      <c r="X723">
        <v>716.42</v>
      </c>
      <c r="Y723">
        <v>372.43400000000003</v>
      </c>
      <c r="Z723" s="8">
        <v>893.26099999999985</v>
      </c>
      <c r="AA723">
        <v>662.81874999999991</v>
      </c>
      <c r="AB723">
        <v>0.56189418298743066</v>
      </c>
      <c r="AC723">
        <v>1.3476700832618269</v>
      </c>
      <c r="AD723" s="1">
        <v>19</v>
      </c>
      <c r="AE723" s="2">
        <v>46267</v>
      </c>
      <c r="AF723" s="2">
        <v>46275</v>
      </c>
      <c r="AG723" s="2">
        <v>46282</v>
      </c>
      <c r="AH723">
        <v>388.11999999999995</v>
      </c>
      <c r="AI723" s="3">
        <v>0.44948055302522116</v>
      </c>
      <c r="AJ723" s="1">
        <v>42</v>
      </c>
      <c r="AK723" s="2">
        <v>46305</v>
      </c>
      <c r="AL723" s="4">
        <v>15</v>
      </c>
      <c r="AM723" s="5">
        <v>15</v>
      </c>
      <c r="AN723" s="4">
        <v>19</v>
      </c>
      <c r="AO723">
        <v>200.75172413793101</v>
      </c>
      <c r="AP723" s="4">
        <v>2</v>
      </c>
      <c r="AQ723" t="s">
        <v>1619</v>
      </c>
      <c r="AR723" t="s">
        <v>1620</v>
      </c>
      <c r="AT723" s="16" t="str">
        <f>_xlfn.XLOOKUP(B723,'SWiSH Demand Forecast Sep-26'!D:D,'SWiSH Demand Forecast Sep-26'!G:G,"Not Exist")</f>
        <v>Not Exist</v>
      </c>
    </row>
    <row r="724" spans="1:46" hidden="1" x14ac:dyDescent="0.3">
      <c r="A724">
        <v>101800020</v>
      </c>
      <c r="B724" t="s">
        <v>146</v>
      </c>
      <c r="C724" t="s">
        <v>10</v>
      </c>
      <c r="D724" t="s">
        <v>1613</v>
      </c>
      <c r="E724" t="s">
        <v>1663</v>
      </c>
      <c r="F724" t="s">
        <v>1631</v>
      </c>
      <c r="G724" t="s">
        <v>1624</v>
      </c>
      <c r="H724" t="s">
        <v>2144</v>
      </c>
      <c r="I724" t="s">
        <v>1634</v>
      </c>
      <c r="J724" t="s">
        <v>2273</v>
      </c>
      <c r="K724">
        <v>8.9814200000000004E-3</v>
      </c>
      <c r="L724">
        <v>94.304910000000007</v>
      </c>
      <c r="M724" s="1">
        <v>7</v>
      </c>
      <c r="N724">
        <v>0</v>
      </c>
      <c r="O724">
        <v>0</v>
      </c>
      <c r="P724">
        <v>10500</v>
      </c>
      <c r="Q724" s="1">
        <v>10500</v>
      </c>
      <c r="R724">
        <v>4.5</v>
      </c>
      <c r="S724" s="2">
        <v>46201</v>
      </c>
      <c r="T724" s="2">
        <v>46259</v>
      </c>
      <c r="U724">
        <v>16500</v>
      </c>
      <c r="V724">
        <v>11500</v>
      </c>
      <c r="W724">
        <v>14000</v>
      </c>
      <c r="X724">
        <v>12000</v>
      </c>
      <c r="Y724">
        <v>11500</v>
      </c>
      <c r="Z724" s="8">
        <v>16500</v>
      </c>
      <c r="AA724">
        <v>13500</v>
      </c>
      <c r="AB724">
        <v>0.85185185185185186</v>
      </c>
      <c r="AC724">
        <v>1.2222222222222223</v>
      </c>
      <c r="AD724" s="1">
        <v>19</v>
      </c>
      <c r="AE724" s="2">
        <v>46267</v>
      </c>
      <c r="AF724" s="2">
        <v>46275</v>
      </c>
      <c r="AG724" s="2">
        <v>46282</v>
      </c>
      <c r="AH724">
        <v>10500</v>
      </c>
      <c r="AI724" s="3">
        <v>0.65830721003134796</v>
      </c>
      <c r="AJ724" s="1">
        <v>29</v>
      </c>
      <c r="AK724" s="2">
        <v>46292</v>
      </c>
      <c r="AL724" s="4">
        <v>15</v>
      </c>
      <c r="AM724" s="5">
        <v>15</v>
      </c>
      <c r="AN724" s="4">
        <v>19</v>
      </c>
      <c r="AO724">
        <v>5431.0344827586205</v>
      </c>
      <c r="AP724" s="4">
        <v>2</v>
      </c>
      <c r="AQ724" t="s">
        <v>1619</v>
      </c>
      <c r="AR724" t="s">
        <v>1620</v>
      </c>
      <c r="AT724" s="16">
        <f>_xlfn.XLOOKUP(B724,'SWiSH Demand Forecast Sep-26'!D:D,'SWiSH Demand Forecast Sep-26'!G:G,"Not Exist")</f>
        <v>13077</v>
      </c>
    </row>
    <row r="725" spans="1:46" x14ac:dyDescent="0.3">
      <c r="A725">
        <v>106200034</v>
      </c>
      <c r="B725" t="s">
        <v>2635</v>
      </c>
      <c r="C725" t="s">
        <v>240</v>
      </c>
      <c r="D725" t="s">
        <v>1699</v>
      </c>
      <c r="E725" t="s">
        <v>1832</v>
      </c>
      <c r="F725" t="s">
        <v>1671</v>
      </c>
      <c r="G725" t="s">
        <v>1616</v>
      </c>
      <c r="H725" t="s">
        <v>1672</v>
      </c>
      <c r="I725" t="s">
        <v>1618</v>
      </c>
      <c r="J725" t="s">
        <v>2636</v>
      </c>
      <c r="K725">
        <v>1</v>
      </c>
      <c r="L725">
        <v>5.04</v>
      </c>
      <c r="M725" s="1">
        <v>3</v>
      </c>
      <c r="N725">
        <v>0</v>
      </c>
      <c r="O725">
        <v>0</v>
      </c>
      <c r="P725">
        <v>5.04</v>
      </c>
      <c r="Q725" s="1">
        <v>5.04</v>
      </c>
      <c r="R725">
        <v>0.7</v>
      </c>
      <c r="S725" s="2">
        <v>46096</v>
      </c>
      <c r="T725" s="2">
        <v>46261</v>
      </c>
      <c r="U725">
        <v>0</v>
      </c>
      <c r="V725">
        <v>7.86</v>
      </c>
      <c r="W725">
        <v>0</v>
      </c>
      <c r="X725">
        <v>0</v>
      </c>
      <c r="Y725">
        <v>0</v>
      </c>
      <c r="Z725" s="8">
        <v>7.86</v>
      </c>
      <c r="AA725">
        <v>1.9650000000000001</v>
      </c>
      <c r="AB725">
        <v>0</v>
      </c>
      <c r="AC725">
        <v>4</v>
      </c>
      <c r="AD725" s="1">
        <v>19</v>
      </c>
      <c r="AE725" s="2">
        <v>46267</v>
      </c>
      <c r="AF725" s="2">
        <v>46275</v>
      </c>
      <c r="AG725" s="2">
        <v>46282</v>
      </c>
      <c r="AH725">
        <v>2.8200000000000003</v>
      </c>
      <c r="AI725" s="3">
        <v>0.37115030271123983</v>
      </c>
      <c r="AJ725" s="1">
        <v>51</v>
      </c>
      <c r="AK725" s="2">
        <v>46314</v>
      </c>
      <c r="AL725" s="4" t="s">
        <v>1658</v>
      </c>
      <c r="AM725" s="5" t="s">
        <v>1658</v>
      </c>
      <c r="AN725" s="4">
        <v>19</v>
      </c>
      <c r="AO725" t="s">
        <v>1635</v>
      </c>
      <c r="AP725" s="4" t="s">
        <v>1658</v>
      </c>
      <c r="AQ725" t="s">
        <v>1619</v>
      </c>
      <c r="AR725" t="s">
        <v>1620</v>
      </c>
      <c r="AT725" s="16" t="str">
        <f>_xlfn.XLOOKUP(B725,'SWiSH Demand Forecast Sep-26'!D:D,'SWiSH Demand Forecast Sep-26'!G:G,"Not Exist")</f>
        <v>Not Exist</v>
      </c>
    </row>
    <row r="726" spans="1:46" hidden="1" x14ac:dyDescent="0.3">
      <c r="A726">
        <v>106200007</v>
      </c>
      <c r="B726" t="s">
        <v>799</v>
      </c>
      <c r="C726" t="s">
        <v>240</v>
      </c>
      <c r="D726" t="s">
        <v>1613</v>
      </c>
      <c r="E726" t="s">
        <v>1677</v>
      </c>
      <c r="F726" t="s">
        <v>1671</v>
      </c>
      <c r="G726" t="s">
        <v>1616</v>
      </c>
      <c r="H726" t="s">
        <v>1672</v>
      </c>
      <c r="I726" t="s">
        <v>1618</v>
      </c>
      <c r="J726" t="s">
        <v>240</v>
      </c>
      <c r="K726">
        <v>1.0098416100000001</v>
      </c>
      <c r="L726">
        <v>607.31874425399997</v>
      </c>
      <c r="M726" s="1">
        <v>3</v>
      </c>
      <c r="N726">
        <v>0</v>
      </c>
      <c r="O726">
        <v>0</v>
      </c>
      <c r="P726">
        <v>601.4</v>
      </c>
      <c r="Q726" s="1">
        <v>601.4</v>
      </c>
      <c r="R726">
        <v>16.600000000000001</v>
      </c>
      <c r="S726" s="2">
        <v>46135</v>
      </c>
      <c r="T726" s="2">
        <v>46263</v>
      </c>
      <c r="U726">
        <v>799.8000000000003</v>
      </c>
      <c r="V726">
        <v>930.00000000000023</v>
      </c>
      <c r="W726">
        <v>706.80000000000007</v>
      </c>
      <c r="X726">
        <v>204.5</v>
      </c>
      <c r="Y726">
        <v>204.5</v>
      </c>
      <c r="Z726" s="8">
        <v>930.00000000000023</v>
      </c>
      <c r="AA726">
        <v>660.2750000000002</v>
      </c>
      <c r="AB726">
        <v>0.30971943508386646</v>
      </c>
      <c r="AC726">
        <v>1.4085040324107378</v>
      </c>
      <c r="AD726" s="1">
        <v>19</v>
      </c>
      <c r="AE726" s="2">
        <v>46267</v>
      </c>
      <c r="AF726" s="2">
        <v>46275</v>
      </c>
      <c r="AG726" s="2">
        <v>46282</v>
      </c>
      <c r="AH726">
        <v>409.20000000000005</v>
      </c>
      <c r="AI726" s="3">
        <v>0.45517241379310341</v>
      </c>
      <c r="AJ726" s="1">
        <v>42</v>
      </c>
      <c r="AK726" s="2">
        <v>46305</v>
      </c>
      <c r="AL726" s="4">
        <v>15</v>
      </c>
      <c r="AM726" s="5">
        <v>15</v>
      </c>
      <c r="AN726" s="4">
        <v>19</v>
      </c>
      <c r="AO726">
        <v>211.65517241379314</v>
      </c>
      <c r="AP726" s="4">
        <v>2</v>
      </c>
      <c r="AQ726" t="s">
        <v>1619</v>
      </c>
      <c r="AR726" t="s">
        <v>1620</v>
      </c>
      <c r="AT726" s="16">
        <f>_xlfn.XLOOKUP(B726,'SWiSH Demand Forecast Sep-26'!D:D,'SWiSH Demand Forecast Sep-26'!G:G,"Not Exist")</f>
        <v>396.63396018108801</v>
      </c>
    </row>
    <row r="727" spans="1:46" hidden="1" x14ac:dyDescent="0.3">
      <c r="A727">
        <v>103700014</v>
      </c>
      <c r="B727" t="s">
        <v>1045</v>
      </c>
      <c r="C727" t="s">
        <v>136</v>
      </c>
      <c r="D727" t="s">
        <v>1613</v>
      </c>
      <c r="E727" t="s">
        <v>2637</v>
      </c>
      <c r="F727" t="s">
        <v>1615</v>
      </c>
      <c r="G727" t="s">
        <v>1616</v>
      </c>
      <c r="H727" t="s">
        <v>1617</v>
      </c>
      <c r="I727" t="s">
        <v>1618</v>
      </c>
      <c r="J727" t="s">
        <v>136</v>
      </c>
      <c r="K727">
        <v>3.9989498999999999</v>
      </c>
      <c r="L727">
        <v>931.75532669999996</v>
      </c>
      <c r="M727" s="1">
        <v>3</v>
      </c>
      <c r="N727">
        <v>0</v>
      </c>
      <c r="O727">
        <v>0</v>
      </c>
      <c r="P727">
        <v>233</v>
      </c>
      <c r="Q727" s="1">
        <v>233</v>
      </c>
      <c r="R727">
        <v>2</v>
      </c>
      <c r="S727" s="2">
        <v>46261</v>
      </c>
      <c r="T727" s="2">
        <v>46263</v>
      </c>
      <c r="U727">
        <v>367</v>
      </c>
      <c r="V727">
        <v>309</v>
      </c>
      <c r="W727">
        <v>367.5</v>
      </c>
      <c r="X727">
        <v>349</v>
      </c>
      <c r="Y727">
        <v>309</v>
      </c>
      <c r="Z727" s="8">
        <v>367.5</v>
      </c>
      <c r="AA727">
        <v>348.125</v>
      </c>
      <c r="AB727">
        <v>0.88761220825852782</v>
      </c>
      <c r="AC727">
        <v>1.0556552962298025</v>
      </c>
      <c r="AD727" s="1">
        <v>19</v>
      </c>
      <c r="AE727" s="2">
        <v>46267</v>
      </c>
      <c r="AF727" s="2">
        <v>46275</v>
      </c>
      <c r="AG727" s="2">
        <v>46282</v>
      </c>
      <c r="AH727">
        <v>344.5</v>
      </c>
      <c r="AI727" s="3">
        <v>0.96973961998592528</v>
      </c>
      <c r="AJ727" s="1">
        <v>19</v>
      </c>
      <c r="AK727" s="2">
        <v>46282</v>
      </c>
      <c r="AL727" s="4">
        <v>30</v>
      </c>
      <c r="AM727" s="5">
        <v>15</v>
      </c>
      <c r="AN727" s="4">
        <v>19</v>
      </c>
      <c r="AO727">
        <v>356.37931034482756</v>
      </c>
      <c r="AP727" s="4">
        <v>1</v>
      </c>
      <c r="AQ727" t="s">
        <v>1619</v>
      </c>
      <c r="AR727" t="s">
        <v>1855</v>
      </c>
      <c r="AT727" s="16">
        <f>_xlfn.XLOOKUP(B727,'SWiSH Demand Forecast Sep-26'!D:D,'SWiSH Demand Forecast Sep-26'!G:G,"Not Exist")</f>
        <v>129.98303802817799</v>
      </c>
    </row>
    <row r="728" spans="1:46" hidden="1" x14ac:dyDescent="0.3">
      <c r="A728">
        <v>106800255</v>
      </c>
      <c r="B728" t="s">
        <v>115</v>
      </c>
      <c r="C728" t="s">
        <v>10</v>
      </c>
      <c r="D728" t="s">
        <v>1613</v>
      </c>
      <c r="E728" t="s">
        <v>1638</v>
      </c>
      <c r="F728" t="s">
        <v>1664</v>
      </c>
      <c r="G728" t="s">
        <v>1624</v>
      </c>
      <c r="H728" t="s">
        <v>1665</v>
      </c>
      <c r="I728" t="s">
        <v>1634</v>
      </c>
      <c r="J728" t="s">
        <v>10</v>
      </c>
      <c r="K728">
        <v>5.0000000000000001E-3</v>
      </c>
      <c r="L728">
        <v>110</v>
      </c>
      <c r="M728" s="1">
        <v>7</v>
      </c>
      <c r="N728">
        <v>0</v>
      </c>
      <c r="O728">
        <v>0</v>
      </c>
      <c r="P728">
        <v>22000</v>
      </c>
      <c r="Q728" s="1">
        <v>22000</v>
      </c>
      <c r="R728">
        <v>5.0000000000000001E-3</v>
      </c>
      <c r="S728" s="2">
        <v>46235</v>
      </c>
      <c r="T728" s="2">
        <v>46263</v>
      </c>
      <c r="U728">
        <v>34000</v>
      </c>
      <c r="V728">
        <v>18000</v>
      </c>
      <c r="W728">
        <v>26000</v>
      </c>
      <c r="X728">
        <v>21000</v>
      </c>
      <c r="Y728">
        <v>18000</v>
      </c>
      <c r="Z728" s="8">
        <v>34000</v>
      </c>
      <c r="AA728">
        <v>24750</v>
      </c>
      <c r="AB728">
        <v>0.72727272727272729</v>
      </c>
      <c r="AC728">
        <v>1.3737373737373737</v>
      </c>
      <c r="AD728" s="1">
        <v>19</v>
      </c>
      <c r="AE728" s="2">
        <v>46267</v>
      </c>
      <c r="AF728" s="2">
        <v>46275</v>
      </c>
      <c r="AG728" s="2">
        <v>46282</v>
      </c>
      <c r="AH728">
        <v>32000</v>
      </c>
      <c r="AI728" s="3">
        <v>0.9736308316430019</v>
      </c>
      <c r="AJ728" s="1">
        <v>19</v>
      </c>
      <c r="AK728" s="2">
        <v>46282</v>
      </c>
      <c r="AL728" s="4">
        <v>30</v>
      </c>
      <c r="AM728" s="5">
        <v>15</v>
      </c>
      <c r="AN728" s="4">
        <v>19</v>
      </c>
      <c r="AO728">
        <v>33103.448275862065</v>
      </c>
      <c r="AP728" s="4">
        <v>1</v>
      </c>
      <c r="AQ728">
        <v>100000</v>
      </c>
      <c r="AR728" t="s">
        <v>1829</v>
      </c>
      <c r="AT728" s="16">
        <f>_xlfn.XLOOKUP(B728,'SWiSH Demand Forecast Sep-26'!D:D,'SWiSH Demand Forecast Sep-26'!G:G,"Not Exist")</f>
        <v>17046</v>
      </c>
    </row>
    <row r="729" spans="1:46" x14ac:dyDescent="0.3">
      <c r="A729">
        <v>106700106</v>
      </c>
      <c r="B729" t="s">
        <v>2638</v>
      </c>
      <c r="C729" t="s">
        <v>10</v>
      </c>
      <c r="D729" t="s">
        <v>1613</v>
      </c>
      <c r="E729" t="s">
        <v>2639</v>
      </c>
      <c r="F729" t="s">
        <v>1650</v>
      </c>
      <c r="G729" t="s">
        <v>1624</v>
      </c>
      <c r="H729" t="s">
        <v>1651</v>
      </c>
      <c r="I729" t="s">
        <v>1634</v>
      </c>
      <c r="J729" t="s">
        <v>10</v>
      </c>
      <c r="K729">
        <v>0.5</v>
      </c>
      <c r="L729">
        <v>3.5</v>
      </c>
      <c r="M729" s="1">
        <v>3</v>
      </c>
      <c r="N729">
        <v>0</v>
      </c>
      <c r="O729">
        <v>0</v>
      </c>
      <c r="P729">
        <v>7</v>
      </c>
      <c r="Q729" s="1">
        <v>7</v>
      </c>
      <c r="R729">
        <v>0.5</v>
      </c>
      <c r="S729" s="2">
        <v>46205</v>
      </c>
      <c r="T729" s="2">
        <v>46262</v>
      </c>
      <c r="U729">
        <v>7</v>
      </c>
      <c r="V729">
        <v>2</v>
      </c>
      <c r="W729">
        <v>11</v>
      </c>
      <c r="X729">
        <v>5</v>
      </c>
      <c r="Y729">
        <v>2</v>
      </c>
      <c r="Z729" s="8">
        <v>11</v>
      </c>
      <c r="AA729">
        <v>6.25</v>
      </c>
      <c r="AB729">
        <v>0.32</v>
      </c>
      <c r="AC729">
        <v>1.76</v>
      </c>
      <c r="AD729" s="1">
        <v>19</v>
      </c>
      <c r="AE729" s="2">
        <v>46267</v>
      </c>
      <c r="AF729" s="2">
        <v>46275</v>
      </c>
      <c r="AG729" s="2">
        <v>46282</v>
      </c>
      <c r="AH729">
        <v>1</v>
      </c>
      <c r="AI729" s="3">
        <v>9.4043887147335428E-2</v>
      </c>
      <c r="AJ729" s="1">
        <v>203</v>
      </c>
      <c r="AK729" s="2">
        <v>46466</v>
      </c>
      <c r="AL729" s="4">
        <v>30</v>
      </c>
      <c r="AM729" s="5">
        <v>15</v>
      </c>
      <c r="AN729" s="4">
        <v>19</v>
      </c>
      <c r="AO729">
        <v>1.0344827586206897</v>
      </c>
      <c r="AP729" s="4">
        <v>1</v>
      </c>
      <c r="AQ729" t="s">
        <v>1619</v>
      </c>
      <c r="AR729" t="s">
        <v>1620</v>
      </c>
      <c r="AT729" s="16" t="str">
        <f>_xlfn.XLOOKUP(B729,'SWiSH Demand Forecast Sep-26'!D:D,'SWiSH Demand Forecast Sep-26'!G:G,"Not Exist")</f>
        <v>Not Exist</v>
      </c>
    </row>
    <row r="730" spans="1:46" hidden="1" x14ac:dyDescent="0.3">
      <c r="A730">
        <v>101800030</v>
      </c>
      <c r="B730" t="s">
        <v>37</v>
      </c>
      <c r="C730" t="s">
        <v>10</v>
      </c>
      <c r="D730" t="s">
        <v>1613</v>
      </c>
      <c r="E730" t="s">
        <v>2049</v>
      </c>
      <c r="F730" t="s">
        <v>1664</v>
      </c>
      <c r="G730" t="s">
        <v>1624</v>
      </c>
      <c r="H730" t="s">
        <v>2144</v>
      </c>
      <c r="I730" t="s">
        <v>1634</v>
      </c>
      <c r="J730" t="s">
        <v>10</v>
      </c>
      <c r="K730">
        <v>2.4E-2</v>
      </c>
      <c r="L730">
        <v>1350</v>
      </c>
      <c r="M730" s="1">
        <v>30</v>
      </c>
      <c r="N730">
        <v>0</v>
      </c>
      <c r="O730">
        <v>1750</v>
      </c>
      <c r="P730">
        <v>56250</v>
      </c>
      <c r="Q730" s="1">
        <v>54500</v>
      </c>
      <c r="R730">
        <v>6</v>
      </c>
      <c r="S730" s="2">
        <v>46253</v>
      </c>
      <c r="T730" s="2">
        <v>46263</v>
      </c>
      <c r="U730">
        <v>74250</v>
      </c>
      <c r="V730">
        <v>84500</v>
      </c>
      <c r="W730">
        <v>62500</v>
      </c>
      <c r="X730">
        <v>65250</v>
      </c>
      <c r="Y730">
        <v>62500</v>
      </c>
      <c r="Z730" s="8">
        <v>84500</v>
      </c>
      <c r="AA730">
        <v>71625</v>
      </c>
      <c r="AB730">
        <v>0.87260034904013961</v>
      </c>
      <c r="AC730">
        <v>1.1797556719022688</v>
      </c>
      <c r="AD730" s="1">
        <v>19</v>
      </c>
      <c r="AE730" s="2">
        <v>46267</v>
      </c>
      <c r="AF730" s="2">
        <v>46275</v>
      </c>
      <c r="AG730" s="2">
        <v>46282</v>
      </c>
      <c r="AH730">
        <v>60000</v>
      </c>
      <c r="AI730" s="3">
        <v>0.73454397061824117</v>
      </c>
      <c r="AJ730" s="1">
        <v>26</v>
      </c>
      <c r="AK730" s="2">
        <v>46289</v>
      </c>
      <c r="AL730" s="4">
        <v>15</v>
      </c>
      <c r="AM730" s="5">
        <v>15</v>
      </c>
      <c r="AN730" s="4">
        <v>19</v>
      </c>
      <c r="AO730">
        <v>31034.482758620688</v>
      </c>
      <c r="AP730" s="4">
        <v>2</v>
      </c>
      <c r="AQ730">
        <v>342</v>
      </c>
      <c r="AR730" t="s">
        <v>2146</v>
      </c>
      <c r="AT730" s="16">
        <f>_xlfn.XLOOKUP(B730,'SWiSH Demand Forecast Sep-26'!D:D,'SWiSH Demand Forecast Sep-26'!G:G,"Not Exist")</f>
        <v>64338</v>
      </c>
    </row>
    <row r="731" spans="1:46" hidden="1" x14ac:dyDescent="0.3">
      <c r="A731">
        <v>103400017</v>
      </c>
      <c r="B731" t="s">
        <v>499</v>
      </c>
      <c r="C731" t="s">
        <v>136</v>
      </c>
      <c r="D731" t="s">
        <v>1613</v>
      </c>
      <c r="E731" t="s">
        <v>2142</v>
      </c>
      <c r="F731" t="s">
        <v>1752</v>
      </c>
      <c r="G731" t="s">
        <v>1616</v>
      </c>
      <c r="H731" t="s">
        <v>1931</v>
      </c>
      <c r="I731" t="s">
        <v>1754</v>
      </c>
      <c r="J731" t="s">
        <v>1959</v>
      </c>
      <c r="K731">
        <v>0.65599527000000002</v>
      </c>
      <c r="L731">
        <v>2107.3848048750001</v>
      </c>
      <c r="M731" s="1">
        <v>3</v>
      </c>
      <c r="N731">
        <v>0</v>
      </c>
      <c r="O731">
        <v>100</v>
      </c>
      <c r="P731">
        <v>3212.5</v>
      </c>
      <c r="Q731" s="1">
        <v>3112.5</v>
      </c>
      <c r="R731">
        <v>8.1999999999999993</v>
      </c>
      <c r="S731" s="2">
        <v>46260</v>
      </c>
      <c r="T731" s="2">
        <v>46263</v>
      </c>
      <c r="U731">
        <v>4770</v>
      </c>
      <c r="V731">
        <v>3677.5</v>
      </c>
      <c r="W731">
        <v>3115</v>
      </c>
      <c r="X731">
        <v>4417.5</v>
      </c>
      <c r="Y731">
        <v>3115</v>
      </c>
      <c r="Z731" s="8">
        <v>4770</v>
      </c>
      <c r="AA731">
        <v>3995</v>
      </c>
      <c r="AB731">
        <v>0.77972465581977468</v>
      </c>
      <c r="AC731">
        <v>1.1939924906132666</v>
      </c>
      <c r="AD731" s="1">
        <v>19</v>
      </c>
      <c r="AE731" s="2">
        <v>46267</v>
      </c>
      <c r="AF731" s="2">
        <v>46275</v>
      </c>
      <c r="AG731" s="2">
        <v>46282</v>
      </c>
      <c r="AH731">
        <v>3897.75</v>
      </c>
      <c r="AI731" s="3">
        <v>0.84531554977228363</v>
      </c>
      <c r="AJ731" s="1">
        <v>23</v>
      </c>
      <c r="AK731" s="2">
        <v>46286</v>
      </c>
      <c r="AL731" s="4">
        <v>8</v>
      </c>
      <c r="AM731" s="5">
        <v>5</v>
      </c>
      <c r="AN731" s="4">
        <v>19</v>
      </c>
      <c r="AO731">
        <v>1075.2413793103449</v>
      </c>
      <c r="AP731" s="4">
        <v>4</v>
      </c>
      <c r="AQ731" t="s">
        <v>1619</v>
      </c>
      <c r="AR731" t="s">
        <v>1620</v>
      </c>
      <c r="AT731" s="16">
        <f>_xlfn.XLOOKUP(B731,'SWiSH Demand Forecast Sep-26'!D:D,'SWiSH Demand Forecast Sep-26'!G:G,"Not Exist")</f>
        <v>1583.0384615384601</v>
      </c>
    </row>
    <row r="732" spans="1:46" hidden="1" x14ac:dyDescent="0.3">
      <c r="A732">
        <v>100900048</v>
      </c>
      <c r="B732" t="s">
        <v>615</v>
      </c>
      <c r="C732" t="s">
        <v>10</v>
      </c>
      <c r="D732" t="s">
        <v>1613</v>
      </c>
      <c r="E732" t="s">
        <v>1638</v>
      </c>
      <c r="F732" t="s">
        <v>1639</v>
      </c>
      <c r="G732" t="s">
        <v>1616</v>
      </c>
      <c r="H732" t="s">
        <v>1640</v>
      </c>
      <c r="I732" t="s">
        <v>1618</v>
      </c>
      <c r="J732" t="s">
        <v>1641</v>
      </c>
      <c r="K732">
        <v>0.06</v>
      </c>
      <c r="L732">
        <v>45.059999999999995</v>
      </c>
      <c r="M732" s="1">
        <v>3</v>
      </c>
      <c r="N732">
        <v>0</v>
      </c>
      <c r="O732">
        <v>0</v>
      </c>
      <c r="P732">
        <v>751</v>
      </c>
      <c r="Q732" s="1">
        <v>751</v>
      </c>
      <c r="R732">
        <v>1.8</v>
      </c>
      <c r="S732" s="2">
        <v>46257</v>
      </c>
      <c r="T732" s="2">
        <v>46262</v>
      </c>
      <c r="U732">
        <v>1050</v>
      </c>
      <c r="V732">
        <v>930</v>
      </c>
      <c r="W732">
        <v>690</v>
      </c>
      <c r="X732">
        <v>1140</v>
      </c>
      <c r="Y732">
        <v>690</v>
      </c>
      <c r="Z732" s="8">
        <v>1140</v>
      </c>
      <c r="AA732">
        <v>952.5</v>
      </c>
      <c r="AB732">
        <v>0.72440944881889768</v>
      </c>
      <c r="AC732">
        <v>1.1968503937007875</v>
      </c>
      <c r="AD732" s="1">
        <v>19</v>
      </c>
      <c r="AE732" s="2">
        <v>46267</v>
      </c>
      <c r="AF732" s="2">
        <v>46275</v>
      </c>
      <c r="AG732" s="2">
        <v>46282</v>
      </c>
      <c r="AH732">
        <v>959</v>
      </c>
      <c r="AI732" s="3">
        <v>0.87023593466424687</v>
      </c>
      <c r="AJ732" s="1">
        <v>22</v>
      </c>
      <c r="AK732" s="2">
        <v>46285</v>
      </c>
      <c r="AL732" s="4">
        <v>10</v>
      </c>
      <c r="AM732" s="5">
        <v>10</v>
      </c>
      <c r="AN732" s="4">
        <v>19</v>
      </c>
      <c r="AO732">
        <v>330.68965517241384</v>
      </c>
      <c r="AP732" s="4">
        <v>3</v>
      </c>
      <c r="AQ732" t="s">
        <v>1619</v>
      </c>
      <c r="AR732" t="s">
        <v>2163</v>
      </c>
      <c r="AT732" s="16">
        <f>_xlfn.XLOOKUP(B732,'SWiSH Demand Forecast Sep-26'!D:D,'SWiSH Demand Forecast Sep-26'!G:G,"Not Exist")</f>
        <v>941</v>
      </c>
    </row>
    <row r="733" spans="1:46" hidden="1" x14ac:dyDescent="0.3">
      <c r="A733">
        <v>106800162</v>
      </c>
      <c r="B733" t="s">
        <v>112</v>
      </c>
      <c r="C733" t="s">
        <v>10</v>
      </c>
      <c r="D733" t="s">
        <v>1613</v>
      </c>
      <c r="E733" t="s">
        <v>1638</v>
      </c>
      <c r="F733" t="s">
        <v>1664</v>
      </c>
      <c r="G733" t="s">
        <v>1624</v>
      </c>
      <c r="H733" t="s">
        <v>1665</v>
      </c>
      <c r="I733" t="s">
        <v>1634</v>
      </c>
      <c r="J733" t="s">
        <v>10</v>
      </c>
      <c r="K733">
        <v>5.0000000000000001E-3</v>
      </c>
      <c r="L733">
        <v>80</v>
      </c>
      <c r="M733" s="1">
        <v>7</v>
      </c>
      <c r="N733">
        <v>0</v>
      </c>
      <c r="O733">
        <v>0</v>
      </c>
      <c r="P733">
        <v>16000</v>
      </c>
      <c r="Q733" s="1">
        <v>16000</v>
      </c>
      <c r="R733">
        <v>5.0000000000000001E-3</v>
      </c>
      <c r="S733" s="2">
        <v>46244</v>
      </c>
      <c r="T733" s="2">
        <v>46263</v>
      </c>
      <c r="U733">
        <v>25000</v>
      </c>
      <c r="V733">
        <v>17000</v>
      </c>
      <c r="W733">
        <v>20000</v>
      </c>
      <c r="X733">
        <v>22000</v>
      </c>
      <c r="Y733">
        <v>17000</v>
      </c>
      <c r="Z733" s="8">
        <v>25000</v>
      </c>
      <c r="AA733">
        <v>21000</v>
      </c>
      <c r="AB733">
        <v>0.80952380952380953</v>
      </c>
      <c r="AC733">
        <v>1.1904761904761905</v>
      </c>
      <c r="AD733" s="1">
        <v>19</v>
      </c>
      <c r="AE733" s="2">
        <v>46267</v>
      </c>
      <c r="AF733" s="2">
        <v>46275</v>
      </c>
      <c r="AG733" s="2">
        <v>46282</v>
      </c>
      <c r="AH733">
        <v>22000</v>
      </c>
      <c r="AI733" s="3">
        <v>0.91034482758620694</v>
      </c>
      <c r="AJ733" s="1">
        <v>21</v>
      </c>
      <c r="AK733" s="2">
        <v>46284</v>
      </c>
      <c r="AL733" s="4">
        <v>30</v>
      </c>
      <c r="AM733" s="5">
        <v>15</v>
      </c>
      <c r="AN733" s="4">
        <v>19</v>
      </c>
      <c r="AO733">
        <v>22758.620689655174</v>
      </c>
      <c r="AP733" s="4">
        <v>1</v>
      </c>
      <c r="AQ733">
        <v>110000</v>
      </c>
      <c r="AR733" t="s">
        <v>1829</v>
      </c>
      <c r="AT733" s="16">
        <f>_xlfn.XLOOKUP(B733,'SWiSH Demand Forecast Sep-26'!D:D,'SWiSH Demand Forecast Sep-26'!G:G,"Not Exist")</f>
        <v>17522</v>
      </c>
    </row>
    <row r="734" spans="1:46" x14ac:dyDescent="0.3">
      <c r="A734">
        <v>105200012</v>
      </c>
      <c r="B734" t="s">
        <v>2640</v>
      </c>
      <c r="C734" t="s">
        <v>10</v>
      </c>
      <c r="D734" t="s">
        <v>1613</v>
      </c>
      <c r="E734" t="s">
        <v>1775</v>
      </c>
      <c r="F734" t="s">
        <v>1664</v>
      </c>
      <c r="G734" t="s">
        <v>1624</v>
      </c>
      <c r="H734" t="s">
        <v>1779</v>
      </c>
      <c r="I734" t="s">
        <v>1634</v>
      </c>
      <c r="J734" t="s">
        <v>10</v>
      </c>
      <c r="K734">
        <v>3.7986449999999998E-2</v>
      </c>
      <c r="L734">
        <v>521.36402624999994</v>
      </c>
      <c r="M734" s="1">
        <v>30</v>
      </c>
      <c r="N734">
        <v>0</v>
      </c>
      <c r="O734">
        <v>450</v>
      </c>
      <c r="P734">
        <v>13725</v>
      </c>
      <c r="Q734" s="1">
        <v>13275</v>
      </c>
      <c r="R734">
        <v>3.7999999999999999E-2</v>
      </c>
      <c r="S734" s="2">
        <v>46259</v>
      </c>
      <c r="T734" s="2">
        <v>46263</v>
      </c>
      <c r="U734">
        <v>20175</v>
      </c>
      <c r="V734">
        <v>15883</v>
      </c>
      <c r="W734">
        <v>13175</v>
      </c>
      <c r="X734">
        <v>15450</v>
      </c>
      <c r="Y734">
        <v>13175</v>
      </c>
      <c r="Z734" s="8">
        <v>20175</v>
      </c>
      <c r="AA734">
        <v>16170.75</v>
      </c>
      <c r="AB734">
        <v>0.81474266808898788</v>
      </c>
      <c r="AC734">
        <v>1.2476230230508789</v>
      </c>
      <c r="AD734" s="1">
        <v>19</v>
      </c>
      <c r="AE734" s="2">
        <v>46267</v>
      </c>
      <c r="AF734" s="2">
        <v>46275</v>
      </c>
      <c r="AG734" s="2">
        <v>46282</v>
      </c>
      <c r="AH734">
        <v>11200</v>
      </c>
      <c r="AI734" s="3">
        <v>0.57428534803230358</v>
      </c>
      <c r="AJ734" s="1">
        <v>34</v>
      </c>
      <c r="AK734" s="2">
        <v>46297</v>
      </c>
      <c r="AL734" s="4">
        <v>15</v>
      </c>
      <c r="AM734" s="5">
        <v>15</v>
      </c>
      <c r="AN734" s="4">
        <v>19</v>
      </c>
      <c r="AO734">
        <v>5793.1034482758623</v>
      </c>
      <c r="AP734" s="4">
        <v>2</v>
      </c>
      <c r="AQ734">
        <v>21975</v>
      </c>
      <c r="AR734" t="s">
        <v>2034</v>
      </c>
      <c r="AT734" s="16" t="str">
        <f>_xlfn.XLOOKUP(B734,'SWiSH Demand Forecast Sep-26'!D:D,'SWiSH Demand Forecast Sep-26'!G:G,"Not Exist")</f>
        <v>Not Exist</v>
      </c>
    </row>
    <row r="735" spans="1:46" hidden="1" x14ac:dyDescent="0.3">
      <c r="A735">
        <v>107000007</v>
      </c>
      <c r="B735" t="s">
        <v>53</v>
      </c>
      <c r="C735" t="s">
        <v>10</v>
      </c>
      <c r="D735" t="s">
        <v>1613</v>
      </c>
      <c r="E735" t="s">
        <v>2641</v>
      </c>
      <c r="F735" t="s">
        <v>1631</v>
      </c>
      <c r="G735" t="s">
        <v>1624</v>
      </c>
      <c r="H735" t="s">
        <v>2305</v>
      </c>
      <c r="I735" t="s">
        <v>1634</v>
      </c>
      <c r="J735" t="s">
        <v>2642</v>
      </c>
      <c r="K735">
        <v>2E-3</v>
      </c>
      <c r="L735">
        <v>19.900000000000002</v>
      </c>
      <c r="M735" s="1">
        <v>3</v>
      </c>
      <c r="N735">
        <v>0</v>
      </c>
      <c r="O735">
        <v>100</v>
      </c>
      <c r="P735">
        <v>9950</v>
      </c>
      <c r="Q735" s="1">
        <v>9850</v>
      </c>
      <c r="R735">
        <v>10</v>
      </c>
      <c r="S735" s="2">
        <v>46259</v>
      </c>
      <c r="T735" s="2">
        <v>46263</v>
      </c>
      <c r="U735">
        <v>11400</v>
      </c>
      <c r="V735">
        <v>13500</v>
      </c>
      <c r="W735">
        <v>11800</v>
      </c>
      <c r="X735">
        <v>15100</v>
      </c>
      <c r="Y735">
        <v>11400</v>
      </c>
      <c r="Z735" s="8">
        <v>15100</v>
      </c>
      <c r="AA735">
        <v>12950</v>
      </c>
      <c r="AB735">
        <v>0.88030888030888033</v>
      </c>
      <c r="AC735">
        <v>1.1660231660231659</v>
      </c>
      <c r="AD735" s="1">
        <v>19</v>
      </c>
      <c r="AE735" s="2">
        <v>46267</v>
      </c>
      <c r="AF735" s="2">
        <v>46275</v>
      </c>
      <c r="AG735" s="2">
        <v>46282</v>
      </c>
      <c r="AH735">
        <v>14600</v>
      </c>
      <c r="AI735" s="3">
        <v>1.000228362639872</v>
      </c>
      <c r="AJ735" s="1">
        <v>19</v>
      </c>
      <c r="AK735" s="2">
        <v>46282</v>
      </c>
      <c r="AL735" s="4">
        <v>30</v>
      </c>
      <c r="AM735" s="5">
        <v>15</v>
      </c>
      <c r="AN735" s="4">
        <v>19</v>
      </c>
      <c r="AO735">
        <v>15103.448275862067</v>
      </c>
      <c r="AP735" s="4">
        <v>1</v>
      </c>
      <c r="AQ735" t="s">
        <v>1619</v>
      </c>
      <c r="AR735" t="s">
        <v>1620</v>
      </c>
      <c r="AT735" s="16">
        <f>_xlfn.XLOOKUP(B735,'SWiSH Demand Forecast Sep-26'!D:D,'SWiSH Demand Forecast Sep-26'!G:G,"Not Exist")</f>
        <v>45837</v>
      </c>
    </row>
    <row r="736" spans="1:46" x14ac:dyDescent="0.3">
      <c r="A736">
        <v>106300035</v>
      </c>
      <c r="B736" t="s">
        <v>2643</v>
      </c>
      <c r="C736" t="s">
        <v>136</v>
      </c>
      <c r="D736" t="s">
        <v>1613</v>
      </c>
      <c r="E736" t="s">
        <v>1832</v>
      </c>
      <c r="F736" t="s">
        <v>1615</v>
      </c>
      <c r="G736" t="s">
        <v>1616</v>
      </c>
      <c r="H736" t="s">
        <v>1860</v>
      </c>
      <c r="I736" t="s">
        <v>1618</v>
      </c>
      <c r="J736" t="s">
        <v>136</v>
      </c>
      <c r="K736">
        <v>1.25</v>
      </c>
      <c r="L736">
        <v>2.5</v>
      </c>
      <c r="M736" s="1">
        <v>3</v>
      </c>
      <c r="N736">
        <v>0</v>
      </c>
      <c r="O736">
        <v>0</v>
      </c>
      <c r="P736">
        <v>2</v>
      </c>
      <c r="Q736" s="1">
        <v>2</v>
      </c>
      <c r="R736">
        <v>1.25</v>
      </c>
      <c r="S736" s="2">
        <v>46261</v>
      </c>
      <c r="T736" s="2">
        <v>46261</v>
      </c>
      <c r="U736">
        <v>3</v>
      </c>
      <c r="V736">
        <v>3</v>
      </c>
      <c r="W736">
        <v>0</v>
      </c>
      <c r="X736">
        <v>3</v>
      </c>
      <c r="Y736">
        <v>0</v>
      </c>
      <c r="Z736" s="8">
        <v>3</v>
      </c>
      <c r="AA736">
        <v>2.25</v>
      </c>
      <c r="AB736">
        <v>0</v>
      </c>
      <c r="AC736">
        <v>1.3333333333333333</v>
      </c>
      <c r="AD736" s="1">
        <v>20</v>
      </c>
      <c r="AE736" s="2">
        <v>46268</v>
      </c>
      <c r="AF736" s="2">
        <v>46276</v>
      </c>
      <c r="AG736" s="2">
        <v>46283</v>
      </c>
      <c r="AH736">
        <v>4</v>
      </c>
      <c r="AI736" s="3">
        <v>1.3793103448275863</v>
      </c>
      <c r="AJ736" s="1">
        <v>14</v>
      </c>
      <c r="AK736" s="2">
        <v>46277</v>
      </c>
      <c r="AL736" s="4">
        <v>30</v>
      </c>
      <c r="AM736" s="5">
        <v>15</v>
      </c>
      <c r="AN736" s="4">
        <v>14</v>
      </c>
      <c r="AO736">
        <v>4.1379310344827589</v>
      </c>
      <c r="AP736" s="4">
        <v>1</v>
      </c>
      <c r="AQ736" t="s">
        <v>1619</v>
      </c>
      <c r="AR736" t="s">
        <v>1620</v>
      </c>
      <c r="AT736" s="16" t="str">
        <f>_xlfn.XLOOKUP(B736,'SWiSH Demand Forecast Sep-26'!D:D,'SWiSH Demand Forecast Sep-26'!G:G,"Not Exist")</f>
        <v>Not Exist</v>
      </c>
    </row>
    <row r="737" spans="1:46" hidden="1" x14ac:dyDescent="0.3">
      <c r="A737">
        <v>103100010</v>
      </c>
      <c r="B737" t="s">
        <v>755</v>
      </c>
      <c r="C737" t="s">
        <v>10</v>
      </c>
      <c r="D737" t="s">
        <v>1613</v>
      </c>
      <c r="E737" t="s">
        <v>2392</v>
      </c>
      <c r="F737" t="s">
        <v>1752</v>
      </c>
      <c r="G737" t="s">
        <v>1616</v>
      </c>
      <c r="H737" t="s">
        <v>1869</v>
      </c>
      <c r="I737" t="s">
        <v>1754</v>
      </c>
      <c r="J737" t="s">
        <v>2644</v>
      </c>
      <c r="K737">
        <v>6.481481E-2</v>
      </c>
      <c r="L737">
        <v>447.99996671999997</v>
      </c>
      <c r="M737" s="1">
        <v>3</v>
      </c>
      <c r="N737">
        <v>0</v>
      </c>
      <c r="O737">
        <v>216</v>
      </c>
      <c r="P737">
        <v>6912</v>
      </c>
      <c r="Q737" s="1">
        <v>6696</v>
      </c>
      <c r="R737">
        <v>7</v>
      </c>
      <c r="S737" s="2">
        <v>46263</v>
      </c>
      <c r="T737" s="2">
        <v>46263</v>
      </c>
      <c r="U737">
        <v>9936</v>
      </c>
      <c r="V737">
        <v>8748</v>
      </c>
      <c r="W737">
        <v>7884</v>
      </c>
      <c r="X737">
        <v>7020</v>
      </c>
      <c r="Y737">
        <v>7020</v>
      </c>
      <c r="Z737" s="8">
        <v>9936</v>
      </c>
      <c r="AA737">
        <v>8397</v>
      </c>
      <c r="AB737">
        <v>0.83601286173633438</v>
      </c>
      <c r="AC737">
        <v>1.1832797427652733</v>
      </c>
      <c r="AD737" s="1">
        <v>20</v>
      </c>
      <c r="AE737" s="2">
        <v>46268</v>
      </c>
      <c r="AF737" s="2">
        <v>46276</v>
      </c>
      <c r="AG737" s="2">
        <v>46283</v>
      </c>
      <c r="AH737">
        <v>7128</v>
      </c>
      <c r="AI737" s="3">
        <v>0.7421289355322338</v>
      </c>
      <c r="AJ737" s="1">
        <v>27</v>
      </c>
      <c r="AK737" s="2">
        <v>46290</v>
      </c>
      <c r="AL737" s="4">
        <v>15</v>
      </c>
      <c r="AM737" s="5">
        <v>15</v>
      </c>
      <c r="AN737" s="4">
        <v>20</v>
      </c>
      <c r="AO737">
        <v>3686.8965517241377</v>
      </c>
      <c r="AP737" s="4">
        <v>2</v>
      </c>
      <c r="AQ737" t="s">
        <v>1619</v>
      </c>
      <c r="AR737" t="s">
        <v>1620</v>
      </c>
      <c r="AT737" s="16">
        <f>_xlfn.XLOOKUP(B737,'SWiSH Demand Forecast Sep-26'!D:D,'SWiSH Demand Forecast Sep-26'!G:G,"Not Exist")</f>
        <v>492</v>
      </c>
    </row>
    <row r="738" spans="1:46" hidden="1" x14ac:dyDescent="0.3">
      <c r="A738">
        <v>102500021</v>
      </c>
      <c r="B738" t="s">
        <v>1117</v>
      </c>
      <c r="C738" t="s">
        <v>136</v>
      </c>
      <c r="D738" t="s">
        <v>1613</v>
      </c>
      <c r="E738" t="s">
        <v>1832</v>
      </c>
      <c r="F738" t="s">
        <v>1927</v>
      </c>
      <c r="G738" t="s">
        <v>1616</v>
      </c>
      <c r="H738" t="s">
        <v>1928</v>
      </c>
      <c r="I738" t="s">
        <v>1618</v>
      </c>
      <c r="J738" t="s">
        <v>136</v>
      </c>
      <c r="K738">
        <v>3.5</v>
      </c>
      <c r="L738">
        <v>1215.8999999999999</v>
      </c>
      <c r="M738" s="1">
        <v>3</v>
      </c>
      <c r="N738">
        <v>0</v>
      </c>
      <c r="O738">
        <v>0</v>
      </c>
      <c r="P738">
        <v>347.4</v>
      </c>
      <c r="Q738" s="1">
        <v>347.4</v>
      </c>
      <c r="R738">
        <v>13</v>
      </c>
      <c r="S738" s="2">
        <v>46261</v>
      </c>
      <c r="T738" s="2">
        <v>46263</v>
      </c>
      <c r="U738">
        <v>280</v>
      </c>
      <c r="V738">
        <v>500</v>
      </c>
      <c r="W738">
        <v>440</v>
      </c>
      <c r="X738">
        <v>450</v>
      </c>
      <c r="Y738">
        <v>280</v>
      </c>
      <c r="Z738" s="8">
        <v>500</v>
      </c>
      <c r="AA738">
        <v>417.5</v>
      </c>
      <c r="AB738">
        <v>0.6706586826347305</v>
      </c>
      <c r="AC738">
        <v>1.1976047904191616</v>
      </c>
      <c r="AD738" s="1">
        <v>20</v>
      </c>
      <c r="AE738" s="2">
        <v>46268</v>
      </c>
      <c r="AF738" s="2">
        <v>46276</v>
      </c>
      <c r="AG738" s="2">
        <v>46283</v>
      </c>
      <c r="AH738">
        <v>289.60000000000002</v>
      </c>
      <c r="AI738" s="3">
        <v>0.59917241379310349</v>
      </c>
      <c r="AJ738" s="1">
        <v>34</v>
      </c>
      <c r="AK738" s="2">
        <v>46297</v>
      </c>
      <c r="AL738" s="4">
        <v>30</v>
      </c>
      <c r="AM738" s="5">
        <v>15</v>
      </c>
      <c r="AN738" s="4">
        <v>20</v>
      </c>
      <c r="AO738">
        <v>299.5862068965518</v>
      </c>
      <c r="AP738" s="4">
        <v>1</v>
      </c>
      <c r="AQ738" t="s">
        <v>1619</v>
      </c>
      <c r="AR738" t="s">
        <v>1834</v>
      </c>
      <c r="AT738" s="16">
        <f>_xlfn.XLOOKUP(B738,'SWiSH Demand Forecast Sep-26'!D:D,'SWiSH Demand Forecast Sep-26'!G:G,"Not Exist")</f>
        <v>97.565217391304301</v>
      </c>
    </row>
    <row r="739" spans="1:46" x14ac:dyDescent="0.3">
      <c r="A739">
        <v>104200067</v>
      </c>
      <c r="B739" t="s">
        <v>2645</v>
      </c>
      <c r="C739" t="s">
        <v>10</v>
      </c>
      <c r="D739" t="s">
        <v>1613</v>
      </c>
      <c r="E739" t="s">
        <v>2646</v>
      </c>
      <c r="F739" t="s">
        <v>1631</v>
      </c>
      <c r="G739" t="s">
        <v>1624</v>
      </c>
      <c r="H739" t="s">
        <v>1633</v>
      </c>
      <c r="I739" t="s">
        <v>1634</v>
      </c>
      <c r="J739" t="s">
        <v>10</v>
      </c>
      <c r="K739">
        <v>2</v>
      </c>
      <c r="L739">
        <v>26</v>
      </c>
      <c r="M739" s="1">
        <v>3</v>
      </c>
      <c r="N739">
        <v>0</v>
      </c>
      <c r="O739">
        <v>0</v>
      </c>
      <c r="P739">
        <v>13</v>
      </c>
      <c r="Q739" s="1">
        <v>13</v>
      </c>
      <c r="R739">
        <v>20</v>
      </c>
      <c r="S739" s="2">
        <v>46243</v>
      </c>
      <c r="T739" s="2">
        <v>46260</v>
      </c>
      <c r="U739">
        <v>5</v>
      </c>
      <c r="V739">
        <v>19</v>
      </c>
      <c r="W739">
        <v>10</v>
      </c>
      <c r="X739">
        <v>7</v>
      </c>
      <c r="Y739">
        <v>5</v>
      </c>
      <c r="Z739" s="8">
        <v>19</v>
      </c>
      <c r="AA739">
        <v>10.25</v>
      </c>
      <c r="AB739">
        <v>0.48780487804878048</v>
      </c>
      <c r="AC739">
        <v>1.8536585365853659</v>
      </c>
      <c r="AD739" s="1">
        <v>20</v>
      </c>
      <c r="AE739" s="2">
        <v>46268</v>
      </c>
      <c r="AF739" s="2">
        <v>46276</v>
      </c>
      <c r="AG739" s="2">
        <v>46283</v>
      </c>
      <c r="AH739">
        <v>20</v>
      </c>
      <c r="AI739" s="3">
        <v>1.0889292196007261</v>
      </c>
      <c r="AJ739" s="1">
        <v>18</v>
      </c>
      <c r="AK739" s="2">
        <v>46281</v>
      </c>
      <c r="AL739" s="4">
        <v>30</v>
      </c>
      <c r="AM739" s="5">
        <v>15</v>
      </c>
      <c r="AN739" s="4">
        <v>18</v>
      </c>
      <c r="AO739">
        <v>20.689655172413797</v>
      </c>
      <c r="AP739" s="4">
        <v>1</v>
      </c>
      <c r="AQ739" t="s">
        <v>1619</v>
      </c>
      <c r="AR739" t="s">
        <v>1620</v>
      </c>
      <c r="AT739" s="16" t="str">
        <f>_xlfn.XLOOKUP(B739,'SWiSH Demand Forecast Sep-26'!D:D,'SWiSH Demand Forecast Sep-26'!G:G,"Not Exist")</f>
        <v>Not Exist</v>
      </c>
    </row>
    <row r="740" spans="1:46" hidden="1" x14ac:dyDescent="0.3">
      <c r="A740">
        <v>106300076</v>
      </c>
      <c r="B740" t="s">
        <v>1378</v>
      </c>
      <c r="C740" t="s">
        <v>136</v>
      </c>
      <c r="D740" t="s">
        <v>1613</v>
      </c>
      <c r="E740" t="s">
        <v>2647</v>
      </c>
      <c r="F740" t="s">
        <v>1615</v>
      </c>
      <c r="G740" t="s">
        <v>1616</v>
      </c>
      <c r="H740" t="s">
        <v>1860</v>
      </c>
      <c r="I740" t="s">
        <v>1618</v>
      </c>
      <c r="J740" t="s">
        <v>136</v>
      </c>
      <c r="K740">
        <v>5.5</v>
      </c>
      <c r="L740">
        <v>220</v>
      </c>
      <c r="M740" s="1">
        <v>3</v>
      </c>
      <c r="N740">
        <v>0</v>
      </c>
      <c r="O740">
        <v>0</v>
      </c>
      <c r="P740">
        <v>40</v>
      </c>
      <c r="Q740" s="1">
        <v>40</v>
      </c>
      <c r="R740">
        <v>30</v>
      </c>
      <c r="S740" s="2">
        <v>46261</v>
      </c>
      <c r="T740" s="2">
        <v>46251</v>
      </c>
      <c r="U740">
        <v>50</v>
      </c>
      <c r="V740">
        <v>20</v>
      </c>
      <c r="W740">
        <v>60</v>
      </c>
      <c r="X740">
        <v>30</v>
      </c>
      <c r="Y740">
        <v>20</v>
      </c>
      <c r="Z740" s="8">
        <v>60</v>
      </c>
      <c r="AA740">
        <v>40</v>
      </c>
      <c r="AB740">
        <v>0.5</v>
      </c>
      <c r="AC740">
        <v>1.5</v>
      </c>
      <c r="AD740" s="1">
        <v>20</v>
      </c>
      <c r="AE740" s="2">
        <v>46268</v>
      </c>
      <c r="AF740" s="2">
        <v>46276</v>
      </c>
      <c r="AG740" s="2">
        <v>46283</v>
      </c>
      <c r="AH740">
        <v>40</v>
      </c>
      <c r="AI740" s="3">
        <v>0.68965517241379315</v>
      </c>
      <c r="AJ740" s="1">
        <v>29</v>
      </c>
      <c r="AK740" s="2">
        <v>46292</v>
      </c>
      <c r="AL740" s="4">
        <v>30</v>
      </c>
      <c r="AM740" s="5">
        <v>15</v>
      </c>
      <c r="AN740" s="4">
        <v>20</v>
      </c>
      <c r="AO740">
        <v>41.379310344827587</v>
      </c>
      <c r="AP740" s="4">
        <v>1</v>
      </c>
      <c r="AQ740" t="s">
        <v>1619</v>
      </c>
      <c r="AR740" t="s">
        <v>1620</v>
      </c>
      <c r="AT740" s="16">
        <f>_xlfn.XLOOKUP(B740,'SWiSH Demand Forecast Sep-26'!D:D,'SWiSH Demand Forecast Sep-26'!G:G,"Not Exist")</f>
        <v>17.6353137485311</v>
      </c>
    </row>
    <row r="741" spans="1:46" x14ac:dyDescent="0.3">
      <c r="A741">
        <v>101200037</v>
      </c>
      <c r="B741" t="s">
        <v>2648</v>
      </c>
      <c r="C741" t="s">
        <v>136</v>
      </c>
      <c r="D741" t="s">
        <v>1613</v>
      </c>
      <c r="E741" t="s">
        <v>1832</v>
      </c>
      <c r="F741" t="s">
        <v>1833</v>
      </c>
      <c r="G741" t="s">
        <v>1616</v>
      </c>
      <c r="H741" t="s">
        <v>1625</v>
      </c>
      <c r="I741" t="s">
        <v>1626</v>
      </c>
      <c r="J741" t="s">
        <v>136</v>
      </c>
      <c r="K741">
        <v>1.5</v>
      </c>
      <c r="L741">
        <v>30</v>
      </c>
      <c r="M741" s="1">
        <v>3</v>
      </c>
      <c r="N741">
        <v>0</v>
      </c>
      <c r="O741">
        <v>0</v>
      </c>
      <c r="P741">
        <v>20</v>
      </c>
      <c r="Q741" s="1">
        <v>20</v>
      </c>
      <c r="R741">
        <v>15</v>
      </c>
      <c r="S741" s="2">
        <v>46245</v>
      </c>
      <c r="T741" s="2">
        <v>46263</v>
      </c>
      <c r="U741">
        <v>30</v>
      </c>
      <c r="V741">
        <v>20</v>
      </c>
      <c r="W741">
        <v>20</v>
      </c>
      <c r="X741">
        <v>10</v>
      </c>
      <c r="Y741">
        <v>10</v>
      </c>
      <c r="Z741" s="8">
        <v>30</v>
      </c>
      <c r="AA741">
        <v>20</v>
      </c>
      <c r="AB741">
        <v>0.5</v>
      </c>
      <c r="AC741">
        <v>1.5</v>
      </c>
      <c r="AD741" s="1">
        <v>20</v>
      </c>
      <c r="AE741" s="2">
        <v>46268</v>
      </c>
      <c r="AF741" s="2">
        <v>46276</v>
      </c>
      <c r="AG741" s="2">
        <v>46283</v>
      </c>
      <c r="AH741">
        <v>10</v>
      </c>
      <c r="AI741" s="3">
        <v>0.34482758620689657</v>
      </c>
      <c r="AJ741" s="1">
        <v>58</v>
      </c>
      <c r="AK741" s="2">
        <v>46321</v>
      </c>
      <c r="AL741" s="4">
        <v>30</v>
      </c>
      <c r="AM741" s="5">
        <v>15</v>
      </c>
      <c r="AN741" s="4">
        <v>20</v>
      </c>
      <c r="AO741">
        <v>10.344827586206897</v>
      </c>
      <c r="AP741" s="4">
        <v>1</v>
      </c>
      <c r="AQ741" t="s">
        <v>1619</v>
      </c>
      <c r="AR741" t="s">
        <v>1620</v>
      </c>
      <c r="AT741" s="16" t="str">
        <f>_xlfn.XLOOKUP(B741,'SWiSH Demand Forecast Sep-26'!D:D,'SWiSH Demand Forecast Sep-26'!G:G,"Not Exist")</f>
        <v>Not Exist</v>
      </c>
    </row>
    <row r="742" spans="1:46" x14ac:dyDescent="0.3">
      <c r="A742">
        <v>100100166</v>
      </c>
      <c r="B742" t="s">
        <v>2649</v>
      </c>
      <c r="C742" t="s">
        <v>136</v>
      </c>
      <c r="D742" t="s">
        <v>1613</v>
      </c>
      <c r="E742" t="s">
        <v>1622</v>
      </c>
      <c r="F742" t="s">
        <v>1833</v>
      </c>
      <c r="G742" t="s">
        <v>1616</v>
      </c>
      <c r="H742" t="s">
        <v>1877</v>
      </c>
      <c r="I742" t="s">
        <v>1626</v>
      </c>
      <c r="J742" t="s">
        <v>136</v>
      </c>
      <c r="K742">
        <v>3.55392157</v>
      </c>
      <c r="L742">
        <v>29.000000011200001</v>
      </c>
      <c r="M742" s="1">
        <v>3</v>
      </c>
      <c r="N742">
        <v>0</v>
      </c>
      <c r="O742">
        <v>0</v>
      </c>
      <c r="P742">
        <v>8.16</v>
      </c>
      <c r="Q742" s="1">
        <v>8.16</v>
      </c>
      <c r="R742">
        <v>14.5</v>
      </c>
      <c r="S742" s="2">
        <v>46156</v>
      </c>
      <c r="T742" s="2">
        <v>46230</v>
      </c>
      <c r="U742">
        <v>0</v>
      </c>
      <c r="V742">
        <v>12.24</v>
      </c>
      <c r="W742">
        <v>4.08</v>
      </c>
      <c r="X742">
        <v>8.16</v>
      </c>
      <c r="Y742">
        <v>0</v>
      </c>
      <c r="Z742" s="8">
        <v>12.24</v>
      </c>
      <c r="AA742">
        <v>6.12</v>
      </c>
      <c r="AB742">
        <v>0</v>
      </c>
      <c r="AC742">
        <v>2</v>
      </c>
      <c r="AD742" s="1">
        <v>20</v>
      </c>
      <c r="AE742" s="2">
        <v>46268</v>
      </c>
      <c r="AF742" s="2">
        <v>46276</v>
      </c>
      <c r="AG742" s="2">
        <v>46283</v>
      </c>
      <c r="AH742">
        <v>0</v>
      </c>
      <c r="AI742" s="3">
        <v>0</v>
      </c>
      <c r="AJ742" s="1" t="s">
        <v>1635</v>
      </c>
      <c r="AK742" s="2" t="s">
        <v>1635</v>
      </c>
      <c r="AL742" s="4">
        <v>30</v>
      </c>
      <c r="AM742" s="5">
        <v>15</v>
      </c>
      <c r="AN742" s="4">
        <v>20</v>
      </c>
      <c r="AO742">
        <v>0</v>
      </c>
      <c r="AP742" s="4">
        <v>1</v>
      </c>
      <c r="AQ742" t="s">
        <v>1619</v>
      </c>
      <c r="AR742" t="s">
        <v>1620</v>
      </c>
      <c r="AT742" s="16" t="str">
        <f>_xlfn.XLOOKUP(B742,'SWiSH Demand Forecast Sep-26'!D:D,'SWiSH Demand Forecast Sep-26'!G:G,"Not Exist")</f>
        <v>Not Exist</v>
      </c>
    </row>
    <row r="743" spans="1:46" x14ac:dyDescent="0.3">
      <c r="A743">
        <v>106600052</v>
      </c>
      <c r="B743" t="s">
        <v>2650</v>
      </c>
      <c r="C743" t="s">
        <v>10</v>
      </c>
      <c r="D743" t="s">
        <v>1629</v>
      </c>
      <c r="E743" t="s">
        <v>1685</v>
      </c>
      <c r="F743" t="s">
        <v>1664</v>
      </c>
      <c r="G743" t="s">
        <v>1704</v>
      </c>
      <c r="H743" t="s">
        <v>1723</v>
      </c>
      <c r="I743" t="s">
        <v>1634</v>
      </c>
      <c r="J743" t="e">
        <v>#N/A</v>
      </c>
      <c r="K743">
        <v>1.7999999999999999E-2</v>
      </c>
      <c r="L743">
        <v>36</v>
      </c>
      <c r="M743" s="1">
        <v>15</v>
      </c>
      <c r="N743">
        <v>0</v>
      </c>
      <c r="O743">
        <v>0</v>
      </c>
      <c r="P743">
        <v>2000</v>
      </c>
      <c r="Q743" s="1">
        <v>2000</v>
      </c>
      <c r="R743">
        <v>1.7999999999999999E-2</v>
      </c>
      <c r="S743" s="2">
        <v>45997</v>
      </c>
      <c r="T743" s="2">
        <v>46221</v>
      </c>
      <c r="U743">
        <v>1000</v>
      </c>
      <c r="V743">
        <v>3000</v>
      </c>
      <c r="W743">
        <v>0</v>
      </c>
      <c r="X743">
        <v>0</v>
      </c>
      <c r="Y743">
        <v>0</v>
      </c>
      <c r="Z743" s="8">
        <v>3000</v>
      </c>
      <c r="AA743">
        <v>1000</v>
      </c>
      <c r="AB743">
        <v>0</v>
      </c>
      <c r="AC743">
        <v>3</v>
      </c>
      <c r="AD743" s="1">
        <v>20</v>
      </c>
      <c r="AE743" s="2">
        <v>46268</v>
      </c>
      <c r="AF743" s="2">
        <v>46276</v>
      </c>
      <c r="AG743" s="2">
        <v>46283</v>
      </c>
      <c r="AH743">
        <v>0</v>
      </c>
      <c r="AI743" s="3">
        <v>0</v>
      </c>
      <c r="AJ743" s="1" t="s">
        <v>1635</v>
      </c>
      <c r="AK743" s="2" t="s">
        <v>1635</v>
      </c>
      <c r="AL743" s="4" t="s">
        <v>1636</v>
      </c>
      <c r="AM743" s="5" t="s">
        <v>1636</v>
      </c>
      <c r="AN743" s="4">
        <v>20</v>
      </c>
      <c r="AO743" t="s">
        <v>1635</v>
      </c>
      <c r="AP743" s="4" t="s">
        <v>1636</v>
      </c>
      <c r="AQ743" t="s">
        <v>1619</v>
      </c>
      <c r="AR743" t="s">
        <v>1620</v>
      </c>
      <c r="AT743" s="16" t="str">
        <f>_xlfn.XLOOKUP(B743,'SWiSH Demand Forecast Sep-26'!D:D,'SWiSH Demand Forecast Sep-26'!G:G,"Not Exist")</f>
        <v>Not Exist</v>
      </c>
    </row>
    <row r="744" spans="1:46" x14ac:dyDescent="0.3">
      <c r="A744">
        <v>101400015</v>
      </c>
      <c r="B744" t="s">
        <v>2651</v>
      </c>
      <c r="C744" t="s">
        <v>10</v>
      </c>
      <c r="D744" t="s">
        <v>1613</v>
      </c>
      <c r="E744" t="s">
        <v>1638</v>
      </c>
      <c r="F744" t="s">
        <v>1644</v>
      </c>
      <c r="G744" t="s">
        <v>1624</v>
      </c>
      <c r="H744" t="s">
        <v>1693</v>
      </c>
      <c r="I744" t="s">
        <v>1634</v>
      </c>
      <c r="J744" t="s">
        <v>10</v>
      </c>
      <c r="K744">
        <v>3</v>
      </c>
      <c r="L744">
        <v>126</v>
      </c>
      <c r="M744" s="1">
        <v>3</v>
      </c>
      <c r="N744">
        <v>0</v>
      </c>
      <c r="O744">
        <v>0</v>
      </c>
      <c r="P744">
        <v>42</v>
      </c>
      <c r="Q744" s="1">
        <v>42</v>
      </c>
      <c r="R744">
        <v>3</v>
      </c>
      <c r="S744" s="2">
        <v>46167</v>
      </c>
      <c r="T744" s="2">
        <v>46187</v>
      </c>
      <c r="U744">
        <v>7</v>
      </c>
      <c r="V744">
        <v>61</v>
      </c>
      <c r="W744">
        <v>38</v>
      </c>
      <c r="X744">
        <v>0</v>
      </c>
      <c r="Y744">
        <v>0</v>
      </c>
      <c r="Z744" s="8">
        <v>61</v>
      </c>
      <c r="AA744">
        <v>26.5</v>
      </c>
      <c r="AB744">
        <v>0</v>
      </c>
      <c r="AC744">
        <v>2.3018867924528301</v>
      </c>
      <c r="AD744" s="1">
        <v>20</v>
      </c>
      <c r="AE744" s="2">
        <v>46268</v>
      </c>
      <c r="AF744" s="2">
        <v>46276</v>
      </c>
      <c r="AG744" s="2">
        <v>46283</v>
      </c>
      <c r="AH744">
        <v>0</v>
      </c>
      <c r="AI744" s="3">
        <v>0</v>
      </c>
      <c r="AJ744" s="1" t="s">
        <v>1635</v>
      </c>
      <c r="AK744" s="2" t="s">
        <v>1635</v>
      </c>
      <c r="AL744" s="4">
        <v>30</v>
      </c>
      <c r="AM744" s="5">
        <v>15</v>
      </c>
      <c r="AN744" s="4">
        <v>20</v>
      </c>
      <c r="AO744">
        <v>0</v>
      </c>
      <c r="AP744" s="4">
        <v>1</v>
      </c>
      <c r="AQ744" t="s">
        <v>1619</v>
      </c>
      <c r="AR744" t="s">
        <v>1620</v>
      </c>
      <c r="AT744" s="16" t="str">
        <f>_xlfn.XLOOKUP(B744,'SWiSH Demand Forecast Sep-26'!D:D,'SWiSH Demand Forecast Sep-26'!G:G,"Not Exist")</f>
        <v>Not Exist</v>
      </c>
    </row>
    <row r="745" spans="1:46" x14ac:dyDescent="0.3">
      <c r="A745">
        <v>105500009</v>
      </c>
      <c r="B745" t="s">
        <v>2652</v>
      </c>
      <c r="C745" t="s">
        <v>136</v>
      </c>
      <c r="D745" t="s">
        <v>1629</v>
      </c>
      <c r="E745" t="s">
        <v>1832</v>
      </c>
      <c r="F745" t="s">
        <v>1927</v>
      </c>
      <c r="G745" t="s">
        <v>1616</v>
      </c>
      <c r="H745" t="s">
        <v>1841</v>
      </c>
      <c r="I745" t="s">
        <v>1618</v>
      </c>
      <c r="J745" t="s">
        <v>2653</v>
      </c>
      <c r="K745">
        <v>1.0416666699999999</v>
      </c>
      <c r="L745">
        <v>25.00000008</v>
      </c>
      <c r="M745" s="1">
        <v>3</v>
      </c>
      <c r="N745">
        <v>0</v>
      </c>
      <c r="O745">
        <v>0</v>
      </c>
      <c r="P745">
        <v>24</v>
      </c>
      <c r="Q745" s="1">
        <v>24</v>
      </c>
      <c r="R745">
        <v>12.5</v>
      </c>
      <c r="S745" s="2">
        <v>46084</v>
      </c>
      <c r="T745" s="2">
        <v>46176</v>
      </c>
      <c r="U745">
        <v>36</v>
      </c>
      <c r="V745">
        <v>24</v>
      </c>
      <c r="W745">
        <v>12</v>
      </c>
      <c r="X745">
        <v>0</v>
      </c>
      <c r="Y745">
        <v>0</v>
      </c>
      <c r="Z745" s="8">
        <v>36</v>
      </c>
      <c r="AA745">
        <v>18</v>
      </c>
      <c r="AB745">
        <v>0</v>
      </c>
      <c r="AC745">
        <v>2</v>
      </c>
      <c r="AD745" s="1">
        <v>20</v>
      </c>
      <c r="AE745" s="2">
        <v>46268</v>
      </c>
      <c r="AF745" s="2">
        <v>46276</v>
      </c>
      <c r="AG745" s="2">
        <v>46283</v>
      </c>
      <c r="AH745">
        <v>0</v>
      </c>
      <c r="AI745" s="3">
        <v>0</v>
      </c>
      <c r="AJ745" s="1" t="s">
        <v>1635</v>
      </c>
      <c r="AK745" s="2" t="s">
        <v>1635</v>
      </c>
      <c r="AL745" s="4" t="s">
        <v>1636</v>
      </c>
      <c r="AM745" s="5" t="s">
        <v>1636</v>
      </c>
      <c r="AN745" s="4">
        <v>20</v>
      </c>
      <c r="AO745" t="s">
        <v>1635</v>
      </c>
      <c r="AP745" s="4" t="s">
        <v>1636</v>
      </c>
      <c r="AQ745" t="s">
        <v>1619</v>
      </c>
      <c r="AR745" t="s">
        <v>1620</v>
      </c>
      <c r="AT745" s="16" t="str">
        <f>_xlfn.XLOOKUP(B745,'SWiSH Demand Forecast Sep-26'!D:D,'SWiSH Demand Forecast Sep-26'!G:G,"Not Exist")</f>
        <v>Not Exist</v>
      </c>
    </row>
    <row r="746" spans="1:46" x14ac:dyDescent="0.3">
      <c r="A746">
        <v>101000006</v>
      </c>
      <c r="B746" t="s">
        <v>2654</v>
      </c>
      <c r="C746" t="s">
        <v>240</v>
      </c>
      <c r="D746" t="s">
        <v>1629</v>
      </c>
      <c r="E746" t="s">
        <v>2501</v>
      </c>
      <c r="F746" t="s">
        <v>1639</v>
      </c>
      <c r="G746" t="s">
        <v>1616</v>
      </c>
      <c r="H746" t="s">
        <v>1889</v>
      </c>
      <c r="I746" t="s">
        <v>1618</v>
      </c>
      <c r="J746" t="s">
        <v>2223</v>
      </c>
      <c r="K746">
        <v>1.52631579</v>
      </c>
      <c r="L746">
        <v>174.00000005999999</v>
      </c>
      <c r="M746" s="1">
        <v>3</v>
      </c>
      <c r="N746">
        <v>0</v>
      </c>
      <c r="O746">
        <v>0</v>
      </c>
      <c r="P746">
        <v>114</v>
      </c>
      <c r="Q746" s="1">
        <v>114</v>
      </c>
      <c r="R746">
        <v>29</v>
      </c>
      <c r="S746" s="2">
        <v>46223</v>
      </c>
      <c r="T746" s="2">
        <v>46230</v>
      </c>
      <c r="U746">
        <v>171</v>
      </c>
      <c r="V746">
        <v>133</v>
      </c>
      <c r="W746">
        <v>152</v>
      </c>
      <c r="X746">
        <v>152</v>
      </c>
      <c r="Y746">
        <v>133</v>
      </c>
      <c r="Z746" s="8">
        <v>171</v>
      </c>
      <c r="AA746">
        <v>152</v>
      </c>
      <c r="AB746">
        <v>0.875</v>
      </c>
      <c r="AC746">
        <v>1.125</v>
      </c>
      <c r="AD746" s="1">
        <v>20</v>
      </c>
      <c r="AE746" s="2">
        <v>46268</v>
      </c>
      <c r="AF746" s="2">
        <v>46276</v>
      </c>
      <c r="AG746" s="2">
        <v>46283</v>
      </c>
      <c r="AH746">
        <v>0</v>
      </c>
      <c r="AI746" s="3">
        <v>0</v>
      </c>
      <c r="AJ746" s="1" t="s">
        <v>1635</v>
      </c>
      <c r="AK746" s="2" t="s">
        <v>1635</v>
      </c>
      <c r="AL746" s="4" t="s">
        <v>1636</v>
      </c>
      <c r="AM746" s="5" t="s">
        <v>1636</v>
      </c>
      <c r="AN746" s="4">
        <v>20</v>
      </c>
      <c r="AO746" t="s">
        <v>1635</v>
      </c>
      <c r="AP746" s="4" t="s">
        <v>1636</v>
      </c>
      <c r="AQ746" t="s">
        <v>1619</v>
      </c>
      <c r="AR746" t="s">
        <v>1620</v>
      </c>
      <c r="AT746" s="16" t="str">
        <f>_xlfn.XLOOKUP(B746,'SWiSH Demand Forecast Sep-26'!D:D,'SWiSH Demand Forecast Sep-26'!G:G,"Not Exist")</f>
        <v>Not Exist</v>
      </c>
    </row>
    <row r="747" spans="1:46" x14ac:dyDescent="0.3">
      <c r="A747">
        <v>101400012</v>
      </c>
      <c r="B747" t="s">
        <v>2655</v>
      </c>
      <c r="C747" t="s">
        <v>240</v>
      </c>
      <c r="D747" t="s">
        <v>1613</v>
      </c>
      <c r="E747" t="s">
        <v>1643</v>
      </c>
      <c r="F747" t="s">
        <v>1644</v>
      </c>
      <c r="G747" t="s">
        <v>1624</v>
      </c>
      <c r="H747" t="s">
        <v>1693</v>
      </c>
      <c r="I747" t="s">
        <v>1634</v>
      </c>
      <c r="J747" t="s">
        <v>2525</v>
      </c>
      <c r="K747">
        <v>1.9167000000000001</v>
      </c>
      <c r="L747">
        <v>11.5002</v>
      </c>
      <c r="M747" s="1">
        <v>3</v>
      </c>
      <c r="N747">
        <v>0</v>
      </c>
      <c r="O747">
        <v>0</v>
      </c>
      <c r="P747">
        <v>6</v>
      </c>
      <c r="Q747" s="1">
        <v>6</v>
      </c>
      <c r="R747">
        <v>1.9167000000000001</v>
      </c>
      <c r="S747" s="2">
        <v>46186</v>
      </c>
      <c r="T747" s="2">
        <v>46232</v>
      </c>
      <c r="U747">
        <v>9</v>
      </c>
      <c r="V747">
        <v>0</v>
      </c>
      <c r="W747">
        <v>3</v>
      </c>
      <c r="X747">
        <v>3</v>
      </c>
      <c r="Y747">
        <v>0</v>
      </c>
      <c r="Z747" s="8">
        <v>9</v>
      </c>
      <c r="AA747">
        <v>3.75</v>
      </c>
      <c r="AB747">
        <v>0</v>
      </c>
      <c r="AC747">
        <v>2.4</v>
      </c>
      <c r="AD747" s="1">
        <v>20</v>
      </c>
      <c r="AE747" s="2">
        <v>46268</v>
      </c>
      <c r="AF747" s="2">
        <v>46276</v>
      </c>
      <c r="AG747" s="2">
        <v>46283</v>
      </c>
      <c r="AH747">
        <v>0</v>
      </c>
      <c r="AI747" s="3">
        <v>0</v>
      </c>
      <c r="AJ747" s="1" t="s">
        <v>1635</v>
      </c>
      <c r="AK747" s="2" t="s">
        <v>1635</v>
      </c>
      <c r="AL747" s="4">
        <v>30</v>
      </c>
      <c r="AM747" s="5">
        <v>15</v>
      </c>
      <c r="AN747" s="4">
        <v>20</v>
      </c>
      <c r="AO747">
        <v>0</v>
      </c>
      <c r="AP747" s="4">
        <v>1</v>
      </c>
      <c r="AQ747" t="s">
        <v>1619</v>
      </c>
      <c r="AR747" t="s">
        <v>1620</v>
      </c>
      <c r="AT747" s="16" t="str">
        <f>_xlfn.XLOOKUP(B747,'SWiSH Demand Forecast Sep-26'!D:D,'SWiSH Demand Forecast Sep-26'!G:G,"Not Exist")</f>
        <v>Not Exist</v>
      </c>
    </row>
    <row r="748" spans="1:46" x14ac:dyDescent="0.3">
      <c r="A748">
        <v>106600076</v>
      </c>
      <c r="B748" t="s">
        <v>2656</v>
      </c>
      <c r="C748" t="s">
        <v>10</v>
      </c>
      <c r="D748" t="s">
        <v>1613</v>
      </c>
      <c r="E748" t="s">
        <v>1685</v>
      </c>
      <c r="F748" t="s">
        <v>1664</v>
      </c>
      <c r="G748" t="s">
        <v>1624</v>
      </c>
      <c r="H748" t="s">
        <v>1723</v>
      </c>
      <c r="I748" t="s">
        <v>1634</v>
      </c>
      <c r="J748" t="s">
        <v>10</v>
      </c>
      <c r="K748">
        <v>0.03</v>
      </c>
      <c r="L748">
        <v>132</v>
      </c>
      <c r="M748" s="1">
        <v>15</v>
      </c>
      <c r="N748">
        <v>0</v>
      </c>
      <c r="O748">
        <v>0</v>
      </c>
      <c r="P748">
        <v>4400</v>
      </c>
      <c r="Q748" s="1">
        <v>4400</v>
      </c>
      <c r="R748">
        <v>0.03</v>
      </c>
      <c r="S748" s="2">
        <v>46166</v>
      </c>
      <c r="T748" s="2">
        <v>46258</v>
      </c>
      <c r="U748">
        <v>6500</v>
      </c>
      <c r="V748">
        <v>6500</v>
      </c>
      <c r="W748">
        <v>4400</v>
      </c>
      <c r="X748">
        <v>5200</v>
      </c>
      <c r="Y748">
        <v>4400</v>
      </c>
      <c r="Z748" s="8">
        <v>6500</v>
      </c>
      <c r="AA748">
        <v>5650</v>
      </c>
      <c r="AB748">
        <v>0.77876106194690264</v>
      </c>
      <c r="AC748">
        <v>1.1504424778761062</v>
      </c>
      <c r="AD748" s="1">
        <v>20</v>
      </c>
      <c r="AE748" s="2">
        <v>46268</v>
      </c>
      <c r="AF748" s="2">
        <v>46276</v>
      </c>
      <c r="AG748" s="2">
        <v>46283</v>
      </c>
      <c r="AH748">
        <v>4000</v>
      </c>
      <c r="AI748" s="3">
        <v>0.63660477453580899</v>
      </c>
      <c r="AJ748" s="1">
        <v>31</v>
      </c>
      <c r="AK748" s="2">
        <v>46294</v>
      </c>
      <c r="AL748" s="4">
        <v>30</v>
      </c>
      <c r="AM748" s="5">
        <v>15</v>
      </c>
      <c r="AN748" s="4">
        <v>20</v>
      </c>
      <c r="AO748">
        <v>4137.9310344827582</v>
      </c>
      <c r="AP748" s="4">
        <v>1</v>
      </c>
      <c r="AQ748">
        <v>10000</v>
      </c>
      <c r="AR748" t="s">
        <v>2215</v>
      </c>
      <c r="AT748" s="16" t="str">
        <f>_xlfn.XLOOKUP(B748,'SWiSH Demand Forecast Sep-26'!D:D,'SWiSH Demand Forecast Sep-26'!G:G,"Not Exist")</f>
        <v>Not Exist</v>
      </c>
    </row>
    <row r="749" spans="1:46" hidden="1" x14ac:dyDescent="0.3">
      <c r="A749">
        <v>106200051</v>
      </c>
      <c r="B749" t="s">
        <v>1010</v>
      </c>
      <c r="C749" t="s">
        <v>240</v>
      </c>
      <c r="D749" t="s">
        <v>1613</v>
      </c>
      <c r="E749" t="s">
        <v>2657</v>
      </c>
      <c r="F749" t="s">
        <v>1840</v>
      </c>
      <c r="G749" t="s">
        <v>1616</v>
      </c>
      <c r="H749" t="s">
        <v>1672</v>
      </c>
      <c r="I749" t="s">
        <v>1618</v>
      </c>
      <c r="J749" t="s">
        <v>1874</v>
      </c>
      <c r="K749">
        <v>0.5</v>
      </c>
      <c r="L749">
        <v>198</v>
      </c>
      <c r="M749" s="1">
        <v>3</v>
      </c>
      <c r="N749">
        <v>0</v>
      </c>
      <c r="O749">
        <v>0</v>
      </c>
      <c r="P749">
        <v>396</v>
      </c>
      <c r="Q749" s="1">
        <v>396</v>
      </c>
      <c r="R749">
        <v>6</v>
      </c>
      <c r="S749" s="2">
        <v>46224</v>
      </c>
      <c r="T749" s="2">
        <v>46261</v>
      </c>
      <c r="U749">
        <v>576</v>
      </c>
      <c r="V749">
        <v>372</v>
      </c>
      <c r="W749">
        <v>540</v>
      </c>
      <c r="X749">
        <v>576</v>
      </c>
      <c r="Y749">
        <v>372</v>
      </c>
      <c r="Z749" s="8">
        <v>576</v>
      </c>
      <c r="AA749">
        <v>516</v>
      </c>
      <c r="AB749">
        <v>0.72093023255813948</v>
      </c>
      <c r="AC749">
        <v>1.1162790697674418</v>
      </c>
      <c r="AD749" s="1">
        <v>20</v>
      </c>
      <c r="AE749" s="2">
        <v>46268</v>
      </c>
      <c r="AF749" s="2">
        <v>46276</v>
      </c>
      <c r="AG749" s="2">
        <v>46283</v>
      </c>
      <c r="AH749">
        <v>336</v>
      </c>
      <c r="AI749" s="3">
        <v>0.60344827586206895</v>
      </c>
      <c r="AJ749" s="1">
        <v>34</v>
      </c>
      <c r="AK749" s="2">
        <v>46297</v>
      </c>
      <c r="AL749" s="4">
        <v>30</v>
      </c>
      <c r="AM749" s="5">
        <v>15</v>
      </c>
      <c r="AN749" s="4">
        <v>20</v>
      </c>
      <c r="AO749">
        <v>347.58620689655174</v>
      </c>
      <c r="AP749" s="4">
        <v>1</v>
      </c>
      <c r="AQ749" t="s">
        <v>1619</v>
      </c>
      <c r="AR749" t="s">
        <v>1859</v>
      </c>
      <c r="AT749" s="16">
        <f>_xlfn.XLOOKUP(B749,'SWiSH Demand Forecast Sep-26'!D:D,'SWiSH Demand Forecast Sep-26'!G:G,"Not Exist")</f>
        <v>142.662450057077</v>
      </c>
    </row>
    <row r="750" spans="1:46" hidden="1" x14ac:dyDescent="0.3">
      <c r="A750">
        <v>100100000</v>
      </c>
      <c r="B750" t="s">
        <v>1335</v>
      </c>
      <c r="C750" t="s">
        <v>10</v>
      </c>
      <c r="D750" t="s">
        <v>1613</v>
      </c>
      <c r="E750" t="s">
        <v>1638</v>
      </c>
      <c r="F750" t="s">
        <v>1941</v>
      </c>
      <c r="G750" t="s">
        <v>1616</v>
      </c>
      <c r="H750" t="s">
        <v>1877</v>
      </c>
      <c r="I750" t="s">
        <v>1618</v>
      </c>
      <c r="J750" t="s">
        <v>2658</v>
      </c>
      <c r="K750">
        <v>5.4861109999999998E-2</v>
      </c>
      <c r="L750">
        <v>94.799998079999995</v>
      </c>
      <c r="M750" s="1">
        <v>3</v>
      </c>
      <c r="N750">
        <v>0</v>
      </c>
      <c r="O750">
        <v>0</v>
      </c>
      <c r="P750">
        <v>1728</v>
      </c>
      <c r="Q750" s="1">
        <v>1728</v>
      </c>
      <c r="R750">
        <v>7.9</v>
      </c>
      <c r="S750" s="2">
        <v>46214</v>
      </c>
      <c r="T750" s="2">
        <v>46262</v>
      </c>
      <c r="U750">
        <v>1971</v>
      </c>
      <c r="V750">
        <v>2241</v>
      </c>
      <c r="W750">
        <v>2484</v>
      </c>
      <c r="X750">
        <v>1980</v>
      </c>
      <c r="Y750">
        <v>1971</v>
      </c>
      <c r="Z750" s="8">
        <v>2484</v>
      </c>
      <c r="AA750">
        <v>2169</v>
      </c>
      <c r="AB750">
        <v>0.90871369294605808</v>
      </c>
      <c r="AC750">
        <v>1.1452282157676348</v>
      </c>
      <c r="AD750" s="1">
        <v>20</v>
      </c>
      <c r="AE750" s="2">
        <v>46268</v>
      </c>
      <c r="AF750" s="2">
        <v>46276</v>
      </c>
      <c r="AG750" s="2">
        <v>46283</v>
      </c>
      <c r="AH750">
        <v>1008</v>
      </c>
      <c r="AI750" s="3">
        <v>0.41979010494752622</v>
      </c>
      <c r="AJ750" s="1">
        <v>49</v>
      </c>
      <c r="AK750" s="2">
        <v>46312</v>
      </c>
      <c r="AL750" s="4">
        <v>30</v>
      </c>
      <c r="AM750" s="5">
        <v>15</v>
      </c>
      <c r="AN750" s="4">
        <v>20</v>
      </c>
      <c r="AO750">
        <v>1042.7586206896551</v>
      </c>
      <c r="AP750" s="4">
        <v>1</v>
      </c>
      <c r="AQ750" t="s">
        <v>1619</v>
      </c>
      <c r="AR750" t="s">
        <v>1859</v>
      </c>
      <c r="AT750" s="16">
        <f>_xlfn.XLOOKUP(B750,'SWiSH Demand Forecast Sep-26'!D:D,'SWiSH Demand Forecast Sep-26'!G:G,"Not Exist")</f>
        <v>25.631999999999898</v>
      </c>
    </row>
    <row r="751" spans="1:46" x14ac:dyDescent="0.3">
      <c r="A751">
        <v>101600073</v>
      </c>
      <c r="B751" t="s">
        <v>2659</v>
      </c>
      <c r="C751" t="s">
        <v>10</v>
      </c>
      <c r="D751" t="s">
        <v>1613</v>
      </c>
      <c r="E751" t="s">
        <v>1685</v>
      </c>
      <c r="F751" t="s">
        <v>1631</v>
      </c>
      <c r="G751" t="s">
        <v>1624</v>
      </c>
      <c r="H751" t="s">
        <v>1768</v>
      </c>
      <c r="I751" t="s">
        <v>1634</v>
      </c>
      <c r="J751" t="s">
        <v>2273</v>
      </c>
      <c r="K751">
        <v>4.8000000000000001E-2</v>
      </c>
      <c r="L751">
        <v>384</v>
      </c>
      <c r="M751" s="1">
        <v>3</v>
      </c>
      <c r="N751">
        <v>0</v>
      </c>
      <c r="O751">
        <v>0</v>
      </c>
      <c r="P751">
        <v>8000</v>
      </c>
      <c r="Q751" s="1">
        <v>8000</v>
      </c>
      <c r="R751">
        <v>27</v>
      </c>
      <c r="S751" s="2">
        <v>46250</v>
      </c>
      <c r="T751" s="2">
        <v>46262</v>
      </c>
      <c r="U751">
        <v>9000</v>
      </c>
      <c r="V751">
        <v>12000</v>
      </c>
      <c r="W751">
        <v>9500</v>
      </c>
      <c r="X751">
        <v>8000</v>
      </c>
      <c r="Y751">
        <v>8000</v>
      </c>
      <c r="Z751" s="8">
        <v>12000</v>
      </c>
      <c r="AA751">
        <v>9625</v>
      </c>
      <c r="AB751">
        <v>0.83116883116883122</v>
      </c>
      <c r="AC751">
        <v>1.2467532467532467</v>
      </c>
      <c r="AD751" s="1">
        <v>20</v>
      </c>
      <c r="AE751" s="2">
        <v>46268</v>
      </c>
      <c r="AF751" s="2">
        <v>46276</v>
      </c>
      <c r="AG751" s="2">
        <v>46283</v>
      </c>
      <c r="AH751">
        <v>6500</v>
      </c>
      <c r="AI751" s="3">
        <v>0.56034482758620685</v>
      </c>
      <c r="AJ751" s="1">
        <v>35</v>
      </c>
      <c r="AK751" s="2">
        <v>46298</v>
      </c>
      <c r="AL751" s="4">
        <v>30</v>
      </c>
      <c r="AM751" s="5">
        <v>15</v>
      </c>
      <c r="AN751" s="4">
        <v>20</v>
      </c>
      <c r="AO751">
        <v>6724.1379310344819</v>
      </c>
      <c r="AP751" s="4">
        <v>1</v>
      </c>
      <c r="AQ751" t="s">
        <v>1619</v>
      </c>
      <c r="AR751" t="s">
        <v>1620</v>
      </c>
      <c r="AT751" s="16" t="str">
        <f>_xlfn.XLOOKUP(B751,'SWiSH Demand Forecast Sep-26'!D:D,'SWiSH Demand Forecast Sep-26'!G:G,"Not Exist")</f>
        <v>Not Exist</v>
      </c>
    </row>
    <row r="752" spans="1:46" x14ac:dyDescent="0.3">
      <c r="A752">
        <v>105600011</v>
      </c>
      <c r="B752" t="s">
        <v>2660</v>
      </c>
      <c r="C752" t="s">
        <v>136</v>
      </c>
      <c r="D752" t="s">
        <v>1613</v>
      </c>
      <c r="E752" t="s">
        <v>2661</v>
      </c>
      <c r="F752" t="s">
        <v>1631</v>
      </c>
      <c r="G752" t="s">
        <v>1624</v>
      </c>
      <c r="H752" t="s">
        <v>1679</v>
      </c>
      <c r="I752" t="s">
        <v>1634</v>
      </c>
      <c r="J752" t="s">
        <v>136</v>
      </c>
      <c r="K752">
        <v>0.49997256000000001</v>
      </c>
      <c r="L752">
        <v>194.9892984</v>
      </c>
      <c r="M752" s="1">
        <v>30</v>
      </c>
      <c r="N752">
        <v>0</v>
      </c>
      <c r="O752">
        <v>0</v>
      </c>
      <c r="P752">
        <v>390</v>
      </c>
      <c r="Q752" s="1">
        <v>390</v>
      </c>
      <c r="R752">
        <v>0.6</v>
      </c>
      <c r="S752" s="2">
        <v>46258</v>
      </c>
      <c r="T752" s="2">
        <v>46263</v>
      </c>
      <c r="U752">
        <v>535</v>
      </c>
      <c r="V752">
        <v>585</v>
      </c>
      <c r="W752">
        <v>380</v>
      </c>
      <c r="X752">
        <v>575</v>
      </c>
      <c r="Y752">
        <v>380</v>
      </c>
      <c r="Z752" s="8">
        <v>585</v>
      </c>
      <c r="AA752">
        <v>518.75</v>
      </c>
      <c r="AB752">
        <v>0.73253012048192767</v>
      </c>
      <c r="AC752">
        <v>1.1277108433734939</v>
      </c>
      <c r="AD752" s="1">
        <v>20</v>
      </c>
      <c r="AE752" s="2">
        <v>46268</v>
      </c>
      <c r="AF752" s="2">
        <v>46276</v>
      </c>
      <c r="AG752" s="2">
        <v>46283</v>
      </c>
      <c r="AH752">
        <v>530</v>
      </c>
      <c r="AI752" s="3">
        <v>0.93722369584438536</v>
      </c>
      <c r="AJ752" s="1">
        <v>21</v>
      </c>
      <c r="AK752" s="2">
        <v>46284</v>
      </c>
      <c r="AL752" s="4">
        <v>30</v>
      </c>
      <c r="AM752" s="5">
        <v>15</v>
      </c>
      <c r="AN752" s="4">
        <v>20</v>
      </c>
      <c r="AO752">
        <v>548.27586206896547</v>
      </c>
      <c r="AP752" s="4">
        <v>1</v>
      </c>
      <c r="AQ752" t="s">
        <v>1619</v>
      </c>
      <c r="AR752" t="s">
        <v>1620</v>
      </c>
      <c r="AT752" s="16" t="str">
        <f>_xlfn.XLOOKUP(B752,'SWiSH Demand Forecast Sep-26'!D:D,'SWiSH Demand Forecast Sep-26'!G:G,"Not Exist")</f>
        <v>Not Exist</v>
      </c>
    </row>
    <row r="753" spans="1:46" x14ac:dyDescent="0.3">
      <c r="A753">
        <v>106700027</v>
      </c>
      <c r="B753" t="s">
        <v>2662</v>
      </c>
      <c r="C753" t="s">
        <v>10</v>
      </c>
      <c r="D753" t="s">
        <v>1613</v>
      </c>
      <c r="E753" t="s">
        <v>2663</v>
      </c>
      <c r="F753" t="s">
        <v>1650</v>
      </c>
      <c r="G753" t="s">
        <v>1624</v>
      </c>
      <c r="H753" t="s">
        <v>1651</v>
      </c>
      <c r="I753" t="s">
        <v>1634</v>
      </c>
      <c r="J753" t="s">
        <v>10</v>
      </c>
      <c r="K753">
        <v>4.25</v>
      </c>
      <c r="L753">
        <v>38.25</v>
      </c>
      <c r="M753" s="1">
        <v>3</v>
      </c>
      <c r="N753">
        <v>0</v>
      </c>
      <c r="O753">
        <v>0</v>
      </c>
      <c r="P753">
        <v>9</v>
      </c>
      <c r="Q753" s="1">
        <v>9</v>
      </c>
      <c r="R753">
        <v>4.25</v>
      </c>
      <c r="S753" s="2">
        <v>46228</v>
      </c>
      <c r="T753" s="2">
        <v>46261</v>
      </c>
      <c r="U753">
        <v>11</v>
      </c>
      <c r="V753">
        <v>13</v>
      </c>
      <c r="W753">
        <v>5</v>
      </c>
      <c r="X753">
        <v>2</v>
      </c>
      <c r="Y753">
        <v>2</v>
      </c>
      <c r="Z753" s="8">
        <v>13</v>
      </c>
      <c r="AA753">
        <v>7.75</v>
      </c>
      <c r="AB753">
        <v>0.25806451612903225</v>
      </c>
      <c r="AC753">
        <v>1.6774193548387097</v>
      </c>
      <c r="AD753" s="1">
        <v>20</v>
      </c>
      <c r="AE753" s="2">
        <v>46268</v>
      </c>
      <c r="AF753" s="2">
        <v>46276</v>
      </c>
      <c r="AG753" s="2">
        <v>46283</v>
      </c>
      <c r="AH753">
        <v>5</v>
      </c>
      <c r="AI753" s="3">
        <v>0.39787798408488062</v>
      </c>
      <c r="AJ753" s="1">
        <v>52</v>
      </c>
      <c r="AK753" s="2">
        <v>46315</v>
      </c>
      <c r="AL753" s="4">
        <v>30</v>
      </c>
      <c r="AM753" s="5">
        <v>15</v>
      </c>
      <c r="AN753" s="4">
        <v>20</v>
      </c>
      <c r="AO753">
        <v>5.1724137931034484</v>
      </c>
      <c r="AP753" s="4">
        <v>1</v>
      </c>
      <c r="AQ753" t="s">
        <v>1619</v>
      </c>
      <c r="AR753" t="s">
        <v>2335</v>
      </c>
      <c r="AT753" s="16" t="str">
        <f>_xlfn.XLOOKUP(B753,'SWiSH Demand Forecast Sep-26'!D:D,'SWiSH Demand Forecast Sep-26'!G:G,"Not Exist")</f>
        <v>Not Exist</v>
      </c>
    </row>
    <row r="754" spans="1:46" hidden="1" x14ac:dyDescent="0.3">
      <c r="A754">
        <v>103700121</v>
      </c>
      <c r="B754" t="s">
        <v>1022</v>
      </c>
      <c r="C754" t="s">
        <v>136</v>
      </c>
      <c r="D754" t="s">
        <v>1613</v>
      </c>
      <c r="E754" t="s">
        <v>2277</v>
      </c>
      <c r="F754" t="s">
        <v>1615</v>
      </c>
      <c r="G754" t="s">
        <v>1616</v>
      </c>
      <c r="H754" t="s">
        <v>1617</v>
      </c>
      <c r="I754" t="s">
        <v>1618</v>
      </c>
      <c r="J754" t="s">
        <v>136</v>
      </c>
      <c r="K754">
        <v>1.75</v>
      </c>
      <c r="L754">
        <v>197.75</v>
      </c>
      <c r="M754" s="1">
        <v>3</v>
      </c>
      <c r="N754">
        <v>0</v>
      </c>
      <c r="O754">
        <v>3</v>
      </c>
      <c r="P754">
        <v>113</v>
      </c>
      <c r="Q754" s="1">
        <v>110</v>
      </c>
      <c r="R754">
        <v>1.75</v>
      </c>
      <c r="S754" s="2">
        <v>46258</v>
      </c>
      <c r="T754" s="2">
        <v>46263</v>
      </c>
      <c r="U754">
        <v>135</v>
      </c>
      <c r="V754">
        <v>159</v>
      </c>
      <c r="W754">
        <v>137</v>
      </c>
      <c r="X754">
        <v>156</v>
      </c>
      <c r="Y754">
        <v>135</v>
      </c>
      <c r="Z754" s="8">
        <v>159</v>
      </c>
      <c r="AA754">
        <v>146.75</v>
      </c>
      <c r="AB754">
        <v>0.91993185689948898</v>
      </c>
      <c r="AC754">
        <v>1.0834752981260647</v>
      </c>
      <c r="AD754" s="1">
        <v>20</v>
      </c>
      <c r="AE754" s="2">
        <v>46268</v>
      </c>
      <c r="AF754" s="2">
        <v>46276</v>
      </c>
      <c r="AG754" s="2">
        <v>46283</v>
      </c>
      <c r="AH754">
        <v>157</v>
      </c>
      <c r="AI754" s="3">
        <v>1.0214703968770333</v>
      </c>
      <c r="AJ754" s="1">
        <v>20</v>
      </c>
      <c r="AK754" s="2">
        <v>46283</v>
      </c>
      <c r="AL754" s="4">
        <v>30</v>
      </c>
      <c r="AM754" s="5">
        <v>15</v>
      </c>
      <c r="AN754" s="4">
        <v>20</v>
      </c>
      <c r="AO754">
        <v>162.41379310344831</v>
      </c>
      <c r="AP754" s="4">
        <v>1</v>
      </c>
      <c r="AQ754" t="s">
        <v>1619</v>
      </c>
      <c r="AR754" t="s">
        <v>1620</v>
      </c>
      <c r="AT754" s="16">
        <f>_xlfn.XLOOKUP(B754,'SWiSH Demand Forecast Sep-26'!D:D,'SWiSH Demand Forecast Sep-26'!G:G,"Not Exist")</f>
        <v>139.001547959281</v>
      </c>
    </row>
    <row r="755" spans="1:46" x14ac:dyDescent="0.3">
      <c r="A755">
        <v>102500032</v>
      </c>
      <c r="B755" t="s">
        <v>2664</v>
      </c>
      <c r="C755" t="s">
        <v>136</v>
      </c>
      <c r="D755" t="s">
        <v>1613</v>
      </c>
      <c r="E755" t="s">
        <v>1732</v>
      </c>
      <c r="F755" t="s">
        <v>1927</v>
      </c>
      <c r="G755" t="s">
        <v>1616</v>
      </c>
      <c r="H755" t="s">
        <v>1928</v>
      </c>
      <c r="I755" t="s">
        <v>1618</v>
      </c>
      <c r="J755" t="s">
        <v>2067</v>
      </c>
      <c r="K755">
        <v>1.4</v>
      </c>
      <c r="L755">
        <v>70</v>
      </c>
      <c r="M755" s="1">
        <v>3</v>
      </c>
      <c r="N755">
        <v>0</v>
      </c>
      <c r="O755">
        <v>0</v>
      </c>
      <c r="P755">
        <v>50</v>
      </c>
      <c r="Q755" s="1">
        <v>50</v>
      </c>
      <c r="R755">
        <v>33</v>
      </c>
      <c r="S755" s="2">
        <v>46237</v>
      </c>
      <c r="T755" s="2">
        <v>46262</v>
      </c>
      <c r="U755">
        <v>25</v>
      </c>
      <c r="V755">
        <v>0</v>
      </c>
      <c r="W755">
        <v>25</v>
      </c>
      <c r="X755">
        <v>75</v>
      </c>
      <c r="Y755">
        <v>0</v>
      </c>
      <c r="Z755" s="8">
        <v>75</v>
      </c>
      <c r="AA755">
        <v>31.25</v>
      </c>
      <c r="AB755">
        <v>0</v>
      </c>
      <c r="AC755">
        <v>2.4</v>
      </c>
      <c r="AD755" s="1">
        <v>20</v>
      </c>
      <c r="AE755" s="2">
        <v>46268</v>
      </c>
      <c r="AF755" s="2">
        <v>46276</v>
      </c>
      <c r="AG755" s="2">
        <v>46283</v>
      </c>
      <c r="AH755">
        <v>25</v>
      </c>
      <c r="AI755" s="3">
        <v>0.34482758620689657</v>
      </c>
      <c r="AJ755" s="1">
        <v>58</v>
      </c>
      <c r="AK755" s="2">
        <v>46321</v>
      </c>
      <c r="AL755" s="4">
        <v>30</v>
      </c>
      <c r="AM755" s="5">
        <v>15</v>
      </c>
      <c r="AN755" s="4">
        <v>20</v>
      </c>
      <c r="AO755">
        <v>25.862068965517242</v>
      </c>
      <c r="AP755" s="4">
        <v>1</v>
      </c>
      <c r="AQ755" t="s">
        <v>1619</v>
      </c>
      <c r="AR755" t="s">
        <v>1620</v>
      </c>
      <c r="AT755" s="16" t="str">
        <f>_xlfn.XLOOKUP(B755,'SWiSH Demand Forecast Sep-26'!D:D,'SWiSH Demand Forecast Sep-26'!G:G,"Not Exist")</f>
        <v>Not Exist</v>
      </c>
    </row>
    <row r="756" spans="1:46" hidden="1" x14ac:dyDescent="0.3">
      <c r="A756">
        <v>100100112</v>
      </c>
      <c r="B756" t="s">
        <v>1499</v>
      </c>
      <c r="C756" t="s">
        <v>136</v>
      </c>
      <c r="D756" t="s">
        <v>1613</v>
      </c>
      <c r="E756" t="s">
        <v>1638</v>
      </c>
      <c r="F756" t="s">
        <v>1941</v>
      </c>
      <c r="G756" t="s">
        <v>1616</v>
      </c>
      <c r="H756" t="s">
        <v>1877</v>
      </c>
      <c r="I756" t="s">
        <v>1618</v>
      </c>
      <c r="J756" t="s">
        <v>2665</v>
      </c>
      <c r="K756">
        <v>6</v>
      </c>
      <c r="L756">
        <v>36</v>
      </c>
      <c r="M756" s="1">
        <v>3</v>
      </c>
      <c r="N756">
        <v>0</v>
      </c>
      <c r="O756">
        <v>0</v>
      </c>
      <c r="P756">
        <v>6</v>
      </c>
      <c r="Q756" s="1">
        <v>6</v>
      </c>
      <c r="R756">
        <v>18</v>
      </c>
      <c r="S756" s="2">
        <v>46228</v>
      </c>
      <c r="T756" s="2">
        <v>46263</v>
      </c>
      <c r="U756">
        <v>9</v>
      </c>
      <c r="V756">
        <v>6</v>
      </c>
      <c r="W756">
        <v>6</v>
      </c>
      <c r="X756">
        <v>0</v>
      </c>
      <c r="Y756">
        <v>0</v>
      </c>
      <c r="Z756" s="8">
        <v>9</v>
      </c>
      <c r="AA756">
        <v>5.25</v>
      </c>
      <c r="AB756">
        <v>0</v>
      </c>
      <c r="AC756">
        <v>1.7142857142857142</v>
      </c>
      <c r="AD756" s="1">
        <v>20</v>
      </c>
      <c r="AE756" s="2">
        <v>46268</v>
      </c>
      <c r="AF756" s="2">
        <v>46276</v>
      </c>
      <c r="AG756" s="2">
        <v>46283</v>
      </c>
      <c r="AH756">
        <v>9</v>
      </c>
      <c r="AI756" s="3">
        <v>1.0344827586206895</v>
      </c>
      <c r="AJ756" s="1">
        <v>19</v>
      </c>
      <c r="AK756" s="2">
        <v>46282</v>
      </c>
      <c r="AL756" s="4">
        <v>30</v>
      </c>
      <c r="AM756" s="5">
        <v>15</v>
      </c>
      <c r="AN756" s="4">
        <v>19</v>
      </c>
      <c r="AO756">
        <v>9.3103448275862064</v>
      </c>
      <c r="AP756" s="4">
        <v>1</v>
      </c>
      <c r="AQ756" t="s">
        <v>1619</v>
      </c>
      <c r="AR756" t="s">
        <v>1620</v>
      </c>
      <c r="AT756" s="16">
        <f>_xlfn.XLOOKUP(B756,'SWiSH Demand Forecast Sep-26'!D:D,'SWiSH Demand Forecast Sep-26'!G:G,"Not Exist")</f>
        <v>3.4615384615384599</v>
      </c>
    </row>
    <row r="757" spans="1:46" hidden="1" x14ac:dyDescent="0.3">
      <c r="A757">
        <v>101800017</v>
      </c>
      <c r="B757" t="s">
        <v>256</v>
      </c>
      <c r="C757" t="s">
        <v>10</v>
      </c>
      <c r="D757" t="s">
        <v>1613</v>
      </c>
      <c r="E757" t="s">
        <v>2666</v>
      </c>
      <c r="F757" t="s">
        <v>1631</v>
      </c>
      <c r="G757" t="s">
        <v>1624</v>
      </c>
      <c r="H757" t="s">
        <v>2144</v>
      </c>
      <c r="I757" t="s">
        <v>1634</v>
      </c>
      <c r="J757" t="s">
        <v>2113</v>
      </c>
      <c r="K757">
        <v>5.0000000000000001E-3</v>
      </c>
      <c r="L757">
        <v>131.5</v>
      </c>
      <c r="M757" s="1">
        <v>3</v>
      </c>
      <c r="N757">
        <v>0</v>
      </c>
      <c r="O757">
        <v>1000</v>
      </c>
      <c r="P757">
        <v>26300</v>
      </c>
      <c r="Q757" s="1">
        <v>25300</v>
      </c>
      <c r="R757">
        <v>5</v>
      </c>
      <c r="S757" s="2">
        <v>46261</v>
      </c>
      <c r="T757" s="2">
        <v>46263</v>
      </c>
      <c r="U757">
        <v>22800</v>
      </c>
      <c r="V757">
        <v>33250</v>
      </c>
      <c r="W757">
        <v>36000</v>
      </c>
      <c r="X757">
        <v>31600</v>
      </c>
      <c r="Y757">
        <v>22800</v>
      </c>
      <c r="Z757" s="8">
        <v>36000</v>
      </c>
      <c r="AA757">
        <v>30912.5</v>
      </c>
      <c r="AB757">
        <v>0.73756570966437529</v>
      </c>
      <c r="AC757">
        <v>1.1645774363121715</v>
      </c>
      <c r="AD757" s="1">
        <v>21</v>
      </c>
      <c r="AE757" s="2">
        <v>46269</v>
      </c>
      <c r="AF757" s="2">
        <v>46277</v>
      </c>
      <c r="AG757" s="2">
        <v>46284</v>
      </c>
      <c r="AH757">
        <v>40200</v>
      </c>
      <c r="AI757" s="3">
        <v>1.1551724137931034</v>
      </c>
      <c r="AJ757" s="1">
        <v>18</v>
      </c>
      <c r="AK757" s="2">
        <v>46281</v>
      </c>
      <c r="AL757" s="4">
        <v>15</v>
      </c>
      <c r="AM757" s="5">
        <v>15</v>
      </c>
      <c r="AN757" s="4">
        <v>18</v>
      </c>
      <c r="AO757">
        <v>20793.103448275862</v>
      </c>
      <c r="AP757" s="4">
        <v>2</v>
      </c>
      <c r="AQ757" t="s">
        <v>1619</v>
      </c>
      <c r="AR757" t="s">
        <v>1620</v>
      </c>
      <c r="AT757" s="16">
        <f>_xlfn.XLOOKUP(B757,'SWiSH Demand Forecast Sep-26'!D:D,'SWiSH Demand Forecast Sep-26'!G:G,"Not Exist")</f>
        <v>6519</v>
      </c>
    </row>
    <row r="758" spans="1:46" hidden="1" x14ac:dyDescent="0.3">
      <c r="A758">
        <v>106200130</v>
      </c>
      <c r="B758" t="s">
        <v>584</v>
      </c>
      <c r="C758" t="s">
        <v>240</v>
      </c>
      <c r="D758" t="s">
        <v>1613</v>
      </c>
      <c r="E758" t="s">
        <v>1677</v>
      </c>
      <c r="F758" t="s">
        <v>1671</v>
      </c>
      <c r="G758" t="s">
        <v>1616</v>
      </c>
      <c r="H758" t="s">
        <v>1672</v>
      </c>
      <c r="I758" t="s">
        <v>1618</v>
      </c>
      <c r="J758" t="s">
        <v>2667</v>
      </c>
      <c r="K758">
        <v>1</v>
      </c>
      <c r="L758">
        <v>2576</v>
      </c>
      <c r="M758" s="1">
        <v>3</v>
      </c>
      <c r="N758">
        <v>0</v>
      </c>
      <c r="O758">
        <v>0</v>
      </c>
      <c r="P758">
        <v>2576</v>
      </c>
      <c r="Q758" s="1">
        <v>2576</v>
      </c>
      <c r="R758">
        <v>7.38</v>
      </c>
      <c r="S758" s="2">
        <v>46263</v>
      </c>
      <c r="T758" s="2">
        <v>46258</v>
      </c>
      <c r="U758">
        <v>2919</v>
      </c>
      <c r="V758">
        <v>3570</v>
      </c>
      <c r="W758">
        <v>1631</v>
      </c>
      <c r="X758">
        <v>3059</v>
      </c>
      <c r="Y758">
        <v>1631</v>
      </c>
      <c r="Z758" s="8">
        <v>3570</v>
      </c>
      <c r="AA758">
        <v>2794.75</v>
      </c>
      <c r="AB758">
        <v>0.58359423919849718</v>
      </c>
      <c r="AC758">
        <v>1.2773951158422041</v>
      </c>
      <c r="AD758" s="1">
        <v>21</v>
      </c>
      <c r="AE758" s="2">
        <v>46269</v>
      </c>
      <c r="AF758" s="2">
        <v>46277</v>
      </c>
      <c r="AG758" s="2">
        <v>46284</v>
      </c>
      <c r="AH758">
        <v>1330</v>
      </c>
      <c r="AI758" s="3">
        <v>0.38539553752535494</v>
      </c>
      <c r="AJ758" s="1">
        <v>56</v>
      </c>
      <c r="AK758" s="2">
        <v>46319</v>
      </c>
      <c r="AL758" s="4">
        <v>10</v>
      </c>
      <c r="AM758" s="5">
        <v>10</v>
      </c>
      <c r="AN758" s="4">
        <v>21</v>
      </c>
      <c r="AO758">
        <v>458.62068965517238</v>
      </c>
      <c r="AP758" s="4">
        <v>3</v>
      </c>
      <c r="AQ758" t="s">
        <v>1619</v>
      </c>
      <c r="AR758" t="s">
        <v>1620</v>
      </c>
      <c r="AT758" s="16">
        <f>_xlfn.XLOOKUP(B758,'SWiSH Demand Forecast Sep-26'!D:D,'SWiSH Demand Forecast Sep-26'!G:G,"Not Exist")</f>
        <v>1087.9042091905501</v>
      </c>
    </row>
    <row r="759" spans="1:46" x14ac:dyDescent="0.3">
      <c r="A759">
        <v>105600009</v>
      </c>
      <c r="B759" t="s">
        <v>2668</v>
      </c>
      <c r="C759" t="s">
        <v>136</v>
      </c>
      <c r="D759" t="s">
        <v>1613</v>
      </c>
      <c r="E759" t="s">
        <v>2669</v>
      </c>
      <c r="F759" t="s">
        <v>1631</v>
      </c>
      <c r="G759" t="s">
        <v>1624</v>
      </c>
      <c r="H759" t="s">
        <v>1679</v>
      </c>
      <c r="I759" t="s">
        <v>1634</v>
      </c>
      <c r="J759" t="s">
        <v>136</v>
      </c>
      <c r="K759">
        <v>0.52500000000000002</v>
      </c>
      <c r="L759">
        <v>111.825</v>
      </c>
      <c r="M759" s="1">
        <v>30</v>
      </c>
      <c r="N759">
        <v>0</v>
      </c>
      <c r="O759">
        <v>0</v>
      </c>
      <c r="P759">
        <v>213</v>
      </c>
      <c r="Q759" s="1">
        <v>213</v>
      </c>
      <c r="R759">
        <v>0.6</v>
      </c>
      <c r="S759" s="2">
        <v>46258</v>
      </c>
      <c r="T759" s="2">
        <v>46261</v>
      </c>
      <c r="U759">
        <v>231</v>
      </c>
      <c r="V759">
        <v>303</v>
      </c>
      <c r="W759">
        <v>300</v>
      </c>
      <c r="X759">
        <v>294</v>
      </c>
      <c r="Y759">
        <v>231</v>
      </c>
      <c r="Z759" s="8">
        <v>303</v>
      </c>
      <c r="AA759">
        <v>282</v>
      </c>
      <c r="AB759">
        <v>0.81914893617021278</v>
      </c>
      <c r="AC759">
        <v>1.074468085106383</v>
      </c>
      <c r="AD759" s="1">
        <v>21</v>
      </c>
      <c r="AE759" s="2">
        <v>46269</v>
      </c>
      <c r="AF759" s="2">
        <v>46277</v>
      </c>
      <c r="AG759" s="2">
        <v>46284</v>
      </c>
      <c r="AH759">
        <v>295</v>
      </c>
      <c r="AI759" s="3">
        <v>1.0071696824854899</v>
      </c>
      <c r="AJ759" s="1">
        <v>20</v>
      </c>
      <c r="AK759" s="2">
        <v>46283</v>
      </c>
      <c r="AL759" s="4">
        <v>30</v>
      </c>
      <c r="AM759" s="5">
        <v>15</v>
      </c>
      <c r="AN759" s="4">
        <v>20</v>
      </c>
      <c r="AO759">
        <v>305.17241379310343</v>
      </c>
      <c r="AP759" s="4">
        <v>1</v>
      </c>
      <c r="AQ759" t="s">
        <v>1619</v>
      </c>
      <c r="AR759" t="s">
        <v>1620</v>
      </c>
      <c r="AT759" s="16" t="str">
        <f>_xlfn.XLOOKUP(B759,'SWiSH Demand Forecast Sep-26'!D:D,'SWiSH Demand Forecast Sep-26'!G:G,"Not Exist")</f>
        <v>Not Exist</v>
      </c>
    </row>
    <row r="760" spans="1:46" x14ac:dyDescent="0.3">
      <c r="A760">
        <v>106700110</v>
      </c>
      <c r="B760" t="s">
        <v>2670</v>
      </c>
      <c r="C760" t="s">
        <v>10</v>
      </c>
      <c r="D760" t="s">
        <v>1613</v>
      </c>
      <c r="E760" t="s">
        <v>2671</v>
      </c>
      <c r="F760" t="s">
        <v>1650</v>
      </c>
      <c r="G760" t="s">
        <v>1624</v>
      </c>
      <c r="H760" t="s">
        <v>1651</v>
      </c>
      <c r="I760" t="s">
        <v>1634</v>
      </c>
      <c r="J760" t="s">
        <v>10</v>
      </c>
      <c r="K760">
        <v>2</v>
      </c>
      <c r="L760">
        <v>36</v>
      </c>
      <c r="M760" s="1">
        <v>3</v>
      </c>
      <c r="N760">
        <v>0</v>
      </c>
      <c r="O760">
        <v>0</v>
      </c>
      <c r="P760">
        <v>18</v>
      </c>
      <c r="Q760" s="1">
        <v>18</v>
      </c>
      <c r="R760">
        <v>2</v>
      </c>
      <c r="S760" s="2">
        <v>46253</v>
      </c>
      <c r="T760" s="2">
        <v>46256</v>
      </c>
      <c r="U760">
        <v>12</v>
      </c>
      <c r="V760">
        <v>25</v>
      </c>
      <c r="W760">
        <v>12</v>
      </c>
      <c r="X760">
        <v>7</v>
      </c>
      <c r="Y760">
        <v>7</v>
      </c>
      <c r="Z760" s="8">
        <v>25</v>
      </c>
      <c r="AA760">
        <v>14</v>
      </c>
      <c r="AB760">
        <v>0.5</v>
      </c>
      <c r="AC760">
        <v>1.7857142857142858</v>
      </c>
      <c r="AD760" s="1">
        <v>21</v>
      </c>
      <c r="AE760" s="2">
        <v>46269</v>
      </c>
      <c r="AF760" s="2">
        <v>46277</v>
      </c>
      <c r="AG760" s="2">
        <v>46284</v>
      </c>
      <c r="AH760">
        <v>11</v>
      </c>
      <c r="AI760" s="3">
        <v>0.45517241379310341</v>
      </c>
      <c r="AJ760" s="1">
        <v>47</v>
      </c>
      <c r="AK760" s="2">
        <v>46310</v>
      </c>
      <c r="AL760" s="4">
        <v>30</v>
      </c>
      <c r="AM760" s="5">
        <v>15</v>
      </c>
      <c r="AN760" s="4">
        <v>21</v>
      </c>
      <c r="AO760">
        <v>11.379310344827585</v>
      </c>
      <c r="AP760" s="4">
        <v>1</v>
      </c>
      <c r="AQ760" t="s">
        <v>1619</v>
      </c>
      <c r="AR760" t="s">
        <v>1620</v>
      </c>
      <c r="AT760" s="16" t="str">
        <f>_xlfn.XLOOKUP(B760,'SWiSH Demand Forecast Sep-26'!D:D,'SWiSH Demand Forecast Sep-26'!G:G,"Not Exist")</f>
        <v>Not Exist</v>
      </c>
    </row>
    <row r="761" spans="1:46" x14ac:dyDescent="0.3">
      <c r="A761">
        <v>106200078</v>
      </c>
      <c r="B761" t="s">
        <v>2672</v>
      </c>
      <c r="C761" t="s">
        <v>240</v>
      </c>
      <c r="D761" t="s">
        <v>1613</v>
      </c>
      <c r="E761" t="s">
        <v>2673</v>
      </c>
      <c r="F761" t="s">
        <v>1671</v>
      </c>
      <c r="G761" t="s">
        <v>1616</v>
      </c>
      <c r="H761" t="s">
        <v>1672</v>
      </c>
      <c r="I761" t="s">
        <v>1618</v>
      </c>
      <c r="J761" t="s">
        <v>240</v>
      </c>
      <c r="K761">
        <v>0.59523809999999999</v>
      </c>
      <c r="L761">
        <v>564.75000451799997</v>
      </c>
      <c r="M761" s="1">
        <v>3</v>
      </c>
      <c r="N761">
        <v>0</v>
      </c>
      <c r="O761">
        <v>3.78</v>
      </c>
      <c r="P761">
        <v>948.78</v>
      </c>
      <c r="Q761" s="1">
        <v>945</v>
      </c>
      <c r="R761">
        <v>9</v>
      </c>
      <c r="S761" s="2">
        <v>46218</v>
      </c>
      <c r="T761" s="2">
        <v>46263</v>
      </c>
      <c r="U761">
        <v>1194.4799999999989</v>
      </c>
      <c r="V761">
        <v>1322.9999999999995</v>
      </c>
      <c r="W761">
        <v>1247.3999999999994</v>
      </c>
      <c r="X761">
        <v>1069.7399999999993</v>
      </c>
      <c r="Y761">
        <v>1069.7399999999993</v>
      </c>
      <c r="Z761" s="8">
        <v>1322.9999999999995</v>
      </c>
      <c r="AA761">
        <v>1208.6549999999993</v>
      </c>
      <c r="AB761">
        <v>0.8850664581704456</v>
      </c>
      <c r="AC761">
        <v>1.0946051602814701</v>
      </c>
      <c r="AD761" s="1">
        <v>21</v>
      </c>
      <c r="AE761" s="2">
        <v>46269</v>
      </c>
      <c r="AF761" s="2">
        <v>46277</v>
      </c>
      <c r="AG761" s="2">
        <v>46284</v>
      </c>
      <c r="AH761">
        <v>1035.7199999999996</v>
      </c>
      <c r="AI761" s="3">
        <v>0.80985221674876851</v>
      </c>
      <c r="AJ761" s="1">
        <v>26</v>
      </c>
      <c r="AK761" s="2">
        <v>46289</v>
      </c>
      <c r="AL761" s="4">
        <v>30</v>
      </c>
      <c r="AM761" s="5">
        <v>15</v>
      </c>
      <c r="AN761" s="4">
        <v>21</v>
      </c>
      <c r="AO761">
        <v>1071.4344827586203</v>
      </c>
      <c r="AP761" s="4">
        <v>1</v>
      </c>
      <c r="AQ761" t="s">
        <v>1619</v>
      </c>
      <c r="AR761" t="s">
        <v>1620</v>
      </c>
      <c r="AT761" s="16" t="str">
        <f>_xlfn.XLOOKUP(B761,'SWiSH Demand Forecast Sep-26'!D:D,'SWiSH Demand Forecast Sep-26'!G:G,"Not Exist")</f>
        <v>Not Exist</v>
      </c>
    </row>
    <row r="762" spans="1:46" x14ac:dyDescent="0.3">
      <c r="A762">
        <v>100400163</v>
      </c>
      <c r="B762" t="s">
        <v>2674</v>
      </c>
      <c r="C762" t="s">
        <v>10</v>
      </c>
      <c r="D762" t="s">
        <v>1613</v>
      </c>
      <c r="E762" t="s">
        <v>2075</v>
      </c>
      <c r="F762" t="s">
        <v>1664</v>
      </c>
      <c r="G762" t="s">
        <v>1624</v>
      </c>
      <c r="H762" t="s">
        <v>1810</v>
      </c>
      <c r="I762" t="s">
        <v>1634</v>
      </c>
      <c r="J762" t="s">
        <v>10</v>
      </c>
      <c r="K762">
        <v>4.3999999999999997E-2</v>
      </c>
      <c r="L762">
        <v>255.2</v>
      </c>
      <c r="M762" s="1">
        <v>30</v>
      </c>
      <c r="N762">
        <v>0</v>
      </c>
      <c r="O762">
        <v>0</v>
      </c>
      <c r="P762">
        <v>5800</v>
      </c>
      <c r="Q762" s="1">
        <v>5800</v>
      </c>
      <c r="R762">
        <v>4.3999999999999997E-2</v>
      </c>
      <c r="S762" s="2">
        <v>46193</v>
      </c>
      <c r="T762" s="2">
        <v>46236</v>
      </c>
      <c r="U762">
        <v>8200</v>
      </c>
      <c r="V762">
        <v>0</v>
      </c>
      <c r="W762">
        <v>5800</v>
      </c>
      <c r="X762">
        <v>1600</v>
      </c>
      <c r="Y762">
        <v>0</v>
      </c>
      <c r="Z762" s="8">
        <v>8200</v>
      </c>
      <c r="AA762">
        <v>3900</v>
      </c>
      <c r="AB762">
        <v>0</v>
      </c>
      <c r="AC762">
        <v>2.1025641025641026</v>
      </c>
      <c r="AD762" s="1">
        <v>21</v>
      </c>
      <c r="AE762" s="2">
        <v>46269</v>
      </c>
      <c r="AF762" s="2">
        <v>46277</v>
      </c>
      <c r="AG762" s="2">
        <v>46284</v>
      </c>
      <c r="AH762">
        <v>2600</v>
      </c>
      <c r="AI762" s="3">
        <v>0.32800672834314548</v>
      </c>
      <c r="AJ762" s="1">
        <v>64</v>
      </c>
      <c r="AK762" s="2">
        <v>46327</v>
      </c>
      <c r="AL762" s="4">
        <v>30</v>
      </c>
      <c r="AM762" s="5">
        <v>15</v>
      </c>
      <c r="AN762" s="4">
        <v>21</v>
      </c>
      <c r="AO762">
        <v>2689.655172413793</v>
      </c>
      <c r="AP762" s="4">
        <v>1</v>
      </c>
      <c r="AQ762">
        <v>26400</v>
      </c>
      <c r="AR762" t="s">
        <v>2521</v>
      </c>
      <c r="AT762" s="16" t="str">
        <f>_xlfn.XLOOKUP(B762,'SWiSH Demand Forecast Sep-26'!D:D,'SWiSH Demand Forecast Sep-26'!G:G,"Not Exist")</f>
        <v>Not Exist</v>
      </c>
    </row>
    <row r="763" spans="1:46" hidden="1" x14ac:dyDescent="0.3">
      <c r="A763">
        <v>101800011</v>
      </c>
      <c r="B763" t="s">
        <v>529</v>
      </c>
      <c r="C763" t="s">
        <v>10</v>
      </c>
      <c r="D763" t="s">
        <v>1613</v>
      </c>
      <c r="E763" t="s">
        <v>2675</v>
      </c>
      <c r="F763" t="s">
        <v>1631</v>
      </c>
      <c r="G763" t="s">
        <v>1624</v>
      </c>
      <c r="H763" t="s">
        <v>2144</v>
      </c>
      <c r="I763" t="s">
        <v>1634</v>
      </c>
      <c r="J763" t="s">
        <v>2145</v>
      </c>
      <c r="K763">
        <v>7.0000000000000001E-3</v>
      </c>
      <c r="L763">
        <v>56</v>
      </c>
      <c r="M763" s="1">
        <v>3</v>
      </c>
      <c r="N763">
        <v>0</v>
      </c>
      <c r="O763">
        <v>0</v>
      </c>
      <c r="P763">
        <v>8000</v>
      </c>
      <c r="Q763" s="1">
        <v>8000</v>
      </c>
      <c r="R763">
        <v>7</v>
      </c>
      <c r="S763" s="2">
        <v>46244</v>
      </c>
      <c r="T763" s="2">
        <v>46253</v>
      </c>
      <c r="U763">
        <v>4400</v>
      </c>
      <c r="V763">
        <v>4200</v>
      </c>
      <c r="W763">
        <v>11300</v>
      </c>
      <c r="X763">
        <v>10000</v>
      </c>
      <c r="Y763">
        <v>4200</v>
      </c>
      <c r="Z763" s="8">
        <v>11300</v>
      </c>
      <c r="AA763">
        <v>7475</v>
      </c>
      <c r="AB763">
        <v>0.56187290969899661</v>
      </c>
      <c r="AC763">
        <v>1.5117056856187292</v>
      </c>
      <c r="AD763" s="1">
        <v>21</v>
      </c>
      <c r="AE763" s="2">
        <v>46269</v>
      </c>
      <c r="AF763" s="2">
        <v>46277</v>
      </c>
      <c r="AG763" s="2">
        <v>46284</v>
      </c>
      <c r="AH763">
        <v>2000</v>
      </c>
      <c r="AI763" s="3">
        <v>0.18309429356118398</v>
      </c>
      <c r="AJ763" s="1">
        <v>116</v>
      </c>
      <c r="AK763" s="2">
        <v>46379</v>
      </c>
      <c r="AL763" s="4">
        <v>30</v>
      </c>
      <c r="AM763" s="5">
        <v>15</v>
      </c>
      <c r="AN763" s="4">
        <v>21</v>
      </c>
      <c r="AO763">
        <v>2068.9655172413791</v>
      </c>
      <c r="AP763" s="4">
        <v>1</v>
      </c>
      <c r="AQ763" t="s">
        <v>1619</v>
      </c>
      <c r="AR763" t="s">
        <v>1620</v>
      </c>
      <c r="AT763" s="16">
        <f>_xlfn.XLOOKUP(B763,'SWiSH Demand Forecast Sep-26'!D:D,'SWiSH Demand Forecast Sep-26'!G:G,"Not Exist")</f>
        <v>1352</v>
      </c>
    </row>
    <row r="764" spans="1:46" hidden="1" x14ac:dyDescent="0.3">
      <c r="A764">
        <v>100700045</v>
      </c>
      <c r="B764" t="s">
        <v>1039</v>
      </c>
      <c r="C764" t="s">
        <v>136</v>
      </c>
      <c r="D764" t="s">
        <v>1613</v>
      </c>
      <c r="E764" t="s">
        <v>1677</v>
      </c>
      <c r="F764" t="s">
        <v>1875</v>
      </c>
      <c r="G764" t="s">
        <v>1616</v>
      </c>
      <c r="H764" t="s">
        <v>1867</v>
      </c>
      <c r="I764" t="s">
        <v>1618</v>
      </c>
      <c r="J764" t="s">
        <v>136</v>
      </c>
      <c r="K764">
        <v>1.92947354</v>
      </c>
      <c r="L764">
        <v>307.94397698400002</v>
      </c>
      <c r="M764" s="1">
        <v>3</v>
      </c>
      <c r="N764">
        <v>0</v>
      </c>
      <c r="O764">
        <v>0</v>
      </c>
      <c r="P764">
        <v>159.6</v>
      </c>
      <c r="Q764" s="1">
        <v>159.6</v>
      </c>
      <c r="R764">
        <v>22</v>
      </c>
      <c r="S764" s="2">
        <v>46221</v>
      </c>
      <c r="T764" s="2">
        <v>46260</v>
      </c>
      <c r="U764">
        <v>159.60000000000002</v>
      </c>
      <c r="V764">
        <v>228.00000000000003</v>
      </c>
      <c r="W764">
        <v>125.4</v>
      </c>
      <c r="X764">
        <v>171</v>
      </c>
      <c r="Y764">
        <v>125.4</v>
      </c>
      <c r="Z764" s="8">
        <v>228.00000000000003</v>
      </c>
      <c r="AA764">
        <v>171</v>
      </c>
      <c r="AB764">
        <v>0.73333333333333339</v>
      </c>
      <c r="AC764">
        <v>1.3333333333333335</v>
      </c>
      <c r="AD764" s="1">
        <v>21</v>
      </c>
      <c r="AE764" s="2">
        <v>46269</v>
      </c>
      <c r="AF764" s="2">
        <v>46277</v>
      </c>
      <c r="AG764" s="2">
        <v>46284</v>
      </c>
      <c r="AH764">
        <v>159.60000000000002</v>
      </c>
      <c r="AI764" s="3">
        <v>0.72413793103448276</v>
      </c>
      <c r="AJ764" s="1">
        <v>29</v>
      </c>
      <c r="AK764" s="2">
        <v>46292</v>
      </c>
      <c r="AL764" s="4">
        <v>15</v>
      </c>
      <c r="AM764" s="5">
        <v>15</v>
      </c>
      <c r="AN764" s="4">
        <v>21</v>
      </c>
      <c r="AO764">
        <v>82.551724137931046</v>
      </c>
      <c r="AP764" s="4">
        <v>2</v>
      </c>
      <c r="AQ764" t="s">
        <v>1619</v>
      </c>
      <c r="AR764" t="s">
        <v>1620</v>
      </c>
      <c r="AT764" s="16">
        <f>_xlfn.XLOOKUP(B764,'SWiSH Demand Forecast Sep-26'!D:D,'SWiSH Demand Forecast Sep-26'!G:G,"Not Exist")</f>
        <v>130.963759781942</v>
      </c>
    </row>
    <row r="765" spans="1:46" x14ac:dyDescent="0.3">
      <c r="A765">
        <v>106300055</v>
      </c>
      <c r="B765" t="s">
        <v>2676</v>
      </c>
      <c r="C765" t="s">
        <v>10</v>
      </c>
      <c r="D765" t="s">
        <v>1613</v>
      </c>
      <c r="E765" t="s">
        <v>1685</v>
      </c>
      <c r="F765" t="s">
        <v>1840</v>
      </c>
      <c r="G765" t="s">
        <v>1616</v>
      </c>
      <c r="H765" t="s">
        <v>1860</v>
      </c>
      <c r="I765" t="s">
        <v>1618</v>
      </c>
      <c r="J765" t="s">
        <v>2064</v>
      </c>
      <c r="K765">
        <v>0.62</v>
      </c>
      <c r="L765">
        <v>124</v>
      </c>
      <c r="M765" s="1">
        <v>3</v>
      </c>
      <c r="N765">
        <v>0</v>
      </c>
      <c r="O765">
        <v>0</v>
      </c>
      <c r="P765">
        <v>200</v>
      </c>
      <c r="Q765" s="1">
        <v>200</v>
      </c>
      <c r="R765">
        <v>12.401</v>
      </c>
      <c r="S765" s="2">
        <v>46180</v>
      </c>
      <c r="T765" s="2">
        <v>46254</v>
      </c>
      <c r="U765">
        <v>280</v>
      </c>
      <c r="V765">
        <v>260</v>
      </c>
      <c r="W765">
        <v>80</v>
      </c>
      <c r="X765">
        <v>100</v>
      </c>
      <c r="Y765">
        <v>80</v>
      </c>
      <c r="Z765" s="8">
        <v>280</v>
      </c>
      <c r="AA765">
        <v>180</v>
      </c>
      <c r="AB765">
        <v>0.44444444444444442</v>
      </c>
      <c r="AC765">
        <v>1.5555555555555556</v>
      </c>
      <c r="AD765" s="1">
        <v>21</v>
      </c>
      <c r="AE765" s="2">
        <v>46269</v>
      </c>
      <c r="AF765" s="2">
        <v>46277</v>
      </c>
      <c r="AG765" s="2">
        <v>46284</v>
      </c>
      <c r="AH765">
        <v>40</v>
      </c>
      <c r="AI765" s="3">
        <v>0.14778325123152711</v>
      </c>
      <c r="AJ765" s="1">
        <v>145</v>
      </c>
      <c r="AK765" s="2">
        <v>46408</v>
      </c>
      <c r="AL765" s="4">
        <v>30</v>
      </c>
      <c r="AM765" s="5">
        <v>15</v>
      </c>
      <c r="AN765" s="4">
        <v>21</v>
      </c>
      <c r="AO765">
        <v>41.379310344827587</v>
      </c>
      <c r="AP765" s="4">
        <v>1</v>
      </c>
      <c r="AQ765" t="s">
        <v>1619</v>
      </c>
      <c r="AR765" t="s">
        <v>1620</v>
      </c>
      <c r="AT765" s="16" t="str">
        <f>_xlfn.XLOOKUP(B765,'SWiSH Demand Forecast Sep-26'!D:D,'SWiSH Demand Forecast Sep-26'!G:G,"Not Exist")</f>
        <v>Not Exist</v>
      </c>
    </row>
    <row r="766" spans="1:46" x14ac:dyDescent="0.3">
      <c r="A766">
        <v>100100099</v>
      </c>
      <c r="B766" t="s">
        <v>2677</v>
      </c>
      <c r="C766" t="s">
        <v>10</v>
      </c>
      <c r="D766" t="s">
        <v>1613</v>
      </c>
      <c r="E766" t="s">
        <v>1685</v>
      </c>
      <c r="F766" t="s">
        <v>1840</v>
      </c>
      <c r="G766" t="s">
        <v>1616</v>
      </c>
      <c r="H766" t="s">
        <v>1877</v>
      </c>
      <c r="I766" t="s">
        <v>1618</v>
      </c>
      <c r="J766" t="s">
        <v>1688</v>
      </c>
      <c r="K766">
        <v>0.72</v>
      </c>
      <c r="L766">
        <v>164.16</v>
      </c>
      <c r="M766" s="1">
        <v>3</v>
      </c>
      <c r="N766">
        <v>0</v>
      </c>
      <c r="O766">
        <v>0</v>
      </c>
      <c r="P766">
        <v>228</v>
      </c>
      <c r="Q766" s="1">
        <v>228</v>
      </c>
      <c r="R766">
        <v>8.64</v>
      </c>
      <c r="S766" s="2">
        <v>46232</v>
      </c>
      <c r="T766" s="2">
        <v>46256</v>
      </c>
      <c r="U766">
        <v>312</v>
      </c>
      <c r="V766">
        <v>288</v>
      </c>
      <c r="W766">
        <v>36</v>
      </c>
      <c r="X766">
        <v>120</v>
      </c>
      <c r="Y766">
        <v>36</v>
      </c>
      <c r="Z766" s="8">
        <v>312</v>
      </c>
      <c r="AA766">
        <v>189</v>
      </c>
      <c r="AB766">
        <v>0.19047619047619047</v>
      </c>
      <c r="AC766">
        <v>1.6507936507936507</v>
      </c>
      <c r="AD766" s="1">
        <v>21</v>
      </c>
      <c r="AE766" s="2">
        <v>46269</v>
      </c>
      <c r="AF766" s="2">
        <v>46277</v>
      </c>
      <c r="AG766" s="2">
        <v>46284</v>
      </c>
      <c r="AH766">
        <v>24</v>
      </c>
      <c r="AI766" s="3">
        <v>7.9575596816976124E-2</v>
      </c>
      <c r="AJ766" s="1">
        <v>275</v>
      </c>
      <c r="AK766" s="2">
        <v>46538</v>
      </c>
      <c r="AL766" s="4">
        <v>30</v>
      </c>
      <c r="AM766" s="5">
        <v>15</v>
      </c>
      <c r="AN766" s="4">
        <v>21</v>
      </c>
      <c r="AO766">
        <v>24.827586206896552</v>
      </c>
      <c r="AP766" s="4">
        <v>1</v>
      </c>
      <c r="AQ766" t="s">
        <v>1619</v>
      </c>
      <c r="AR766" t="s">
        <v>1620</v>
      </c>
      <c r="AT766" s="16" t="str">
        <f>_xlfn.XLOOKUP(B766,'SWiSH Demand Forecast Sep-26'!D:D,'SWiSH Demand Forecast Sep-26'!G:G,"Not Exist")</f>
        <v>Not Exist</v>
      </c>
    </row>
    <row r="767" spans="1:46" x14ac:dyDescent="0.3">
      <c r="A767">
        <v>105100003</v>
      </c>
      <c r="B767" t="s">
        <v>2678</v>
      </c>
      <c r="C767" t="s">
        <v>10</v>
      </c>
      <c r="D767" t="s">
        <v>1613</v>
      </c>
      <c r="E767" t="s">
        <v>2679</v>
      </c>
      <c r="F767" t="s">
        <v>1644</v>
      </c>
      <c r="G767" t="s">
        <v>1624</v>
      </c>
      <c r="H767" t="s">
        <v>1985</v>
      </c>
      <c r="I767" t="s">
        <v>1634</v>
      </c>
      <c r="J767" t="s">
        <v>10</v>
      </c>
      <c r="K767">
        <v>0.56000000000000005</v>
      </c>
      <c r="L767">
        <v>552.16000000000008</v>
      </c>
      <c r="M767" s="1">
        <v>3</v>
      </c>
      <c r="N767">
        <v>0</v>
      </c>
      <c r="O767">
        <v>5</v>
      </c>
      <c r="P767">
        <v>986</v>
      </c>
      <c r="Q767" s="1">
        <v>981</v>
      </c>
      <c r="R767">
        <v>0.33</v>
      </c>
      <c r="S767" s="2">
        <v>45649</v>
      </c>
      <c r="T767" s="2">
        <v>46263</v>
      </c>
      <c r="U767">
        <v>1381</v>
      </c>
      <c r="V767">
        <v>856</v>
      </c>
      <c r="W767">
        <v>772</v>
      </c>
      <c r="X767">
        <v>982</v>
      </c>
      <c r="Y767">
        <v>772</v>
      </c>
      <c r="Z767" s="8">
        <v>1381</v>
      </c>
      <c r="AA767">
        <v>997.75</v>
      </c>
      <c r="AB767">
        <v>0.77374091706339265</v>
      </c>
      <c r="AC767">
        <v>1.3841142570784264</v>
      </c>
      <c r="AD767" s="1">
        <v>21</v>
      </c>
      <c r="AE767" s="2">
        <v>46269</v>
      </c>
      <c r="AF767" s="2">
        <v>46277</v>
      </c>
      <c r="AG767" s="2">
        <v>46284</v>
      </c>
      <c r="AH767">
        <v>869</v>
      </c>
      <c r="AI767" s="3">
        <v>0.65095258308572002</v>
      </c>
      <c r="AJ767" s="1">
        <v>32</v>
      </c>
      <c r="AK767" s="2">
        <v>46295</v>
      </c>
      <c r="AL767" s="4">
        <v>30</v>
      </c>
      <c r="AM767" s="5">
        <v>15</v>
      </c>
      <c r="AN767" s="4">
        <v>21</v>
      </c>
      <c r="AO767">
        <v>898.9655172413793</v>
      </c>
      <c r="AP767" s="4">
        <v>1</v>
      </c>
      <c r="AQ767" t="s">
        <v>1619</v>
      </c>
      <c r="AR767" t="s">
        <v>1620</v>
      </c>
      <c r="AT767" s="16" t="str">
        <f>_xlfn.XLOOKUP(B767,'SWiSH Demand Forecast Sep-26'!D:D,'SWiSH Demand Forecast Sep-26'!G:G,"Not Exist")</f>
        <v>Not Exist</v>
      </c>
    </row>
    <row r="768" spans="1:46" hidden="1" x14ac:dyDescent="0.3">
      <c r="A768">
        <v>107400068</v>
      </c>
      <c r="B768" t="s">
        <v>502</v>
      </c>
      <c r="C768" t="s">
        <v>10</v>
      </c>
      <c r="D768" t="s">
        <v>1613</v>
      </c>
      <c r="E768" t="s">
        <v>2587</v>
      </c>
      <c r="F768" t="s">
        <v>1631</v>
      </c>
      <c r="G768" t="s">
        <v>1624</v>
      </c>
      <c r="H768" t="s">
        <v>2016</v>
      </c>
      <c r="I768" t="s">
        <v>1634</v>
      </c>
      <c r="J768" t="s">
        <v>2412</v>
      </c>
      <c r="K768">
        <v>1.0999999999999999E-2</v>
      </c>
      <c r="L768">
        <v>99</v>
      </c>
      <c r="M768" s="1">
        <v>15</v>
      </c>
      <c r="N768">
        <v>0</v>
      </c>
      <c r="O768">
        <v>0</v>
      </c>
      <c r="P768">
        <v>9000</v>
      </c>
      <c r="Q768" s="1">
        <v>9000</v>
      </c>
      <c r="R768">
        <v>5.5</v>
      </c>
      <c r="S768" s="2">
        <v>46243</v>
      </c>
      <c r="T768" s="2">
        <v>46261</v>
      </c>
      <c r="U768">
        <v>3000</v>
      </c>
      <c r="V768">
        <v>4000</v>
      </c>
      <c r="W768">
        <v>12500</v>
      </c>
      <c r="X768">
        <v>8000</v>
      </c>
      <c r="Y768">
        <v>3000</v>
      </c>
      <c r="Z768" s="8">
        <v>12500</v>
      </c>
      <c r="AA768">
        <v>6875</v>
      </c>
      <c r="AB768">
        <v>0.43636363636363634</v>
      </c>
      <c r="AC768">
        <v>1.8181818181818181</v>
      </c>
      <c r="AD768" s="1">
        <v>21</v>
      </c>
      <c r="AE768" s="2">
        <v>46269</v>
      </c>
      <c r="AF768" s="2">
        <v>46277</v>
      </c>
      <c r="AG768" s="2">
        <v>46284</v>
      </c>
      <c r="AH768">
        <v>2500</v>
      </c>
      <c r="AI768" s="3">
        <v>0.20689655172413793</v>
      </c>
      <c r="AJ768" s="1">
        <v>104</v>
      </c>
      <c r="AK768" s="2">
        <v>46367</v>
      </c>
      <c r="AL768" s="4">
        <v>30</v>
      </c>
      <c r="AM768" s="5">
        <v>15</v>
      </c>
      <c r="AN768" s="4">
        <v>21</v>
      </c>
      <c r="AO768">
        <v>2586.2068965517242</v>
      </c>
      <c r="AP768" s="4">
        <v>1</v>
      </c>
      <c r="AQ768">
        <v>30</v>
      </c>
      <c r="AR768" t="s">
        <v>2288</v>
      </c>
      <c r="AT768" s="16">
        <f>_xlfn.XLOOKUP(B768,'SWiSH Demand Forecast Sep-26'!D:D,'SWiSH Demand Forecast Sep-26'!G:G,"Not Exist")</f>
        <v>1568</v>
      </c>
    </row>
    <row r="769" spans="1:46" x14ac:dyDescent="0.3">
      <c r="A769">
        <v>101400056</v>
      </c>
      <c r="B769" t="s">
        <v>2680</v>
      </c>
      <c r="C769" t="s">
        <v>10</v>
      </c>
      <c r="D769" t="s">
        <v>1613</v>
      </c>
      <c r="E769" t="s">
        <v>2681</v>
      </c>
      <c r="F769" t="s">
        <v>1644</v>
      </c>
      <c r="G769" t="s">
        <v>1624</v>
      </c>
      <c r="H769" t="s">
        <v>1693</v>
      </c>
      <c r="I769" t="s">
        <v>1634</v>
      </c>
      <c r="J769" t="s">
        <v>10</v>
      </c>
      <c r="K769">
        <v>0.05</v>
      </c>
      <c r="L769">
        <v>350</v>
      </c>
      <c r="M769" s="1">
        <v>3</v>
      </c>
      <c r="N769">
        <v>0</v>
      </c>
      <c r="O769">
        <v>200</v>
      </c>
      <c r="P769">
        <v>7000</v>
      </c>
      <c r="Q769" s="1">
        <v>6800</v>
      </c>
      <c r="R769">
        <v>10</v>
      </c>
      <c r="S769" s="2">
        <v>46259</v>
      </c>
      <c r="T769" s="2">
        <v>46261</v>
      </c>
      <c r="U769">
        <v>7130</v>
      </c>
      <c r="V769">
        <v>3450</v>
      </c>
      <c r="W769">
        <v>9430</v>
      </c>
      <c r="X769">
        <v>8130</v>
      </c>
      <c r="Y769">
        <v>3450</v>
      </c>
      <c r="Z769" s="8">
        <v>9430</v>
      </c>
      <c r="AA769">
        <v>7035</v>
      </c>
      <c r="AB769">
        <v>0.49040511727078889</v>
      </c>
      <c r="AC769">
        <v>1.3404406538734897</v>
      </c>
      <c r="AD769" s="1">
        <v>21</v>
      </c>
      <c r="AE769" s="2">
        <v>46269</v>
      </c>
      <c r="AF769" s="2">
        <v>46277</v>
      </c>
      <c r="AG769" s="2">
        <v>46284</v>
      </c>
      <c r="AH769">
        <v>6800</v>
      </c>
      <c r="AI769" s="3">
        <v>0.74596847917504661</v>
      </c>
      <c r="AJ769" s="1">
        <v>29</v>
      </c>
      <c r="AK769" s="2">
        <v>46292</v>
      </c>
      <c r="AL769" s="4">
        <v>30</v>
      </c>
      <c r="AM769" s="5">
        <v>15</v>
      </c>
      <c r="AN769" s="4">
        <v>21</v>
      </c>
      <c r="AO769">
        <v>7034.4827586206893</v>
      </c>
      <c r="AP769" s="4">
        <v>1</v>
      </c>
      <c r="AQ769" t="s">
        <v>1619</v>
      </c>
      <c r="AR769" t="s">
        <v>1620</v>
      </c>
      <c r="AT769" s="16" t="str">
        <f>_xlfn.XLOOKUP(B769,'SWiSH Demand Forecast Sep-26'!D:D,'SWiSH Demand Forecast Sep-26'!G:G,"Not Exist")</f>
        <v>Not Exist</v>
      </c>
    </row>
    <row r="770" spans="1:46" x14ac:dyDescent="0.3">
      <c r="A770">
        <v>103400008</v>
      </c>
      <c r="B770" t="s">
        <v>2682</v>
      </c>
      <c r="C770" t="s">
        <v>136</v>
      </c>
      <c r="D770" t="s">
        <v>1613</v>
      </c>
      <c r="E770" t="s">
        <v>2161</v>
      </c>
      <c r="F770" t="s">
        <v>1752</v>
      </c>
      <c r="G770" t="s">
        <v>1616</v>
      </c>
      <c r="H770" t="s">
        <v>1931</v>
      </c>
      <c r="I770" t="s">
        <v>1754</v>
      </c>
      <c r="J770" t="s">
        <v>136</v>
      </c>
      <c r="K770">
        <v>0.85</v>
      </c>
      <c r="L770">
        <v>119</v>
      </c>
      <c r="M770" s="1">
        <v>3</v>
      </c>
      <c r="N770">
        <v>0</v>
      </c>
      <c r="O770">
        <v>0</v>
      </c>
      <c r="P770">
        <v>140</v>
      </c>
      <c r="Q770" s="1">
        <v>140</v>
      </c>
      <c r="R770">
        <v>9.5</v>
      </c>
      <c r="S770" s="2">
        <v>46236</v>
      </c>
      <c r="T770" s="2">
        <v>46262</v>
      </c>
      <c r="U770">
        <v>200</v>
      </c>
      <c r="V770">
        <v>180</v>
      </c>
      <c r="W770">
        <v>178</v>
      </c>
      <c r="X770">
        <v>160</v>
      </c>
      <c r="Y770">
        <v>160</v>
      </c>
      <c r="Z770" s="8">
        <v>200</v>
      </c>
      <c r="AA770">
        <v>179.5</v>
      </c>
      <c r="AB770">
        <v>0.89136490250696376</v>
      </c>
      <c r="AC770">
        <v>1.1142061281337048</v>
      </c>
      <c r="AD770" s="1">
        <v>21</v>
      </c>
      <c r="AE770" s="2">
        <v>46269</v>
      </c>
      <c r="AF770" s="2">
        <v>46277</v>
      </c>
      <c r="AG770" s="2">
        <v>46284</v>
      </c>
      <c r="AH770">
        <v>160</v>
      </c>
      <c r="AI770" s="3">
        <v>0.82758620689655171</v>
      </c>
      <c r="AJ770" s="1">
        <v>25</v>
      </c>
      <c r="AK770" s="2">
        <v>46288</v>
      </c>
      <c r="AL770" s="4">
        <v>30</v>
      </c>
      <c r="AM770" s="5">
        <v>15</v>
      </c>
      <c r="AN770" s="4">
        <v>21</v>
      </c>
      <c r="AO770">
        <v>165.51724137931035</v>
      </c>
      <c r="AP770" s="4">
        <v>1</v>
      </c>
      <c r="AQ770" t="s">
        <v>1619</v>
      </c>
      <c r="AR770" t="s">
        <v>1620</v>
      </c>
      <c r="AT770" s="16" t="str">
        <f>_xlfn.XLOOKUP(B770,'SWiSH Demand Forecast Sep-26'!D:D,'SWiSH Demand Forecast Sep-26'!G:G,"Not Exist")</f>
        <v>Not Exist</v>
      </c>
    </row>
    <row r="771" spans="1:46" x14ac:dyDescent="0.3">
      <c r="A771">
        <v>104200004</v>
      </c>
      <c r="B771" t="s">
        <v>2683</v>
      </c>
      <c r="C771" t="s">
        <v>10</v>
      </c>
      <c r="D771" t="s">
        <v>1613</v>
      </c>
      <c r="E771" t="s">
        <v>2684</v>
      </c>
      <c r="F771" t="s">
        <v>1631</v>
      </c>
      <c r="G771" t="s">
        <v>1624</v>
      </c>
      <c r="H771" t="s">
        <v>1633</v>
      </c>
      <c r="I771" t="s">
        <v>1634</v>
      </c>
      <c r="J771" t="s">
        <v>10</v>
      </c>
      <c r="K771">
        <v>1.0833333300000001</v>
      </c>
      <c r="L771">
        <v>335.83333230000005</v>
      </c>
      <c r="M771" s="1">
        <v>3</v>
      </c>
      <c r="N771">
        <v>0</v>
      </c>
      <c r="O771">
        <v>5</v>
      </c>
      <c r="P771">
        <v>310</v>
      </c>
      <c r="Q771" s="1">
        <v>305</v>
      </c>
      <c r="R771">
        <v>6.5</v>
      </c>
      <c r="S771" s="2">
        <v>46246</v>
      </c>
      <c r="T771" s="2">
        <v>46263</v>
      </c>
      <c r="U771">
        <v>89</v>
      </c>
      <c r="V771">
        <v>273</v>
      </c>
      <c r="W771">
        <v>325</v>
      </c>
      <c r="X771">
        <v>428</v>
      </c>
      <c r="Y771">
        <v>89</v>
      </c>
      <c r="Z771" s="8">
        <v>428</v>
      </c>
      <c r="AA771">
        <v>278.75</v>
      </c>
      <c r="AB771">
        <v>0.31928251121076234</v>
      </c>
      <c r="AC771">
        <v>1.5354260089686098</v>
      </c>
      <c r="AD771" s="1">
        <v>21</v>
      </c>
      <c r="AE771" s="2">
        <v>46269</v>
      </c>
      <c r="AF771" s="2">
        <v>46277</v>
      </c>
      <c r="AG771" s="2">
        <v>46284</v>
      </c>
      <c r="AH771">
        <v>294</v>
      </c>
      <c r="AI771" s="3">
        <v>0.71060264260393158</v>
      </c>
      <c r="AJ771" s="1">
        <v>30</v>
      </c>
      <c r="AK771" s="2">
        <v>46293</v>
      </c>
      <c r="AL771" s="4">
        <v>15</v>
      </c>
      <c r="AM771" s="5">
        <v>15</v>
      </c>
      <c r="AN771" s="4">
        <v>21</v>
      </c>
      <c r="AO771">
        <v>152.06896551724137</v>
      </c>
      <c r="AP771" s="4">
        <v>2</v>
      </c>
      <c r="AQ771" t="s">
        <v>1619</v>
      </c>
      <c r="AR771" t="s">
        <v>2178</v>
      </c>
      <c r="AT771" s="16" t="str">
        <f>_xlfn.XLOOKUP(B771,'SWiSH Demand Forecast Sep-26'!D:D,'SWiSH Demand Forecast Sep-26'!G:G,"Not Exist")</f>
        <v>Not Exist</v>
      </c>
    </row>
    <row r="772" spans="1:46" hidden="1" x14ac:dyDescent="0.3">
      <c r="A772">
        <v>103400014</v>
      </c>
      <c r="B772" t="s">
        <v>677</v>
      </c>
      <c r="C772" t="s">
        <v>136</v>
      </c>
      <c r="D772" t="s">
        <v>1613</v>
      </c>
      <c r="E772" t="s">
        <v>1655</v>
      </c>
      <c r="F772" t="s">
        <v>1752</v>
      </c>
      <c r="G772" t="s">
        <v>1616</v>
      </c>
      <c r="H772" t="s">
        <v>1931</v>
      </c>
      <c r="I772" t="s">
        <v>1754</v>
      </c>
      <c r="J772" t="s">
        <v>136</v>
      </c>
      <c r="K772">
        <v>2.14875332</v>
      </c>
      <c r="L772">
        <v>1403.995419288</v>
      </c>
      <c r="M772" s="1">
        <v>3</v>
      </c>
      <c r="N772">
        <v>0</v>
      </c>
      <c r="O772">
        <v>58.079999999999991</v>
      </c>
      <c r="P772">
        <v>653.4</v>
      </c>
      <c r="Q772" s="1">
        <v>595.31999999999994</v>
      </c>
      <c r="R772">
        <v>15.6</v>
      </c>
      <c r="S772" s="2">
        <v>46260</v>
      </c>
      <c r="T772" s="2">
        <v>46263</v>
      </c>
      <c r="U772">
        <v>828.00000000000125</v>
      </c>
      <c r="V772">
        <v>787.19999999999936</v>
      </c>
      <c r="W772">
        <v>675.17999999999938</v>
      </c>
      <c r="X772">
        <v>784.0199999999993</v>
      </c>
      <c r="Y772">
        <v>675.17999999999938</v>
      </c>
      <c r="Z772" s="8">
        <v>828.00000000000125</v>
      </c>
      <c r="AA772">
        <v>768.59999999999991</v>
      </c>
      <c r="AB772">
        <v>0.87845433255269256</v>
      </c>
      <c r="AC772">
        <v>1.0772833723653414</v>
      </c>
      <c r="AD772" s="1">
        <v>21</v>
      </c>
      <c r="AE772" s="2">
        <v>46269</v>
      </c>
      <c r="AF772" s="2">
        <v>46277</v>
      </c>
      <c r="AG772" s="2">
        <v>46284</v>
      </c>
      <c r="AH772">
        <v>718.73999999999933</v>
      </c>
      <c r="AI772" s="3">
        <v>0.89797601199400079</v>
      </c>
      <c r="AJ772" s="1">
        <v>24</v>
      </c>
      <c r="AK772" s="2">
        <v>46287</v>
      </c>
      <c r="AL772" s="4">
        <v>15</v>
      </c>
      <c r="AM772" s="5">
        <v>15</v>
      </c>
      <c r="AN772" s="4">
        <v>21</v>
      </c>
      <c r="AO772">
        <v>371.7620689655169</v>
      </c>
      <c r="AP772" s="4">
        <v>2</v>
      </c>
      <c r="AQ772" t="s">
        <v>1619</v>
      </c>
      <c r="AR772" t="s">
        <v>1620</v>
      </c>
      <c r="AS772" t="s">
        <v>1666</v>
      </c>
      <c r="AT772" s="16">
        <f>_xlfn.XLOOKUP(B772,'SWiSH Demand Forecast Sep-26'!D:D,'SWiSH Demand Forecast Sep-26'!G:G,"Not Exist")</f>
        <v>657.49</v>
      </c>
    </row>
    <row r="773" spans="1:46" x14ac:dyDescent="0.3">
      <c r="A773">
        <v>100400156</v>
      </c>
      <c r="B773" t="s">
        <v>2685</v>
      </c>
      <c r="C773" t="s">
        <v>10</v>
      </c>
      <c r="D773" t="s">
        <v>1613</v>
      </c>
      <c r="E773" t="s">
        <v>2075</v>
      </c>
      <c r="F773" t="s">
        <v>1664</v>
      </c>
      <c r="G773" t="s">
        <v>1624</v>
      </c>
      <c r="H773" t="s">
        <v>1810</v>
      </c>
      <c r="I773" t="s">
        <v>1634</v>
      </c>
      <c r="J773" t="s">
        <v>10</v>
      </c>
      <c r="K773">
        <v>0.27</v>
      </c>
      <c r="L773">
        <v>121.50000000000001</v>
      </c>
      <c r="M773" s="1">
        <v>30</v>
      </c>
      <c r="N773">
        <v>0</v>
      </c>
      <c r="O773">
        <v>100</v>
      </c>
      <c r="P773">
        <v>450</v>
      </c>
      <c r="Q773" s="1">
        <v>350</v>
      </c>
      <c r="R773">
        <v>0.27</v>
      </c>
      <c r="S773" s="2">
        <v>46106</v>
      </c>
      <c r="T773" s="2">
        <v>46260</v>
      </c>
      <c r="U773">
        <v>500</v>
      </c>
      <c r="V773">
        <v>200</v>
      </c>
      <c r="W773">
        <v>400</v>
      </c>
      <c r="X773">
        <v>415</v>
      </c>
      <c r="Y773">
        <v>200</v>
      </c>
      <c r="Z773" s="8">
        <v>500</v>
      </c>
      <c r="AA773">
        <v>378.75</v>
      </c>
      <c r="AB773">
        <v>0.528052805280528</v>
      </c>
      <c r="AC773">
        <v>1.3201320132013201</v>
      </c>
      <c r="AD773" s="1">
        <v>21</v>
      </c>
      <c r="AE773" s="2">
        <v>46269</v>
      </c>
      <c r="AF773" s="2">
        <v>46277</v>
      </c>
      <c r="AG773" s="2">
        <v>46284</v>
      </c>
      <c r="AH773">
        <v>250</v>
      </c>
      <c r="AI773" s="3">
        <v>0.51724137931034475</v>
      </c>
      <c r="AJ773" s="1">
        <v>40</v>
      </c>
      <c r="AK773" s="2">
        <v>46303</v>
      </c>
      <c r="AL773" s="4">
        <v>30</v>
      </c>
      <c r="AM773" s="5">
        <v>15</v>
      </c>
      <c r="AN773" s="4">
        <v>21</v>
      </c>
      <c r="AO773">
        <v>258.62068965517238</v>
      </c>
      <c r="AP773" s="4">
        <v>1</v>
      </c>
      <c r="AQ773">
        <v>2000</v>
      </c>
      <c r="AR773" t="s">
        <v>2377</v>
      </c>
      <c r="AT773" s="16" t="str">
        <f>_xlfn.XLOOKUP(B773,'SWiSH Demand Forecast Sep-26'!D:D,'SWiSH Demand Forecast Sep-26'!G:G,"Not Exist")</f>
        <v>Not Exist</v>
      </c>
    </row>
    <row r="774" spans="1:46" hidden="1" x14ac:dyDescent="0.3">
      <c r="A774">
        <v>100100156</v>
      </c>
      <c r="B774" t="s">
        <v>1111</v>
      </c>
      <c r="C774" t="s">
        <v>136</v>
      </c>
      <c r="D774" t="s">
        <v>1613</v>
      </c>
      <c r="E774" t="s">
        <v>2686</v>
      </c>
      <c r="F774" t="s">
        <v>1615</v>
      </c>
      <c r="G774" t="s">
        <v>1616</v>
      </c>
      <c r="H774" t="s">
        <v>1877</v>
      </c>
      <c r="I774" t="s">
        <v>1618</v>
      </c>
      <c r="J774" t="s">
        <v>1942</v>
      </c>
      <c r="K774">
        <v>1.65</v>
      </c>
      <c r="L774">
        <v>594</v>
      </c>
      <c r="M774" s="1">
        <v>3</v>
      </c>
      <c r="N774">
        <v>0</v>
      </c>
      <c r="O774">
        <v>0</v>
      </c>
      <c r="P774">
        <v>360</v>
      </c>
      <c r="Q774" s="1">
        <v>360</v>
      </c>
      <c r="R774">
        <v>16.5</v>
      </c>
      <c r="S774" s="2">
        <v>46263</v>
      </c>
      <c r="T774" s="2">
        <v>46263</v>
      </c>
      <c r="U774">
        <v>410</v>
      </c>
      <c r="V774">
        <v>420</v>
      </c>
      <c r="W774">
        <v>490</v>
      </c>
      <c r="X774">
        <v>410</v>
      </c>
      <c r="Y774">
        <v>410</v>
      </c>
      <c r="Z774" s="8">
        <v>490</v>
      </c>
      <c r="AA774">
        <v>432.5</v>
      </c>
      <c r="AB774">
        <v>0.94797687861271673</v>
      </c>
      <c r="AC774">
        <v>1.1329479768786128</v>
      </c>
      <c r="AD774" s="1">
        <v>22</v>
      </c>
      <c r="AE774" s="2">
        <v>46270</v>
      </c>
      <c r="AF774" s="2">
        <v>46278</v>
      </c>
      <c r="AG774" s="2">
        <v>46285</v>
      </c>
      <c r="AH774">
        <v>420</v>
      </c>
      <c r="AI774" s="3">
        <v>0.88669950738916259</v>
      </c>
      <c r="AJ774" s="1">
        <v>24</v>
      </c>
      <c r="AK774" s="2">
        <v>46287</v>
      </c>
      <c r="AL774" s="4">
        <v>30</v>
      </c>
      <c r="AM774" s="5">
        <v>15</v>
      </c>
      <c r="AN774" s="4">
        <v>22</v>
      </c>
      <c r="AO774">
        <v>434.48275862068959</v>
      </c>
      <c r="AP774" s="4">
        <v>1</v>
      </c>
      <c r="AQ774" t="s">
        <v>1619</v>
      </c>
      <c r="AR774" t="s">
        <v>1620</v>
      </c>
      <c r="AT774" s="16">
        <f>_xlfn.XLOOKUP(B774,'SWiSH Demand Forecast Sep-26'!D:D,'SWiSH Demand Forecast Sep-26'!G:G,"Not Exist")</f>
        <v>100.435789473684</v>
      </c>
    </row>
    <row r="775" spans="1:46" hidden="1" x14ac:dyDescent="0.3">
      <c r="A775">
        <v>103700013</v>
      </c>
      <c r="B775" t="s">
        <v>1386</v>
      </c>
      <c r="C775" t="s">
        <v>136</v>
      </c>
      <c r="D775" t="s">
        <v>1613</v>
      </c>
      <c r="E775" t="s">
        <v>1677</v>
      </c>
      <c r="F775" t="s">
        <v>1615</v>
      </c>
      <c r="G775" t="s">
        <v>1616</v>
      </c>
      <c r="H775" t="s">
        <v>1617</v>
      </c>
      <c r="I775" t="s">
        <v>1618</v>
      </c>
      <c r="J775" t="s">
        <v>136</v>
      </c>
      <c r="K775">
        <v>3</v>
      </c>
      <c r="L775">
        <v>66</v>
      </c>
      <c r="M775" s="1">
        <v>3</v>
      </c>
      <c r="N775">
        <v>0</v>
      </c>
      <c r="O775">
        <v>0</v>
      </c>
      <c r="P775">
        <v>22</v>
      </c>
      <c r="Q775" s="1">
        <v>22</v>
      </c>
      <c r="R775">
        <v>3</v>
      </c>
      <c r="S775" s="2">
        <v>46237</v>
      </c>
      <c r="T775" s="2">
        <v>46218</v>
      </c>
      <c r="U775">
        <v>20</v>
      </c>
      <c r="V775">
        <v>10</v>
      </c>
      <c r="W775">
        <v>6</v>
      </c>
      <c r="X775">
        <v>30</v>
      </c>
      <c r="Y775">
        <v>6</v>
      </c>
      <c r="Z775" s="8">
        <v>30</v>
      </c>
      <c r="AA775">
        <v>16.5</v>
      </c>
      <c r="AB775">
        <v>0.36363636363636365</v>
      </c>
      <c r="AC775">
        <v>1.8181818181818181</v>
      </c>
      <c r="AD775" s="1">
        <v>22</v>
      </c>
      <c r="AE775" s="2">
        <v>46270</v>
      </c>
      <c r="AF775" s="2">
        <v>46278</v>
      </c>
      <c r="AG775" s="2">
        <v>46285</v>
      </c>
      <c r="AH775">
        <v>0</v>
      </c>
      <c r="AI775" s="3">
        <v>0</v>
      </c>
      <c r="AJ775" s="1" t="s">
        <v>1635</v>
      </c>
      <c r="AK775" s="2" t="s">
        <v>1635</v>
      </c>
      <c r="AL775" s="4">
        <v>30</v>
      </c>
      <c r="AM775" s="5">
        <v>15</v>
      </c>
      <c r="AN775" s="4">
        <v>22</v>
      </c>
      <c r="AO775">
        <v>0</v>
      </c>
      <c r="AP775" s="4">
        <v>1</v>
      </c>
      <c r="AQ775" t="s">
        <v>1619</v>
      </c>
      <c r="AR775" t="s">
        <v>1620</v>
      </c>
      <c r="AT775" s="16">
        <f>_xlfn.XLOOKUP(B775,'SWiSH Demand Forecast Sep-26'!D:D,'SWiSH Demand Forecast Sep-26'!G:G,"Not Exist")</f>
        <v>16.2287341532639</v>
      </c>
    </row>
    <row r="776" spans="1:46" x14ac:dyDescent="0.3">
      <c r="A776">
        <v>106200119</v>
      </c>
      <c r="B776" t="s">
        <v>2687</v>
      </c>
      <c r="C776" t="s">
        <v>136</v>
      </c>
      <c r="D776" t="s">
        <v>1613</v>
      </c>
      <c r="E776" t="s">
        <v>1638</v>
      </c>
      <c r="F776" t="s">
        <v>2688</v>
      </c>
      <c r="G776" t="s">
        <v>1616</v>
      </c>
      <c r="H776" t="s">
        <v>1672</v>
      </c>
      <c r="I776" t="s">
        <v>1618</v>
      </c>
      <c r="J776" t="s">
        <v>2689</v>
      </c>
      <c r="K776">
        <v>4.5</v>
      </c>
      <c r="L776">
        <v>13.5</v>
      </c>
      <c r="M776" s="1">
        <v>3</v>
      </c>
      <c r="N776">
        <v>0</v>
      </c>
      <c r="O776">
        <v>0</v>
      </c>
      <c r="P776">
        <v>3</v>
      </c>
      <c r="Q776" s="1">
        <v>3</v>
      </c>
      <c r="R776">
        <v>18</v>
      </c>
      <c r="S776" s="2">
        <v>46177</v>
      </c>
      <c r="T776" s="2">
        <v>46220</v>
      </c>
      <c r="U776">
        <v>0</v>
      </c>
      <c r="V776">
        <v>4</v>
      </c>
      <c r="W776">
        <v>0</v>
      </c>
      <c r="X776">
        <v>1</v>
      </c>
      <c r="Y776">
        <v>0</v>
      </c>
      <c r="Z776" s="8">
        <v>4</v>
      </c>
      <c r="AA776">
        <v>1.25</v>
      </c>
      <c r="AB776">
        <v>0</v>
      </c>
      <c r="AC776">
        <v>3.2</v>
      </c>
      <c r="AD776" s="1">
        <v>22</v>
      </c>
      <c r="AE776" s="2">
        <v>46270</v>
      </c>
      <c r="AF776" s="2">
        <v>46278</v>
      </c>
      <c r="AG776" s="2">
        <v>46285</v>
      </c>
      <c r="AH776">
        <v>0</v>
      </c>
      <c r="AI776" s="3">
        <v>0</v>
      </c>
      <c r="AJ776" s="1" t="s">
        <v>1635</v>
      </c>
      <c r="AK776" s="2" t="s">
        <v>1635</v>
      </c>
      <c r="AL776" s="4">
        <v>30</v>
      </c>
      <c r="AM776" s="5">
        <v>15</v>
      </c>
      <c r="AN776" s="4">
        <v>22</v>
      </c>
      <c r="AO776">
        <v>0</v>
      </c>
      <c r="AP776" s="4">
        <v>1</v>
      </c>
      <c r="AQ776" t="s">
        <v>1619</v>
      </c>
      <c r="AR776" t="s">
        <v>1620</v>
      </c>
      <c r="AT776" s="16" t="str">
        <f>_xlfn.XLOOKUP(B776,'SWiSH Demand Forecast Sep-26'!D:D,'SWiSH Demand Forecast Sep-26'!G:G,"Not Exist")</f>
        <v>Not Exist</v>
      </c>
    </row>
    <row r="777" spans="1:46" x14ac:dyDescent="0.3">
      <c r="A777">
        <v>106300048</v>
      </c>
      <c r="B777" t="s">
        <v>2690</v>
      </c>
      <c r="C777" t="s">
        <v>136</v>
      </c>
      <c r="D777" t="s">
        <v>1613</v>
      </c>
      <c r="E777" t="s">
        <v>1685</v>
      </c>
      <c r="F777" t="s">
        <v>1615</v>
      </c>
      <c r="G777" t="s">
        <v>1616</v>
      </c>
      <c r="H777" t="s">
        <v>1860</v>
      </c>
      <c r="I777" t="s">
        <v>1618</v>
      </c>
      <c r="J777" t="s">
        <v>136</v>
      </c>
      <c r="K777">
        <v>1.85</v>
      </c>
      <c r="L777">
        <v>46.25</v>
      </c>
      <c r="M777" s="1">
        <v>3</v>
      </c>
      <c r="N777">
        <v>0</v>
      </c>
      <c r="O777">
        <v>0</v>
      </c>
      <c r="P777">
        <v>25</v>
      </c>
      <c r="Q777" s="1">
        <v>25</v>
      </c>
      <c r="R777">
        <v>1.85</v>
      </c>
      <c r="S777" s="2">
        <v>46244</v>
      </c>
      <c r="T777" s="2">
        <v>46249</v>
      </c>
      <c r="U777">
        <v>11</v>
      </c>
      <c r="V777">
        <v>32</v>
      </c>
      <c r="W777">
        <v>33</v>
      </c>
      <c r="X777">
        <v>25</v>
      </c>
      <c r="Y777">
        <v>11</v>
      </c>
      <c r="Z777" s="8">
        <v>33</v>
      </c>
      <c r="AA777">
        <v>25.25</v>
      </c>
      <c r="AB777">
        <v>0.43564356435643564</v>
      </c>
      <c r="AC777">
        <v>1.306930693069307</v>
      </c>
      <c r="AD777" s="1">
        <v>22</v>
      </c>
      <c r="AE777" s="2">
        <v>46270</v>
      </c>
      <c r="AF777" s="2">
        <v>46278</v>
      </c>
      <c r="AG777" s="2">
        <v>46285</v>
      </c>
      <c r="AH777">
        <v>10</v>
      </c>
      <c r="AI777" s="3">
        <v>0.31347962382445144</v>
      </c>
      <c r="AJ777" s="1">
        <v>72</v>
      </c>
      <c r="AK777" s="2">
        <v>46335</v>
      </c>
      <c r="AL777" s="4">
        <v>30</v>
      </c>
      <c r="AM777" s="5">
        <v>15</v>
      </c>
      <c r="AN777" s="4">
        <v>22</v>
      </c>
      <c r="AO777">
        <v>10.344827586206897</v>
      </c>
      <c r="AP777" s="4">
        <v>1</v>
      </c>
      <c r="AQ777" t="s">
        <v>1619</v>
      </c>
      <c r="AR777" t="s">
        <v>1620</v>
      </c>
      <c r="AT777" s="16" t="str">
        <f>_xlfn.XLOOKUP(B777,'SWiSH Demand Forecast Sep-26'!D:D,'SWiSH Demand Forecast Sep-26'!G:G,"Not Exist")</f>
        <v>Not Exist</v>
      </c>
    </row>
    <row r="778" spans="1:46" hidden="1" x14ac:dyDescent="0.3">
      <c r="A778">
        <v>100100067</v>
      </c>
      <c r="B778" t="s">
        <v>1500</v>
      </c>
      <c r="C778" t="s">
        <v>136</v>
      </c>
      <c r="D778" t="s">
        <v>1613</v>
      </c>
      <c r="E778" t="s">
        <v>1677</v>
      </c>
      <c r="F778" t="s">
        <v>1840</v>
      </c>
      <c r="G778" t="s">
        <v>1616</v>
      </c>
      <c r="H778" t="s">
        <v>1877</v>
      </c>
      <c r="I778" t="s">
        <v>1618</v>
      </c>
      <c r="J778" t="s">
        <v>2691</v>
      </c>
      <c r="K778">
        <v>1.0833299999999999</v>
      </c>
      <c r="L778">
        <v>25.999919999999996</v>
      </c>
      <c r="M778" s="1">
        <v>3</v>
      </c>
      <c r="N778">
        <v>0</v>
      </c>
      <c r="O778">
        <v>0</v>
      </c>
      <c r="P778">
        <v>24</v>
      </c>
      <c r="Q778" s="1">
        <v>24</v>
      </c>
      <c r="R778">
        <v>6.5</v>
      </c>
      <c r="S778" s="2">
        <v>46177</v>
      </c>
      <c r="T778" s="2">
        <v>46249</v>
      </c>
      <c r="U778">
        <v>0</v>
      </c>
      <c r="V778">
        <v>32</v>
      </c>
      <c r="W778">
        <v>10</v>
      </c>
      <c r="X778">
        <v>6</v>
      </c>
      <c r="Y778">
        <v>0</v>
      </c>
      <c r="Z778" s="8">
        <v>32</v>
      </c>
      <c r="AA778">
        <v>12</v>
      </c>
      <c r="AB778">
        <v>0</v>
      </c>
      <c r="AC778">
        <v>2.6666666666666665</v>
      </c>
      <c r="AD778" s="1">
        <v>22</v>
      </c>
      <c r="AE778" s="2">
        <v>46270</v>
      </c>
      <c r="AF778" s="2">
        <v>46278</v>
      </c>
      <c r="AG778" s="2">
        <v>46285</v>
      </c>
      <c r="AH778">
        <v>12</v>
      </c>
      <c r="AI778" s="3">
        <v>0.38793103448275862</v>
      </c>
      <c r="AJ778" s="1">
        <v>58</v>
      </c>
      <c r="AK778" s="2">
        <v>46321</v>
      </c>
      <c r="AL778" s="4">
        <v>30</v>
      </c>
      <c r="AM778" s="5">
        <v>15</v>
      </c>
      <c r="AN778" s="4">
        <v>22</v>
      </c>
      <c r="AO778">
        <v>12.413793103448276</v>
      </c>
      <c r="AP778" s="4">
        <v>1</v>
      </c>
      <c r="AQ778" t="s">
        <v>1619</v>
      </c>
      <c r="AR778" t="s">
        <v>1620</v>
      </c>
      <c r="AT778" s="16">
        <f>_xlfn.XLOOKUP(B778,'SWiSH Demand Forecast Sep-26'!D:D,'SWiSH Demand Forecast Sep-26'!G:G,"Not Exist")</f>
        <v>3.3464117647058802</v>
      </c>
    </row>
    <row r="779" spans="1:46" hidden="1" x14ac:dyDescent="0.3">
      <c r="A779">
        <v>103800003</v>
      </c>
      <c r="B779" t="s">
        <v>1418</v>
      </c>
      <c r="C779" t="s">
        <v>136</v>
      </c>
      <c r="D779" t="s">
        <v>1613</v>
      </c>
      <c r="E779" t="s">
        <v>2177</v>
      </c>
      <c r="F779" t="s">
        <v>1615</v>
      </c>
      <c r="G779" t="s">
        <v>1616</v>
      </c>
      <c r="H779" t="s">
        <v>1822</v>
      </c>
      <c r="I779" t="s">
        <v>1618</v>
      </c>
      <c r="J779" t="s">
        <v>136</v>
      </c>
      <c r="K779">
        <v>3.5</v>
      </c>
      <c r="L779">
        <v>150.5</v>
      </c>
      <c r="M779" s="1">
        <v>3</v>
      </c>
      <c r="N779">
        <v>0</v>
      </c>
      <c r="O779">
        <v>0</v>
      </c>
      <c r="P779">
        <v>43</v>
      </c>
      <c r="Q779" s="1">
        <v>43</v>
      </c>
      <c r="R779">
        <v>3.5</v>
      </c>
      <c r="S779" s="2">
        <v>46238</v>
      </c>
      <c r="T779" s="2">
        <v>46259</v>
      </c>
      <c r="U779">
        <v>20</v>
      </c>
      <c r="V779">
        <v>31</v>
      </c>
      <c r="W779">
        <v>36</v>
      </c>
      <c r="X779">
        <v>57</v>
      </c>
      <c r="Y779">
        <v>20</v>
      </c>
      <c r="Z779" s="8">
        <v>57</v>
      </c>
      <c r="AA779">
        <v>36</v>
      </c>
      <c r="AB779">
        <v>0.55555555555555558</v>
      </c>
      <c r="AC779">
        <v>1.5833333333333333</v>
      </c>
      <c r="AD779" s="1">
        <v>22</v>
      </c>
      <c r="AE779" s="2">
        <v>46270</v>
      </c>
      <c r="AF779" s="2">
        <v>46278</v>
      </c>
      <c r="AG779" s="2">
        <v>46285</v>
      </c>
      <c r="AH779">
        <v>22</v>
      </c>
      <c r="AI779" s="3">
        <v>0.39927404718693282</v>
      </c>
      <c r="AJ779" s="1">
        <v>56</v>
      </c>
      <c r="AK779" s="2">
        <v>46319</v>
      </c>
      <c r="AL779" s="4">
        <v>30</v>
      </c>
      <c r="AM779" s="5">
        <v>15</v>
      </c>
      <c r="AN779" s="4">
        <v>22</v>
      </c>
      <c r="AO779">
        <v>22.758620689655171</v>
      </c>
      <c r="AP779" s="4">
        <v>1</v>
      </c>
      <c r="AQ779" t="s">
        <v>1619</v>
      </c>
      <c r="AR779" t="s">
        <v>1620</v>
      </c>
      <c r="AT779" s="16">
        <f>_xlfn.XLOOKUP(B779,'SWiSH Demand Forecast Sep-26'!D:D,'SWiSH Demand Forecast Sep-26'!G:G,"Not Exist")</f>
        <v>11.3920555635399</v>
      </c>
    </row>
    <row r="780" spans="1:46" x14ac:dyDescent="0.3">
      <c r="A780">
        <v>100400054</v>
      </c>
      <c r="B780" t="s">
        <v>2692</v>
      </c>
      <c r="C780" t="s">
        <v>10</v>
      </c>
      <c r="D780" t="s">
        <v>1613</v>
      </c>
      <c r="E780" t="s">
        <v>1643</v>
      </c>
      <c r="F780" t="s">
        <v>1650</v>
      </c>
      <c r="G780" t="s">
        <v>1624</v>
      </c>
      <c r="H780" t="s">
        <v>1810</v>
      </c>
      <c r="I780" t="s">
        <v>1634</v>
      </c>
      <c r="J780" t="s">
        <v>10</v>
      </c>
      <c r="K780">
        <v>0.65</v>
      </c>
      <c r="L780">
        <v>51.35</v>
      </c>
      <c r="M780" s="1">
        <v>15</v>
      </c>
      <c r="N780">
        <v>0</v>
      </c>
      <c r="O780">
        <v>0</v>
      </c>
      <c r="P780">
        <v>79</v>
      </c>
      <c r="Q780" s="1">
        <v>79</v>
      </c>
      <c r="R780">
        <v>0.6</v>
      </c>
      <c r="S780" s="2">
        <v>46238</v>
      </c>
      <c r="T780" s="2">
        <v>46252</v>
      </c>
      <c r="U780">
        <v>0</v>
      </c>
      <c r="V780">
        <v>6</v>
      </c>
      <c r="W780">
        <v>104</v>
      </c>
      <c r="X780">
        <v>0</v>
      </c>
      <c r="Y780">
        <v>0</v>
      </c>
      <c r="Z780" s="8">
        <v>104</v>
      </c>
      <c r="AA780">
        <v>27.5</v>
      </c>
      <c r="AB780">
        <v>0</v>
      </c>
      <c r="AC780">
        <v>3.7818181818181817</v>
      </c>
      <c r="AD780" s="1">
        <v>22</v>
      </c>
      <c r="AE780" s="2">
        <v>46270</v>
      </c>
      <c r="AF780" s="2">
        <v>46278</v>
      </c>
      <c r="AG780" s="2">
        <v>46285</v>
      </c>
      <c r="AH780">
        <v>31</v>
      </c>
      <c r="AI780" s="3">
        <v>0.30835543766578249</v>
      </c>
      <c r="AJ780" s="1">
        <v>73</v>
      </c>
      <c r="AK780" s="2">
        <v>46336</v>
      </c>
      <c r="AL780" s="4">
        <v>30</v>
      </c>
      <c r="AM780" s="5">
        <v>15</v>
      </c>
      <c r="AN780" s="4">
        <v>22</v>
      </c>
      <c r="AO780">
        <v>32.068965517241381</v>
      </c>
      <c r="AP780" s="4">
        <v>1</v>
      </c>
      <c r="AQ780" t="s">
        <v>1619</v>
      </c>
      <c r="AR780" t="s">
        <v>1620</v>
      </c>
      <c r="AT780" s="16" t="str">
        <f>_xlfn.XLOOKUP(B780,'SWiSH Demand Forecast Sep-26'!D:D,'SWiSH Demand Forecast Sep-26'!G:G,"Not Exist")</f>
        <v>Not Exist</v>
      </c>
    </row>
    <row r="781" spans="1:46" x14ac:dyDescent="0.3">
      <c r="A781">
        <v>106800145</v>
      </c>
      <c r="B781" t="s">
        <v>2693</v>
      </c>
      <c r="C781" t="s">
        <v>10</v>
      </c>
      <c r="D781" t="s">
        <v>1613</v>
      </c>
      <c r="E781" t="s">
        <v>1638</v>
      </c>
      <c r="F781" t="s">
        <v>1664</v>
      </c>
      <c r="G781" t="s">
        <v>1624</v>
      </c>
      <c r="H781" t="s">
        <v>1665</v>
      </c>
      <c r="I781" t="s">
        <v>1634</v>
      </c>
      <c r="J781" t="s">
        <v>10</v>
      </c>
      <c r="K781">
        <v>2.6700000000000001E-3</v>
      </c>
      <c r="L781">
        <v>48.06</v>
      </c>
      <c r="M781" s="1">
        <v>15</v>
      </c>
      <c r="N781">
        <v>0</v>
      </c>
      <c r="O781">
        <v>0</v>
      </c>
      <c r="P781">
        <v>18000</v>
      </c>
      <c r="Q781" s="1">
        <v>18000</v>
      </c>
      <c r="R781">
        <v>2.6700000000000001E-3</v>
      </c>
      <c r="S781" s="2">
        <v>46240</v>
      </c>
      <c r="T781" s="2">
        <v>46256</v>
      </c>
      <c r="U781">
        <v>24000</v>
      </c>
      <c r="V781">
        <v>5500</v>
      </c>
      <c r="W781">
        <v>15000</v>
      </c>
      <c r="X781">
        <v>5000</v>
      </c>
      <c r="Y781">
        <v>5000</v>
      </c>
      <c r="Z781" s="8">
        <v>24000</v>
      </c>
      <c r="AA781">
        <v>12375</v>
      </c>
      <c r="AB781">
        <v>0.40404040404040403</v>
      </c>
      <c r="AC781">
        <v>1.9393939393939394</v>
      </c>
      <c r="AD781" s="1">
        <v>22</v>
      </c>
      <c r="AE781" s="2">
        <v>46270</v>
      </c>
      <c r="AF781" s="2">
        <v>46278</v>
      </c>
      <c r="AG781" s="2">
        <v>46285</v>
      </c>
      <c r="AH781">
        <v>7000</v>
      </c>
      <c r="AI781" s="3">
        <v>0.30172413793103448</v>
      </c>
      <c r="AJ781" s="1">
        <v>74</v>
      </c>
      <c r="AK781" s="2">
        <v>46337</v>
      </c>
      <c r="AL781" s="4">
        <v>30</v>
      </c>
      <c r="AM781" s="5">
        <v>15</v>
      </c>
      <c r="AN781" s="4">
        <v>22</v>
      </c>
      <c r="AO781">
        <v>7241.379310344827</v>
      </c>
      <c r="AP781" s="4">
        <v>1</v>
      </c>
      <c r="AQ781">
        <v>25000</v>
      </c>
      <c r="AR781" t="s">
        <v>2215</v>
      </c>
      <c r="AS781" t="s">
        <v>1666</v>
      </c>
      <c r="AT781" s="16" t="str">
        <f>_xlfn.XLOOKUP(B781,'SWiSH Demand Forecast Sep-26'!D:D,'SWiSH Demand Forecast Sep-26'!G:G,"Not Exist")</f>
        <v>Not Exist</v>
      </c>
    </row>
    <row r="782" spans="1:46" x14ac:dyDescent="0.3">
      <c r="A782">
        <v>107000000</v>
      </c>
      <c r="B782" t="s">
        <v>2694</v>
      </c>
      <c r="C782" t="s">
        <v>10</v>
      </c>
      <c r="D782" t="s">
        <v>1613</v>
      </c>
      <c r="E782" t="s">
        <v>1655</v>
      </c>
      <c r="F782" t="s">
        <v>1631</v>
      </c>
      <c r="G782" t="s">
        <v>1624</v>
      </c>
      <c r="H782" t="s">
        <v>2305</v>
      </c>
      <c r="I782" t="s">
        <v>1634</v>
      </c>
      <c r="J782" t="s">
        <v>10</v>
      </c>
      <c r="K782">
        <v>2.8E-3</v>
      </c>
      <c r="L782">
        <v>9.1</v>
      </c>
      <c r="M782" s="1">
        <v>7</v>
      </c>
      <c r="N782">
        <v>0</v>
      </c>
      <c r="O782">
        <v>0</v>
      </c>
      <c r="P782">
        <v>3250</v>
      </c>
      <c r="Q782" s="1">
        <v>3250</v>
      </c>
      <c r="R782">
        <v>0.7</v>
      </c>
      <c r="S782" s="2">
        <v>46210</v>
      </c>
      <c r="T782" s="2">
        <v>46257</v>
      </c>
      <c r="U782">
        <v>1000</v>
      </c>
      <c r="V782">
        <v>2000</v>
      </c>
      <c r="W782">
        <v>500</v>
      </c>
      <c r="X782">
        <v>4250</v>
      </c>
      <c r="Y782">
        <v>500</v>
      </c>
      <c r="Z782" s="8">
        <v>4250</v>
      </c>
      <c r="AA782">
        <v>1937.5</v>
      </c>
      <c r="AB782">
        <v>0.25806451612903225</v>
      </c>
      <c r="AC782">
        <v>2.193548387096774</v>
      </c>
      <c r="AD782" s="1">
        <v>22</v>
      </c>
      <c r="AE782" s="2">
        <v>46270</v>
      </c>
      <c r="AF782" s="2">
        <v>46278</v>
      </c>
      <c r="AG782" s="2">
        <v>46285</v>
      </c>
      <c r="AH782">
        <v>1500</v>
      </c>
      <c r="AI782" s="3">
        <v>0.36511156186612576</v>
      </c>
      <c r="AJ782" s="1">
        <v>62</v>
      </c>
      <c r="AK782" s="2">
        <v>46325</v>
      </c>
      <c r="AL782" s="4">
        <v>30</v>
      </c>
      <c r="AM782" s="5">
        <v>15</v>
      </c>
      <c r="AN782" s="4">
        <v>22</v>
      </c>
      <c r="AO782">
        <v>1551.7241379310344</v>
      </c>
      <c r="AP782" s="4">
        <v>1</v>
      </c>
      <c r="AQ782" t="s">
        <v>1619</v>
      </c>
      <c r="AR782" t="s">
        <v>1620</v>
      </c>
      <c r="AT782" s="16" t="str">
        <f>_xlfn.XLOOKUP(B782,'SWiSH Demand Forecast Sep-26'!D:D,'SWiSH Demand Forecast Sep-26'!G:G,"Not Exist")</f>
        <v>Not Exist</v>
      </c>
    </row>
    <row r="783" spans="1:46" hidden="1" x14ac:dyDescent="0.3">
      <c r="A783">
        <v>103700097</v>
      </c>
      <c r="B783" t="s">
        <v>1519</v>
      </c>
      <c r="C783" t="s">
        <v>136</v>
      </c>
      <c r="D783" t="s">
        <v>1613</v>
      </c>
      <c r="E783" t="s">
        <v>2161</v>
      </c>
      <c r="F783" t="s">
        <v>1615</v>
      </c>
      <c r="G783" t="s">
        <v>1616</v>
      </c>
      <c r="H783" t="s">
        <v>1617</v>
      </c>
      <c r="I783" t="s">
        <v>1618</v>
      </c>
      <c r="J783" t="s">
        <v>2695</v>
      </c>
      <c r="K783">
        <v>5.1428571400000003</v>
      </c>
      <c r="L783">
        <v>8.0742857098000016</v>
      </c>
      <c r="M783" s="1">
        <v>3</v>
      </c>
      <c r="N783">
        <v>0</v>
      </c>
      <c r="O783">
        <v>0</v>
      </c>
      <c r="P783">
        <v>1.57</v>
      </c>
      <c r="Q783" s="1">
        <v>1.57</v>
      </c>
      <c r="R783">
        <v>0.36</v>
      </c>
      <c r="S783" s="2">
        <v>46237</v>
      </c>
      <c r="T783" s="2">
        <v>46257</v>
      </c>
      <c r="U783">
        <v>0</v>
      </c>
      <c r="V783">
        <v>0</v>
      </c>
      <c r="W783">
        <v>2.1</v>
      </c>
      <c r="X783">
        <v>2.1</v>
      </c>
      <c r="Y783">
        <v>0</v>
      </c>
      <c r="Z783" s="8">
        <v>2.1</v>
      </c>
      <c r="AA783">
        <v>1.05</v>
      </c>
      <c r="AB783">
        <v>0</v>
      </c>
      <c r="AC783">
        <v>2</v>
      </c>
      <c r="AD783" s="1">
        <v>22</v>
      </c>
      <c r="AE783" s="2">
        <v>46270</v>
      </c>
      <c r="AF783" s="2">
        <v>46278</v>
      </c>
      <c r="AG783" s="2">
        <v>46285</v>
      </c>
      <c r="AH783">
        <v>3.05</v>
      </c>
      <c r="AI783" s="3">
        <v>1.5024630541871919</v>
      </c>
      <c r="AJ783" s="1">
        <v>14</v>
      </c>
      <c r="AK783" s="2">
        <v>46277</v>
      </c>
      <c r="AL783" s="4">
        <v>30</v>
      </c>
      <c r="AM783" s="5">
        <v>15</v>
      </c>
      <c r="AN783" s="4">
        <v>14</v>
      </c>
      <c r="AO783">
        <v>3.1551724137931032</v>
      </c>
      <c r="AP783" s="4">
        <v>1</v>
      </c>
      <c r="AQ783" t="s">
        <v>1619</v>
      </c>
      <c r="AR783" t="s">
        <v>1620</v>
      </c>
      <c r="AT783" s="16">
        <f>_xlfn.XLOOKUP(B783,'SWiSH Demand Forecast Sep-26'!D:D,'SWiSH Demand Forecast Sep-26'!G:G,"Not Exist")</f>
        <v>1.6931955243527801</v>
      </c>
    </row>
    <row r="784" spans="1:46" hidden="1" x14ac:dyDescent="0.3">
      <c r="A784">
        <v>106200139</v>
      </c>
      <c r="B784" t="s">
        <v>770</v>
      </c>
      <c r="C784" t="s">
        <v>136</v>
      </c>
      <c r="D784" t="s">
        <v>1613</v>
      </c>
      <c r="E784" t="s">
        <v>2164</v>
      </c>
      <c r="F784" t="s">
        <v>1671</v>
      </c>
      <c r="G784" t="s">
        <v>1616</v>
      </c>
      <c r="H784" t="s">
        <v>1672</v>
      </c>
      <c r="I784" t="s">
        <v>1618</v>
      </c>
      <c r="J784" t="s">
        <v>2696</v>
      </c>
      <c r="K784">
        <v>0.78700762000000002</v>
      </c>
      <c r="L784">
        <v>764.97140664000005</v>
      </c>
      <c r="M784" s="1">
        <v>3</v>
      </c>
      <c r="N784">
        <v>0</v>
      </c>
      <c r="O784">
        <v>0</v>
      </c>
      <c r="P784">
        <v>972</v>
      </c>
      <c r="Q784" s="1">
        <v>972</v>
      </c>
      <c r="R784">
        <v>3.96</v>
      </c>
      <c r="S784" s="2">
        <v>46253</v>
      </c>
      <c r="T784" s="2">
        <v>46261</v>
      </c>
      <c r="U784">
        <v>454.67999999999995</v>
      </c>
      <c r="V784">
        <v>556.33500000000004</v>
      </c>
      <c r="W784">
        <v>1258.2000000000003</v>
      </c>
      <c r="X784">
        <v>1269</v>
      </c>
      <c r="Y784">
        <v>454.67999999999995</v>
      </c>
      <c r="Z784" s="8">
        <v>1269</v>
      </c>
      <c r="AA784">
        <v>884.55375000000004</v>
      </c>
      <c r="AB784">
        <v>0.51402190087374555</v>
      </c>
      <c r="AC784">
        <v>1.4346216948376511</v>
      </c>
      <c r="AD784" s="1">
        <v>22</v>
      </c>
      <c r="AE784" s="2">
        <v>46270</v>
      </c>
      <c r="AF784" s="2">
        <v>46278</v>
      </c>
      <c r="AG784" s="2">
        <v>46285</v>
      </c>
      <c r="AH784">
        <v>1398.6</v>
      </c>
      <c r="AI784" s="3">
        <v>1.14013206162876</v>
      </c>
      <c r="AJ784" s="1">
        <v>20</v>
      </c>
      <c r="AK784" s="2">
        <v>46283</v>
      </c>
      <c r="AL784" s="4">
        <v>30</v>
      </c>
      <c r="AM784" s="5">
        <v>15</v>
      </c>
      <c r="AN784" s="4">
        <v>20</v>
      </c>
      <c r="AO784">
        <v>1446.8275862068965</v>
      </c>
      <c r="AP784" s="4">
        <v>1</v>
      </c>
      <c r="AQ784" t="s">
        <v>1619</v>
      </c>
      <c r="AR784" t="s">
        <v>1620</v>
      </c>
      <c r="AT784" s="16">
        <f>_xlfn.XLOOKUP(B784,'SWiSH Demand Forecast Sep-26'!D:D,'SWiSH Demand Forecast Sep-26'!G:G,"Not Exist")</f>
        <v>447.168136289541</v>
      </c>
    </row>
    <row r="785" spans="1:46" hidden="1" x14ac:dyDescent="0.3">
      <c r="A785">
        <v>103700007</v>
      </c>
      <c r="B785" t="s">
        <v>1379</v>
      </c>
      <c r="C785" t="s">
        <v>136</v>
      </c>
      <c r="D785" t="s">
        <v>1613</v>
      </c>
      <c r="E785" t="s">
        <v>1677</v>
      </c>
      <c r="F785" t="s">
        <v>1615</v>
      </c>
      <c r="G785" t="s">
        <v>1616</v>
      </c>
      <c r="H785" t="s">
        <v>1617</v>
      </c>
      <c r="I785" t="s">
        <v>1618</v>
      </c>
      <c r="J785" t="s">
        <v>136</v>
      </c>
      <c r="K785">
        <v>7.34861846</v>
      </c>
      <c r="L785">
        <v>360.00293946063198</v>
      </c>
      <c r="M785" s="1">
        <v>3</v>
      </c>
      <c r="N785">
        <v>0</v>
      </c>
      <c r="O785">
        <v>0</v>
      </c>
      <c r="P785">
        <v>48.989199999999997</v>
      </c>
      <c r="Q785" s="1">
        <v>48.989199999999997</v>
      </c>
      <c r="R785">
        <v>20</v>
      </c>
      <c r="S785" s="2">
        <v>46219</v>
      </c>
      <c r="T785" s="2">
        <v>46261</v>
      </c>
      <c r="U785">
        <v>19.05</v>
      </c>
      <c r="V785">
        <v>38.086999999999996</v>
      </c>
      <c r="W785">
        <v>65.308000000000007</v>
      </c>
      <c r="X785">
        <v>48.988999999999997</v>
      </c>
      <c r="Y785">
        <v>19.05</v>
      </c>
      <c r="Z785" s="8">
        <v>65.308000000000007</v>
      </c>
      <c r="AA785">
        <v>42.858499999999999</v>
      </c>
      <c r="AB785">
        <v>0.44448592461238728</v>
      </c>
      <c r="AC785">
        <v>1.5238050795058158</v>
      </c>
      <c r="AD785" s="1">
        <v>22</v>
      </c>
      <c r="AE785" s="2">
        <v>46270</v>
      </c>
      <c r="AF785" s="2">
        <v>46278</v>
      </c>
      <c r="AG785" s="2">
        <v>46285</v>
      </c>
      <c r="AH785">
        <v>10.885999999999999</v>
      </c>
      <c r="AI785" s="3">
        <v>0.17243491318590104</v>
      </c>
      <c r="AJ785" s="1">
        <v>130</v>
      </c>
      <c r="AK785" s="2">
        <v>46393</v>
      </c>
      <c r="AL785" s="4">
        <v>30</v>
      </c>
      <c r="AM785" s="5">
        <v>15</v>
      </c>
      <c r="AN785" s="4">
        <v>22</v>
      </c>
      <c r="AO785">
        <v>11.261379310344827</v>
      </c>
      <c r="AP785" s="4">
        <v>1</v>
      </c>
      <c r="AQ785" t="s">
        <v>1619</v>
      </c>
      <c r="AR785" t="s">
        <v>1855</v>
      </c>
      <c r="AT785" s="16">
        <f>_xlfn.XLOOKUP(B785,'SWiSH Demand Forecast Sep-26'!D:D,'SWiSH Demand Forecast Sep-26'!G:G,"Not Exist")</f>
        <v>17.530809933934599</v>
      </c>
    </row>
    <row r="786" spans="1:46" x14ac:dyDescent="0.3">
      <c r="A786">
        <v>104200024</v>
      </c>
      <c r="B786" t="s">
        <v>2697</v>
      </c>
      <c r="C786" t="s">
        <v>10</v>
      </c>
      <c r="D786" t="s">
        <v>1613</v>
      </c>
      <c r="E786" t="s">
        <v>2698</v>
      </c>
      <c r="F786" t="s">
        <v>1631</v>
      </c>
      <c r="G786" t="s">
        <v>1624</v>
      </c>
      <c r="H786" t="s">
        <v>1633</v>
      </c>
      <c r="I786" t="s">
        <v>1634</v>
      </c>
      <c r="J786" t="s">
        <v>10</v>
      </c>
      <c r="K786">
        <v>7.0000000000000001E-3</v>
      </c>
      <c r="L786">
        <v>333.90000000000003</v>
      </c>
      <c r="M786" s="1">
        <v>3</v>
      </c>
      <c r="N786">
        <v>0</v>
      </c>
      <c r="O786">
        <v>500</v>
      </c>
      <c r="P786">
        <v>47700</v>
      </c>
      <c r="Q786" s="1">
        <v>47200</v>
      </c>
      <c r="R786">
        <v>7</v>
      </c>
      <c r="S786" s="2">
        <v>46250</v>
      </c>
      <c r="T786" s="2">
        <v>46263</v>
      </c>
      <c r="U786">
        <v>56550</v>
      </c>
      <c r="V786">
        <v>54500</v>
      </c>
      <c r="W786">
        <v>61650</v>
      </c>
      <c r="X786">
        <v>41400</v>
      </c>
      <c r="Y786">
        <v>41400</v>
      </c>
      <c r="Z786" s="8">
        <v>61650</v>
      </c>
      <c r="AA786">
        <v>53525</v>
      </c>
      <c r="AB786">
        <v>0.77347034096216716</v>
      </c>
      <c r="AC786">
        <v>1.1517982251284447</v>
      </c>
      <c r="AD786" s="1">
        <v>22</v>
      </c>
      <c r="AE786" s="2">
        <v>46270</v>
      </c>
      <c r="AF786" s="2">
        <v>46278</v>
      </c>
      <c r="AG786" s="2">
        <v>46285</v>
      </c>
      <c r="AH786">
        <v>33200</v>
      </c>
      <c r="AI786" s="3">
        <v>0.55709371591576473</v>
      </c>
      <c r="AJ786" s="1">
        <v>41</v>
      </c>
      <c r="AK786" s="2">
        <v>46304</v>
      </c>
      <c r="AL786" s="4">
        <v>10</v>
      </c>
      <c r="AM786" s="5">
        <v>10</v>
      </c>
      <c r="AN786" s="4">
        <v>22</v>
      </c>
      <c r="AO786">
        <v>11448.275862068966</v>
      </c>
      <c r="AP786" s="4">
        <v>3</v>
      </c>
      <c r="AQ786" t="s">
        <v>1619</v>
      </c>
      <c r="AR786" t="s">
        <v>2699</v>
      </c>
      <c r="AT786" s="16" t="str">
        <f>_xlfn.XLOOKUP(B786,'SWiSH Demand Forecast Sep-26'!D:D,'SWiSH Demand Forecast Sep-26'!G:G,"Not Exist")</f>
        <v>Not Exist</v>
      </c>
    </row>
    <row r="787" spans="1:46" hidden="1" x14ac:dyDescent="0.3">
      <c r="A787">
        <v>101800006</v>
      </c>
      <c r="B787" t="s">
        <v>360</v>
      </c>
      <c r="C787" t="s">
        <v>10</v>
      </c>
      <c r="D787" t="s">
        <v>1613</v>
      </c>
      <c r="E787" t="s">
        <v>2700</v>
      </c>
      <c r="F787" t="s">
        <v>1631</v>
      </c>
      <c r="G787" t="s">
        <v>1624</v>
      </c>
      <c r="H787" t="s">
        <v>2144</v>
      </c>
      <c r="I787" t="s">
        <v>1634</v>
      </c>
      <c r="J787" t="s">
        <v>10</v>
      </c>
      <c r="K787">
        <v>4.9999199999999997E-3</v>
      </c>
      <c r="L787">
        <v>45.749268000000001</v>
      </c>
      <c r="M787" s="1">
        <v>3</v>
      </c>
      <c r="N787">
        <v>0</v>
      </c>
      <c r="O787">
        <v>0</v>
      </c>
      <c r="P787">
        <v>9150</v>
      </c>
      <c r="Q787" s="1">
        <v>9150</v>
      </c>
      <c r="R787">
        <v>5</v>
      </c>
      <c r="S787" s="2">
        <v>46247</v>
      </c>
      <c r="T787" s="2">
        <v>46262</v>
      </c>
      <c r="U787">
        <v>7200</v>
      </c>
      <c r="V787">
        <v>7000</v>
      </c>
      <c r="W787">
        <v>11900</v>
      </c>
      <c r="X787">
        <v>11950</v>
      </c>
      <c r="Y787">
        <v>7000</v>
      </c>
      <c r="Z787" s="8">
        <v>11950</v>
      </c>
      <c r="AA787">
        <v>9512.5</v>
      </c>
      <c r="AB787">
        <v>0.73587385019710905</v>
      </c>
      <c r="AC787">
        <v>1.2562417871222076</v>
      </c>
      <c r="AD787" s="1">
        <v>22</v>
      </c>
      <c r="AE787" s="2">
        <v>46270</v>
      </c>
      <c r="AF787" s="2">
        <v>46278</v>
      </c>
      <c r="AG787" s="2">
        <v>46285</v>
      </c>
      <c r="AH787">
        <v>10000</v>
      </c>
      <c r="AI787" s="3">
        <v>0.86567594863656039</v>
      </c>
      <c r="AJ787" s="1">
        <v>26</v>
      </c>
      <c r="AK787" s="2">
        <v>46289</v>
      </c>
      <c r="AL787" s="4">
        <v>30</v>
      </c>
      <c r="AM787" s="5">
        <v>15</v>
      </c>
      <c r="AN787" s="4">
        <v>22</v>
      </c>
      <c r="AO787">
        <v>10344.827586206897</v>
      </c>
      <c r="AP787" s="4">
        <v>1</v>
      </c>
      <c r="AQ787" t="s">
        <v>1619</v>
      </c>
      <c r="AR787" t="s">
        <v>1620</v>
      </c>
      <c r="AT787" s="16">
        <f>_xlfn.XLOOKUP(B787,'SWiSH Demand Forecast Sep-26'!D:D,'SWiSH Demand Forecast Sep-26'!G:G,"Not Exist")</f>
        <v>3434</v>
      </c>
    </row>
    <row r="788" spans="1:46" x14ac:dyDescent="0.3">
      <c r="A788">
        <v>106600158</v>
      </c>
      <c r="B788" t="s">
        <v>2701</v>
      </c>
      <c r="C788" t="s">
        <v>10</v>
      </c>
      <c r="D788" t="s">
        <v>1613</v>
      </c>
      <c r="E788" t="s">
        <v>1663</v>
      </c>
      <c r="F788" t="s">
        <v>1664</v>
      </c>
      <c r="G788" t="s">
        <v>1624</v>
      </c>
      <c r="H788" t="s">
        <v>1723</v>
      </c>
      <c r="I788" t="s">
        <v>1634</v>
      </c>
      <c r="J788" t="s">
        <v>10</v>
      </c>
      <c r="K788">
        <v>5.4000000000000003E-3</v>
      </c>
      <c r="L788">
        <v>180.9</v>
      </c>
      <c r="M788" s="1">
        <v>15</v>
      </c>
      <c r="N788">
        <v>0</v>
      </c>
      <c r="O788">
        <v>0</v>
      </c>
      <c r="P788">
        <v>33500</v>
      </c>
      <c r="Q788" s="1">
        <v>33500</v>
      </c>
      <c r="R788">
        <v>5.4000000000000003E-3</v>
      </c>
      <c r="S788" s="2">
        <v>46247</v>
      </c>
      <c r="T788" s="2">
        <v>46263</v>
      </c>
      <c r="U788">
        <v>0</v>
      </c>
      <c r="V788">
        <v>0</v>
      </c>
      <c r="W788">
        <v>0</v>
      </c>
      <c r="X788">
        <v>45000</v>
      </c>
      <c r="Y788">
        <v>0</v>
      </c>
      <c r="Z788" s="8">
        <v>45000</v>
      </c>
      <c r="AA788">
        <v>11250</v>
      </c>
      <c r="AB788">
        <v>0</v>
      </c>
      <c r="AC788">
        <v>4</v>
      </c>
      <c r="AD788" s="1">
        <v>22</v>
      </c>
      <c r="AE788" s="2">
        <v>46270</v>
      </c>
      <c r="AF788" s="2">
        <v>46278</v>
      </c>
      <c r="AG788" s="2">
        <v>46285</v>
      </c>
      <c r="AH788">
        <v>23000</v>
      </c>
      <c r="AI788" s="3">
        <v>0.52873563218390807</v>
      </c>
      <c r="AJ788" s="1">
        <v>42</v>
      </c>
      <c r="AK788" s="2">
        <v>46305</v>
      </c>
      <c r="AL788" s="4">
        <v>30</v>
      </c>
      <c r="AM788" s="5">
        <v>15</v>
      </c>
      <c r="AN788" s="4">
        <v>22</v>
      </c>
      <c r="AO788">
        <v>23793.103448275862</v>
      </c>
      <c r="AP788" s="4">
        <v>1</v>
      </c>
      <c r="AQ788">
        <v>56500</v>
      </c>
      <c r="AR788" t="s">
        <v>2034</v>
      </c>
      <c r="AS788" t="s">
        <v>1666</v>
      </c>
      <c r="AT788" s="16" t="str">
        <f>_xlfn.XLOOKUP(B788,'SWiSH Demand Forecast Sep-26'!D:D,'SWiSH Demand Forecast Sep-26'!G:G,"Not Exist")</f>
        <v>Not Exist</v>
      </c>
    </row>
    <row r="789" spans="1:46" x14ac:dyDescent="0.3">
      <c r="A789">
        <v>106700081</v>
      </c>
      <c r="B789" t="s">
        <v>2702</v>
      </c>
      <c r="C789" t="s">
        <v>10</v>
      </c>
      <c r="D789" t="s">
        <v>1613</v>
      </c>
      <c r="E789" t="s">
        <v>2703</v>
      </c>
      <c r="F789" t="s">
        <v>1650</v>
      </c>
      <c r="G789" t="s">
        <v>1624</v>
      </c>
      <c r="H789" t="s">
        <v>1651</v>
      </c>
      <c r="I789" t="s">
        <v>1634</v>
      </c>
      <c r="J789" t="s">
        <v>1688</v>
      </c>
      <c r="K789">
        <v>0.05</v>
      </c>
      <c r="L789">
        <v>3.6</v>
      </c>
      <c r="M789" s="1">
        <v>3</v>
      </c>
      <c r="N789">
        <v>0</v>
      </c>
      <c r="O789">
        <v>0</v>
      </c>
      <c r="P789">
        <v>72</v>
      </c>
      <c r="Q789" s="1">
        <v>72</v>
      </c>
      <c r="R789">
        <v>0.6</v>
      </c>
      <c r="S789" s="2">
        <v>46188</v>
      </c>
      <c r="T789" s="2">
        <v>46262</v>
      </c>
      <c r="U789">
        <v>96</v>
      </c>
      <c r="V789">
        <v>84</v>
      </c>
      <c r="W789">
        <v>60</v>
      </c>
      <c r="X789">
        <v>0</v>
      </c>
      <c r="Y789">
        <v>0</v>
      </c>
      <c r="Z789" s="8">
        <v>96</v>
      </c>
      <c r="AA789">
        <v>60</v>
      </c>
      <c r="AB789">
        <v>0</v>
      </c>
      <c r="AC789">
        <v>1.6</v>
      </c>
      <c r="AD789" s="1">
        <v>22</v>
      </c>
      <c r="AE789" s="2">
        <v>46270</v>
      </c>
      <c r="AF789" s="2">
        <v>46278</v>
      </c>
      <c r="AG789" s="2">
        <v>46285</v>
      </c>
      <c r="AH789">
        <v>72</v>
      </c>
      <c r="AI789" s="3">
        <v>0.77586206896551724</v>
      </c>
      <c r="AJ789" s="1">
        <v>29</v>
      </c>
      <c r="AK789" s="2">
        <v>46292</v>
      </c>
      <c r="AL789" s="4">
        <v>30</v>
      </c>
      <c r="AM789" s="5">
        <v>15</v>
      </c>
      <c r="AN789" s="4">
        <v>22</v>
      </c>
      <c r="AO789">
        <v>74.482758620689651</v>
      </c>
      <c r="AP789" s="4">
        <v>1</v>
      </c>
      <c r="AQ789" t="s">
        <v>1619</v>
      </c>
      <c r="AR789" t="s">
        <v>1620</v>
      </c>
      <c r="AT789" s="16" t="str">
        <f>_xlfn.XLOOKUP(B789,'SWiSH Demand Forecast Sep-26'!D:D,'SWiSH Demand Forecast Sep-26'!G:G,"Not Exist")</f>
        <v>Not Exist</v>
      </c>
    </row>
    <row r="790" spans="1:46" x14ac:dyDescent="0.3">
      <c r="A790">
        <v>106200165</v>
      </c>
      <c r="B790" t="s">
        <v>2704</v>
      </c>
      <c r="C790" t="s">
        <v>10</v>
      </c>
      <c r="D790" t="s">
        <v>1613</v>
      </c>
      <c r="E790" t="s">
        <v>1663</v>
      </c>
      <c r="F790" t="s">
        <v>1999</v>
      </c>
      <c r="G790" t="s">
        <v>1616</v>
      </c>
      <c r="H790" t="s">
        <v>1672</v>
      </c>
      <c r="I790" t="s">
        <v>1618</v>
      </c>
      <c r="J790" t="s">
        <v>10</v>
      </c>
      <c r="K790">
        <v>6.7708329999999997E-2</v>
      </c>
      <c r="L790">
        <v>779.99996160000001</v>
      </c>
      <c r="M790" s="1">
        <v>3</v>
      </c>
      <c r="N790">
        <v>0</v>
      </c>
      <c r="O790">
        <v>480</v>
      </c>
      <c r="P790">
        <v>11520</v>
      </c>
      <c r="Q790" s="1">
        <v>11040</v>
      </c>
      <c r="R790">
        <v>6.5</v>
      </c>
      <c r="S790" s="2">
        <v>46261</v>
      </c>
      <c r="T790" s="2">
        <v>46263</v>
      </c>
      <c r="U790">
        <v>0</v>
      </c>
      <c r="V790">
        <v>10080</v>
      </c>
      <c r="W790">
        <v>13824</v>
      </c>
      <c r="X790">
        <v>10368</v>
      </c>
      <c r="Y790">
        <v>0</v>
      </c>
      <c r="Z790" s="8">
        <v>13824</v>
      </c>
      <c r="AA790">
        <v>8568</v>
      </c>
      <c r="AB790">
        <v>0</v>
      </c>
      <c r="AC790">
        <v>1.6134453781512605</v>
      </c>
      <c r="AD790" s="1">
        <v>23</v>
      </c>
      <c r="AE790" s="2">
        <v>46271</v>
      </c>
      <c r="AF790" s="2">
        <v>46279</v>
      </c>
      <c r="AG790" s="2">
        <v>46286</v>
      </c>
      <c r="AH790">
        <v>7488</v>
      </c>
      <c r="AI790" s="3">
        <v>0.56034482758620685</v>
      </c>
      <c r="AJ790" s="1">
        <v>42</v>
      </c>
      <c r="AK790" s="2">
        <v>46305</v>
      </c>
      <c r="AL790" s="4">
        <v>15</v>
      </c>
      <c r="AM790" s="5">
        <v>15</v>
      </c>
      <c r="AN790" s="4">
        <v>23</v>
      </c>
      <c r="AO790">
        <v>3873.1034482758619</v>
      </c>
      <c r="AP790" s="4">
        <v>2</v>
      </c>
      <c r="AQ790" t="s">
        <v>1619</v>
      </c>
      <c r="AR790" t="s">
        <v>1620</v>
      </c>
      <c r="AT790" s="16" t="str">
        <f>_xlfn.XLOOKUP(B790,'SWiSH Demand Forecast Sep-26'!D:D,'SWiSH Demand Forecast Sep-26'!G:G,"Not Exist")</f>
        <v>Not Exist</v>
      </c>
    </row>
    <row r="791" spans="1:46" x14ac:dyDescent="0.3">
      <c r="A791">
        <v>101100055</v>
      </c>
      <c r="B791" t="s">
        <v>2705</v>
      </c>
      <c r="C791" t="s">
        <v>10</v>
      </c>
      <c r="D791" t="s">
        <v>1613</v>
      </c>
      <c r="E791" t="s">
        <v>2154</v>
      </c>
      <c r="F791" t="s">
        <v>1650</v>
      </c>
      <c r="G791" t="s">
        <v>1616</v>
      </c>
      <c r="H791" t="s">
        <v>1953</v>
      </c>
      <c r="I791" t="s">
        <v>1634</v>
      </c>
      <c r="J791" t="s">
        <v>10</v>
      </c>
      <c r="K791">
        <v>32</v>
      </c>
      <c r="L791">
        <v>608</v>
      </c>
      <c r="M791" s="1">
        <v>3</v>
      </c>
      <c r="N791">
        <v>0</v>
      </c>
      <c r="O791">
        <v>0</v>
      </c>
      <c r="P791">
        <v>19</v>
      </c>
      <c r="Q791" s="1">
        <v>19</v>
      </c>
      <c r="R791">
        <v>32</v>
      </c>
      <c r="S791" s="2">
        <v>46177</v>
      </c>
      <c r="T791" s="2">
        <v>46240</v>
      </c>
      <c r="U791">
        <v>0</v>
      </c>
      <c r="V791">
        <v>0</v>
      </c>
      <c r="W791">
        <v>24</v>
      </c>
      <c r="X791">
        <v>7</v>
      </c>
      <c r="Y791">
        <v>0</v>
      </c>
      <c r="Z791" s="8">
        <v>24</v>
      </c>
      <c r="AA791">
        <v>7.75</v>
      </c>
      <c r="AB791">
        <v>0</v>
      </c>
      <c r="AC791">
        <v>3.096774193548387</v>
      </c>
      <c r="AD791" s="1">
        <v>23</v>
      </c>
      <c r="AE791" s="2">
        <v>46271</v>
      </c>
      <c r="AF791" s="2">
        <v>46279</v>
      </c>
      <c r="AG791" s="2">
        <v>46286</v>
      </c>
      <c r="AH791">
        <v>6</v>
      </c>
      <c r="AI791" s="3">
        <v>0.25862068965517243</v>
      </c>
      <c r="AJ791" s="1">
        <v>91</v>
      </c>
      <c r="AK791" s="2">
        <v>46354</v>
      </c>
      <c r="AL791" s="4">
        <v>30</v>
      </c>
      <c r="AM791" s="5">
        <v>15</v>
      </c>
      <c r="AN791" s="4">
        <v>23</v>
      </c>
      <c r="AO791">
        <v>6.2068965517241388</v>
      </c>
      <c r="AP791" s="4">
        <v>1</v>
      </c>
      <c r="AQ791" t="s">
        <v>1619</v>
      </c>
      <c r="AR791" t="s">
        <v>1620</v>
      </c>
      <c r="AT791" s="16" t="str">
        <f>_xlfn.XLOOKUP(B791,'SWiSH Demand Forecast Sep-26'!D:D,'SWiSH Demand Forecast Sep-26'!G:G,"Not Exist")</f>
        <v>Not Exist</v>
      </c>
    </row>
    <row r="792" spans="1:46" x14ac:dyDescent="0.3">
      <c r="A792">
        <v>101800002</v>
      </c>
      <c r="B792" t="s">
        <v>2706</v>
      </c>
      <c r="C792" t="s">
        <v>10</v>
      </c>
      <c r="D792" t="s">
        <v>1613</v>
      </c>
      <c r="E792" t="s">
        <v>2328</v>
      </c>
      <c r="F792" t="s">
        <v>1631</v>
      </c>
      <c r="G792" t="s">
        <v>1624</v>
      </c>
      <c r="H792" t="s">
        <v>2144</v>
      </c>
      <c r="I792" t="s">
        <v>1634</v>
      </c>
      <c r="J792" t="s">
        <v>1905</v>
      </c>
      <c r="K792">
        <v>1.2500000000000001E-2</v>
      </c>
      <c r="L792">
        <v>41.25</v>
      </c>
      <c r="M792" s="1">
        <v>3</v>
      </c>
      <c r="N792">
        <v>0</v>
      </c>
      <c r="O792">
        <v>0</v>
      </c>
      <c r="P792">
        <v>3300</v>
      </c>
      <c r="Q792" s="1">
        <v>3300</v>
      </c>
      <c r="R792">
        <v>1.25</v>
      </c>
      <c r="S792" s="2">
        <v>46184</v>
      </c>
      <c r="T792" s="2">
        <v>46250</v>
      </c>
      <c r="U792">
        <v>4200</v>
      </c>
      <c r="V792">
        <v>3500</v>
      </c>
      <c r="W792">
        <v>1900</v>
      </c>
      <c r="X792">
        <v>2300</v>
      </c>
      <c r="Y792">
        <v>1900</v>
      </c>
      <c r="Z792" s="8">
        <v>4200</v>
      </c>
      <c r="AA792">
        <v>2975</v>
      </c>
      <c r="AB792">
        <v>0.6386554621848739</v>
      </c>
      <c r="AC792">
        <v>1.411764705882353</v>
      </c>
      <c r="AD792" s="1">
        <v>23</v>
      </c>
      <c r="AE792" s="2">
        <v>46271</v>
      </c>
      <c r="AF792" s="2">
        <v>46279</v>
      </c>
      <c r="AG792" s="2">
        <v>46286</v>
      </c>
      <c r="AH792">
        <v>500</v>
      </c>
      <c r="AI792" s="3">
        <v>0.1231527093596059</v>
      </c>
      <c r="AJ792" s="1">
        <v>191</v>
      </c>
      <c r="AK792" s="2">
        <v>46454</v>
      </c>
      <c r="AL792" s="4">
        <v>30</v>
      </c>
      <c r="AM792" s="5">
        <v>15</v>
      </c>
      <c r="AN792" s="4">
        <v>23</v>
      </c>
      <c r="AO792">
        <v>517.24137931034477</v>
      </c>
      <c r="AP792" s="4">
        <v>1</v>
      </c>
      <c r="AQ792" t="s">
        <v>1619</v>
      </c>
      <c r="AR792" t="s">
        <v>1620</v>
      </c>
      <c r="AT792" s="16" t="str">
        <f>_xlfn.XLOOKUP(B792,'SWiSH Demand Forecast Sep-26'!D:D,'SWiSH Demand Forecast Sep-26'!G:G,"Not Exist")</f>
        <v>Not Exist</v>
      </c>
    </row>
    <row r="793" spans="1:46" x14ac:dyDescent="0.3">
      <c r="A793">
        <v>100400084</v>
      </c>
      <c r="B793" t="s">
        <v>2707</v>
      </c>
      <c r="C793" t="s">
        <v>10</v>
      </c>
      <c r="D793" t="s">
        <v>1613</v>
      </c>
      <c r="E793" t="s">
        <v>1638</v>
      </c>
      <c r="F793" t="s">
        <v>1664</v>
      </c>
      <c r="G793" t="s">
        <v>1624</v>
      </c>
      <c r="H793" t="s">
        <v>1810</v>
      </c>
      <c r="I793" t="s">
        <v>1634</v>
      </c>
      <c r="J793" t="s">
        <v>10</v>
      </c>
      <c r="K793">
        <v>1.6E-2</v>
      </c>
      <c r="L793">
        <v>220</v>
      </c>
      <c r="M793" s="1">
        <v>15</v>
      </c>
      <c r="N793">
        <v>0</v>
      </c>
      <c r="O793">
        <v>0</v>
      </c>
      <c r="P793">
        <v>13750</v>
      </c>
      <c r="Q793" s="1">
        <v>13750</v>
      </c>
      <c r="R793">
        <v>1.6E-2</v>
      </c>
      <c r="S793" s="2">
        <v>46166</v>
      </c>
      <c r="T793" s="2">
        <v>46258</v>
      </c>
      <c r="U793">
        <v>11250</v>
      </c>
      <c r="V793">
        <v>17500</v>
      </c>
      <c r="W793">
        <v>13750</v>
      </c>
      <c r="X793">
        <v>7500</v>
      </c>
      <c r="Y793">
        <v>7500</v>
      </c>
      <c r="Z793" s="8">
        <v>17500</v>
      </c>
      <c r="AA793">
        <v>12500</v>
      </c>
      <c r="AB793">
        <v>0.6</v>
      </c>
      <c r="AC793">
        <v>1.4</v>
      </c>
      <c r="AD793" s="1">
        <v>23</v>
      </c>
      <c r="AE793" s="2">
        <v>46271</v>
      </c>
      <c r="AF793" s="2">
        <v>46279</v>
      </c>
      <c r="AG793" s="2">
        <v>46286</v>
      </c>
      <c r="AH793">
        <v>8750</v>
      </c>
      <c r="AI793" s="3">
        <v>0.51724137931034486</v>
      </c>
      <c r="AJ793" s="1">
        <v>45</v>
      </c>
      <c r="AK793" s="2">
        <v>46308</v>
      </c>
      <c r="AL793" s="4">
        <v>30</v>
      </c>
      <c r="AM793" s="5">
        <v>15</v>
      </c>
      <c r="AN793" s="4">
        <v>23</v>
      </c>
      <c r="AO793">
        <v>9051.7241379310344</v>
      </c>
      <c r="AP793" s="4">
        <v>1</v>
      </c>
      <c r="AQ793">
        <v>25000</v>
      </c>
      <c r="AR793" t="s">
        <v>2076</v>
      </c>
      <c r="AS793" t="s">
        <v>1666</v>
      </c>
      <c r="AT793" s="16" t="str">
        <f>_xlfn.XLOOKUP(B793,'SWiSH Demand Forecast Sep-26'!D:D,'SWiSH Demand Forecast Sep-26'!G:G,"Not Exist")</f>
        <v>Not Exist</v>
      </c>
    </row>
    <row r="794" spans="1:46" x14ac:dyDescent="0.3">
      <c r="A794">
        <v>103900003</v>
      </c>
      <c r="B794" t="s">
        <v>2708</v>
      </c>
      <c r="C794" t="s">
        <v>136</v>
      </c>
      <c r="D794" t="s">
        <v>1613</v>
      </c>
      <c r="E794" t="s">
        <v>1707</v>
      </c>
      <c r="F794" t="s">
        <v>1840</v>
      </c>
      <c r="G794" t="s">
        <v>1616</v>
      </c>
      <c r="H794" t="s">
        <v>2063</v>
      </c>
      <c r="I794" t="s">
        <v>1618</v>
      </c>
      <c r="J794" t="s">
        <v>136</v>
      </c>
      <c r="K794">
        <v>6</v>
      </c>
      <c r="L794">
        <v>54</v>
      </c>
      <c r="M794" s="1">
        <v>7</v>
      </c>
      <c r="N794">
        <v>0</v>
      </c>
      <c r="O794">
        <v>0</v>
      </c>
      <c r="P794">
        <v>9</v>
      </c>
      <c r="Q794" s="1">
        <v>9</v>
      </c>
      <c r="R794">
        <v>6</v>
      </c>
      <c r="S794" s="2">
        <v>46259</v>
      </c>
      <c r="T794" s="2">
        <v>46251</v>
      </c>
      <c r="U794">
        <v>11.5</v>
      </c>
      <c r="V794">
        <v>8</v>
      </c>
      <c r="W794">
        <v>7</v>
      </c>
      <c r="X794">
        <v>8</v>
      </c>
      <c r="Y794">
        <v>7</v>
      </c>
      <c r="Z794" s="8">
        <v>11.5</v>
      </c>
      <c r="AA794">
        <v>8.625</v>
      </c>
      <c r="AB794">
        <v>0.81159420289855078</v>
      </c>
      <c r="AC794">
        <v>1.3333333333333333</v>
      </c>
      <c r="AD794" s="1">
        <v>23</v>
      </c>
      <c r="AE794" s="2">
        <v>46271</v>
      </c>
      <c r="AF794" s="2">
        <v>46279</v>
      </c>
      <c r="AG794" s="2">
        <v>46286</v>
      </c>
      <c r="AH794">
        <v>5.5</v>
      </c>
      <c r="AI794" s="3">
        <v>0.49475262368815587</v>
      </c>
      <c r="AJ794" s="1">
        <v>47</v>
      </c>
      <c r="AK794" s="2">
        <v>46310</v>
      </c>
      <c r="AL794" s="4">
        <v>30</v>
      </c>
      <c r="AM794" s="5">
        <v>15</v>
      </c>
      <c r="AN794" s="4">
        <v>23</v>
      </c>
      <c r="AO794">
        <v>5.6896551724137927</v>
      </c>
      <c r="AP794" s="4">
        <v>1</v>
      </c>
      <c r="AQ794" t="s">
        <v>1619</v>
      </c>
      <c r="AR794" t="s">
        <v>1859</v>
      </c>
      <c r="AT794" s="16" t="str">
        <f>_xlfn.XLOOKUP(B794,'SWiSH Demand Forecast Sep-26'!D:D,'SWiSH Demand Forecast Sep-26'!G:G,"Not Exist")</f>
        <v>Not Exist</v>
      </c>
    </row>
    <row r="795" spans="1:46" x14ac:dyDescent="0.3">
      <c r="A795">
        <v>104200061</v>
      </c>
      <c r="B795" t="s">
        <v>2709</v>
      </c>
      <c r="C795" t="s">
        <v>10</v>
      </c>
      <c r="D795" t="s">
        <v>1613</v>
      </c>
      <c r="E795" t="s">
        <v>1643</v>
      </c>
      <c r="F795" t="s">
        <v>1631</v>
      </c>
      <c r="G795" t="s">
        <v>1624</v>
      </c>
      <c r="H795" t="s">
        <v>1633</v>
      </c>
      <c r="I795" t="s">
        <v>1634</v>
      </c>
      <c r="J795" t="s">
        <v>2273</v>
      </c>
      <c r="K795">
        <v>1.175877E-2</v>
      </c>
      <c r="L795">
        <v>6.4673235</v>
      </c>
      <c r="M795" s="1">
        <v>3</v>
      </c>
      <c r="N795">
        <v>0</v>
      </c>
      <c r="O795">
        <v>0</v>
      </c>
      <c r="P795">
        <v>550</v>
      </c>
      <c r="Q795" s="1">
        <v>550</v>
      </c>
      <c r="R795">
        <v>7.5</v>
      </c>
      <c r="S795" s="2">
        <v>46085</v>
      </c>
      <c r="T795" s="2">
        <v>46259</v>
      </c>
      <c r="U795">
        <v>0</v>
      </c>
      <c r="V795">
        <v>200</v>
      </c>
      <c r="W795">
        <v>700</v>
      </c>
      <c r="X795">
        <v>200</v>
      </c>
      <c r="Y795">
        <v>0</v>
      </c>
      <c r="Z795" s="8">
        <v>700</v>
      </c>
      <c r="AA795">
        <v>275</v>
      </c>
      <c r="AB795">
        <v>0</v>
      </c>
      <c r="AC795">
        <v>2.5454545454545454</v>
      </c>
      <c r="AD795" s="1">
        <v>23</v>
      </c>
      <c r="AE795" s="2">
        <v>46271</v>
      </c>
      <c r="AF795" s="2">
        <v>46279</v>
      </c>
      <c r="AG795" s="2">
        <v>46286</v>
      </c>
      <c r="AH795">
        <v>200</v>
      </c>
      <c r="AI795" s="3">
        <v>0.29556650246305421</v>
      </c>
      <c r="AJ795" s="1">
        <v>79</v>
      </c>
      <c r="AK795" s="2">
        <v>46342</v>
      </c>
      <c r="AL795" s="4">
        <v>30</v>
      </c>
      <c r="AM795" s="5">
        <v>15</v>
      </c>
      <c r="AN795" s="4">
        <v>23</v>
      </c>
      <c r="AO795">
        <v>206.89655172413796</v>
      </c>
      <c r="AP795" s="4">
        <v>1</v>
      </c>
      <c r="AQ795" t="s">
        <v>1619</v>
      </c>
      <c r="AR795" t="s">
        <v>1620</v>
      </c>
      <c r="AT795" s="16" t="str">
        <f>_xlfn.XLOOKUP(B795,'SWiSH Demand Forecast Sep-26'!D:D,'SWiSH Demand Forecast Sep-26'!G:G,"Not Exist")</f>
        <v>Not Exist</v>
      </c>
    </row>
    <row r="796" spans="1:46" x14ac:dyDescent="0.3">
      <c r="A796">
        <v>101600025</v>
      </c>
      <c r="B796" t="s">
        <v>2710</v>
      </c>
      <c r="C796" t="s">
        <v>10</v>
      </c>
      <c r="D796" t="s">
        <v>1613</v>
      </c>
      <c r="E796" t="s">
        <v>2161</v>
      </c>
      <c r="F796" t="s">
        <v>1631</v>
      </c>
      <c r="G796" t="s">
        <v>1624</v>
      </c>
      <c r="H796" t="s">
        <v>1768</v>
      </c>
      <c r="I796" t="s">
        <v>1634</v>
      </c>
      <c r="J796" t="s">
        <v>2273</v>
      </c>
      <c r="K796">
        <v>3.3999990000000001E-2</v>
      </c>
      <c r="L796">
        <v>186.999945</v>
      </c>
      <c r="M796" s="1">
        <v>3</v>
      </c>
      <c r="N796">
        <v>0</v>
      </c>
      <c r="O796">
        <v>0</v>
      </c>
      <c r="P796">
        <v>5500</v>
      </c>
      <c r="Q796" s="1">
        <v>5500</v>
      </c>
      <c r="R796">
        <v>32</v>
      </c>
      <c r="S796" s="2">
        <v>46247</v>
      </c>
      <c r="T796" s="2">
        <v>46260</v>
      </c>
      <c r="U796">
        <v>4000</v>
      </c>
      <c r="V796">
        <v>5500</v>
      </c>
      <c r="W796">
        <v>7000</v>
      </c>
      <c r="X796">
        <v>6000</v>
      </c>
      <c r="Y796">
        <v>4000</v>
      </c>
      <c r="Z796" s="8">
        <v>7000</v>
      </c>
      <c r="AA796">
        <v>5625</v>
      </c>
      <c r="AB796">
        <v>0.71111111111111114</v>
      </c>
      <c r="AC796">
        <v>1.2444444444444445</v>
      </c>
      <c r="AD796" s="1">
        <v>23</v>
      </c>
      <c r="AE796" s="2">
        <v>46271</v>
      </c>
      <c r="AF796" s="2">
        <v>46279</v>
      </c>
      <c r="AG796" s="2">
        <v>46286</v>
      </c>
      <c r="AH796">
        <v>5500</v>
      </c>
      <c r="AI796" s="3">
        <v>0.81280788177339902</v>
      </c>
      <c r="AJ796" s="1">
        <v>29</v>
      </c>
      <c r="AK796" s="2">
        <v>46292</v>
      </c>
      <c r="AL796" s="4">
        <v>30</v>
      </c>
      <c r="AM796" s="5">
        <v>15</v>
      </c>
      <c r="AN796" s="4">
        <v>23</v>
      </c>
      <c r="AO796">
        <v>5689.6551724137935</v>
      </c>
      <c r="AP796" s="4">
        <v>1</v>
      </c>
      <c r="AQ796" t="s">
        <v>1619</v>
      </c>
      <c r="AR796" t="s">
        <v>1620</v>
      </c>
      <c r="AT796" s="16" t="str">
        <f>_xlfn.XLOOKUP(B796,'SWiSH Demand Forecast Sep-26'!D:D,'SWiSH Demand Forecast Sep-26'!G:G,"Not Exist")</f>
        <v>Not Exist</v>
      </c>
    </row>
    <row r="797" spans="1:46" hidden="1" x14ac:dyDescent="0.3">
      <c r="A797">
        <v>100100142</v>
      </c>
      <c r="B797" t="s">
        <v>1538</v>
      </c>
      <c r="C797" t="s">
        <v>240</v>
      </c>
      <c r="D797" t="s">
        <v>1613</v>
      </c>
      <c r="E797" t="s">
        <v>2151</v>
      </c>
      <c r="F797" t="s">
        <v>1941</v>
      </c>
      <c r="G797" t="s">
        <v>1624</v>
      </c>
      <c r="H797" t="s">
        <v>1877</v>
      </c>
      <c r="I797" t="s">
        <v>1618</v>
      </c>
      <c r="J797" t="s">
        <v>2525</v>
      </c>
      <c r="K797">
        <v>39.75</v>
      </c>
      <c r="L797">
        <v>556.5</v>
      </c>
      <c r="M797" s="1">
        <v>3</v>
      </c>
      <c r="N797">
        <v>0</v>
      </c>
      <c r="O797">
        <v>0</v>
      </c>
      <c r="P797">
        <v>14</v>
      </c>
      <c r="Q797" s="1">
        <v>14</v>
      </c>
      <c r="R797">
        <v>35</v>
      </c>
      <c r="S797" s="2">
        <v>46193</v>
      </c>
      <c r="T797" s="2">
        <v>46261</v>
      </c>
      <c r="U797">
        <v>14</v>
      </c>
      <c r="V797">
        <v>9</v>
      </c>
      <c r="W797">
        <v>12</v>
      </c>
      <c r="X797">
        <v>18</v>
      </c>
      <c r="Y797">
        <v>9</v>
      </c>
      <c r="Z797" s="8">
        <v>18</v>
      </c>
      <c r="AA797">
        <v>13.25</v>
      </c>
      <c r="AB797">
        <v>0.67924528301886788</v>
      </c>
      <c r="AC797">
        <v>1.3584905660377358</v>
      </c>
      <c r="AD797" s="1">
        <v>23</v>
      </c>
      <c r="AE797" s="2">
        <v>46271</v>
      </c>
      <c r="AF797" s="2">
        <v>46279</v>
      </c>
      <c r="AG797" s="2">
        <v>46286</v>
      </c>
      <c r="AH797">
        <v>8</v>
      </c>
      <c r="AI797" s="3">
        <v>0.45977011494252878</v>
      </c>
      <c r="AJ797" s="1">
        <v>50</v>
      </c>
      <c r="AK797" s="2">
        <v>46313</v>
      </c>
      <c r="AL797" s="4">
        <v>30</v>
      </c>
      <c r="AM797" s="5">
        <v>15</v>
      </c>
      <c r="AN797" s="4">
        <v>23</v>
      </c>
      <c r="AO797">
        <v>8.2758620689655178</v>
      </c>
      <c r="AP797" s="4">
        <v>1</v>
      </c>
      <c r="AQ797" t="s">
        <v>1619</v>
      </c>
      <c r="AR797" t="s">
        <v>1620</v>
      </c>
      <c r="AT797" s="16">
        <f>_xlfn.XLOOKUP(B797,'SWiSH Demand Forecast Sep-26'!D:D,'SWiSH Demand Forecast Sep-26'!G:G,"Not Exist")</f>
        <v>1.08593155893536</v>
      </c>
    </row>
    <row r="798" spans="1:46" hidden="1" x14ac:dyDescent="0.3">
      <c r="A798">
        <v>106800285</v>
      </c>
      <c r="B798" t="s">
        <v>153</v>
      </c>
      <c r="C798" t="s">
        <v>10</v>
      </c>
      <c r="D798" t="s">
        <v>1613</v>
      </c>
      <c r="E798" t="s">
        <v>1732</v>
      </c>
      <c r="F798" t="s">
        <v>1664</v>
      </c>
      <c r="G798" t="s">
        <v>1624</v>
      </c>
      <c r="H798" t="s">
        <v>1665</v>
      </c>
      <c r="I798" t="s">
        <v>1634</v>
      </c>
      <c r="J798" t="s">
        <v>10</v>
      </c>
      <c r="K798">
        <v>3.50396E-3</v>
      </c>
      <c r="L798">
        <v>94.603416039999999</v>
      </c>
      <c r="M798" s="1">
        <v>7</v>
      </c>
      <c r="N798">
        <v>0</v>
      </c>
      <c r="O798">
        <v>0</v>
      </c>
      <c r="P798">
        <v>26999</v>
      </c>
      <c r="Q798" s="1">
        <v>26999</v>
      </c>
      <c r="R798">
        <v>5.0000000000000001E-3</v>
      </c>
      <c r="S798" s="2">
        <v>46216</v>
      </c>
      <c r="T798" s="2">
        <v>46261</v>
      </c>
      <c r="U798">
        <v>28000</v>
      </c>
      <c r="V798">
        <v>34000</v>
      </c>
      <c r="W798">
        <v>9000</v>
      </c>
      <c r="X798">
        <v>20000</v>
      </c>
      <c r="Y798">
        <v>9000</v>
      </c>
      <c r="Z798" s="8">
        <v>34000</v>
      </c>
      <c r="AA798">
        <v>22750</v>
      </c>
      <c r="AB798">
        <v>0.39560439560439559</v>
      </c>
      <c r="AC798">
        <v>1.4945054945054945</v>
      </c>
      <c r="AD798" s="1">
        <v>23</v>
      </c>
      <c r="AE798" s="2">
        <v>46271</v>
      </c>
      <c r="AF798" s="2">
        <v>46279</v>
      </c>
      <c r="AG798" s="2">
        <v>46286</v>
      </c>
      <c r="AH798">
        <v>9001</v>
      </c>
      <c r="AI798" s="3">
        <v>0.27386409736308315</v>
      </c>
      <c r="AJ798" s="1">
        <v>86</v>
      </c>
      <c r="AK798" s="2">
        <v>46349</v>
      </c>
      <c r="AL798" s="4">
        <v>30</v>
      </c>
      <c r="AM798" s="5">
        <v>15</v>
      </c>
      <c r="AN798" s="4">
        <v>23</v>
      </c>
      <c r="AO798">
        <v>9311.3793103448279</v>
      </c>
      <c r="AP798" s="4">
        <v>1</v>
      </c>
      <c r="AQ798">
        <v>36000</v>
      </c>
      <c r="AR798" t="s">
        <v>1829</v>
      </c>
      <c r="AT798" s="16">
        <f>_xlfn.XLOOKUP(B798,'SWiSH Demand Forecast Sep-26'!D:D,'SWiSH Demand Forecast Sep-26'!G:G,"Not Exist")</f>
        <v>12082</v>
      </c>
    </row>
    <row r="799" spans="1:46" hidden="1" x14ac:dyDescent="0.3">
      <c r="A799">
        <v>103900005</v>
      </c>
      <c r="B799" t="s">
        <v>575</v>
      </c>
      <c r="C799" t="s">
        <v>10</v>
      </c>
      <c r="D799" t="s">
        <v>1613</v>
      </c>
      <c r="E799" t="s">
        <v>2711</v>
      </c>
      <c r="F799" t="s">
        <v>1840</v>
      </c>
      <c r="G799" t="s">
        <v>1616</v>
      </c>
      <c r="H799" t="s">
        <v>2063</v>
      </c>
      <c r="I799" t="s">
        <v>1618</v>
      </c>
      <c r="J799" t="s">
        <v>10</v>
      </c>
      <c r="K799">
        <v>1.4E-2</v>
      </c>
      <c r="L799">
        <v>127.4</v>
      </c>
      <c r="M799" s="1">
        <v>3</v>
      </c>
      <c r="N799">
        <v>0</v>
      </c>
      <c r="O799">
        <v>0</v>
      </c>
      <c r="P799">
        <v>9100</v>
      </c>
      <c r="Q799" s="1">
        <v>9100</v>
      </c>
      <c r="R799">
        <v>1.4</v>
      </c>
      <c r="S799" s="2">
        <v>46197</v>
      </c>
      <c r="T799" s="2">
        <v>46263</v>
      </c>
      <c r="U799">
        <v>11402</v>
      </c>
      <c r="V799">
        <v>10000</v>
      </c>
      <c r="W799">
        <v>7900</v>
      </c>
      <c r="X799">
        <v>7000</v>
      </c>
      <c r="Y799">
        <v>7000</v>
      </c>
      <c r="Z799" s="8">
        <v>11402</v>
      </c>
      <c r="AA799">
        <v>9075.5</v>
      </c>
      <c r="AB799">
        <v>0.77130736598534511</v>
      </c>
      <c r="AC799">
        <v>1.256349512423558</v>
      </c>
      <c r="AD799" s="1">
        <v>23</v>
      </c>
      <c r="AE799" s="2">
        <v>46271</v>
      </c>
      <c r="AF799" s="2">
        <v>46279</v>
      </c>
      <c r="AG799" s="2">
        <v>46286</v>
      </c>
      <c r="AH799">
        <v>6600</v>
      </c>
      <c r="AI799" s="3">
        <v>0.59880601709318992</v>
      </c>
      <c r="AJ799" s="1">
        <v>39</v>
      </c>
      <c r="AK799" s="2">
        <v>46302</v>
      </c>
      <c r="AL799" s="4">
        <v>30</v>
      </c>
      <c r="AM799" s="5">
        <v>15</v>
      </c>
      <c r="AN799" s="4">
        <v>23</v>
      </c>
      <c r="AO799">
        <v>6827.5862068965516</v>
      </c>
      <c r="AP799" s="4">
        <v>1</v>
      </c>
      <c r="AQ799" t="s">
        <v>1619</v>
      </c>
      <c r="AR799" t="s">
        <v>1620</v>
      </c>
      <c r="AT799" s="16">
        <f>_xlfn.XLOOKUP(B799,'SWiSH Demand Forecast Sep-26'!D:D,'SWiSH Demand Forecast Sep-26'!G:G,"Not Exist")</f>
        <v>1132.2484145088099</v>
      </c>
    </row>
    <row r="800" spans="1:46" hidden="1" x14ac:dyDescent="0.3">
      <c r="A800">
        <v>103400021</v>
      </c>
      <c r="B800" t="s">
        <v>938</v>
      </c>
      <c r="C800" t="s">
        <v>136</v>
      </c>
      <c r="D800" t="s">
        <v>1613</v>
      </c>
      <c r="E800" t="s">
        <v>2712</v>
      </c>
      <c r="F800" t="s">
        <v>1752</v>
      </c>
      <c r="G800" t="s">
        <v>1616</v>
      </c>
      <c r="H800" t="s">
        <v>1931</v>
      </c>
      <c r="I800" t="s">
        <v>1754</v>
      </c>
      <c r="J800" t="s">
        <v>1959</v>
      </c>
      <c r="K800">
        <v>0.53000270000000005</v>
      </c>
      <c r="L800">
        <v>137.800702</v>
      </c>
      <c r="M800" s="1">
        <v>3</v>
      </c>
      <c r="N800">
        <v>0</v>
      </c>
      <c r="O800">
        <v>0</v>
      </c>
      <c r="P800">
        <v>260</v>
      </c>
      <c r="Q800" s="1">
        <v>260</v>
      </c>
      <c r="R800">
        <v>5.3</v>
      </c>
      <c r="S800" s="2">
        <v>46261</v>
      </c>
      <c r="T800" s="2">
        <v>46263</v>
      </c>
      <c r="U800">
        <v>280</v>
      </c>
      <c r="V800">
        <v>330</v>
      </c>
      <c r="W800">
        <v>320</v>
      </c>
      <c r="X800">
        <v>290</v>
      </c>
      <c r="Y800">
        <v>280</v>
      </c>
      <c r="Z800" s="8">
        <v>330</v>
      </c>
      <c r="AA800">
        <v>305</v>
      </c>
      <c r="AB800">
        <v>0.91803278688524592</v>
      </c>
      <c r="AC800">
        <v>1.0819672131147542</v>
      </c>
      <c r="AD800" s="1">
        <v>23</v>
      </c>
      <c r="AE800" s="2">
        <v>46271</v>
      </c>
      <c r="AF800" s="2">
        <v>46279</v>
      </c>
      <c r="AG800" s="2">
        <v>46286</v>
      </c>
      <c r="AH800">
        <v>280</v>
      </c>
      <c r="AI800" s="3">
        <v>0.87774294670846387</v>
      </c>
      <c r="AJ800" s="1">
        <v>26</v>
      </c>
      <c r="AK800" s="2">
        <v>46289</v>
      </c>
      <c r="AL800" s="4">
        <v>30</v>
      </c>
      <c r="AM800" s="5">
        <v>15</v>
      </c>
      <c r="AN800" s="4">
        <v>23</v>
      </c>
      <c r="AO800">
        <v>289.65517241379308</v>
      </c>
      <c r="AP800" s="4">
        <v>1</v>
      </c>
      <c r="AQ800" t="s">
        <v>1619</v>
      </c>
      <c r="AR800" t="s">
        <v>1620</v>
      </c>
      <c r="AT800" s="16">
        <f>_xlfn.XLOOKUP(B800,'SWiSH Demand Forecast Sep-26'!D:D,'SWiSH Demand Forecast Sep-26'!G:G,"Not Exist")</f>
        <v>209.44</v>
      </c>
    </row>
    <row r="801" spans="1:46" x14ac:dyDescent="0.3">
      <c r="A801">
        <v>106700082</v>
      </c>
      <c r="B801" t="s">
        <v>2713</v>
      </c>
      <c r="C801" t="s">
        <v>10</v>
      </c>
      <c r="D801" t="s">
        <v>1613</v>
      </c>
      <c r="E801" t="s">
        <v>2714</v>
      </c>
      <c r="F801" t="s">
        <v>1650</v>
      </c>
      <c r="G801" t="s">
        <v>1624</v>
      </c>
      <c r="H801" t="s">
        <v>1651</v>
      </c>
      <c r="I801" t="s">
        <v>1634</v>
      </c>
      <c r="J801" t="s">
        <v>10</v>
      </c>
      <c r="K801">
        <v>2.5000000000000001E-2</v>
      </c>
      <c r="L801">
        <v>38.225000000000001</v>
      </c>
      <c r="M801" s="1">
        <v>3</v>
      </c>
      <c r="N801">
        <v>0</v>
      </c>
      <c r="O801">
        <v>10</v>
      </c>
      <c r="P801">
        <v>1529</v>
      </c>
      <c r="Q801" s="1">
        <v>1519</v>
      </c>
      <c r="R801">
        <v>0.5</v>
      </c>
      <c r="S801" s="2">
        <v>46254</v>
      </c>
      <c r="T801" s="2">
        <v>46263</v>
      </c>
      <c r="U801">
        <v>1910</v>
      </c>
      <c r="V801">
        <v>1780</v>
      </c>
      <c r="W801">
        <v>1532</v>
      </c>
      <c r="X801">
        <v>1700</v>
      </c>
      <c r="Y801">
        <v>1532</v>
      </c>
      <c r="Z801" s="8">
        <v>1910</v>
      </c>
      <c r="AA801">
        <v>1730.5</v>
      </c>
      <c r="AB801">
        <v>0.88529326784166429</v>
      </c>
      <c r="AC801">
        <v>1.1037272464605605</v>
      </c>
      <c r="AD801" s="1">
        <v>23</v>
      </c>
      <c r="AE801" s="2">
        <v>46271</v>
      </c>
      <c r="AF801" s="2">
        <v>46279</v>
      </c>
      <c r="AG801" s="2">
        <v>46286</v>
      </c>
      <c r="AH801">
        <v>1430</v>
      </c>
      <c r="AI801" s="3">
        <v>0.77450803394114465</v>
      </c>
      <c r="AJ801" s="1">
        <v>30</v>
      </c>
      <c r="AK801" s="2">
        <v>46293</v>
      </c>
      <c r="AL801" s="4">
        <v>30</v>
      </c>
      <c r="AM801" s="5">
        <v>15</v>
      </c>
      <c r="AN801" s="4">
        <v>23</v>
      </c>
      <c r="AO801">
        <v>1479.3103448275863</v>
      </c>
      <c r="AP801" s="4">
        <v>1</v>
      </c>
      <c r="AQ801" t="s">
        <v>1619</v>
      </c>
      <c r="AR801" t="s">
        <v>1620</v>
      </c>
      <c r="AT801" s="16" t="str">
        <f>_xlfn.XLOOKUP(B801,'SWiSH Demand Forecast Sep-26'!D:D,'SWiSH Demand Forecast Sep-26'!G:G,"Not Exist")</f>
        <v>Not Exist</v>
      </c>
    </row>
    <row r="802" spans="1:46" x14ac:dyDescent="0.3">
      <c r="A802">
        <v>101500019</v>
      </c>
      <c r="B802" t="s">
        <v>2715</v>
      </c>
      <c r="C802" t="s">
        <v>10</v>
      </c>
      <c r="D802" t="s">
        <v>1613</v>
      </c>
      <c r="E802" t="s">
        <v>2716</v>
      </c>
      <c r="F802" t="s">
        <v>1644</v>
      </c>
      <c r="G802" t="s">
        <v>1624</v>
      </c>
      <c r="H802" t="s">
        <v>1647</v>
      </c>
      <c r="I802" t="s">
        <v>1634</v>
      </c>
      <c r="J802" t="s">
        <v>1688</v>
      </c>
      <c r="K802">
        <v>2.9084700000000002E-2</v>
      </c>
      <c r="L802">
        <v>132.9752484</v>
      </c>
      <c r="M802" s="1">
        <v>3</v>
      </c>
      <c r="N802">
        <v>0</v>
      </c>
      <c r="O802">
        <v>60</v>
      </c>
      <c r="P802">
        <v>4572</v>
      </c>
      <c r="Q802" s="1">
        <v>4512</v>
      </c>
      <c r="R802">
        <v>0.35</v>
      </c>
      <c r="S802" s="2">
        <v>46254</v>
      </c>
      <c r="T802" s="2">
        <v>46263</v>
      </c>
      <c r="U802">
        <v>4068</v>
      </c>
      <c r="V802">
        <v>5832</v>
      </c>
      <c r="W802">
        <v>5700</v>
      </c>
      <c r="X802">
        <v>5760</v>
      </c>
      <c r="Y802">
        <v>4068</v>
      </c>
      <c r="Z802" s="8">
        <v>5832</v>
      </c>
      <c r="AA802">
        <v>5340</v>
      </c>
      <c r="AB802">
        <v>0.76179775280898876</v>
      </c>
      <c r="AC802">
        <v>1.0921348314606742</v>
      </c>
      <c r="AD802" s="1">
        <v>23</v>
      </c>
      <c r="AE802" s="2">
        <v>46271</v>
      </c>
      <c r="AF802" s="2">
        <v>46279</v>
      </c>
      <c r="AG802" s="2">
        <v>46286</v>
      </c>
      <c r="AH802">
        <v>6024</v>
      </c>
      <c r="AI802" s="3">
        <v>1.068539804171988</v>
      </c>
      <c r="AJ802" s="1">
        <v>21</v>
      </c>
      <c r="AK802" s="2">
        <v>46284</v>
      </c>
      <c r="AL802" s="4">
        <v>30</v>
      </c>
      <c r="AM802" s="5">
        <v>15</v>
      </c>
      <c r="AN802" s="4">
        <v>21</v>
      </c>
      <c r="AO802">
        <v>6231.7241379310344</v>
      </c>
      <c r="AP802" s="4">
        <v>1</v>
      </c>
      <c r="AQ802" t="s">
        <v>1619</v>
      </c>
      <c r="AR802" t="s">
        <v>1620</v>
      </c>
      <c r="AT802" s="16" t="str">
        <f>_xlfn.XLOOKUP(B802,'SWiSH Demand Forecast Sep-26'!D:D,'SWiSH Demand Forecast Sep-26'!G:G,"Not Exist")</f>
        <v>Not Exist</v>
      </c>
    </row>
    <row r="803" spans="1:46" hidden="1" x14ac:dyDescent="0.3">
      <c r="A803">
        <v>107400071</v>
      </c>
      <c r="B803" t="s">
        <v>42</v>
      </c>
      <c r="C803" t="s">
        <v>10</v>
      </c>
      <c r="D803" t="s">
        <v>1613</v>
      </c>
      <c r="E803" t="s">
        <v>1663</v>
      </c>
      <c r="F803" t="s">
        <v>1664</v>
      </c>
      <c r="G803" t="s">
        <v>1624</v>
      </c>
      <c r="H803" t="s">
        <v>2016</v>
      </c>
      <c r="I803" t="s">
        <v>1634</v>
      </c>
      <c r="J803" t="s">
        <v>10</v>
      </c>
      <c r="K803">
        <v>1.0999999999999999E-2</v>
      </c>
      <c r="L803">
        <v>720.5</v>
      </c>
      <c r="M803" s="1">
        <v>15</v>
      </c>
      <c r="N803">
        <v>0</v>
      </c>
      <c r="O803">
        <v>500</v>
      </c>
      <c r="P803">
        <v>65500</v>
      </c>
      <c r="Q803" s="1">
        <v>65000</v>
      </c>
      <c r="R803">
        <v>1.0999999999999999E-2</v>
      </c>
      <c r="S803" s="2">
        <v>46258</v>
      </c>
      <c r="T803" s="2">
        <v>46263</v>
      </c>
      <c r="U803">
        <v>68000</v>
      </c>
      <c r="V803">
        <v>84000</v>
      </c>
      <c r="W803">
        <v>74500</v>
      </c>
      <c r="X803">
        <v>76500</v>
      </c>
      <c r="Y803">
        <v>68000</v>
      </c>
      <c r="Z803" s="8">
        <v>84000</v>
      </c>
      <c r="AA803">
        <v>75750</v>
      </c>
      <c r="AB803">
        <v>0.89768976897689767</v>
      </c>
      <c r="AC803">
        <v>1.108910891089109</v>
      </c>
      <c r="AD803" s="1">
        <v>23</v>
      </c>
      <c r="AE803" s="2">
        <v>46271</v>
      </c>
      <c r="AF803" s="2">
        <v>46279</v>
      </c>
      <c r="AG803" s="2">
        <v>46286</v>
      </c>
      <c r="AH803">
        <v>66500</v>
      </c>
      <c r="AI803" s="3">
        <v>0.81896551724137923</v>
      </c>
      <c r="AJ803" s="1">
        <v>28</v>
      </c>
      <c r="AK803" s="2">
        <v>46291</v>
      </c>
      <c r="AL803" s="4">
        <v>30</v>
      </c>
      <c r="AM803" s="5">
        <v>15</v>
      </c>
      <c r="AN803" s="4">
        <v>23</v>
      </c>
      <c r="AO803">
        <v>68793.103448275855</v>
      </c>
      <c r="AP803" s="4">
        <v>1</v>
      </c>
      <c r="AQ803">
        <v>483500</v>
      </c>
      <c r="AR803" t="s">
        <v>2032</v>
      </c>
      <c r="AT803" s="16">
        <f>_xlfn.XLOOKUP(B803,'SWiSH Demand Forecast Sep-26'!D:D,'SWiSH Demand Forecast Sep-26'!G:G,"Not Exist")</f>
        <v>57419</v>
      </c>
    </row>
    <row r="804" spans="1:46" hidden="1" x14ac:dyDescent="0.3">
      <c r="A804">
        <v>100300010</v>
      </c>
      <c r="B804" t="s">
        <v>384</v>
      </c>
      <c r="C804" t="s">
        <v>136</v>
      </c>
      <c r="D804" t="s">
        <v>1613</v>
      </c>
      <c r="E804" t="s">
        <v>1832</v>
      </c>
      <c r="F804" t="s">
        <v>1752</v>
      </c>
      <c r="G804" t="s">
        <v>1616</v>
      </c>
      <c r="H804" t="s">
        <v>2018</v>
      </c>
      <c r="I804" t="s">
        <v>1754</v>
      </c>
      <c r="J804" t="s">
        <v>2717</v>
      </c>
      <c r="K804">
        <v>4.1492847700000004</v>
      </c>
      <c r="L804">
        <v>19134.385224007299</v>
      </c>
      <c r="M804" s="1">
        <v>3</v>
      </c>
      <c r="N804">
        <v>0</v>
      </c>
      <c r="O804">
        <v>0</v>
      </c>
      <c r="P804">
        <v>4611.49</v>
      </c>
      <c r="Q804" s="1">
        <v>4611.49</v>
      </c>
      <c r="R804">
        <v>4.0999999999999996</v>
      </c>
      <c r="S804" s="2">
        <v>46259</v>
      </c>
      <c r="T804" s="2">
        <v>46263</v>
      </c>
      <c r="U804">
        <v>5877.84</v>
      </c>
      <c r="V804">
        <v>5013.66</v>
      </c>
      <c r="W804">
        <v>4180.3900000000003</v>
      </c>
      <c r="X804">
        <v>5314.77</v>
      </c>
      <c r="Y804">
        <v>4180.3900000000003</v>
      </c>
      <c r="Z804" s="8">
        <v>5877.84</v>
      </c>
      <c r="AA804">
        <v>5096.665</v>
      </c>
      <c r="AB804">
        <v>0.82022067371506668</v>
      </c>
      <c r="AC804">
        <v>1.1532717963609538</v>
      </c>
      <c r="AD804" s="1">
        <v>23</v>
      </c>
      <c r="AE804" s="2">
        <v>46271</v>
      </c>
      <c r="AF804" s="2">
        <v>46279</v>
      </c>
      <c r="AG804" s="2">
        <v>46286</v>
      </c>
      <c r="AH804">
        <v>3375.8800000000006</v>
      </c>
      <c r="AI804" s="3">
        <v>0.59414506947661283</v>
      </c>
      <c r="AJ804" s="1">
        <v>39</v>
      </c>
      <c r="AK804" s="2">
        <v>46302</v>
      </c>
      <c r="AL804" s="4">
        <v>8</v>
      </c>
      <c r="AM804" s="5">
        <v>5</v>
      </c>
      <c r="AN804" s="4">
        <v>23</v>
      </c>
      <c r="AO804">
        <v>931.27724137931034</v>
      </c>
      <c r="AP804" s="4">
        <v>4</v>
      </c>
      <c r="AQ804" t="s">
        <v>1619</v>
      </c>
      <c r="AR804" t="s">
        <v>1620</v>
      </c>
      <c r="AT804" s="16">
        <f>_xlfn.XLOOKUP(B804,'SWiSH Demand Forecast Sep-26'!D:D,'SWiSH Demand Forecast Sep-26'!G:G,"Not Exist")</f>
        <v>2971.1759105265601</v>
      </c>
    </row>
    <row r="805" spans="1:46" hidden="1" x14ac:dyDescent="0.3">
      <c r="A805">
        <v>100100139</v>
      </c>
      <c r="B805" t="s">
        <v>1232</v>
      </c>
      <c r="C805" t="s">
        <v>136</v>
      </c>
      <c r="D805" t="s">
        <v>1613</v>
      </c>
      <c r="E805" t="s">
        <v>1732</v>
      </c>
      <c r="F805" t="s">
        <v>1941</v>
      </c>
      <c r="G805" t="s">
        <v>1616</v>
      </c>
      <c r="H805" t="s">
        <v>1877</v>
      </c>
      <c r="I805" t="s">
        <v>1618</v>
      </c>
      <c r="J805" t="s">
        <v>2086</v>
      </c>
      <c r="K805">
        <v>1.5</v>
      </c>
      <c r="L805">
        <v>126</v>
      </c>
      <c r="M805" s="1">
        <v>3</v>
      </c>
      <c r="N805">
        <v>0</v>
      </c>
      <c r="O805">
        <v>0</v>
      </c>
      <c r="P805">
        <v>84</v>
      </c>
      <c r="Q805" s="1">
        <v>84</v>
      </c>
      <c r="R805">
        <v>3</v>
      </c>
      <c r="S805" s="2">
        <v>46230</v>
      </c>
      <c r="T805" s="2">
        <v>46263</v>
      </c>
      <c r="U805">
        <v>108</v>
      </c>
      <c r="V805">
        <v>84</v>
      </c>
      <c r="W805">
        <v>108</v>
      </c>
      <c r="X805">
        <v>96</v>
      </c>
      <c r="Y805">
        <v>84</v>
      </c>
      <c r="Z805" s="8">
        <v>108</v>
      </c>
      <c r="AA805">
        <v>99</v>
      </c>
      <c r="AB805">
        <v>0.84848484848484851</v>
      </c>
      <c r="AC805">
        <v>1.0909090909090908</v>
      </c>
      <c r="AD805" s="1">
        <v>23</v>
      </c>
      <c r="AE805" s="2">
        <v>46271</v>
      </c>
      <c r="AF805" s="2">
        <v>46279</v>
      </c>
      <c r="AG805" s="2">
        <v>46286</v>
      </c>
      <c r="AH805">
        <v>72</v>
      </c>
      <c r="AI805" s="3">
        <v>0.68965517241379304</v>
      </c>
      <c r="AJ805" s="1">
        <v>33</v>
      </c>
      <c r="AK805" s="2">
        <v>46296</v>
      </c>
      <c r="AL805" s="4">
        <v>30</v>
      </c>
      <c r="AM805" s="5">
        <v>15</v>
      </c>
      <c r="AN805" s="4">
        <v>23</v>
      </c>
      <c r="AO805">
        <v>74.482758620689651</v>
      </c>
      <c r="AP805" s="4">
        <v>1</v>
      </c>
      <c r="AQ805" t="s">
        <v>1619</v>
      </c>
      <c r="AR805" t="s">
        <v>1620</v>
      </c>
      <c r="AT805" s="16">
        <f>_xlfn.XLOOKUP(B805,'SWiSH Demand Forecast Sep-26'!D:D,'SWiSH Demand Forecast Sep-26'!G:G,"Not Exist")</f>
        <v>47.5625</v>
      </c>
    </row>
    <row r="806" spans="1:46" x14ac:dyDescent="0.3">
      <c r="A806">
        <v>106700103</v>
      </c>
      <c r="B806" t="s">
        <v>2718</v>
      </c>
      <c r="C806" t="s">
        <v>10</v>
      </c>
      <c r="D806" t="s">
        <v>1613</v>
      </c>
      <c r="E806" t="s">
        <v>2719</v>
      </c>
      <c r="F806" t="s">
        <v>1650</v>
      </c>
      <c r="G806" t="s">
        <v>1624</v>
      </c>
      <c r="H806" t="s">
        <v>1651</v>
      </c>
      <c r="I806" t="s">
        <v>1634</v>
      </c>
      <c r="J806" t="s">
        <v>2720</v>
      </c>
      <c r="K806">
        <v>0.09</v>
      </c>
      <c r="L806">
        <v>27.9</v>
      </c>
      <c r="M806" s="1">
        <v>3</v>
      </c>
      <c r="N806">
        <v>0</v>
      </c>
      <c r="O806">
        <v>0</v>
      </c>
      <c r="P806">
        <v>310</v>
      </c>
      <c r="Q806" s="1">
        <v>310</v>
      </c>
      <c r="R806">
        <v>0.9</v>
      </c>
      <c r="S806" s="2">
        <v>46247</v>
      </c>
      <c r="T806" s="2">
        <v>46261</v>
      </c>
      <c r="U806">
        <v>280</v>
      </c>
      <c r="V806">
        <v>400</v>
      </c>
      <c r="W806">
        <v>390</v>
      </c>
      <c r="X806">
        <v>280</v>
      </c>
      <c r="Y806">
        <v>280</v>
      </c>
      <c r="Z806" s="8">
        <v>400</v>
      </c>
      <c r="AA806">
        <v>337.5</v>
      </c>
      <c r="AB806">
        <v>0.82962962962962961</v>
      </c>
      <c r="AC806">
        <v>1.1851851851851851</v>
      </c>
      <c r="AD806" s="1">
        <v>23</v>
      </c>
      <c r="AE806" s="2">
        <v>46271</v>
      </c>
      <c r="AF806" s="2">
        <v>46279</v>
      </c>
      <c r="AG806" s="2">
        <v>46286</v>
      </c>
      <c r="AH806">
        <v>440</v>
      </c>
      <c r="AI806" s="3">
        <v>1.1379310344827587</v>
      </c>
      <c r="AJ806" s="1">
        <v>20</v>
      </c>
      <c r="AK806" s="2">
        <v>46283</v>
      </c>
      <c r="AL806" s="4">
        <v>30</v>
      </c>
      <c r="AM806" s="5">
        <v>15</v>
      </c>
      <c r="AN806" s="4">
        <v>20</v>
      </c>
      <c r="AO806">
        <v>455.17241379310349</v>
      </c>
      <c r="AP806" s="4">
        <v>1</v>
      </c>
      <c r="AQ806" t="s">
        <v>1619</v>
      </c>
      <c r="AR806" t="s">
        <v>1620</v>
      </c>
      <c r="AT806" s="16" t="str">
        <f>_xlfn.XLOOKUP(B806,'SWiSH Demand Forecast Sep-26'!D:D,'SWiSH Demand Forecast Sep-26'!G:G,"Not Exist")</f>
        <v>Not Exist</v>
      </c>
    </row>
    <row r="807" spans="1:46" x14ac:dyDescent="0.3">
      <c r="A807">
        <v>105900039</v>
      </c>
      <c r="B807" t="s">
        <v>2721</v>
      </c>
      <c r="C807" t="s">
        <v>10</v>
      </c>
      <c r="D807" t="s">
        <v>1613</v>
      </c>
      <c r="E807" t="s">
        <v>1732</v>
      </c>
      <c r="F807" t="s">
        <v>1664</v>
      </c>
      <c r="G807" t="s">
        <v>1616</v>
      </c>
      <c r="H807" t="s">
        <v>1729</v>
      </c>
      <c r="I807" t="s">
        <v>1634</v>
      </c>
      <c r="J807" t="s">
        <v>1733</v>
      </c>
      <c r="K807">
        <v>5.4799999999999996E-3</v>
      </c>
      <c r="L807">
        <v>195.636</v>
      </c>
      <c r="M807" s="1">
        <v>90</v>
      </c>
      <c r="N807">
        <v>0</v>
      </c>
      <c r="O807">
        <v>0</v>
      </c>
      <c r="P807">
        <v>35700</v>
      </c>
      <c r="Q807" s="1">
        <v>35700</v>
      </c>
      <c r="R807">
        <v>5.4799999999999996E-3</v>
      </c>
      <c r="S807" s="2">
        <v>46214</v>
      </c>
      <c r="T807" s="2">
        <v>46263</v>
      </c>
      <c r="U807">
        <v>9000</v>
      </c>
      <c r="V807">
        <v>0</v>
      </c>
      <c r="W807">
        <v>0</v>
      </c>
      <c r="X807">
        <v>45900</v>
      </c>
      <c r="Y807">
        <v>0</v>
      </c>
      <c r="Z807" s="8">
        <v>45900</v>
      </c>
      <c r="AA807">
        <v>13725</v>
      </c>
      <c r="AB807">
        <v>0</v>
      </c>
      <c r="AC807">
        <v>3.3442622950819674</v>
      </c>
      <c r="AD807" s="1">
        <v>23</v>
      </c>
      <c r="AE807" s="2">
        <v>46271</v>
      </c>
      <c r="AF807" s="2">
        <v>46279</v>
      </c>
      <c r="AG807" s="2">
        <v>46286</v>
      </c>
      <c r="AH807">
        <v>37400</v>
      </c>
      <c r="AI807" s="3">
        <v>0.84291187739463591</v>
      </c>
      <c r="AJ807" s="1">
        <v>27</v>
      </c>
      <c r="AK807" s="2">
        <v>46290</v>
      </c>
      <c r="AL807" s="4">
        <v>120</v>
      </c>
      <c r="AM807" s="5">
        <v>100</v>
      </c>
      <c r="AN807" s="4">
        <v>23</v>
      </c>
      <c r="AO807">
        <v>154758.62068965516</v>
      </c>
      <c r="AP807" s="4">
        <v>1</v>
      </c>
      <c r="AQ807" t="s">
        <v>1619</v>
      </c>
      <c r="AR807" t="s">
        <v>1620</v>
      </c>
      <c r="AT807" s="16" t="str">
        <f>_xlfn.XLOOKUP(B807,'SWiSH Demand Forecast Sep-26'!D:D,'SWiSH Demand Forecast Sep-26'!G:G,"Not Exist")</f>
        <v>Not Exist</v>
      </c>
    </row>
    <row r="808" spans="1:46" x14ac:dyDescent="0.3">
      <c r="A808">
        <v>105200033</v>
      </c>
      <c r="B808" t="s">
        <v>2722</v>
      </c>
      <c r="C808" t="s">
        <v>10</v>
      </c>
      <c r="D808" t="s">
        <v>1613</v>
      </c>
      <c r="E808" t="s">
        <v>1663</v>
      </c>
      <c r="F808" t="s">
        <v>1664</v>
      </c>
      <c r="G808" t="s">
        <v>1624</v>
      </c>
      <c r="H808" t="s">
        <v>1779</v>
      </c>
      <c r="I808" t="s">
        <v>1634</v>
      </c>
      <c r="J808" t="s">
        <v>10</v>
      </c>
      <c r="K808">
        <v>2.1000000000000001E-2</v>
      </c>
      <c r="L808">
        <v>2385.6000000000004</v>
      </c>
      <c r="M808" s="1">
        <v>30</v>
      </c>
      <c r="N808">
        <v>0</v>
      </c>
      <c r="O808">
        <v>3200</v>
      </c>
      <c r="P808">
        <v>113600</v>
      </c>
      <c r="Q808" s="1">
        <v>110400</v>
      </c>
      <c r="R808">
        <v>2.1000000000000001E-2</v>
      </c>
      <c r="S808" s="2">
        <v>46247</v>
      </c>
      <c r="T808" s="2">
        <v>46263</v>
      </c>
      <c r="U808">
        <v>116400</v>
      </c>
      <c r="V808">
        <v>133950</v>
      </c>
      <c r="W808">
        <v>139650</v>
      </c>
      <c r="X808">
        <v>142950</v>
      </c>
      <c r="Y808">
        <v>116400</v>
      </c>
      <c r="Z808" s="8">
        <v>142950</v>
      </c>
      <c r="AA808">
        <v>133237.5</v>
      </c>
      <c r="AB808">
        <v>0.87362792006754852</v>
      </c>
      <c r="AC808">
        <v>1.0728961441035745</v>
      </c>
      <c r="AD808" s="1">
        <v>23</v>
      </c>
      <c r="AE808" s="2">
        <v>46271</v>
      </c>
      <c r="AF808" s="2">
        <v>46279</v>
      </c>
      <c r="AG808" s="2">
        <v>46286</v>
      </c>
      <c r="AH808">
        <v>127200</v>
      </c>
      <c r="AI808" s="3">
        <v>0.92050511994789586</v>
      </c>
      <c r="AJ808" s="1">
        <v>25</v>
      </c>
      <c r="AK808" s="2">
        <v>46288</v>
      </c>
      <c r="AL808" s="4">
        <v>10</v>
      </c>
      <c r="AM808" s="5">
        <v>10</v>
      </c>
      <c r="AN808" s="4">
        <v>23</v>
      </c>
      <c r="AO808">
        <v>43862.068965517239</v>
      </c>
      <c r="AP808" s="4">
        <v>3</v>
      </c>
      <c r="AQ808">
        <v>378500</v>
      </c>
      <c r="AR808" t="s">
        <v>2034</v>
      </c>
      <c r="AT808" s="16" t="str">
        <f>_xlfn.XLOOKUP(B808,'SWiSH Demand Forecast Sep-26'!D:D,'SWiSH Demand Forecast Sep-26'!G:G,"Not Exist")</f>
        <v>Not Exist</v>
      </c>
    </row>
    <row r="809" spans="1:46" hidden="1" x14ac:dyDescent="0.3">
      <c r="A809">
        <v>101600005</v>
      </c>
      <c r="B809" t="s">
        <v>341</v>
      </c>
      <c r="C809" t="s">
        <v>10</v>
      </c>
      <c r="D809" t="s">
        <v>1613</v>
      </c>
      <c r="E809" t="s">
        <v>1732</v>
      </c>
      <c r="F809" t="s">
        <v>1631</v>
      </c>
      <c r="G809" t="s">
        <v>1616</v>
      </c>
      <c r="H809" t="s">
        <v>1768</v>
      </c>
      <c r="I809" t="s">
        <v>1634</v>
      </c>
      <c r="J809" t="s">
        <v>10</v>
      </c>
      <c r="K809">
        <v>4.353535E-2</v>
      </c>
      <c r="L809">
        <v>278.62624</v>
      </c>
      <c r="M809" s="1">
        <v>3</v>
      </c>
      <c r="N809">
        <v>0</v>
      </c>
      <c r="O809">
        <v>0</v>
      </c>
      <c r="P809">
        <v>6400</v>
      </c>
      <c r="Q809" s="1">
        <v>6400</v>
      </c>
      <c r="R809">
        <v>4.4999999999999998E-2</v>
      </c>
      <c r="S809" s="2">
        <v>46259</v>
      </c>
      <c r="T809" s="2">
        <v>46263</v>
      </c>
      <c r="U809">
        <v>7400</v>
      </c>
      <c r="V809">
        <v>7600</v>
      </c>
      <c r="W809">
        <v>7200</v>
      </c>
      <c r="X809">
        <v>8200</v>
      </c>
      <c r="Y809">
        <v>7200</v>
      </c>
      <c r="Z809" s="8">
        <v>8200</v>
      </c>
      <c r="AA809">
        <v>7600</v>
      </c>
      <c r="AB809">
        <v>0.94736842105263153</v>
      </c>
      <c r="AC809">
        <v>1.0789473684210527</v>
      </c>
      <c r="AD809" s="1">
        <v>23</v>
      </c>
      <c r="AE809" s="2">
        <v>46271</v>
      </c>
      <c r="AF809" s="2">
        <v>46279</v>
      </c>
      <c r="AG809" s="2">
        <v>46286</v>
      </c>
      <c r="AH809">
        <v>7200</v>
      </c>
      <c r="AI809" s="3">
        <v>0.9083263246425568</v>
      </c>
      <c r="AJ809" s="1">
        <v>25</v>
      </c>
      <c r="AK809" s="2">
        <v>46288</v>
      </c>
      <c r="AL809" s="4">
        <v>30</v>
      </c>
      <c r="AM809" s="5">
        <v>15</v>
      </c>
      <c r="AN809" s="4">
        <v>23</v>
      </c>
      <c r="AO809">
        <v>7448.2758620689656</v>
      </c>
      <c r="AP809" s="4">
        <v>1</v>
      </c>
      <c r="AQ809" t="s">
        <v>1619</v>
      </c>
      <c r="AR809" t="s">
        <v>1620</v>
      </c>
      <c r="AT809" s="16">
        <f>_xlfn.XLOOKUP(B809,'SWiSH Demand Forecast Sep-26'!D:D,'SWiSH Demand Forecast Sep-26'!G:G,"Not Exist")</f>
        <v>3793</v>
      </c>
    </row>
    <row r="810" spans="1:46" x14ac:dyDescent="0.3">
      <c r="A810">
        <v>104900017</v>
      </c>
      <c r="B810" t="s">
        <v>2723</v>
      </c>
      <c r="C810" t="s">
        <v>10</v>
      </c>
      <c r="D810" t="s">
        <v>1613</v>
      </c>
      <c r="E810" t="s">
        <v>2724</v>
      </c>
      <c r="F810" t="s">
        <v>1664</v>
      </c>
      <c r="G810" t="s">
        <v>1624</v>
      </c>
      <c r="H810" t="s">
        <v>1759</v>
      </c>
      <c r="I810" t="s">
        <v>1634</v>
      </c>
      <c r="J810" t="s">
        <v>10</v>
      </c>
      <c r="K810">
        <v>1.38586E-3</v>
      </c>
      <c r="L810">
        <v>692.93000000000006</v>
      </c>
      <c r="M810" s="1">
        <v>15</v>
      </c>
      <c r="N810">
        <v>0</v>
      </c>
      <c r="O810">
        <v>4000</v>
      </c>
      <c r="P810">
        <v>500000</v>
      </c>
      <c r="Q810" s="1">
        <v>496000</v>
      </c>
      <c r="R810">
        <v>5.5</v>
      </c>
      <c r="S810" s="2">
        <v>46256</v>
      </c>
      <c r="T810" s="2">
        <v>46263</v>
      </c>
      <c r="U810">
        <v>532000</v>
      </c>
      <c r="V810">
        <v>476000</v>
      </c>
      <c r="W810">
        <v>596000</v>
      </c>
      <c r="X810">
        <v>636000</v>
      </c>
      <c r="Y810">
        <v>476000</v>
      </c>
      <c r="Z810" s="8">
        <v>636000</v>
      </c>
      <c r="AA810">
        <v>560000</v>
      </c>
      <c r="AB810">
        <v>0.85</v>
      </c>
      <c r="AC810">
        <v>1.1357142857142857</v>
      </c>
      <c r="AD810" s="1">
        <v>23</v>
      </c>
      <c r="AE810" s="2">
        <v>46271</v>
      </c>
      <c r="AF810" s="2">
        <v>46279</v>
      </c>
      <c r="AG810" s="2">
        <v>46286</v>
      </c>
      <c r="AH810">
        <v>832000</v>
      </c>
      <c r="AI810" s="3">
        <v>1.3532856213402733</v>
      </c>
      <c r="AJ810" s="1">
        <v>17</v>
      </c>
      <c r="AK810" s="2">
        <v>46280</v>
      </c>
      <c r="AL810" s="4">
        <v>15</v>
      </c>
      <c r="AM810" s="5">
        <v>15</v>
      </c>
      <c r="AN810" s="4">
        <v>17</v>
      </c>
      <c r="AO810">
        <v>430344.8275862069</v>
      </c>
      <c r="AP810" s="4">
        <v>2</v>
      </c>
      <c r="AQ810">
        <v>402</v>
      </c>
      <c r="AR810" t="s">
        <v>2725</v>
      </c>
      <c r="AT810" s="16" t="str">
        <f>_xlfn.XLOOKUP(B810,'SWiSH Demand Forecast Sep-26'!D:D,'SWiSH Demand Forecast Sep-26'!G:G,"Not Exist")</f>
        <v>Not Exist</v>
      </c>
    </row>
    <row r="811" spans="1:46" x14ac:dyDescent="0.3">
      <c r="A811">
        <v>104200036</v>
      </c>
      <c r="B811" t="s">
        <v>2726</v>
      </c>
      <c r="C811" t="s">
        <v>10</v>
      </c>
      <c r="D811" t="s">
        <v>1613</v>
      </c>
      <c r="E811" t="s">
        <v>2727</v>
      </c>
      <c r="F811" t="s">
        <v>1631</v>
      </c>
      <c r="G811" t="s">
        <v>1624</v>
      </c>
      <c r="H811" t="s">
        <v>1633</v>
      </c>
      <c r="I811" t="s">
        <v>1634</v>
      </c>
      <c r="J811" t="s">
        <v>2728</v>
      </c>
      <c r="K811">
        <v>6.4999999999999997E-4</v>
      </c>
      <c r="L811">
        <v>221</v>
      </c>
      <c r="M811" s="1">
        <v>3</v>
      </c>
      <c r="N811">
        <v>0</v>
      </c>
      <c r="O811">
        <v>0</v>
      </c>
      <c r="P811">
        <v>340000</v>
      </c>
      <c r="Q811" s="1">
        <v>340000</v>
      </c>
      <c r="R811">
        <v>6.5</v>
      </c>
      <c r="S811" s="2">
        <v>46204</v>
      </c>
      <c r="T811" s="2">
        <v>46262</v>
      </c>
      <c r="U811">
        <v>27100</v>
      </c>
      <c r="V811">
        <v>200100</v>
      </c>
      <c r="W811">
        <v>418500</v>
      </c>
      <c r="X811">
        <v>187700</v>
      </c>
      <c r="Y811">
        <v>27100</v>
      </c>
      <c r="Z811" s="8">
        <v>418500</v>
      </c>
      <c r="AA811">
        <v>208350</v>
      </c>
      <c r="AB811">
        <v>0.1300695944324454</v>
      </c>
      <c r="AC811">
        <v>2.0086393088552916</v>
      </c>
      <c r="AD811" s="1">
        <v>24</v>
      </c>
      <c r="AE811" s="2">
        <v>46272</v>
      </c>
      <c r="AF811" s="2">
        <v>46280</v>
      </c>
      <c r="AG811" s="2">
        <v>46287</v>
      </c>
      <c r="AH811">
        <v>210000</v>
      </c>
      <c r="AI811" s="3">
        <v>0.51909529106414531</v>
      </c>
      <c r="AJ811" s="1">
        <v>46</v>
      </c>
      <c r="AK811" s="2">
        <v>46309</v>
      </c>
      <c r="AL811" s="4">
        <v>15</v>
      </c>
      <c r="AM811" s="5">
        <v>15</v>
      </c>
      <c r="AN811" s="4">
        <v>24</v>
      </c>
      <c r="AO811">
        <v>108620.68965517241</v>
      </c>
      <c r="AP811" s="4">
        <v>2</v>
      </c>
      <c r="AQ811" t="s">
        <v>1619</v>
      </c>
      <c r="AR811" t="s">
        <v>1620</v>
      </c>
      <c r="AT811" s="16" t="str">
        <f>_xlfn.XLOOKUP(B811,'SWiSH Demand Forecast Sep-26'!D:D,'SWiSH Demand Forecast Sep-26'!G:G,"Not Exist")</f>
        <v>Not Exist</v>
      </c>
    </row>
    <row r="812" spans="1:46" x14ac:dyDescent="0.3">
      <c r="A812">
        <v>100100005</v>
      </c>
      <c r="B812" t="s">
        <v>2729</v>
      </c>
      <c r="C812" t="s">
        <v>136</v>
      </c>
      <c r="D812" t="s">
        <v>1613</v>
      </c>
      <c r="E812" t="s">
        <v>1677</v>
      </c>
      <c r="F812" t="s">
        <v>1615</v>
      </c>
      <c r="G812" t="s">
        <v>1616</v>
      </c>
      <c r="H812" t="s">
        <v>1877</v>
      </c>
      <c r="I812" t="s">
        <v>1618</v>
      </c>
      <c r="J812" t="s">
        <v>136</v>
      </c>
      <c r="K812">
        <v>0.9</v>
      </c>
      <c r="L812">
        <v>198</v>
      </c>
      <c r="M812" s="1">
        <v>3</v>
      </c>
      <c r="N812">
        <v>0</v>
      </c>
      <c r="O812">
        <v>0</v>
      </c>
      <c r="P812">
        <v>220</v>
      </c>
      <c r="Q812" s="1">
        <v>220</v>
      </c>
      <c r="R812">
        <v>0.9</v>
      </c>
      <c r="S812" s="2">
        <v>46202</v>
      </c>
      <c r="T812" s="2">
        <v>46260</v>
      </c>
      <c r="U812">
        <v>270</v>
      </c>
      <c r="V812">
        <v>100</v>
      </c>
      <c r="W812">
        <v>220</v>
      </c>
      <c r="X812">
        <v>150</v>
      </c>
      <c r="Y812">
        <v>100</v>
      </c>
      <c r="Z812" s="8">
        <v>270</v>
      </c>
      <c r="AA812">
        <v>185</v>
      </c>
      <c r="AB812">
        <v>0.54054054054054057</v>
      </c>
      <c r="AC812">
        <v>1.4594594594594594</v>
      </c>
      <c r="AD812" s="1">
        <v>24</v>
      </c>
      <c r="AE812" s="2">
        <v>46272</v>
      </c>
      <c r="AF812" s="2">
        <v>46280</v>
      </c>
      <c r="AG812" s="2">
        <v>46287</v>
      </c>
      <c r="AH812">
        <v>150</v>
      </c>
      <c r="AI812" s="3">
        <v>0.57471264367816099</v>
      </c>
      <c r="AJ812" s="1">
        <v>42</v>
      </c>
      <c r="AK812" s="2">
        <v>46305</v>
      </c>
      <c r="AL812" s="4">
        <v>30</v>
      </c>
      <c r="AM812" s="5">
        <v>15</v>
      </c>
      <c r="AN812" s="4">
        <v>24</v>
      </c>
      <c r="AO812">
        <v>155.17241379310346</v>
      </c>
      <c r="AP812" s="4">
        <v>1</v>
      </c>
      <c r="AQ812" t="s">
        <v>1619</v>
      </c>
      <c r="AR812" t="s">
        <v>1620</v>
      </c>
      <c r="AT812" s="16" t="str">
        <f>_xlfn.XLOOKUP(B812,'SWiSH Demand Forecast Sep-26'!D:D,'SWiSH Demand Forecast Sep-26'!G:G,"Not Exist")</f>
        <v>Not Exist</v>
      </c>
    </row>
    <row r="813" spans="1:46" hidden="1" x14ac:dyDescent="0.3">
      <c r="A813">
        <v>104800015</v>
      </c>
      <c r="B813" t="s">
        <v>1187</v>
      </c>
      <c r="C813" t="s">
        <v>10</v>
      </c>
      <c r="D813" t="s">
        <v>1613</v>
      </c>
      <c r="E813" t="s">
        <v>2730</v>
      </c>
      <c r="F813" t="s">
        <v>1639</v>
      </c>
      <c r="G813" t="s">
        <v>1616</v>
      </c>
      <c r="H813" t="s">
        <v>1687</v>
      </c>
      <c r="I813" t="s">
        <v>1618</v>
      </c>
      <c r="J813" t="s">
        <v>10</v>
      </c>
      <c r="K813">
        <v>0.20402691000000001</v>
      </c>
      <c r="L813">
        <v>9.7932916799999994</v>
      </c>
      <c r="M813" s="1">
        <v>3</v>
      </c>
      <c r="N813">
        <v>0</v>
      </c>
      <c r="O813">
        <v>0</v>
      </c>
      <c r="P813">
        <v>48</v>
      </c>
      <c r="Q813" s="1">
        <v>48</v>
      </c>
      <c r="R813">
        <v>2.4500000000000002</v>
      </c>
      <c r="S813" s="2">
        <v>46206</v>
      </c>
      <c r="T813" s="2">
        <v>46245</v>
      </c>
      <c r="U813">
        <v>24</v>
      </c>
      <c r="V813">
        <v>36</v>
      </c>
      <c r="W813">
        <v>48</v>
      </c>
      <c r="X813">
        <v>60</v>
      </c>
      <c r="Y813">
        <v>24</v>
      </c>
      <c r="Z813" s="8">
        <v>60</v>
      </c>
      <c r="AA813">
        <v>42</v>
      </c>
      <c r="AB813">
        <v>0.5714285714285714</v>
      </c>
      <c r="AC813">
        <v>1.4285714285714286</v>
      </c>
      <c r="AD813" s="1">
        <v>24</v>
      </c>
      <c r="AE813" s="2">
        <v>46272</v>
      </c>
      <c r="AF813" s="2">
        <v>46280</v>
      </c>
      <c r="AG813" s="2">
        <v>46287</v>
      </c>
      <c r="AH813">
        <v>48</v>
      </c>
      <c r="AI813" s="3">
        <v>0.82758620689655171</v>
      </c>
      <c r="AJ813" s="1">
        <v>29</v>
      </c>
      <c r="AK813" s="2">
        <v>46292</v>
      </c>
      <c r="AL813" s="4">
        <v>30</v>
      </c>
      <c r="AM813" s="5">
        <v>15</v>
      </c>
      <c r="AN813" s="4">
        <v>24</v>
      </c>
      <c r="AO813">
        <v>49.655172413793103</v>
      </c>
      <c r="AP813" s="4">
        <v>1</v>
      </c>
      <c r="AQ813" t="s">
        <v>1619</v>
      </c>
      <c r="AR813" t="s">
        <v>2731</v>
      </c>
      <c r="AT813" s="16">
        <f>_xlfn.XLOOKUP(B813,'SWiSH Demand Forecast Sep-26'!D:D,'SWiSH Demand Forecast Sep-26'!G:G,"Not Exist")</f>
        <v>61</v>
      </c>
    </row>
    <row r="814" spans="1:46" x14ac:dyDescent="0.3">
      <c r="A814">
        <v>106200163</v>
      </c>
      <c r="B814" t="s">
        <v>2732</v>
      </c>
      <c r="C814" t="s">
        <v>240</v>
      </c>
      <c r="D814" t="s">
        <v>1613</v>
      </c>
      <c r="E814" t="s">
        <v>1732</v>
      </c>
      <c r="F814" t="s">
        <v>1999</v>
      </c>
      <c r="G814" t="s">
        <v>1616</v>
      </c>
      <c r="H814" t="s">
        <v>1672</v>
      </c>
      <c r="I814" t="s">
        <v>1618</v>
      </c>
      <c r="J814" t="s">
        <v>240</v>
      </c>
      <c r="K814">
        <v>4.7190656600000001</v>
      </c>
      <c r="L814">
        <v>358.80000026111998</v>
      </c>
      <c r="M814" s="1">
        <v>3</v>
      </c>
      <c r="N814">
        <v>0</v>
      </c>
      <c r="O814">
        <v>0</v>
      </c>
      <c r="P814">
        <v>76.031999999999996</v>
      </c>
      <c r="Q814" s="1">
        <v>76.031999999999996</v>
      </c>
      <c r="R814">
        <v>14.95</v>
      </c>
      <c r="S814" s="2">
        <v>46221</v>
      </c>
      <c r="T814" s="2">
        <v>46223</v>
      </c>
      <c r="U814">
        <v>0</v>
      </c>
      <c r="V814">
        <v>95.04</v>
      </c>
      <c r="W814">
        <v>53.856000000000009</v>
      </c>
      <c r="X814">
        <v>28.512</v>
      </c>
      <c r="Y814">
        <v>0</v>
      </c>
      <c r="Z814" s="8">
        <v>95.04</v>
      </c>
      <c r="AA814">
        <v>44.352000000000004</v>
      </c>
      <c r="AB814">
        <v>0</v>
      </c>
      <c r="AC814">
        <v>2.1428571428571428</v>
      </c>
      <c r="AD814" s="1">
        <v>24</v>
      </c>
      <c r="AE814" s="2">
        <v>46272</v>
      </c>
      <c r="AF814" s="2">
        <v>46280</v>
      </c>
      <c r="AG814" s="2">
        <v>46287</v>
      </c>
      <c r="AH814">
        <v>0</v>
      </c>
      <c r="AI814" s="3">
        <v>0</v>
      </c>
      <c r="AJ814" s="1" t="s">
        <v>1635</v>
      </c>
      <c r="AK814" s="2" t="s">
        <v>1635</v>
      </c>
      <c r="AL814" s="4">
        <v>30</v>
      </c>
      <c r="AM814" s="5">
        <v>15</v>
      </c>
      <c r="AN814" s="4">
        <v>24</v>
      </c>
      <c r="AO814">
        <v>0</v>
      </c>
      <c r="AP814" s="4">
        <v>1</v>
      </c>
      <c r="AQ814" t="s">
        <v>1619</v>
      </c>
      <c r="AR814" t="s">
        <v>1620</v>
      </c>
      <c r="AT814" s="16" t="str">
        <f>_xlfn.XLOOKUP(B814,'SWiSH Demand Forecast Sep-26'!D:D,'SWiSH Demand Forecast Sep-26'!G:G,"Not Exist")</f>
        <v>Not Exist</v>
      </c>
    </row>
    <row r="815" spans="1:46" hidden="1" x14ac:dyDescent="0.3">
      <c r="A815">
        <v>101600078</v>
      </c>
      <c r="B815" t="s">
        <v>484</v>
      </c>
      <c r="C815" t="s">
        <v>10</v>
      </c>
      <c r="D815" t="s">
        <v>1613</v>
      </c>
      <c r="E815" t="s">
        <v>1701</v>
      </c>
      <c r="F815" t="s">
        <v>1631</v>
      </c>
      <c r="G815" t="s">
        <v>1624</v>
      </c>
      <c r="H815" t="s">
        <v>1768</v>
      </c>
      <c r="I815" t="s">
        <v>1634</v>
      </c>
      <c r="J815" t="s">
        <v>10</v>
      </c>
      <c r="K815">
        <v>5.7000000000000002E-2</v>
      </c>
      <c r="L815">
        <v>136.80000000000001</v>
      </c>
      <c r="M815" s="1">
        <v>7</v>
      </c>
      <c r="N815">
        <v>0</v>
      </c>
      <c r="O815">
        <v>0</v>
      </c>
      <c r="P815">
        <v>2400</v>
      </c>
      <c r="Q815" s="1">
        <v>2400</v>
      </c>
      <c r="R815">
        <v>17.100000000000001</v>
      </c>
      <c r="S815" s="2">
        <v>46250</v>
      </c>
      <c r="T815" s="2">
        <v>46261</v>
      </c>
      <c r="U815">
        <v>2400</v>
      </c>
      <c r="V815">
        <v>3000</v>
      </c>
      <c r="W815">
        <v>1500</v>
      </c>
      <c r="X815">
        <v>1500</v>
      </c>
      <c r="Y815">
        <v>1500</v>
      </c>
      <c r="Z815" s="8">
        <v>3000</v>
      </c>
      <c r="AA815">
        <v>2100</v>
      </c>
      <c r="AB815">
        <v>0.7142857142857143</v>
      </c>
      <c r="AC815">
        <v>1.4285714285714286</v>
      </c>
      <c r="AD815" s="1">
        <v>24</v>
      </c>
      <c r="AE815" s="2">
        <v>46272</v>
      </c>
      <c r="AF815" s="2">
        <v>46280</v>
      </c>
      <c r="AG815" s="2">
        <v>46287</v>
      </c>
      <c r="AH815">
        <v>2400</v>
      </c>
      <c r="AI815" s="3">
        <v>0.82758620689655182</v>
      </c>
      <c r="AJ815" s="1">
        <v>29</v>
      </c>
      <c r="AK815" s="2">
        <v>46292</v>
      </c>
      <c r="AL815" s="4">
        <v>30</v>
      </c>
      <c r="AM815" s="5">
        <v>15</v>
      </c>
      <c r="AN815" s="4">
        <v>24</v>
      </c>
      <c r="AO815">
        <v>2482.7586206896553</v>
      </c>
      <c r="AP815" s="4">
        <v>1</v>
      </c>
      <c r="AQ815" t="s">
        <v>1619</v>
      </c>
      <c r="AR815" t="s">
        <v>1620</v>
      </c>
      <c r="AT815" s="16">
        <f>_xlfn.XLOOKUP(B815,'SWiSH Demand Forecast Sep-26'!D:D,'SWiSH Demand Forecast Sep-26'!G:G,"Not Exist")</f>
        <v>1687</v>
      </c>
    </row>
    <row r="816" spans="1:46" hidden="1" x14ac:dyDescent="0.3">
      <c r="A816">
        <v>106200166</v>
      </c>
      <c r="B816" t="s">
        <v>1299</v>
      </c>
      <c r="C816" t="s">
        <v>136</v>
      </c>
      <c r="D816" t="s">
        <v>1613</v>
      </c>
      <c r="E816" t="s">
        <v>1732</v>
      </c>
      <c r="F816" t="s">
        <v>1999</v>
      </c>
      <c r="G816" t="s">
        <v>1616</v>
      </c>
      <c r="H816" t="s">
        <v>1672</v>
      </c>
      <c r="I816" t="s">
        <v>1618</v>
      </c>
      <c r="J816" t="s">
        <v>136</v>
      </c>
      <c r="K816">
        <v>2.0876068399999999</v>
      </c>
      <c r="L816">
        <v>166.09000019039999</v>
      </c>
      <c r="M816" s="1">
        <v>3</v>
      </c>
      <c r="N816">
        <v>0</v>
      </c>
      <c r="O816">
        <v>0</v>
      </c>
      <c r="P816">
        <v>79.56</v>
      </c>
      <c r="Q816" s="1">
        <v>79.56</v>
      </c>
      <c r="R816">
        <v>9.77</v>
      </c>
      <c r="S816" s="2">
        <v>46204</v>
      </c>
      <c r="T816" s="2">
        <v>46261</v>
      </c>
      <c r="U816">
        <v>0</v>
      </c>
      <c r="V816">
        <v>0</v>
      </c>
      <c r="W816">
        <v>98.279999999999973</v>
      </c>
      <c r="X816">
        <v>74.88</v>
      </c>
      <c r="Y816">
        <v>0</v>
      </c>
      <c r="Z816" s="8">
        <v>98.279999999999973</v>
      </c>
      <c r="AA816">
        <v>43.289999999999992</v>
      </c>
      <c r="AB816">
        <v>0</v>
      </c>
      <c r="AC816">
        <v>2.2702702702702702</v>
      </c>
      <c r="AD816" s="1">
        <v>24</v>
      </c>
      <c r="AE816" s="2">
        <v>46272</v>
      </c>
      <c r="AF816" s="2">
        <v>46280</v>
      </c>
      <c r="AG816" s="2">
        <v>46287</v>
      </c>
      <c r="AH816">
        <v>60.839999999999996</v>
      </c>
      <c r="AI816" s="3">
        <v>0.64039408866995085</v>
      </c>
      <c r="AJ816" s="1">
        <v>37</v>
      </c>
      <c r="AK816" s="2">
        <v>46300</v>
      </c>
      <c r="AL816" s="4">
        <v>30</v>
      </c>
      <c r="AM816" s="5">
        <v>15</v>
      </c>
      <c r="AN816" s="4">
        <v>24</v>
      </c>
      <c r="AO816">
        <v>62.937931034482752</v>
      </c>
      <c r="AP816" s="4">
        <v>1</v>
      </c>
      <c r="AQ816" t="s">
        <v>1619</v>
      </c>
      <c r="AR816" t="s">
        <v>1620</v>
      </c>
      <c r="AT816" s="16">
        <f>_xlfn.XLOOKUP(B816,'SWiSH Demand Forecast Sep-26'!D:D,'SWiSH Demand Forecast Sep-26'!G:G,"Not Exist")</f>
        <v>32.368764225</v>
      </c>
    </row>
    <row r="817" spans="1:46" hidden="1" x14ac:dyDescent="0.3">
      <c r="A817">
        <v>100700001</v>
      </c>
      <c r="B817" t="s">
        <v>1007</v>
      </c>
      <c r="C817" t="s">
        <v>136</v>
      </c>
      <c r="D817" t="s">
        <v>1613</v>
      </c>
      <c r="E817" t="s">
        <v>1832</v>
      </c>
      <c r="F817" t="s">
        <v>1840</v>
      </c>
      <c r="G817" t="s">
        <v>1616</v>
      </c>
      <c r="H817" t="s">
        <v>1867</v>
      </c>
      <c r="I817" t="s">
        <v>1618</v>
      </c>
      <c r="J817" t="s">
        <v>2733</v>
      </c>
      <c r="K817">
        <v>1.4711389500000001</v>
      </c>
      <c r="L817">
        <v>572.20537915830005</v>
      </c>
      <c r="M817" s="1">
        <v>3</v>
      </c>
      <c r="N817">
        <v>0</v>
      </c>
      <c r="O817">
        <v>1.3169999999999999</v>
      </c>
      <c r="P817">
        <v>388.95400000000001</v>
      </c>
      <c r="Q817" s="1">
        <v>387.637</v>
      </c>
      <c r="R817">
        <v>15.5</v>
      </c>
      <c r="S817" s="2">
        <v>46226</v>
      </c>
      <c r="T817" s="2">
        <v>46263</v>
      </c>
      <c r="U817">
        <v>277.24799999999988</v>
      </c>
      <c r="V817">
        <v>401.99</v>
      </c>
      <c r="W817">
        <v>473.59999999999997</v>
      </c>
      <c r="X817">
        <v>414.14999999999986</v>
      </c>
      <c r="Y817">
        <v>277.24799999999988</v>
      </c>
      <c r="Z817" s="8">
        <v>473.59999999999997</v>
      </c>
      <c r="AA817">
        <v>391.7469999999999</v>
      </c>
      <c r="AB817">
        <v>0.70772207572744639</v>
      </c>
      <c r="AC817">
        <v>1.2089435273275866</v>
      </c>
      <c r="AD817" s="1">
        <v>24</v>
      </c>
      <c r="AE817" s="2">
        <v>46272</v>
      </c>
      <c r="AF817" s="2">
        <v>46280</v>
      </c>
      <c r="AG817" s="2">
        <v>46287</v>
      </c>
      <c r="AH817">
        <v>225.60699999999994</v>
      </c>
      <c r="AI817" s="3">
        <v>0.49279255009319656</v>
      </c>
      <c r="AJ817" s="1">
        <v>49</v>
      </c>
      <c r="AK817" s="2">
        <v>46312</v>
      </c>
      <c r="AL817" s="4">
        <v>30</v>
      </c>
      <c r="AM817" s="5">
        <v>15</v>
      </c>
      <c r="AN817" s="4">
        <v>24</v>
      </c>
      <c r="AO817">
        <v>233.38655172413786</v>
      </c>
      <c r="AP817" s="4">
        <v>1</v>
      </c>
      <c r="AQ817" t="s">
        <v>1619</v>
      </c>
      <c r="AR817" t="s">
        <v>1620</v>
      </c>
      <c r="AT817" s="16">
        <f>_xlfn.XLOOKUP(B817,'SWiSH Demand Forecast Sep-26'!D:D,'SWiSH Demand Forecast Sep-26'!G:G,"Not Exist")</f>
        <v>143.86201072665199</v>
      </c>
    </row>
    <row r="818" spans="1:46" x14ac:dyDescent="0.3">
      <c r="A818">
        <v>100700041</v>
      </c>
      <c r="B818" t="s">
        <v>2734</v>
      </c>
      <c r="C818" t="s">
        <v>136</v>
      </c>
      <c r="D818" t="s">
        <v>1699</v>
      </c>
      <c r="E818" t="s">
        <v>1732</v>
      </c>
      <c r="F818" t="s">
        <v>1875</v>
      </c>
      <c r="G818" t="s">
        <v>1616</v>
      </c>
      <c r="H818" t="s">
        <v>1867</v>
      </c>
      <c r="I818" t="s">
        <v>1618</v>
      </c>
      <c r="J818" t="e">
        <v>#N/A</v>
      </c>
      <c r="K818">
        <v>1.11111111</v>
      </c>
      <c r="L818">
        <v>1143.9999988559998</v>
      </c>
      <c r="M818" s="1">
        <v>3</v>
      </c>
      <c r="N818">
        <v>0</v>
      </c>
      <c r="O818">
        <v>0</v>
      </c>
      <c r="P818">
        <v>1029.5999999999999</v>
      </c>
      <c r="Q818" s="1">
        <v>1029.5999999999999</v>
      </c>
      <c r="R818">
        <v>0.15</v>
      </c>
      <c r="S818" s="2">
        <v>45125</v>
      </c>
      <c r="T818" s="2">
        <v>46263</v>
      </c>
      <c r="U818">
        <v>1188</v>
      </c>
      <c r="V818">
        <v>1240.8</v>
      </c>
      <c r="W818">
        <v>0</v>
      </c>
      <c r="X818">
        <v>0</v>
      </c>
      <c r="Y818">
        <v>0</v>
      </c>
      <c r="Z818" s="8">
        <v>1240.8</v>
      </c>
      <c r="AA818">
        <v>607.20000000000005</v>
      </c>
      <c r="AB818">
        <v>0</v>
      </c>
      <c r="AC818">
        <v>2.043478260869565</v>
      </c>
      <c r="AD818" s="1">
        <v>24</v>
      </c>
      <c r="AE818" s="2">
        <v>46272</v>
      </c>
      <c r="AF818" s="2">
        <v>46280</v>
      </c>
      <c r="AG818" s="2">
        <v>46287</v>
      </c>
      <c r="AH818">
        <v>290.39999999999998</v>
      </c>
      <c r="AI818" s="3">
        <v>0.24211298606016141</v>
      </c>
      <c r="AJ818" s="1">
        <v>102</v>
      </c>
      <c r="AK818" s="2">
        <v>46365</v>
      </c>
      <c r="AL818" s="4">
        <v>15</v>
      </c>
      <c r="AM818" s="5">
        <v>15</v>
      </c>
      <c r="AN818" s="4">
        <v>24</v>
      </c>
      <c r="AO818">
        <v>150.20689655172413</v>
      </c>
      <c r="AP818" s="4">
        <v>2</v>
      </c>
      <c r="AQ818" t="s">
        <v>1619</v>
      </c>
      <c r="AR818" t="s">
        <v>1620</v>
      </c>
      <c r="AT818" s="16" t="str">
        <f>_xlfn.XLOOKUP(B818,'SWiSH Demand Forecast Sep-26'!D:D,'SWiSH Demand Forecast Sep-26'!G:G,"Not Exist")</f>
        <v>Not Exist</v>
      </c>
    </row>
    <row r="819" spans="1:46" hidden="1" x14ac:dyDescent="0.3">
      <c r="A819">
        <v>106800310</v>
      </c>
      <c r="B819" t="s">
        <v>102</v>
      </c>
      <c r="C819" t="s">
        <v>10</v>
      </c>
      <c r="D819" t="s">
        <v>1613</v>
      </c>
      <c r="E819" t="s">
        <v>1701</v>
      </c>
      <c r="F819" t="s">
        <v>1664</v>
      </c>
      <c r="G819" t="s">
        <v>1624</v>
      </c>
      <c r="H819" t="s">
        <v>1665</v>
      </c>
      <c r="I819" t="s">
        <v>1634</v>
      </c>
      <c r="J819" t="s">
        <v>10</v>
      </c>
      <c r="K819">
        <v>4.9981399999999999E-3</v>
      </c>
      <c r="L819">
        <v>169.93675999999999</v>
      </c>
      <c r="M819" s="1">
        <v>7</v>
      </c>
      <c r="N819">
        <v>0</v>
      </c>
      <c r="O819">
        <v>2000</v>
      </c>
      <c r="P819">
        <v>34000</v>
      </c>
      <c r="Q819" s="1">
        <v>32000</v>
      </c>
      <c r="R819">
        <v>5.0000000000000001E-3</v>
      </c>
      <c r="S819" s="2">
        <v>46244</v>
      </c>
      <c r="T819" s="2">
        <v>46263</v>
      </c>
      <c r="U819">
        <v>32000</v>
      </c>
      <c r="V819">
        <v>40000</v>
      </c>
      <c r="W819">
        <v>31000</v>
      </c>
      <c r="X819">
        <v>31000</v>
      </c>
      <c r="Y819">
        <v>31000</v>
      </c>
      <c r="Z819" s="8">
        <v>40000</v>
      </c>
      <c r="AA819">
        <v>33500</v>
      </c>
      <c r="AB819">
        <v>0.92537313432835822</v>
      </c>
      <c r="AC819">
        <v>1.1940298507462686</v>
      </c>
      <c r="AD819" s="1">
        <v>24</v>
      </c>
      <c r="AE819" s="2">
        <v>46272</v>
      </c>
      <c r="AF819" s="2">
        <v>46280</v>
      </c>
      <c r="AG819" s="2">
        <v>46287</v>
      </c>
      <c r="AH819">
        <v>28000</v>
      </c>
      <c r="AI819" s="3">
        <v>0.72413793103448276</v>
      </c>
      <c r="AJ819" s="1">
        <v>33</v>
      </c>
      <c r="AK819" s="2">
        <v>46296</v>
      </c>
      <c r="AL819" s="4">
        <v>30</v>
      </c>
      <c r="AM819" s="5">
        <v>15</v>
      </c>
      <c r="AN819" s="4">
        <v>24</v>
      </c>
      <c r="AO819">
        <v>28965.517241379312</v>
      </c>
      <c r="AP819" s="4">
        <v>1</v>
      </c>
      <c r="AQ819">
        <v>146000</v>
      </c>
      <c r="AR819" t="s">
        <v>1829</v>
      </c>
      <c r="AT819" s="16">
        <f>_xlfn.XLOOKUP(B819,'SWiSH Demand Forecast Sep-26'!D:D,'SWiSH Demand Forecast Sep-26'!G:G,"Not Exist")</f>
        <v>18437</v>
      </c>
    </row>
    <row r="820" spans="1:46" hidden="1" x14ac:dyDescent="0.3">
      <c r="A820">
        <v>106800286</v>
      </c>
      <c r="B820" t="s">
        <v>151</v>
      </c>
      <c r="C820" t="s">
        <v>10</v>
      </c>
      <c r="D820" t="s">
        <v>1613</v>
      </c>
      <c r="E820" t="s">
        <v>1732</v>
      </c>
      <c r="F820" t="s">
        <v>1664</v>
      </c>
      <c r="G820" t="s">
        <v>1616</v>
      </c>
      <c r="H820" t="s">
        <v>1665</v>
      </c>
      <c r="I820" t="s">
        <v>1634</v>
      </c>
      <c r="J820" t="s">
        <v>10</v>
      </c>
      <c r="K820">
        <v>4.5161799999999998E-3</v>
      </c>
      <c r="L820">
        <v>81.291240000000002</v>
      </c>
      <c r="M820" s="1">
        <v>7</v>
      </c>
      <c r="N820">
        <v>0</v>
      </c>
      <c r="O820">
        <v>0</v>
      </c>
      <c r="P820">
        <v>18000</v>
      </c>
      <c r="Q820" s="1">
        <v>18000</v>
      </c>
      <c r="R820">
        <v>5.0000000000000001E-3</v>
      </c>
      <c r="S820" s="2">
        <v>46239</v>
      </c>
      <c r="T820" s="2">
        <v>46263</v>
      </c>
      <c r="U820">
        <v>22000</v>
      </c>
      <c r="V820">
        <v>18000</v>
      </c>
      <c r="W820">
        <v>21000</v>
      </c>
      <c r="X820">
        <v>15000</v>
      </c>
      <c r="Y820">
        <v>15000</v>
      </c>
      <c r="Z820" s="8">
        <v>22000</v>
      </c>
      <c r="AA820">
        <v>19000</v>
      </c>
      <c r="AB820">
        <v>0.78947368421052633</v>
      </c>
      <c r="AC820">
        <v>1.1578947368421053</v>
      </c>
      <c r="AD820" s="1">
        <v>24</v>
      </c>
      <c r="AE820" s="2">
        <v>46272</v>
      </c>
      <c r="AF820" s="2">
        <v>46280</v>
      </c>
      <c r="AG820" s="2">
        <v>46287</v>
      </c>
      <c r="AH820">
        <v>15000</v>
      </c>
      <c r="AI820" s="3">
        <v>0.70532915360501569</v>
      </c>
      <c r="AJ820" s="1">
        <v>34</v>
      </c>
      <c r="AK820" s="2">
        <v>46297</v>
      </c>
      <c r="AL820" s="4">
        <v>30</v>
      </c>
      <c r="AM820" s="5">
        <v>15</v>
      </c>
      <c r="AN820" s="4">
        <v>24</v>
      </c>
      <c r="AO820">
        <v>15517.241379310346</v>
      </c>
      <c r="AP820" s="4">
        <v>1</v>
      </c>
      <c r="AQ820">
        <v>119000</v>
      </c>
      <c r="AR820" t="s">
        <v>1829</v>
      </c>
      <c r="AT820" s="16">
        <f>_xlfn.XLOOKUP(B820,'SWiSH Demand Forecast Sep-26'!D:D,'SWiSH Demand Forecast Sep-26'!G:G,"Not Exist")</f>
        <v>12324</v>
      </c>
    </row>
    <row r="821" spans="1:46" x14ac:dyDescent="0.3">
      <c r="A821">
        <v>107400061</v>
      </c>
      <c r="B821" t="s">
        <v>2735</v>
      </c>
      <c r="C821" t="s">
        <v>10</v>
      </c>
      <c r="D821" t="s">
        <v>1613</v>
      </c>
      <c r="E821" t="s">
        <v>2736</v>
      </c>
      <c r="F821" t="s">
        <v>1631</v>
      </c>
      <c r="G821" t="s">
        <v>1624</v>
      </c>
      <c r="H821" t="s">
        <v>2016</v>
      </c>
      <c r="I821" t="s">
        <v>1634</v>
      </c>
      <c r="J821" t="s">
        <v>1688</v>
      </c>
      <c r="K821">
        <v>0.41666667000000002</v>
      </c>
      <c r="L821">
        <v>99.166667459999999</v>
      </c>
      <c r="M821" s="1">
        <v>15</v>
      </c>
      <c r="N821">
        <v>0</v>
      </c>
      <c r="O821">
        <v>5</v>
      </c>
      <c r="P821">
        <v>238</v>
      </c>
      <c r="Q821" s="1">
        <v>233</v>
      </c>
      <c r="R821">
        <v>10</v>
      </c>
      <c r="S821" s="2">
        <v>46254</v>
      </c>
      <c r="T821" s="2">
        <v>46263</v>
      </c>
      <c r="U821">
        <v>222</v>
      </c>
      <c r="V821">
        <v>269</v>
      </c>
      <c r="W821">
        <v>230</v>
      </c>
      <c r="X821">
        <v>286</v>
      </c>
      <c r="Y821">
        <v>222</v>
      </c>
      <c r="Z821" s="8">
        <v>286</v>
      </c>
      <c r="AA821">
        <v>251.75</v>
      </c>
      <c r="AB821">
        <v>0.8818272095332671</v>
      </c>
      <c r="AC821">
        <v>1.1360476663356505</v>
      </c>
      <c r="AD821" s="1">
        <v>24</v>
      </c>
      <c r="AE821" s="2">
        <v>46272</v>
      </c>
      <c r="AF821" s="2">
        <v>46280</v>
      </c>
      <c r="AG821" s="2">
        <v>46287</v>
      </c>
      <c r="AH821">
        <v>286</v>
      </c>
      <c r="AI821" s="3">
        <v>1.0344827586206897</v>
      </c>
      <c r="AJ821" s="1">
        <v>23</v>
      </c>
      <c r="AK821" s="2">
        <v>46286</v>
      </c>
      <c r="AL821" s="4">
        <v>30</v>
      </c>
      <c r="AM821" s="5">
        <v>15</v>
      </c>
      <c r="AN821" s="4">
        <v>23</v>
      </c>
      <c r="AO821">
        <v>295.86206896551727</v>
      </c>
      <c r="AP821" s="4">
        <v>1</v>
      </c>
      <c r="AQ821" t="s">
        <v>1619</v>
      </c>
      <c r="AR821" t="s">
        <v>1620</v>
      </c>
      <c r="AT821" s="16" t="str">
        <f>_xlfn.XLOOKUP(B821,'SWiSH Demand Forecast Sep-26'!D:D,'SWiSH Demand Forecast Sep-26'!G:G,"Not Exist")</f>
        <v>Not Exist</v>
      </c>
    </row>
    <row r="822" spans="1:46" hidden="1" x14ac:dyDescent="0.3">
      <c r="A822">
        <v>100400127</v>
      </c>
      <c r="B822" t="s">
        <v>57</v>
      </c>
      <c r="C822" t="s">
        <v>10</v>
      </c>
      <c r="D822" t="s">
        <v>1613</v>
      </c>
      <c r="E822" t="s">
        <v>1655</v>
      </c>
      <c r="F822" t="s">
        <v>1664</v>
      </c>
      <c r="G822" t="s">
        <v>1624</v>
      </c>
      <c r="H822" t="s">
        <v>1810</v>
      </c>
      <c r="I822" t="s">
        <v>1634</v>
      </c>
      <c r="J822" t="s">
        <v>10</v>
      </c>
      <c r="K822">
        <v>1.2999999999999999E-2</v>
      </c>
      <c r="L822">
        <v>663</v>
      </c>
      <c r="M822" s="1">
        <v>30</v>
      </c>
      <c r="N822">
        <v>0</v>
      </c>
      <c r="O822">
        <v>2000</v>
      </c>
      <c r="P822">
        <v>51000</v>
      </c>
      <c r="Q822" s="1">
        <v>49000</v>
      </c>
      <c r="R822">
        <v>1.2999999999999999E-2</v>
      </c>
      <c r="S822" s="2">
        <v>46242</v>
      </c>
      <c r="T822" s="2">
        <v>46261</v>
      </c>
      <c r="U822">
        <v>56000</v>
      </c>
      <c r="V822">
        <v>55000</v>
      </c>
      <c r="W822">
        <v>59000</v>
      </c>
      <c r="X822">
        <v>50000</v>
      </c>
      <c r="Y822">
        <v>50000</v>
      </c>
      <c r="Z822" s="8">
        <v>59000</v>
      </c>
      <c r="AA822">
        <v>55000</v>
      </c>
      <c r="AB822">
        <v>0.90909090909090906</v>
      </c>
      <c r="AC822">
        <v>1.0727272727272728</v>
      </c>
      <c r="AD822" s="1">
        <v>24</v>
      </c>
      <c r="AE822" s="2">
        <v>46272</v>
      </c>
      <c r="AF822" s="2">
        <v>46280</v>
      </c>
      <c r="AG822" s="2">
        <v>46287</v>
      </c>
      <c r="AH822">
        <v>44000</v>
      </c>
      <c r="AI822" s="3">
        <v>0.77147866744593807</v>
      </c>
      <c r="AJ822" s="1">
        <v>32</v>
      </c>
      <c r="AK822" s="2">
        <v>46295</v>
      </c>
      <c r="AL822" s="4">
        <v>30</v>
      </c>
      <c r="AM822" s="5">
        <v>15</v>
      </c>
      <c r="AN822" s="4">
        <v>24</v>
      </c>
      <c r="AO822">
        <v>45517.241379310348</v>
      </c>
      <c r="AP822" s="4">
        <v>1</v>
      </c>
      <c r="AQ822">
        <v>125000</v>
      </c>
      <c r="AR822" t="s">
        <v>2076</v>
      </c>
      <c r="AT822" s="16">
        <f>_xlfn.XLOOKUP(B822,'SWiSH Demand Forecast Sep-26'!D:D,'SWiSH Demand Forecast Sep-26'!G:G,"Not Exist")</f>
        <v>42992</v>
      </c>
    </row>
    <row r="823" spans="1:46" x14ac:dyDescent="0.3">
      <c r="A823">
        <v>100700031</v>
      </c>
      <c r="B823" t="s">
        <v>2737</v>
      </c>
      <c r="C823" t="s">
        <v>136</v>
      </c>
      <c r="D823" t="s">
        <v>1613</v>
      </c>
      <c r="E823" t="s">
        <v>1685</v>
      </c>
      <c r="F823" t="s">
        <v>1875</v>
      </c>
      <c r="G823" t="s">
        <v>1616</v>
      </c>
      <c r="H823" t="s">
        <v>1867</v>
      </c>
      <c r="I823" t="s">
        <v>1618</v>
      </c>
      <c r="J823" t="s">
        <v>2738</v>
      </c>
      <c r="K823">
        <v>1.84444444</v>
      </c>
      <c r="L823">
        <v>36.519999912000003</v>
      </c>
      <c r="M823" s="1">
        <v>3</v>
      </c>
      <c r="N823">
        <v>0</v>
      </c>
      <c r="O823">
        <v>0</v>
      </c>
      <c r="P823">
        <v>19.8</v>
      </c>
      <c r="Q823" s="1">
        <v>19.8</v>
      </c>
      <c r="R823">
        <v>0.6875</v>
      </c>
      <c r="S823" s="2">
        <v>46253</v>
      </c>
      <c r="T823" s="2">
        <v>46263</v>
      </c>
      <c r="U823">
        <v>23.849999999999998</v>
      </c>
      <c r="V823">
        <v>18.450000000000003</v>
      </c>
      <c r="W823">
        <v>18.450000000000003</v>
      </c>
      <c r="X823">
        <v>12.600000000000001</v>
      </c>
      <c r="Y823">
        <v>12.600000000000001</v>
      </c>
      <c r="Z823" s="8">
        <v>23.849999999999998</v>
      </c>
      <c r="AA823">
        <v>18.337499999999999</v>
      </c>
      <c r="AB823">
        <v>0.68711656441717806</v>
      </c>
      <c r="AC823">
        <v>1.3006134969325154</v>
      </c>
      <c r="AD823" s="1">
        <v>24</v>
      </c>
      <c r="AE823" s="2">
        <v>46272</v>
      </c>
      <c r="AF823" s="2">
        <v>46280</v>
      </c>
      <c r="AG823" s="2">
        <v>46287</v>
      </c>
      <c r="AH823">
        <v>13.500000000000002</v>
      </c>
      <c r="AI823" s="3">
        <v>0.58555627846454139</v>
      </c>
      <c r="AJ823" s="1">
        <v>42</v>
      </c>
      <c r="AK823" s="2">
        <v>46305</v>
      </c>
      <c r="AL823" s="4">
        <v>30</v>
      </c>
      <c r="AM823" s="5">
        <v>15</v>
      </c>
      <c r="AN823" s="4">
        <v>24</v>
      </c>
      <c r="AO823">
        <v>13.965517241379311</v>
      </c>
      <c r="AP823" s="4">
        <v>1</v>
      </c>
      <c r="AQ823" t="s">
        <v>1619</v>
      </c>
      <c r="AR823" t="s">
        <v>1620</v>
      </c>
      <c r="AT823" s="16" t="str">
        <f>_xlfn.XLOOKUP(B823,'SWiSH Demand Forecast Sep-26'!D:D,'SWiSH Demand Forecast Sep-26'!G:G,"Not Exist")</f>
        <v>Not Exist</v>
      </c>
    </row>
    <row r="824" spans="1:46" x14ac:dyDescent="0.3">
      <c r="A824">
        <v>101400007</v>
      </c>
      <c r="B824" t="s">
        <v>2739</v>
      </c>
      <c r="C824" t="s">
        <v>10</v>
      </c>
      <c r="D824" t="s">
        <v>1613</v>
      </c>
      <c r="E824" t="s">
        <v>2740</v>
      </c>
      <c r="F824" t="s">
        <v>1644</v>
      </c>
      <c r="G824" t="s">
        <v>1624</v>
      </c>
      <c r="H824" t="s">
        <v>1693</v>
      </c>
      <c r="I824" t="s">
        <v>1634</v>
      </c>
      <c r="J824" t="s">
        <v>10</v>
      </c>
      <c r="K824">
        <v>0.32533000000000001</v>
      </c>
      <c r="L824">
        <v>243.9975</v>
      </c>
      <c r="M824" s="1">
        <v>3</v>
      </c>
      <c r="N824">
        <v>0</v>
      </c>
      <c r="O824">
        <v>150</v>
      </c>
      <c r="P824">
        <v>750</v>
      </c>
      <c r="Q824" s="1">
        <v>600</v>
      </c>
      <c r="R824">
        <v>68</v>
      </c>
      <c r="S824" s="2">
        <v>46179</v>
      </c>
      <c r="T824" s="2">
        <v>46251</v>
      </c>
      <c r="U824">
        <v>300</v>
      </c>
      <c r="V824">
        <v>750</v>
      </c>
      <c r="W824">
        <v>450</v>
      </c>
      <c r="X824">
        <v>450</v>
      </c>
      <c r="Y824">
        <v>300</v>
      </c>
      <c r="Z824" s="8">
        <v>750</v>
      </c>
      <c r="AA824">
        <v>487.5</v>
      </c>
      <c r="AB824">
        <v>0.61538461538461542</v>
      </c>
      <c r="AC824">
        <v>1.5384615384615385</v>
      </c>
      <c r="AD824" s="1">
        <v>24</v>
      </c>
      <c r="AE824" s="2">
        <v>46272</v>
      </c>
      <c r="AF824" s="2">
        <v>46280</v>
      </c>
      <c r="AG824" s="2">
        <v>46287</v>
      </c>
      <c r="AH824">
        <v>300</v>
      </c>
      <c r="AI824" s="3">
        <v>0.41379310344827591</v>
      </c>
      <c r="AJ824" s="1">
        <v>58</v>
      </c>
      <c r="AK824" s="2">
        <v>46321</v>
      </c>
      <c r="AL824" s="4">
        <v>30</v>
      </c>
      <c r="AM824" s="5">
        <v>15</v>
      </c>
      <c r="AN824" s="4">
        <v>24</v>
      </c>
      <c r="AO824">
        <v>310.34482758620692</v>
      </c>
      <c r="AP824" s="4">
        <v>1</v>
      </c>
      <c r="AQ824" t="s">
        <v>1619</v>
      </c>
      <c r="AR824" t="s">
        <v>1620</v>
      </c>
      <c r="AT824" s="16" t="str">
        <f>_xlfn.XLOOKUP(B824,'SWiSH Demand Forecast Sep-26'!D:D,'SWiSH Demand Forecast Sep-26'!G:G,"Not Exist")</f>
        <v>Not Exist</v>
      </c>
    </row>
    <row r="825" spans="1:46" x14ac:dyDescent="0.3">
      <c r="A825">
        <v>104200057</v>
      </c>
      <c r="B825" t="s">
        <v>2741</v>
      </c>
      <c r="C825" t="s">
        <v>10</v>
      </c>
      <c r="D825" t="s">
        <v>1613</v>
      </c>
      <c r="E825" t="s">
        <v>2742</v>
      </c>
      <c r="F825" t="s">
        <v>1631</v>
      </c>
      <c r="G825" t="s">
        <v>1624</v>
      </c>
      <c r="H825" t="s">
        <v>1633</v>
      </c>
      <c r="I825" t="s">
        <v>1634</v>
      </c>
      <c r="J825" t="s">
        <v>10</v>
      </c>
      <c r="K825">
        <v>0.04</v>
      </c>
      <c r="L825">
        <v>32</v>
      </c>
      <c r="M825" s="1">
        <v>3</v>
      </c>
      <c r="N825">
        <v>0</v>
      </c>
      <c r="O825">
        <v>0</v>
      </c>
      <c r="P825">
        <v>800</v>
      </c>
      <c r="Q825" s="1">
        <v>800</v>
      </c>
      <c r="R825">
        <v>4</v>
      </c>
      <c r="S825" s="2">
        <v>46259</v>
      </c>
      <c r="T825" s="2">
        <v>46263</v>
      </c>
      <c r="U825">
        <v>500</v>
      </c>
      <c r="V825">
        <v>900</v>
      </c>
      <c r="W825">
        <v>800</v>
      </c>
      <c r="X825">
        <v>1000</v>
      </c>
      <c r="Y825">
        <v>500</v>
      </c>
      <c r="Z825" s="8">
        <v>1000</v>
      </c>
      <c r="AA825">
        <v>800</v>
      </c>
      <c r="AB825">
        <v>0.625</v>
      </c>
      <c r="AC825">
        <v>1.25</v>
      </c>
      <c r="AD825" s="1">
        <v>24</v>
      </c>
      <c r="AE825" s="2">
        <v>46272</v>
      </c>
      <c r="AF825" s="2">
        <v>46280</v>
      </c>
      <c r="AG825" s="2">
        <v>46287</v>
      </c>
      <c r="AH825">
        <v>2700</v>
      </c>
      <c r="AI825" s="3">
        <v>2.7931034482758617</v>
      </c>
      <c r="AJ825" s="1">
        <v>8</v>
      </c>
      <c r="AK825" s="2">
        <v>46271</v>
      </c>
      <c r="AL825" s="4">
        <v>30</v>
      </c>
      <c r="AM825" s="5">
        <v>15</v>
      </c>
      <c r="AN825" s="4">
        <v>8</v>
      </c>
      <c r="AO825">
        <v>2793.1034482758619</v>
      </c>
      <c r="AP825" s="4">
        <v>1</v>
      </c>
      <c r="AQ825" t="s">
        <v>1619</v>
      </c>
      <c r="AR825" t="s">
        <v>1620</v>
      </c>
      <c r="AT825" s="16" t="str">
        <f>_xlfn.XLOOKUP(B825,'SWiSH Demand Forecast Sep-26'!D:D,'SWiSH Demand Forecast Sep-26'!G:G,"Not Exist")</f>
        <v>Not Exist</v>
      </c>
    </row>
    <row r="826" spans="1:46" x14ac:dyDescent="0.3">
      <c r="A826">
        <v>107400004</v>
      </c>
      <c r="B826" t="s">
        <v>2743</v>
      </c>
      <c r="C826" t="s">
        <v>10</v>
      </c>
      <c r="D826" t="s">
        <v>1613</v>
      </c>
      <c r="E826" t="s">
        <v>2744</v>
      </c>
      <c r="F826" t="s">
        <v>1631</v>
      </c>
      <c r="G826" t="s">
        <v>1624</v>
      </c>
      <c r="H826" t="s">
        <v>2016</v>
      </c>
      <c r="I826" t="s">
        <v>1634</v>
      </c>
      <c r="J826" t="s">
        <v>2273</v>
      </c>
      <c r="K826">
        <v>1.4666600000000001E-3</v>
      </c>
      <c r="L826">
        <v>27.866540000000001</v>
      </c>
      <c r="M826" s="1">
        <v>15</v>
      </c>
      <c r="N826">
        <v>0</v>
      </c>
      <c r="O826">
        <v>0</v>
      </c>
      <c r="P826">
        <v>19000</v>
      </c>
      <c r="Q826" s="1">
        <v>19000</v>
      </c>
      <c r="R826">
        <v>0.73333000000000004</v>
      </c>
      <c r="S826" s="2">
        <v>46259</v>
      </c>
      <c r="T826" s="2">
        <v>46263</v>
      </c>
      <c r="U826">
        <v>19000</v>
      </c>
      <c r="V826">
        <v>23000</v>
      </c>
      <c r="W826">
        <v>21500</v>
      </c>
      <c r="X826">
        <v>21000</v>
      </c>
      <c r="Y826">
        <v>19000</v>
      </c>
      <c r="Z826" s="8">
        <v>23000</v>
      </c>
      <c r="AA826">
        <v>21125</v>
      </c>
      <c r="AB826">
        <v>0.89940828402366868</v>
      </c>
      <c r="AC826">
        <v>1.0887573964497042</v>
      </c>
      <c r="AD826" s="1">
        <v>24</v>
      </c>
      <c r="AE826" s="2">
        <v>46272</v>
      </c>
      <c r="AF826" s="2">
        <v>46280</v>
      </c>
      <c r="AG826" s="2">
        <v>46287</v>
      </c>
      <c r="AH826">
        <v>18500</v>
      </c>
      <c r="AI826" s="3">
        <v>0.83208395802098944</v>
      </c>
      <c r="AJ826" s="1">
        <v>29</v>
      </c>
      <c r="AK826" s="2">
        <v>46292</v>
      </c>
      <c r="AL826" s="4">
        <v>30</v>
      </c>
      <c r="AM826" s="5">
        <v>15</v>
      </c>
      <c r="AN826" s="4">
        <v>24</v>
      </c>
      <c r="AO826">
        <v>19137.931034482757</v>
      </c>
      <c r="AP826" s="4">
        <v>1</v>
      </c>
      <c r="AQ826" t="s">
        <v>1619</v>
      </c>
      <c r="AR826" t="s">
        <v>1620</v>
      </c>
      <c r="AT826" s="16" t="str">
        <f>_xlfn.XLOOKUP(B826,'SWiSH Demand Forecast Sep-26'!D:D,'SWiSH Demand Forecast Sep-26'!G:G,"Not Exist")</f>
        <v>Not Exist</v>
      </c>
    </row>
    <row r="827" spans="1:46" hidden="1" x14ac:dyDescent="0.3">
      <c r="A827">
        <v>103700084</v>
      </c>
      <c r="B827" t="s">
        <v>1479</v>
      </c>
      <c r="C827" t="s">
        <v>136</v>
      </c>
      <c r="D827" t="s">
        <v>1613</v>
      </c>
      <c r="E827" t="s">
        <v>1732</v>
      </c>
      <c r="F827" t="s">
        <v>1615</v>
      </c>
      <c r="G827" t="s">
        <v>1616</v>
      </c>
      <c r="H827" t="s">
        <v>1617</v>
      </c>
      <c r="I827" t="s">
        <v>1618</v>
      </c>
      <c r="J827" t="s">
        <v>136</v>
      </c>
      <c r="K827">
        <v>20.088300220000001</v>
      </c>
      <c r="L827">
        <v>873.59999996736008</v>
      </c>
      <c r="M827" s="1">
        <v>3</v>
      </c>
      <c r="N827">
        <v>0</v>
      </c>
      <c r="O827">
        <v>0</v>
      </c>
      <c r="P827">
        <v>43.488</v>
      </c>
      <c r="Q827" s="1">
        <v>43.488</v>
      </c>
      <c r="R827">
        <v>9.1</v>
      </c>
      <c r="S827" s="2">
        <v>46263</v>
      </c>
      <c r="T827" s="2">
        <v>46259</v>
      </c>
      <c r="U827">
        <v>16.308</v>
      </c>
      <c r="V827">
        <v>35.334000000000003</v>
      </c>
      <c r="W827">
        <v>51.64200000000001</v>
      </c>
      <c r="X827">
        <v>51.642000000000003</v>
      </c>
      <c r="Y827">
        <v>16.308</v>
      </c>
      <c r="Z827" s="8">
        <v>51.64200000000001</v>
      </c>
      <c r="AA827">
        <v>38.731500000000004</v>
      </c>
      <c r="AB827">
        <v>0.42105263157894735</v>
      </c>
      <c r="AC827">
        <v>1.3333333333333335</v>
      </c>
      <c r="AD827" s="1">
        <v>25</v>
      </c>
      <c r="AE827" s="2">
        <v>46273</v>
      </c>
      <c r="AF827" s="2">
        <v>46281</v>
      </c>
      <c r="AG827" s="2">
        <v>46288</v>
      </c>
      <c r="AH827">
        <v>52.548000000000002</v>
      </c>
      <c r="AI827" s="3">
        <v>1.0526315789473681</v>
      </c>
      <c r="AJ827" s="1">
        <v>24</v>
      </c>
      <c r="AK827" s="2">
        <v>46287</v>
      </c>
      <c r="AL827" s="4">
        <v>30</v>
      </c>
      <c r="AM827" s="5">
        <v>15</v>
      </c>
      <c r="AN827" s="4">
        <v>24</v>
      </c>
      <c r="AO827">
        <v>54.36</v>
      </c>
      <c r="AP827" s="4">
        <v>1</v>
      </c>
      <c r="AQ827" t="s">
        <v>1619</v>
      </c>
      <c r="AR827" t="s">
        <v>1620</v>
      </c>
      <c r="AT827" s="16">
        <f>_xlfn.XLOOKUP(B827,'SWiSH Demand Forecast Sep-26'!D:D,'SWiSH Demand Forecast Sep-26'!G:G,"Not Exist")</f>
        <v>4.6149180396435696</v>
      </c>
    </row>
    <row r="828" spans="1:46" x14ac:dyDescent="0.3">
      <c r="A828">
        <v>102400000</v>
      </c>
      <c r="B828" t="s">
        <v>2745</v>
      </c>
      <c r="C828" t="s">
        <v>136</v>
      </c>
      <c r="D828" t="s">
        <v>1613</v>
      </c>
      <c r="E828" t="s">
        <v>1832</v>
      </c>
      <c r="F828" t="s">
        <v>1833</v>
      </c>
      <c r="G828" t="s">
        <v>1616</v>
      </c>
      <c r="H828" t="s">
        <v>2382</v>
      </c>
      <c r="I828" t="s">
        <v>1626</v>
      </c>
      <c r="J828" t="s">
        <v>2746</v>
      </c>
      <c r="K828">
        <v>18.125</v>
      </c>
      <c r="L828">
        <v>36.25</v>
      </c>
      <c r="M828" s="1">
        <v>3</v>
      </c>
      <c r="N828">
        <v>0</v>
      </c>
      <c r="O828">
        <v>0</v>
      </c>
      <c r="P828">
        <v>2</v>
      </c>
      <c r="Q828" s="1">
        <v>2</v>
      </c>
      <c r="R828">
        <v>6.9</v>
      </c>
      <c r="S828" s="2">
        <v>46250</v>
      </c>
      <c r="T828" s="2">
        <v>46221</v>
      </c>
      <c r="U828">
        <v>2.4</v>
      </c>
      <c r="V828">
        <v>0</v>
      </c>
      <c r="W828">
        <v>0</v>
      </c>
      <c r="X828">
        <v>1.8</v>
      </c>
      <c r="Y828">
        <v>0</v>
      </c>
      <c r="Z828" s="8">
        <v>2.4</v>
      </c>
      <c r="AA828">
        <v>1.05</v>
      </c>
      <c r="AB828">
        <v>0</v>
      </c>
      <c r="AC828">
        <v>2.2857142857142856</v>
      </c>
      <c r="AD828" s="1">
        <v>25</v>
      </c>
      <c r="AE828" s="2">
        <v>46273</v>
      </c>
      <c r="AF828" s="2">
        <v>46281</v>
      </c>
      <c r="AG828" s="2">
        <v>46288</v>
      </c>
      <c r="AH828">
        <v>0</v>
      </c>
      <c r="AI828" s="3">
        <v>0</v>
      </c>
      <c r="AJ828" s="1" t="s">
        <v>1635</v>
      </c>
      <c r="AK828" s="2" t="s">
        <v>1635</v>
      </c>
      <c r="AL828" s="4">
        <v>30</v>
      </c>
      <c r="AM828" s="5">
        <v>15</v>
      </c>
      <c r="AN828" s="4">
        <v>25</v>
      </c>
      <c r="AO828">
        <v>0</v>
      </c>
      <c r="AP828" s="4">
        <v>1</v>
      </c>
      <c r="AQ828" t="s">
        <v>1619</v>
      </c>
      <c r="AR828" t="s">
        <v>1620</v>
      </c>
      <c r="AT828" s="16" t="str">
        <f>_xlfn.XLOOKUP(B828,'SWiSH Demand Forecast Sep-26'!D:D,'SWiSH Demand Forecast Sep-26'!G:G,"Not Exist")</f>
        <v>Not Exist</v>
      </c>
    </row>
    <row r="829" spans="1:46" x14ac:dyDescent="0.3">
      <c r="A829">
        <v>100100165</v>
      </c>
      <c r="B829" t="s">
        <v>2747</v>
      </c>
      <c r="C829" t="s">
        <v>136</v>
      </c>
      <c r="D829" t="s">
        <v>1613</v>
      </c>
      <c r="E829" t="s">
        <v>1622</v>
      </c>
      <c r="F829" t="s">
        <v>1840</v>
      </c>
      <c r="G829" t="s">
        <v>1616</v>
      </c>
      <c r="H829" t="s">
        <v>1877</v>
      </c>
      <c r="I829" t="s">
        <v>1618</v>
      </c>
      <c r="J829" t="s">
        <v>136</v>
      </c>
      <c r="K829">
        <v>2.9933842400000001</v>
      </c>
      <c r="L829">
        <v>51.635878140000003</v>
      </c>
      <c r="M829" s="1">
        <v>3</v>
      </c>
      <c r="N829">
        <v>0</v>
      </c>
      <c r="O829">
        <v>0</v>
      </c>
      <c r="P829">
        <v>17.25</v>
      </c>
      <c r="Q829" s="1">
        <v>17.25</v>
      </c>
      <c r="R829">
        <v>18.3</v>
      </c>
      <c r="S829" s="2">
        <v>46161</v>
      </c>
      <c r="T829" s="2">
        <v>46255</v>
      </c>
      <c r="U829">
        <v>0</v>
      </c>
      <c r="V829">
        <v>20.65</v>
      </c>
      <c r="W829">
        <v>7.75</v>
      </c>
      <c r="X829">
        <v>10</v>
      </c>
      <c r="Y829">
        <v>0</v>
      </c>
      <c r="Z829" s="8">
        <v>20.65</v>
      </c>
      <c r="AA829">
        <v>9.6</v>
      </c>
      <c r="AB829">
        <v>0</v>
      </c>
      <c r="AC829">
        <v>2.1510416666666665</v>
      </c>
      <c r="AD829" s="1">
        <v>25</v>
      </c>
      <c r="AE829" s="2">
        <v>46273</v>
      </c>
      <c r="AF829" s="2">
        <v>46281</v>
      </c>
      <c r="AG829" s="2">
        <v>46288</v>
      </c>
      <c r="AH829">
        <v>2.75</v>
      </c>
      <c r="AI829" s="3">
        <v>0.13776404775820322</v>
      </c>
      <c r="AJ829" s="1">
        <v>181</v>
      </c>
      <c r="AK829" s="2">
        <v>46444</v>
      </c>
      <c r="AL829" s="4">
        <v>30</v>
      </c>
      <c r="AM829" s="5">
        <v>15</v>
      </c>
      <c r="AN829" s="4">
        <v>25</v>
      </c>
      <c r="AO829">
        <v>2.8448275862068964</v>
      </c>
      <c r="AP829" s="4">
        <v>1</v>
      </c>
      <c r="AQ829" t="s">
        <v>1619</v>
      </c>
      <c r="AR829" t="s">
        <v>1620</v>
      </c>
      <c r="AT829" s="16" t="str">
        <f>_xlfn.XLOOKUP(B829,'SWiSH Demand Forecast Sep-26'!D:D,'SWiSH Demand Forecast Sep-26'!G:G,"Not Exist")</f>
        <v>Not Exist</v>
      </c>
    </row>
    <row r="830" spans="1:46" x14ac:dyDescent="0.3">
      <c r="A830">
        <v>105900045</v>
      </c>
      <c r="B830" t="s">
        <v>2748</v>
      </c>
      <c r="C830" t="s">
        <v>10</v>
      </c>
      <c r="D830" t="s">
        <v>1613</v>
      </c>
      <c r="E830" t="s">
        <v>1732</v>
      </c>
      <c r="F830" t="s">
        <v>1664</v>
      </c>
      <c r="G830" t="s">
        <v>1616</v>
      </c>
      <c r="H830" t="s">
        <v>1729</v>
      </c>
      <c r="I830" t="s">
        <v>1634</v>
      </c>
      <c r="J830" t="s">
        <v>2113</v>
      </c>
      <c r="K830">
        <v>4.2409800000000001E-3</v>
      </c>
      <c r="L830">
        <v>40.28931</v>
      </c>
      <c r="M830" s="1">
        <v>90</v>
      </c>
      <c r="N830">
        <v>0</v>
      </c>
      <c r="O830">
        <v>0</v>
      </c>
      <c r="P830">
        <v>9500</v>
      </c>
      <c r="Q830" s="1">
        <v>9500</v>
      </c>
      <c r="R830">
        <v>4.1440000000000001</v>
      </c>
      <c r="S830" s="2">
        <v>46082</v>
      </c>
      <c r="T830" s="2">
        <v>46258</v>
      </c>
      <c r="U830">
        <v>8800</v>
      </c>
      <c r="V830">
        <v>9200</v>
      </c>
      <c r="W830">
        <v>9100</v>
      </c>
      <c r="X830">
        <v>11200</v>
      </c>
      <c r="Y830">
        <v>8800</v>
      </c>
      <c r="Z830" s="8">
        <v>11200</v>
      </c>
      <c r="AA830">
        <v>9575</v>
      </c>
      <c r="AB830">
        <v>0.91906005221932119</v>
      </c>
      <c r="AC830">
        <v>1.1697127937336815</v>
      </c>
      <c r="AD830" s="1">
        <v>25</v>
      </c>
      <c r="AE830" s="2">
        <v>46273</v>
      </c>
      <c r="AF830" s="2">
        <v>46281</v>
      </c>
      <c r="AG830" s="2">
        <v>46288</v>
      </c>
      <c r="AH830">
        <v>6500</v>
      </c>
      <c r="AI830" s="3">
        <v>0.60036945812807885</v>
      </c>
      <c r="AJ830" s="1">
        <v>42</v>
      </c>
      <c r="AK830" s="2">
        <v>46305</v>
      </c>
      <c r="AL830" s="4">
        <v>120</v>
      </c>
      <c r="AM830" s="5">
        <v>100</v>
      </c>
      <c r="AN830" s="4">
        <v>25</v>
      </c>
      <c r="AO830">
        <v>26896.551724137931</v>
      </c>
      <c r="AP830" s="4">
        <v>1</v>
      </c>
      <c r="AQ830" t="s">
        <v>1619</v>
      </c>
      <c r="AR830" t="s">
        <v>1620</v>
      </c>
      <c r="AT830" s="16" t="str">
        <f>_xlfn.XLOOKUP(B830,'SWiSH Demand Forecast Sep-26'!D:D,'SWiSH Demand Forecast Sep-26'!G:G,"Not Exist")</f>
        <v>Not Exist</v>
      </c>
    </row>
    <row r="831" spans="1:46" hidden="1" x14ac:dyDescent="0.3">
      <c r="A831">
        <v>106800315</v>
      </c>
      <c r="B831" t="s">
        <v>77</v>
      </c>
      <c r="C831" t="s">
        <v>10</v>
      </c>
      <c r="D831" t="s">
        <v>1613</v>
      </c>
      <c r="E831" t="s">
        <v>1701</v>
      </c>
      <c r="F831" t="s">
        <v>1664</v>
      </c>
      <c r="G831" t="s">
        <v>1624</v>
      </c>
      <c r="H831" t="s">
        <v>1665</v>
      </c>
      <c r="I831" t="s">
        <v>1634</v>
      </c>
      <c r="J831" t="s">
        <v>10</v>
      </c>
      <c r="K831">
        <v>5.0000000000000001E-3</v>
      </c>
      <c r="L831">
        <v>215</v>
      </c>
      <c r="M831" s="1">
        <v>7</v>
      </c>
      <c r="N831">
        <v>0</v>
      </c>
      <c r="O831">
        <v>1000</v>
      </c>
      <c r="P831">
        <v>43000</v>
      </c>
      <c r="Q831" s="1">
        <v>42000</v>
      </c>
      <c r="R831">
        <v>5.0000000000000001E-3</v>
      </c>
      <c r="S831" s="2">
        <v>46250</v>
      </c>
      <c r="T831" s="2">
        <v>46261</v>
      </c>
      <c r="U831">
        <v>36000</v>
      </c>
      <c r="V831">
        <v>49000</v>
      </c>
      <c r="W831">
        <v>23000</v>
      </c>
      <c r="X831">
        <v>40000</v>
      </c>
      <c r="Y831">
        <v>23000</v>
      </c>
      <c r="Z831" s="8">
        <v>49000</v>
      </c>
      <c r="AA831">
        <v>37000</v>
      </c>
      <c r="AB831">
        <v>0.6216216216216216</v>
      </c>
      <c r="AC831">
        <v>1.3243243243243243</v>
      </c>
      <c r="AD831" s="1">
        <v>25</v>
      </c>
      <c r="AE831" s="2">
        <v>46273</v>
      </c>
      <c r="AF831" s="2">
        <v>46281</v>
      </c>
      <c r="AG831" s="2">
        <v>46288</v>
      </c>
      <c r="AH831">
        <v>27000</v>
      </c>
      <c r="AI831" s="3">
        <v>0.57002111189303306</v>
      </c>
      <c r="AJ831" s="1">
        <v>45</v>
      </c>
      <c r="AK831" s="2">
        <v>46308</v>
      </c>
      <c r="AL831" s="4">
        <v>30</v>
      </c>
      <c r="AM831" s="5">
        <v>15</v>
      </c>
      <c r="AN831" s="4">
        <v>25</v>
      </c>
      <c r="AO831">
        <v>27931.03448275862</v>
      </c>
      <c r="AP831" s="4">
        <v>1</v>
      </c>
      <c r="AQ831">
        <v>150000</v>
      </c>
      <c r="AR831" t="s">
        <v>1829</v>
      </c>
      <c r="AT831" s="16">
        <f>_xlfn.XLOOKUP(B831,'SWiSH Demand Forecast Sep-26'!D:D,'SWiSH Demand Forecast Sep-26'!G:G,"Not Exist")</f>
        <v>28360</v>
      </c>
    </row>
    <row r="832" spans="1:46" hidden="1" x14ac:dyDescent="0.3">
      <c r="A832">
        <v>103700019</v>
      </c>
      <c r="B832" t="s">
        <v>1365</v>
      </c>
      <c r="C832" t="s">
        <v>136</v>
      </c>
      <c r="D832" t="s">
        <v>1613</v>
      </c>
      <c r="E832" t="s">
        <v>1732</v>
      </c>
      <c r="F832" t="s">
        <v>1615</v>
      </c>
      <c r="G832" t="s">
        <v>1616</v>
      </c>
      <c r="H832" t="s">
        <v>1617</v>
      </c>
      <c r="I832" t="s">
        <v>1618</v>
      </c>
      <c r="J832" t="s">
        <v>136</v>
      </c>
      <c r="K832">
        <v>9.4771199999999993</v>
      </c>
      <c r="L832">
        <v>296.55803903999998</v>
      </c>
      <c r="M832" s="1">
        <v>3</v>
      </c>
      <c r="N832">
        <v>0</v>
      </c>
      <c r="O832">
        <v>0.65200000000000002</v>
      </c>
      <c r="P832">
        <v>31.292000000000002</v>
      </c>
      <c r="Q832" s="1">
        <v>30.64</v>
      </c>
      <c r="R832">
        <v>5.5</v>
      </c>
      <c r="S832" s="2">
        <v>46238</v>
      </c>
      <c r="T832" s="2">
        <v>46259</v>
      </c>
      <c r="U832">
        <v>18.255999999999997</v>
      </c>
      <c r="V832">
        <v>18.256</v>
      </c>
      <c r="W832">
        <v>31.948000000000004</v>
      </c>
      <c r="X832">
        <v>35.86</v>
      </c>
      <c r="Y832">
        <v>18.255999999999997</v>
      </c>
      <c r="Z832" s="8">
        <v>35.86</v>
      </c>
      <c r="AA832">
        <v>26.080000000000002</v>
      </c>
      <c r="AB832">
        <v>0.69999999999999984</v>
      </c>
      <c r="AC832">
        <v>1.3749999999999998</v>
      </c>
      <c r="AD832" s="1">
        <v>25</v>
      </c>
      <c r="AE832" s="2">
        <v>46273</v>
      </c>
      <c r="AF832" s="2">
        <v>46281</v>
      </c>
      <c r="AG832" s="2">
        <v>46288</v>
      </c>
      <c r="AH832">
        <v>16.951999999999998</v>
      </c>
      <c r="AI832" s="3">
        <v>0.48902821316614414</v>
      </c>
      <c r="AJ832" s="1">
        <v>52</v>
      </c>
      <c r="AK832" s="2">
        <v>46315</v>
      </c>
      <c r="AL832" s="4">
        <v>30</v>
      </c>
      <c r="AM832" s="5">
        <v>15</v>
      </c>
      <c r="AN832" s="4">
        <v>25</v>
      </c>
      <c r="AO832">
        <v>17.536551724137929</v>
      </c>
      <c r="AP832" s="4">
        <v>1</v>
      </c>
      <c r="AQ832">
        <v>18</v>
      </c>
      <c r="AR832" t="s">
        <v>2130</v>
      </c>
      <c r="AT832" s="16">
        <f>_xlfn.XLOOKUP(B832,'SWiSH Demand Forecast Sep-26'!D:D,'SWiSH Demand Forecast Sep-26'!G:G,"Not Exist")</f>
        <v>20.338434914227999</v>
      </c>
    </row>
    <row r="833" spans="1:46" x14ac:dyDescent="0.3">
      <c r="A833">
        <v>101500027</v>
      </c>
      <c r="B833" t="s">
        <v>2749</v>
      </c>
      <c r="C833" t="s">
        <v>10</v>
      </c>
      <c r="D833" t="s">
        <v>1613</v>
      </c>
      <c r="E833" t="s">
        <v>2750</v>
      </c>
      <c r="F833" t="s">
        <v>1644</v>
      </c>
      <c r="G833" t="s">
        <v>1624</v>
      </c>
      <c r="H833" t="s">
        <v>1647</v>
      </c>
      <c r="I833" t="s">
        <v>1634</v>
      </c>
      <c r="J833" t="s">
        <v>10</v>
      </c>
      <c r="K833">
        <v>4.5</v>
      </c>
      <c r="L833">
        <v>94.5</v>
      </c>
      <c r="M833" s="1">
        <v>3</v>
      </c>
      <c r="N833">
        <v>0</v>
      </c>
      <c r="O833">
        <v>0</v>
      </c>
      <c r="P833">
        <v>21</v>
      </c>
      <c r="Q833" s="1">
        <v>21</v>
      </c>
      <c r="R833">
        <v>4.5</v>
      </c>
      <c r="S833" s="2">
        <v>46257</v>
      </c>
      <c r="T833" s="2">
        <v>46261</v>
      </c>
      <c r="U833">
        <v>6</v>
      </c>
      <c r="V833">
        <v>16</v>
      </c>
      <c r="W833">
        <v>25</v>
      </c>
      <c r="X833">
        <v>18</v>
      </c>
      <c r="Y833">
        <v>6</v>
      </c>
      <c r="Z833" s="8">
        <v>25</v>
      </c>
      <c r="AA833">
        <v>16.25</v>
      </c>
      <c r="AB833">
        <v>0.36923076923076925</v>
      </c>
      <c r="AC833">
        <v>1.5384615384615385</v>
      </c>
      <c r="AD833" s="1">
        <v>25</v>
      </c>
      <c r="AE833" s="2">
        <v>46273</v>
      </c>
      <c r="AF833" s="2">
        <v>46281</v>
      </c>
      <c r="AG833" s="2">
        <v>46288</v>
      </c>
      <c r="AH833">
        <v>4</v>
      </c>
      <c r="AI833" s="3">
        <v>0.16551724137931034</v>
      </c>
      <c r="AJ833" s="1">
        <v>152</v>
      </c>
      <c r="AK833" s="2">
        <v>46415</v>
      </c>
      <c r="AL833" s="4">
        <v>30</v>
      </c>
      <c r="AM833" s="5">
        <v>15</v>
      </c>
      <c r="AN833" s="4">
        <v>25</v>
      </c>
      <c r="AO833">
        <v>4.1379310344827589</v>
      </c>
      <c r="AP833" s="4">
        <v>1</v>
      </c>
      <c r="AQ833" t="s">
        <v>1619</v>
      </c>
      <c r="AR833" t="s">
        <v>1620</v>
      </c>
      <c r="AT833" s="16" t="str">
        <f>_xlfn.XLOOKUP(B833,'SWiSH Demand Forecast Sep-26'!D:D,'SWiSH Demand Forecast Sep-26'!G:G,"Not Exist")</f>
        <v>Not Exist</v>
      </c>
    </row>
    <row r="834" spans="1:46" hidden="1" x14ac:dyDescent="0.3">
      <c r="A834">
        <v>101800007</v>
      </c>
      <c r="B834" t="s">
        <v>419</v>
      </c>
      <c r="C834" t="s">
        <v>10</v>
      </c>
      <c r="D834" t="s">
        <v>1613</v>
      </c>
      <c r="E834" t="s">
        <v>2751</v>
      </c>
      <c r="F834" t="s">
        <v>1631</v>
      </c>
      <c r="G834" t="s">
        <v>1624</v>
      </c>
      <c r="H834" t="s">
        <v>2144</v>
      </c>
      <c r="I834" t="s">
        <v>1634</v>
      </c>
      <c r="J834" t="s">
        <v>2145</v>
      </c>
      <c r="K834">
        <v>5.0000000000000001E-3</v>
      </c>
      <c r="L834">
        <v>50</v>
      </c>
      <c r="M834" s="1">
        <v>3</v>
      </c>
      <c r="N834">
        <v>0</v>
      </c>
      <c r="O834">
        <v>0</v>
      </c>
      <c r="P834">
        <v>10000</v>
      </c>
      <c r="Q834" s="1">
        <v>10000</v>
      </c>
      <c r="R834">
        <v>5</v>
      </c>
      <c r="S834" s="2">
        <v>46244</v>
      </c>
      <c r="T834" s="2">
        <v>46262</v>
      </c>
      <c r="U834">
        <v>12000</v>
      </c>
      <c r="V834">
        <v>7000</v>
      </c>
      <c r="W834">
        <v>10700</v>
      </c>
      <c r="X834">
        <v>6150</v>
      </c>
      <c r="Y834">
        <v>6150</v>
      </c>
      <c r="Z834" s="8">
        <v>12000</v>
      </c>
      <c r="AA834">
        <v>8962.5</v>
      </c>
      <c r="AB834">
        <v>0.68619246861924688</v>
      </c>
      <c r="AC834">
        <v>1.3389121338912133</v>
      </c>
      <c r="AD834" s="1">
        <v>25</v>
      </c>
      <c r="AE834" s="2">
        <v>46273</v>
      </c>
      <c r="AF834" s="2">
        <v>46281</v>
      </c>
      <c r="AG834" s="2">
        <v>46288</v>
      </c>
      <c r="AH834">
        <v>10000</v>
      </c>
      <c r="AI834" s="3">
        <v>0.86206896551724144</v>
      </c>
      <c r="AJ834" s="1">
        <v>29</v>
      </c>
      <c r="AK834" s="2">
        <v>46292</v>
      </c>
      <c r="AL834" s="4">
        <v>30</v>
      </c>
      <c r="AM834" s="5">
        <v>15</v>
      </c>
      <c r="AN834" s="4">
        <v>25</v>
      </c>
      <c r="AO834">
        <v>10344.827586206897</v>
      </c>
      <c r="AP834" s="4">
        <v>1</v>
      </c>
      <c r="AQ834" t="s">
        <v>1619</v>
      </c>
      <c r="AR834" t="s">
        <v>1620</v>
      </c>
      <c r="AT834" s="16">
        <f>_xlfn.XLOOKUP(B834,'SWiSH Demand Forecast Sep-26'!D:D,'SWiSH Demand Forecast Sep-26'!G:G,"Not Exist")</f>
        <v>2427</v>
      </c>
    </row>
    <row r="835" spans="1:46" hidden="1" x14ac:dyDescent="0.3">
      <c r="A835">
        <v>100100014</v>
      </c>
      <c r="B835" t="s">
        <v>1228</v>
      </c>
      <c r="C835" t="s">
        <v>136</v>
      </c>
      <c r="D835" t="s">
        <v>1613</v>
      </c>
      <c r="E835" t="s">
        <v>1677</v>
      </c>
      <c r="F835" t="s">
        <v>1615</v>
      </c>
      <c r="G835" t="s">
        <v>1616</v>
      </c>
      <c r="H835" t="s">
        <v>1877</v>
      </c>
      <c r="I835" t="s">
        <v>1618</v>
      </c>
      <c r="J835" t="s">
        <v>136</v>
      </c>
      <c r="K835">
        <v>1.37</v>
      </c>
      <c r="L835">
        <v>263.04000000000002</v>
      </c>
      <c r="M835" s="1">
        <v>3</v>
      </c>
      <c r="N835">
        <v>0</v>
      </c>
      <c r="O835">
        <v>0</v>
      </c>
      <c r="P835">
        <v>192</v>
      </c>
      <c r="Q835" s="1">
        <v>192</v>
      </c>
      <c r="R835">
        <v>32.4</v>
      </c>
      <c r="S835" s="2">
        <v>46249</v>
      </c>
      <c r="T835" s="2">
        <v>46262</v>
      </c>
      <c r="U835">
        <v>226.70000000000002</v>
      </c>
      <c r="V835">
        <v>185.93</v>
      </c>
      <c r="W835">
        <v>181.36</v>
      </c>
      <c r="X835">
        <v>181.36</v>
      </c>
      <c r="Y835">
        <v>181.36</v>
      </c>
      <c r="Z835" s="8">
        <v>226.70000000000002</v>
      </c>
      <c r="AA835">
        <v>193.83750000000001</v>
      </c>
      <c r="AB835">
        <v>0.93562907074224544</v>
      </c>
      <c r="AC835">
        <v>1.1695363384278068</v>
      </c>
      <c r="AD835" s="1">
        <v>25</v>
      </c>
      <c r="AE835" s="2">
        <v>46273</v>
      </c>
      <c r="AF835" s="2">
        <v>46281</v>
      </c>
      <c r="AG835" s="2">
        <v>46288</v>
      </c>
      <c r="AH835">
        <v>138.68</v>
      </c>
      <c r="AI835" s="3">
        <v>0.63282782957881456</v>
      </c>
      <c r="AJ835" s="1">
        <v>40</v>
      </c>
      <c r="AK835" s="2">
        <v>46303</v>
      </c>
      <c r="AL835" s="4">
        <v>30</v>
      </c>
      <c r="AM835" s="5">
        <v>15</v>
      </c>
      <c r="AN835" s="4">
        <v>25</v>
      </c>
      <c r="AO835">
        <v>143.46206896551726</v>
      </c>
      <c r="AP835" s="4">
        <v>1</v>
      </c>
      <c r="AQ835" t="s">
        <v>1619</v>
      </c>
      <c r="AR835" t="s">
        <v>1620</v>
      </c>
      <c r="AT835" s="16">
        <f>_xlfn.XLOOKUP(B835,'SWiSH Demand Forecast Sep-26'!D:D,'SWiSH Demand Forecast Sep-26'!G:G,"Not Exist")</f>
        <v>48.475091765407399</v>
      </c>
    </row>
    <row r="836" spans="1:46" x14ac:dyDescent="0.3">
      <c r="A836">
        <v>105200075</v>
      </c>
      <c r="B836" t="s">
        <v>2752</v>
      </c>
      <c r="C836" t="s">
        <v>10</v>
      </c>
      <c r="D836" t="s">
        <v>1613</v>
      </c>
      <c r="E836" t="s">
        <v>1701</v>
      </c>
      <c r="F836" t="s">
        <v>1664</v>
      </c>
      <c r="G836" t="s">
        <v>1624</v>
      </c>
      <c r="H836" t="s">
        <v>1779</v>
      </c>
      <c r="I836" t="s">
        <v>1634</v>
      </c>
      <c r="J836" t="s">
        <v>10</v>
      </c>
      <c r="K836">
        <v>0.03</v>
      </c>
      <c r="L836">
        <v>1881</v>
      </c>
      <c r="M836" s="1">
        <v>30</v>
      </c>
      <c r="N836">
        <v>0</v>
      </c>
      <c r="O836">
        <v>1500</v>
      </c>
      <c r="P836">
        <v>62700</v>
      </c>
      <c r="Q836" s="1">
        <v>61200</v>
      </c>
      <c r="R836">
        <v>0.03</v>
      </c>
      <c r="S836" s="2">
        <v>46253</v>
      </c>
      <c r="T836" s="2">
        <v>46263</v>
      </c>
      <c r="U836">
        <v>61500</v>
      </c>
      <c r="V836">
        <v>70700</v>
      </c>
      <c r="W836">
        <v>54900</v>
      </c>
      <c r="X836">
        <v>59700</v>
      </c>
      <c r="Y836">
        <v>54900</v>
      </c>
      <c r="Z836" s="8">
        <v>70700</v>
      </c>
      <c r="AA836">
        <v>61700</v>
      </c>
      <c r="AB836">
        <v>0.8897893030794165</v>
      </c>
      <c r="AC836">
        <v>1.1458670988654782</v>
      </c>
      <c r="AD836" s="1">
        <v>25</v>
      </c>
      <c r="AE836" s="2">
        <v>46273</v>
      </c>
      <c r="AF836" s="2">
        <v>46281</v>
      </c>
      <c r="AG836" s="2">
        <v>46288</v>
      </c>
      <c r="AH836">
        <v>52700</v>
      </c>
      <c r="AI836" s="3">
        <v>0.77110666731697808</v>
      </c>
      <c r="AJ836" s="1">
        <v>33</v>
      </c>
      <c r="AK836" s="2">
        <v>46296</v>
      </c>
      <c r="AL836" s="4">
        <v>15</v>
      </c>
      <c r="AM836" s="5">
        <v>15</v>
      </c>
      <c r="AN836" s="4">
        <v>25</v>
      </c>
      <c r="AO836">
        <v>27258.620689655174</v>
      </c>
      <c r="AP836" s="4">
        <v>2</v>
      </c>
      <c r="AQ836">
        <v>61500</v>
      </c>
      <c r="AR836" t="s">
        <v>2032</v>
      </c>
      <c r="AT836" s="16" t="str">
        <f>_xlfn.XLOOKUP(B836,'SWiSH Demand Forecast Sep-26'!D:D,'SWiSH Demand Forecast Sep-26'!G:G,"Not Exist")</f>
        <v>Not Exist</v>
      </c>
    </row>
    <row r="837" spans="1:46" hidden="1" x14ac:dyDescent="0.3">
      <c r="A837">
        <v>103900004</v>
      </c>
      <c r="B837" t="s">
        <v>1555</v>
      </c>
      <c r="C837" t="s">
        <v>136</v>
      </c>
      <c r="D837" t="s">
        <v>1613</v>
      </c>
      <c r="E837" t="s">
        <v>2753</v>
      </c>
      <c r="F837" t="s">
        <v>1840</v>
      </c>
      <c r="G837" t="s">
        <v>1616</v>
      </c>
      <c r="H837" t="s">
        <v>2063</v>
      </c>
      <c r="I837" t="s">
        <v>1618</v>
      </c>
      <c r="J837" t="s">
        <v>2754</v>
      </c>
      <c r="K837">
        <v>11.85526316</v>
      </c>
      <c r="L837">
        <v>337.87500005999999</v>
      </c>
      <c r="M837" s="1">
        <v>3</v>
      </c>
      <c r="N837">
        <v>0</v>
      </c>
      <c r="O837">
        <v>0.38</v>
      </c>
      <c r="P837">
        <v>28.5</v>
      </c>
      <c r="Q837" s="1">
        <v>28.12</v>
      </c>
      <c r="R837">
        <v>13.515000000000001</v>
      </c>
      <c r="S837" s="2">
        <v>46240</v>
      </c>
      <c r="T837" s="2">
        <v>46263</v>
      </c>
      <c r="U837">
        <v>30.780000000000037</v>
      </c>
      <c r="V837">
        <v>32.490000000000023</v>
      </c>
      <c r="W837">
        <v>31.350000000000048</v>
      </c>
      <c r="X837">
        <v>30.780000000000044</v>
      </c>
      <c r="Y837">
        <v>30.780000000000037</v>
      </c>
      <c r="Z837" s="8">
        <v>32.490000000000023</v>
      </c>
      <c r="AA837">
        <v>31.350000000000037</v>
      </c>
      <c r="AB837">
        <v>0.98181818181818181</v>
      </c>
      <c r="AC837">
        <v>1.0363636363636359</v>
      </c>
      <c r="AD837" s="1">
        <v>25</v>
      </c>
      <c r="AE837" s="2">
        <v>46273</v>
      </c>
      <c r="AF837" s="2">
        <v>46281</v>
      </c>
      <c r="AG837" s="2">
        <v>46288</v>
      </c>
      <c r="AH837">
        <v>35.910000000000025</v>
      </c>
      <c r="AI837" s="3">
        <v>1.1433756805807622</v>
      </c>
      <c r="AJ837" s="1">
        <v>22</v>
      </c>
      <c r="AK837" s="2">
        <v>46285</v>
      </c>
      <c r="AL837" s="4">
        <v>30</v>
      </c>
      <c r="AM837" s="5">
        <v>15</v>
      </c>
      <c r="AN837" s="4">
        <v>22</v>
      </c>
      <c r="AO837">
        <v>37.148275862068992</v>
      </c>
      <c r="AP837" s="4">
        <v>1</v>
      </c>
      <c r="AQ837" t="s">
        <v>1619</v>
      </c>
      <c r="AR837" t="s">
        <v>1620</v>
      </c>
      <c r="AT837" s="16">
        <f>_xlfn.XLOOKUP(B837,'SWiSH Demand Forecast Sep-26'!D:D,'SWiSH Demand Forecast Sep-26'!G:G,"Not Exist")</f>
        <v>0.41695199999999999</v>
      </c>
    </row>
    <row r="838" spans="1:46" hidden="1" x14ac:dyDescent="0.3">
      <c r="A838">
        <v>100400205</v>
      </c>
      <c r="B838" t="s">
        <v>826</v>
      </c>
      <c r="C838" t="s">
        <v>10</v>
      </c>
      <c r="D838" t="s">
        <v>1613</v>
      </c>
      <c r="E838" t="s">
        <v>2587</v>
      </c>
      <c r="F838" t="s">
        <v>1664</v>
      </c>
      <c r="G838" t="s">
        <v>1624</v>
      </c>
      <c r="H838" t="s">
        <v>1810</v>
      </c>
      <c r="I838" t="s">
        <v>1634</v>
      </c>
      <c r="J838" t="s">
        <v>10</v>
      </c>
      <c r="K838">
        <v>2.4E-2</v>
      </c>
      <c r="L838">
        <v>30</v>
      </c>
      <c r="M838" s="1">
        <v>30</v>
      </c>
      <c r="N838">
        <v>0</v>
      </c>
      <c r="O838">
        <v>0</v>
      </c>
      <c r="P838">
        <v>1250</v>
      </c>
      <c r="Q838" s="1">
        <v>1250</v>
      </c>
      <c r="R838">
        <v>2.4E-2</v>
      </c>
      <c r="S838" s="2">
        <v>46167</v>
      </c>
      <c r="T838" s="2">
        <v>46262</v>
      </c>
      <c r="U838">
        <v>1000</v>
      </c>
      <c r="V838">
        <v>1450</v>
      </c>
      <c r="W838">
        <v>1250</v>
      </c>
      <c r="X838">
        <v>1300</v>
      </c>
      <c r="Y838">
        <v>1000</v>
      </c>
      <c r="Z838" s="8">
        <v>1450</v>
      </c>
      <c r="AA838">
        <v>1250</v>
      </c>
      <c r="AB838">
        <v>0.8</v>
      </c>
      <c r="AC838">
        <v>1.1599999999999999</v>
      </c>
      <c r="AD838" s="1">
        <v>25</v>
      </c>
      <c r="AE838" s="2">
        <v>46273</v>
      </c>
      <c r="AF838" s="2">
        <v>46281</v>
      </c>
      <c r="AG838" s="2">
        <v>46288</v>
      </c>
      <c r="AH838">
        <v>1000</v>
      </c>
      <c r="AI838" s="3">
        <v>0.71343638525564801</v>
      </c>
      <c r="AJ838" s="1">
        <v>36</v>
      </c>
      <c r="AK838" s="2">
        <v>46299</v>
      </c>
      <c r="AL838" s="4">
        <v>30</v>
      </c>
      <c r="AM838" s="5">
        <v>15</v>
      </c>
      <c r="AN838" s="4">
        <v>25</v>
      </c>
      <c r="AO838">
        <v>1034.4827586206895</v>
      </c>
      <c r="AP838" s="4">
        <v>1</v>
      </c>
      <c r="AQ838">
        <v>20000</v>
      </c>
      <c r="AR838" t="s">
        <v>2076</v>
      </c>
      <c r="AT838" s="16">
        <f>_xlfn.XLOOKUP(B838,'SWiSH Demand Forecast Sep-26'!D:D,'SWiSH Demand Forecast Sep-26'!G:G,"Not Exist")</f>
        <v>353</v>
      </c>
    </row>
    <row r="839" spans="1:46" hidden="1" x14ac:dyDescent="0.3">
      <c r="A839">
        <v>106800287</v>
      </c>
      <c r="B839" t="s">
        <v>414</v>
      </c>
      <c r="C839" t="s">
        <v>10</v>
      </c>
      <c r="D839" t="s">
        <v>1613</v>
      </c>
      <c r="E839" t="s">
        <v>1732</v>
      </c>
      <c r="F839" t="s">
        <v>1664</v>
      </c>
      <c r="G839" t="s">
        <v>1616</v>
      </c>
      <c r="H839" t="s">
        <v>1665</v>
      </c>
      <c r="I839" t="s">
        <v>1634</v>
      </c>
      <c r="J839" t="s">
        <v>10</v>
      </c>
      <c r="K839">
        <v>3.5224499999999999E-3</v>
      </c>
      <c r="L839">
        <v>24.657149999999998</v>
      </c>
      <c r="M839" s="1">
        <v>7</v>
      </c>
      <c r="N839">
        <v>0</v>
      </c>
      <c r="O839">
        <v>0</v>
      </c>
      <c r="P839">
        <v>7000</v>
      </c>
      <c r="Q839" s="1">
        <v>7000</v>
      </c>
      <c r="R839">
        <v>3.5000000000000001E-3</v>
      </c>
      <c r="S839" s="2">
        <v>46014</v>
      </c>
      <c r="T839" s="2">
        <v>46233</v>
      </c>
      <c r="U839">
        <v>1000</v>
      </c>
      <c r="V839">
        <v>5000</v>
      </c>
      <c r="W839">
        <v>2000</v>
      </c>
      <c r="X839">
        <v>8000</v>
      </c>
      <c r="Y839">
        <v>1000</v>
      </c>
      <c r="Z839" s="8">
        <v>8000</v>
      </c>
      <c r="AA839">
        <v>4000</v>
      </c>
      <c r="AB839">
        <v>0.25</v>
      </c>
      <c r="AC839">
        <v>2</v>
      </c>
      <c r="AD839" s="1">
        <v>26</v>
      </c>
      <c r="AE839" s="2">
        <v>46274</v>
      </c>
      <c r="AF839" s="2">
        <v>46282</v>
      </c>
      <c r="AG839" s="2">
        <v>46289</v>
      </c>
      <c r="AH839">
        <v>0</v>
      </c>
      <c r="AI839" s="3">
        <v>0</v>
      </c>
      <c r="AJ839" s="1" t="s">
        <v>1635</v>
      </c>
      <c r="AK839" s="2" t="s">
        <v>1635</v>
      </c>
      <c r="AL839" s="4">
        <v>30</v>
      </c>
      <c r="AM839" s="5">
        <v>15</v>
      </c>
      <c r="AN839" s="4">
        <v>26</v>
      </c>
      <c r="AO839">
        <v>0</v>
      </c>
      <c r="AP839" s="4">
        <v>1</v>
      </c>
      <c r="AQ839">
        <v>60000</v>
      </c>
      <c r="AR839" t="s">
        <v>1829</v>
      </c>
      <c r="AT839" s="16">
        <f>_xlfn.XLOOKUP(B839,'SWiSH Demand Forecast Sep-26'!D:D,'SWiSH Demand Forecast Sep-26'!G:G,"Not Exist")</f>
        <v>2463</v>
      </c>
    </row>
    <row r="840" spans="1:46" hidden="1" x14ac:dyDescent="0.3">
      <c r="A840">
        <v>103700033</v>
      </c>
      <c r="B840" t="s">
        <v>1536</v>
      </c>
      <c r="C840" t="s">
        <v>136</v>
      </c>
      <c r="D840" t="s">
        <v>1613</v>
      </c>
      <c r="E840" t="s">
        <v>2755</v>
      </c>
      <c r="F840" t="s">
        <v>1615</v>
      </c>
      <c r="G840" t="s">
        <v>1616</v>
      </c>
      <c r="H840" t="s">
        <v>1617</v>
      </c>
      <c r="I840" t="s">
        <v>1618</v>
      </c>
      <c r="J840" t="s">
        <v>1858</v>
      </c>
      <c r="K840">
        <v>1.75</v>
      </c>
      <c r="L840">
        <v>12.25</v>
      </c>
      <c r="M840" s="1">
        <v>3</v>
      </c>
      <c r="N840">
        <v>0</v>
      </c>
      <c r="O840">
        <v>0</v>
      </c>
      <c r="P840">
        <v>7</v>
      </c>
      <c r="Q840" s="1">
        <v>7</v>
      </c>
      <c r="R840">
        <v>1.75</v>
      </c>
      <c r="S840" s="2">
        <v>46238</v>
      </c>
      <c r="T840" s="2">
        <v>46230</v>
      </c>
      <c r="U840">
        <v>2</v>
      </c>
      <c r="V840">
        <v>7</v>
      </c>
      <c r="W840">
        <v>1</v>
      </c>
      <c r="X840">
        <v>8</v>
      </c>
      <c r="Y840">
        <v>1</v>
      </c>
      <c r="Z840" s="8">
        <v>8</v>
      </c>
      <c r="AA840">
        <v>4.5</v>
      </c>
      <c r="AB840">
        <v>0.22222222222222221</v>
      </c>
      <c r="AC840">
        <v>1.7777777777777777</v>
      </c>
      <c r="AD840" s="1">
        <v>26</v>
      </c>
      <c r="AE840" s="2">
        <v>46274</v>
      </c>
      <c r="AF840" s="2">
        <v>46282</v>
      </c>
      <c r="AG840" s="2">
        <v>46289</v>
      </c>
      <c r="AH840">
        <v>0</v>
      </c>
      <c r="AI840" s="3">
        <v>0</v>
      </c>
      <c r="AJ840" s="1" t="s">
        <v>1635</v>
      </c>
      <c r="AK840" s="2" t="s">
        <v>1635</v>
      </c>
      <c r="AL840" s="4">
        <v>30</v>
      </c>
      <c r="AM840" s="5">
        <v>15</v>
      </c>
      <c r="AN840" s="4">
        <v>26</v>
      </c>
      <c r="AO840">
        <v>0</v>
      </c>
      <c r="AP840" s="4">
        <v>1</v>
      </c>
      <c r="AQ840" t="s">
        <v>1619</v>
      </c>
      <c r="AR840" t="s">
        <v>1620</v>
      </c>
      <c r="AT840" s="16">
        <f>_xlfn.XLOOKUP(B840,'SWiSH Demand Forecast Sep-26'!D:D,'SWiSH Demand Forecast Sep-26'!G:G,"Not Exist")</f>
        <v>1.09473289156514</v>
      </c>
    </row>
    <row r="841" spans="1:46" x14ac:dyDescent="0.3">
      <c r="A841">
        <v>105200095</v>
      </c>
      <c r="B841" t="s">
        <v>2756</v>
      </c>
      <c r="C841" t="s">
        <v>10</v>
      </c>
      <c r="D841" t="s">
        <v>1613</v>
      </c>
      <c r="E841" t="s">
        <v>1796</v>
      </c>
      <c r="F841" t="s">
        <v>1664</v>
      </c>
      <c r="G841" t="s">
        <v>1624</v>
      </c>
      <c r="H841" t="s">
        <v>1779</v>
      </c>
      <c r="I841" t="s">
        <v>1634</v>
      </c>
      <c r="J841" t="s">
        <v>10</v>
      </c>
      <c r="K841">
        <v>1.2E-2</v>
      </c>
      <c r="L841">
        <v>204</v>
      </c>
      <c r="M841" s="1">
        <v>30</v>
      </c>
      <c r="N841">
        <v>0</v>
      </c>
      <c r="O841">
        <v>0</v>
      </c>
      <c r="P841">
        <v>17000</v>
      </c>
      <c r="Q841" s="1">
        <v>17000</v>
      </c>
      <c r="R841">
        <v>1.2E-2</v>
      </c>
      <c r="S841" s="2">
        <v>46215</v>
      </c>
      <c r="T841" s="2">
        <v>46218</v>
      </c>
      <c r="U841">
        <v>0</v>
      </c>
      <c r="V841">
        <v>0</v>
      </c>
      <c r="W841">
        <v>19000</v>
      </c>
      <c r="X841">
        <v>12200</v>
      </c>
      <c r="Y841">
        <v>0</v>
      </c>
      <c r="Z841" s="8">
        <v>19000</v>
      </c>
      <c r="AA841">
        <v>7800</v>
      </c>
      <c r="AB841">
        <v>0</v>
      </c>
      <c r="AC841">
        <v>2.4358974358974357</v>
      </c>
      <c r="AD841" s="1">
        <v>26</v>
      </c>
      <c r="AE841" s="2">
        <v>46274</v>
      </c>
      <c r="AF841" s="2">
        <v>46282</v>
      </c>
      <c r="AG841" s="2">
        <v>46289</v>
      </c>
      <c r="AH841">
        <v>0</v>
      </c>
      <c r="AI841" s="3">
        <v>0</v>
      </c>
      <c r="AJ841" s="1" t="s">
        <v>1635</v>
      </c>
      <c r="AK841" s="2" t="s">
        <v>1635</v>
      </c>
      <c r="AL841" s="4">
        <v>30</v>
      </c>
      <c r="AM841" s="5">
        <v>15</v>
      </c>
      <c r="AN841" s="4">
        <v>26</v>
      </c>
      <c r="AO841">
        <v>0</v>
      </c>
      <c r="AP841" s="4">
        <v>1</v>
      </c>
      <c r="AQ841">
        <v>26800</v>
      </c>
      <c r="AR841" t="s">
        <v>2034</v>
      </c>
      <c r="AT841" s="16" t="str">
        <f>_xlfn.XLOOKUP(B841,'SWiSH Demand Forecast Sep-26'!D:D,'SWiSH Demand Forecast Sep-26'!G:G,"Not Exist")</f>
        <v>Not Exist</v>
      </c>
    </row>
    <row r="842" spans="1:46" x14ac:dyDescent="0.3">
      <c r="A842">
        <v>100400247</v>
      </c>
      <c r="B842" t="s">
        <v>2757</v>
      </c>
      <c r="C842" t="s">
        <v>10</v>
      </c>
      <c r="D842" t="s">
        <v>1613</v>
      </c>
      <c r="E842" t="s">
        <v>1685</v>
      </c>
      <c r="F842" t="s">
        <v>1664</v>
      </c>
      <c r="G842" t="s">
        <v>1624</v>
      </c>
      <c r="H842" t="s">
        <v>1810</v>
      </c>
      <c r="I842" t="s">
        <v>1634</v>
      </c>
      <c r="J842" t="s">
        <v>10</v>
      </c>
      <c r="K842">
        <v>7.0000000000000007E-2</v>
      </c>
      <c r="L842">
        <v>140</v>
      </c>
      <c r="M842" s="1">
        <v>30</v>
      </c>
      <c r="N842">
        <v>0</v>
      </c>
      <c r="O842">
        <v>0</v>
      </c>
      <c r="P842">
        <v>2000</v>
      </c>
      <c r="Q842" s="1">
        <v>2000</v>
      </c>
      <c r="R842">
        <v>7.0000000000000007E-2</v>
      </c>
      <c r="S842" s="2">
        <v>46146</v>
      </c>
      <c r="T842" s="2">
        <v>46237</v>
      </c>
      <c r="U842">
        <v>0</v>
      </c>
      <c r="V842">
        <v>2250</v>
      </c>
      <c r="W842">
        <v>500</v>
      </c>
      <c r="X842">
        <v>0</v>
      </c>
      <c r="Y842">
        <v>0</v>
      </c>
      <c r="Z842" s="8">
        <v>2250</v>
      </c>
      <c r="AA842">
        <v>687.5</v>
      </c>
      <c r="AB842">
        <v>0</v>
      </c>
      <c r="AC842">
        <v>3.2727272727272729</v>
      </c>
      <c r="AD842" s="1">
        <v>26</v>
      </c>
      <c r="AE842" s="2">
        <v>46274</v>
      </c>
      <c r="AF842" s="2">
        <v>46282</v>
      </c>
      <c r="AG842" s="2">
        <v>46289</v>
      </c>
      <c r="AH842">
        <v>250</v>
      </c>
      <c r="AI842" s="3">
        <v>0.11494252873563217</v>
      </c>
      <c r="AJ842" s="1">
        <v>232</v>
      </c>
      <c r="AK842" s="2">
        <v>46495</v>
      </c>
      <c r="AL842" s="4">
        <v>30</v>
      </c>
      <c r="AM842" s="5">
        <v>15</v>
      </c>
      <c r="AN842" s="4">
        <v>26</v>
      </c>
      <c r="AO842">
        <v>258.62068965517238</v>
      </c>
      <c r="AP842" s="4">
        <v>1</v>
      </c>
      <c r="AQ842">
        <v>15000</v>
      </c>
      <c r="AR842" t="s">
        <v>2076</v>
      </c>
      <c r="AS842" t="s">
        <v>1666</v>
      </c>
      <c r="AT842" s="16" t="str">
        <f>_xlfn.XLOOKUP(B842,'SWiSH Demand Forecast Sep-26'!D:D,'SWiSH Demand Forecast Sep-26'!G:G,"Not Exist")</f>
        <v>Not Exist</v>
      </c>
    </row>
    <row r="843" spans="1:46" x14ac:dyDescent="0.3">
      <c r="A843">
        <v>106200024</v>
      </c>
      <c r="B843" t="s">
        <v>2758</v>
      </c>
      <c r="C843" t="s">
        <v>240</v>
      </c>
      <c r="D843" t="s">
        <v>1613</v>
      </c>
      <c r="E843" t="s">
        <v>1832</v>
      </c>
      <c r="F843" t="s">
        <v>1671</v>
      </c>
      <c r="G843" t="s">
        <v>1616</v>
      </c>
      <c r="H843" t="s">
        <v>1672</v>
      </c>
      <c r="I843" t="s">
        <v>1618</v>
      </c>
      <c r="J843" t="s">
        <v>240</v>
      </c>
      <c r="K843">
        <v>0.88</v>
      </c>
      <c r="L843">
        <v>37.840000000000003</v>
      </c>
      <c r="M843" s="1">
        <v>3</v>
      </c>
      <c r="N843">
        <v>0</v>
      </c>
      <c r="O843">
        <v>0</v>
      </c>
      <c r="P843">
        <v>43</v>
      </c>
      <c r="Q843" s="1">
        <v>43</v>
      </c>
      <c r="R843">
        <v>11.3</v>
      </c>
      <c r="S843" s="2">
        <v>46247</v>
      </c>
      <c r="T843" s="2">
        <v>46252</v>
      </c>
      <c r="U843">
        <v>18</v>
      </c>
      <c r="V843">
        <v>30</v>
      </c>
      <c r="W843">
        <v>36</v>
      </c>
      <c r="X843">
        <v>48</v>
      </c>
      <c r="Y843">
        <v>18</v>
      </c>
      <c r="Z843" s="8">
        <v>48</v>
      </c>
      <c r="AA843">
        <v>33</v>
      </c>
      <c r="AB843">
        <v>0.54545454545454541</v>
      </c>
      <c r="AC843">
        <v>1.4545454545454546</v>
      </c>
      <c r="AD843" s="1">
        <v>26</v>
      </c>
      <c r="AE843" s="2">
        <v>46274</v>
      </c>
      <c r="AF843" s="2">
        <v>46282</v>
      </c>
      <c r="AG843" s="2">
        <v>46289</v>
      </c>
      <c r="AH843">
        <v>29</v>
      </c>
      <c r="AI843" s="3">
        <v>0.625</v>
      </c>
      <c r="AJ843" s="1">
        <v>43</v>
      </c>
      <c r="AK843" s="2">
        <v>46306</v>
      </c>
      <c r="AL843" s="4">
        <v>30</v>
      </c>
      <c r="AM843" s="5">
        <v>15</v>
      </c>
      <c r="AN843" s="4">
        <v>26</v>
      </c>
      <c r="AO843">
        <v>30</v>
      </c>
      <c r="AP843" s="4">
        <v>1</v>
      </c>
      <c r="AQ843" t="s">
        <v>1619</v>
      </c>
      <c r="AR843" t="s">
        <v>1620</v>
      </c>
      <c r="AT843" s="16" t="str">
        <f>_xlfn.XLOOKUP(B843,'SWiSH Demand Forecast Sep-26'!D:D,'SWiSH Demand Forecast Sep-26'!G:G,"Not Exist")</f>
        <v>Not Exist</v>
      </c>
    </row>
    <row r="844" spans="1:46" x14ac:dyDescent="0.3">
      <c r="A844">
        <v>101400027</v>
      </c>
      <c r="B844" t="s">
        <v>2759</v>
      </c>
      <c r="C844" t="s">
        <v>10</v>
      </c>
      <c r="D844" t="s">
        <v>1613</v>
      </c>
      <c r="E844" t="s">
        <v>2760</v>
      </c>
      <c r="F844" t="s">
        <v>1644</v>
      </c>
      <c r="G844" t="s">
        <v>1624</v>
      </c>
      <c r="H844" t="s">
        <v>1693</v>
      </c>
      <c r="I844" t="s">
        <v>1634</v>
      </c>
      <c r="J844" t="s">
        <v>2761</v>
      </c>
      <c r="K844">
        <v>1.6666666699999999</v>
      </c>
      <c r="L844">
        <v>1670.0000033399999</v>
      </c>
      <c r="M844" s="1">
        <v>3</v>
      </c>
      <c r="N844">
        <v>0</v>
      </c>
      <c r="O844">
        <v>0</v>
      </c>
      <c r="P844">
        <v>1002</v>
      </c>
      <c r="Q844" s="1">
        <v>1002</v>
      </c>
      <c r="R844">
        <v>10</v>
      </c>
      <c r="S844" s="2">
        <v>46247</v>
      </c>
      <c r="T844" s="2">
        <v>46263</v>
      </c>
      <c r="U844">
        <v>726</v>
      </c>
      <c r="V844">
        <v>1150</v>
      </c>
      <c r="W844">
        <v>522</v>
      </c>
      <c r="X844">
        <v>432</v>
      </c>
      <c r="Y844">
        <v>432</v>
      </c>
      <c r="Z844" s="8">
        <v>1150</v>
      </c>
      <c r="AA844">
        <v>707.5</v>
      </c>
      <c r="AB844">
        <v>0.61060070671378097</v>
      </c>
      <c r="AC844">
        <v>1.6254416961130742</v>
      </c>
      <c r="AD844" s="1">
        <v>26</v>
      </c>
      <c r="AE844" s="2">
        <v>46274</v>
      </c>
      <c r="AF844" s="2">
        <v>46282</v>
      </c>
      <c r="AG844" s="2">
        <v>46289</v>
      </c>
      <c r="AH844">
        <v>330</v>
      </c>
      <c r="AI844" s="3">
        <v>0.29685157421289354</v>
      </c>
      <c r="AJ844" s="1">
        <v>88</v>
      </c>
      <c r="AK844" s="2">
        <v>46351</v>
      </c>
      <c r="AL844" s="4">
        <v>30</v>
      </c>
      <c r="AM844" s="5">
        <v>15</v>
      </c>
      <c r="AN844" s="4">
        <v>26</v>
      </c>
      <c r="AO844">
        <v>341.37931034482756</v>
      </c>
      <c r="AP844" s="4">
        <v>1</v>
      </c>
      <c r="AQ844" t="s">
        <v>1619</v>
      </c>
      <c r="AR844" t="s">
        <v>1620</v>
      </c>
      <c r="AT844" s="16" t="str">
        <f>_xlfn.XLOOKUP(B844,'SWiSH Demand Forecast Sep-26'!D:D,'SWiSH Demand Forecast Sep-26'!G:G,"Not Exist")</f>
        <v>Not Exist</v>
      </c>
    </row>
    <row r="845" spans="1:46" hidden="1" x14ac:dyDescent="0.3">
      <c r="A845">
        <v>100400116</v>
      </c>
      <c r="B845" t="s">
        <v>603</v>
      </c>
      <c r="C845" t="s">
        <v>10</v>
      </c>
      <c r="D845" t="s">
        <v>1613</v>
      </c>
      <c r="E845" t="s">
        <v>1775</v>
      </c>
      <c r="F845" t="s">
        <v>1664</v>
      </c>
      <c r="G845" t="s">
        <v>1624</v>
      </c>
      <c r="H845" t="s">
        <v>1810</v>
      </c>
      <c r="I845" t="s">
        <v>1634</v>
      </c>
      <c r="J845" t="s">
        <v>10</v>
      </c>
      <c r="K845">
        <v>6.9833200000000003E-3</v>
      </c>
      <c r="L845">
        <v>104.74980000000001</v>
      </c>
      <c r="M845" s="1">
        <v>30</v>
      </c>
      <c r="N845">
        <v>0</v>
      </c>
      <c r="O845">
        <v>0</v>
      </c>
      <c r="P845">
        <v>15000</v>
      </c>
      <c r="Q845" s="1">
        <v>15000</v>
      </c>
      <c r="R845">
        <v>7.0000000000000001E-3</v>
      </c>
      <c r="S845" s="2">
        <v>46237</v>
      </c>
      <c r="T845" s="2">
        <v>46257</v>
      </c>
      <c r="U845">
        <v>6700</v>
      </c>
      <c r="V845">
        <v>17000</v>
      </c>
      <c r="W845">
        <v>7500</v>
      </c>
      <c r="X845">
        <v>12500</v>
      </c>
      <c r="Y845">
        <v>6700</v>
      </c>
      <c r="Z845" s="8">
        <v>17000</v>
      </c>
      <c r="AA845">
        <v>10925</v>
      </c>
      <c r="AB845">
        <v>0.61327231121281467</v>
      </c>
      <c r="AC845">
        <v>1.5560640732265447</v>
      </c>
      <c r="AD845" s="1">
        <v>26</v>
      </c>
      <c r="AE845" s="2">
        <v>46274</v>
      </c>
      <c r="AF845" s="2">
        <v>46282</v>
      </c>
      <c r="AG845" s="2">
        <v>46289</v>
      </c>
      <c r="AH845">
        <v>5000</v>
      </c>
      <c r="AI845" s="3">
        <v>0.30425963488843816</v>
      </c>
      <c r="AJ845" s="1">
        <v>87</v>
      </c>
      <c r="AK845" s="2">
        <v>46350</v>
      </c>
      <c r="AL845" s="4">
        <v>30</v>
      </c>
      <c r="AM845" s="5">
        <v>15</v>
      </c>
      <c r="AN845" s="4">
        <v>26</v>
      </c>
      <c r="AO845">
        <v>5172.4137931034484</v>
      </c>
      <c r="AP845" s="4">
        <v>1</v>
      </c>
      <c r="AQ845">
        <v>20000</v>
      </c>
      <c r="AR845" t="s">
        <v>2076</v>
      </c>
      <c r="AT845" s="16">
        <f>_xlfn.XLOOKUP(B845,'SWiSH Demand Forecast Sep-26'!D:D,'SWiSH Demand Forecast Sep-26'!G:G,"Not Exist")</f>
        <v>999</v>
      </c>
    </row>
    <row r="846" spans="1:46" x14ac:dyDescent="0.3">
      <c r="A846">
        <v>102500026</v>
      </c>
      <c r="B846" t="s">
        <v>2762</v>
      </c>
      <c r="C846" t="s">
        <v>136</v>
      </c>
      <c r="D846" t="s">
        <v>1613</v>
      </c>
      <c r="E846" t="s">
        <v>2154</v>
      </c>
      <c r="F846" t="s">
        <v>1927</v>
      </c>
      <c r="G846" t="s">
        <v>1624</v>
      </c>
      <c r="H846" t="s">
        <v>1928</v>
      </c>
      <c r="I846" t="s">
        <v>1618</v>
      </c>
      <c r="J846" t="s">
        <v>136</v>
      </c>
      <c r="K846">
        <v>0.43200543000000002</v>
      </c>
      <c r="L846">
        <v>181.4422806</v>
      </c>
      <c r="M846" s="1">
        <v>3</v>
      </c>
      <c r="N846">
        <v>0</v>
      </c>
      <c r="O846">
        <v>75</v>
      </c>
      <c r="P846">
        <v>420</v>
      </c>
      <c r="Q846" s="1">
        <v>345</v>
      </c>
      <c r="R846">
        <v>6.5</v>
      </c>
      <c r="S846" s="2">
        <v>46233</v>
      </c>
      <c r="T846" s="2">
        <v>46254</v>
      </c>
      <c r="U846">
        <v>240</v>
      </c>
      <c r="V846">
        <v>315</v>
      </c>
      <c r="W846">
        <v>390</v>
      </c>
      <c r="X846">
        <v>180</v>
      </c>
      <c r="Y846">
        <v>180</v>
      </c>
      <c r="Z846" s="8">
        <v>390</v>
      </c>
      <c r="AA846">
        <v>281.25</v>
      </c>
      <c r="AB846">
        <v>0.64</v>
      </c>
      <c r="AC846">
        <v>1.3866666666666667</v>
      </c>
      <c r="AD846" s="1">
        <v>26</v>
      </c>
      <c r="AE846" s="2">
        <v>46274</v>
      </c>
      <c r="AF846" s="2">
        <v>46282</v>
      </c>
      <c r="AG846" s="2">
        <v>46289</v>
      </c>
      <c r="AH846">
        <v>255</v>
      </c>
      <c r="AI846" s="3">
        <v>0.67639257294429711</v>
      </c>
      <c r="AJ846" s="1">
        <v>39</v>
      </c>
      <c r="AK846" s="2">
        <v>46302</v>
      </c>
      <c r="AL846" s="4">
        <v>30</v>
      </c>
      <c r="AM846" s="5">
        <v>15</v>
      </c>
      <c r="AN846" s="4">
        <v>26</v>
      </c>
      <c r="AO846">
        <v>263.79310344827587</v>
      </c>
      <c r="AP846" s="4">
        <v>1</v>
      </c>
      <c r="AQ846" t="s">
        <v>1619</v>
      </c>
      <c r="AR846" t="s">
        <v>1859</v>
      </c>
      <c r="AT846" s="16" t="str">
        <f>_xlfn.XLOOKUP(B846,'SWiSH Demand Forecast Sep-26'!D:D,'SWiSH Demand Forecast Sep-26'!G:G,"Not Exist")</f>
        <v>Not Exist</v>
      </c>
    </row>
    <row r="847" spans="1:46" x14ac:dyDescent="0.3">
      <c r="A847">
        <v>105600044</v>
      </c>
      <c r="B847" t="s">
        <v>2763</v>
      </c>
      <c r="C847" t="s">
        <v>136</v>
      </c>
      <c r="D847" t="s">
        <v>1613</v>
      </c>
      <c r="E847" t="s">
        <v>1819</v>
      </c>
      <c r="F847" t="s">
        <v>1631</v>
      </c>
      <c r="G847" t="s">
        <v>1624</v>
      </c>
      <c r="H847" t="s">
        <v>1679</v>
      </c>
      <c r="I847" t="s">
        <v>1634</v>
      </c>
      <c r="J847" t="s">
        <v>136</v>
      </c>
      <c r="K847">
        <v>0.53417501000000001</v>
      </c>
      <c r="L847">
        <v>27.777100520000001</v>
      </c>
      <c r="M847" s="1">
        <v>30</v>
      </c>
      <c r="N847">
        <v>0</v>
      </c>
      <c r="O847">
        <v>0</v>
      </c>
      <c r="P847">
        <v>52</v>
      </c>
      <c r="Q847" s="1">
        <v>52</v>
      </c>
      <c r="R847">
        <v>0.6</v>
      </c>
      <c r="S847" s="2">
        <v>46244</v>
      </c>
      <c r="T847" s="2">
        <v>46263</v>
      </c>
      <c r="U847">
        <v>49</v>
      </c>
      <c r="V847">
        <v>35</v>
      </c>
      <c r="W847">
        <v>33</v>
      </c>
      <c r="X847">
        <v>59.999999999999986</v>
      </c>
      <c r="Y847">
        <v>33</v>
      </c>
      <c r="Z847" s="8">
        <v>59.999999999999986</v>
      </c>
      <c r="AA847">
        <v>44.25</v>
      </c>
      <c r="AB847">
        <v>0.74576271186440679</v>
      </c>
      <c r="AC847">
        <v>1.3559322033898302</v>
      </c>
      <c r="AD847" s="1">
        <v>26</v>
      </c>
      <c r="AE847" s="2">
        <v>46274</v>
      </c>
      <c r="AF847" s="2">
        <v>46282</v>
      </c>
      <c r="AG847" s="2">
        <v>46289</v>
      </c>
      <c r="AH847">
        <v>11</v>
      </c>
      <c r="AI847" s="3">
        <v>0.18965517241379312</v>
      </c>
      <c r="AJ847" s="1">
        <v>137</v>
      </c>
      <c r="AK847" s="2">
        <v>46400</v>
      </c>
      <c r="AL847" s="4">
        <v>30</v>
      </c>
      <c r="AM847" s="5">
        <v>15</v>
      </c>
      <c r="AN847" s="4">
        <v>26</v>
      </c>
      <c r="AO847">
        <v>11.379310344827585</v>
      </c>
      <c r="AP847" s="4">
        <v>1</v>
      </c>
      <c r="AQ847" t="s">
        <v>1619</v>
      </c>
      <c r="AR847" t="s">
        <v>1620</v>
      </c>
      <c r="AT847" s="16" t="str">
        <f>_xlfn.XLOOKUP(B847,'SWiSH Demand Forecast Sep-26'!D:D,'SWiSH Demand Forecast Sep-26'!G:G,"Not Exist")</f>
        <v>Not Exist</v>
      </c>
    </row>
    <row r="848" spans="1:46" x14ac:dyDescent="0.3">
      <c r="A848">
        <v>105600020</v>
      </c>
      <c r="B848" t="s">
        <v>2764</v>
      </c>
      <c r="C848" t="s">
        <v>136</v>
      </c>
      <c r="D848" t="s">
        <v>1613</v>
      </c>
      <c r="E848" t="s">
        <v>1732</v>
      </c>
      <c r="F848" t="s">
        <v>1664</v>
      </c>
      <c r="G848" t="s">
        <v>1616</v>
      </c>
      <c r="H848" t="s">
        <v>1679</v>
      </c>
      <c r="I848" t="s">
        <v>1634</v>
      </c>
      <c r="J848" t="s">
        <v>136</v>
      </c>
      <c r="K848">
        <v>0.63</v>
      </c>
      <c r="L848">
        <v>277.2</v>
      </c>
      <c r="M848" s="1">
        <v>30</v>
      </c>
      <c r="N848">
        <v>0</v>
      </c>
      <c r="O848">
        <v>0</v>
      </c>
      <c r="P848">
        <v>440</v>
      </c>
      <c r="Q848" s="1">
        <v>440</v>
      </c>
      <c r="R848">
        <v>0.64</v>
      </c>
      <c r="S848" s="2">
        <v>45283</v>
      </c>
      <c r="T848" s="2">
        <v>46262</v>
      </c>
      <c r="U848">
        <v>500</v>
      </c>
      <c r="V848">
        <v>308.03999999999996</v>
      </c>
      <c r="W848">
        <v>450</v>
      </c>
      <c r="X848">
        <v>365</v>
      </c>
      <c r="Y848">
        <v>308.03999999999996</v>
      </c>
      <c r="Z848" s="8">
        <v>500</v>
      </c>
      <c r="AA848">
        <v>405.76</v>
      </c>
      <c r="AB848">
        <v>0.75916798107255512</v>
      </c>
      <c r="AC848">
        <v>1.2322555205047319</v>
      </c>
      <c r="AD848" s="1">
        <v>26</v>
      </c>
      <c r="AE848" s="2">
        <v>46274</v>
      </c>
      <c r="AF848" s="2">
        <v>46282</v>
      </c>
      <c r="AG848" s="2">
        <v>46289</v>
      </c>
      <c r="AH848">
        <v>345</v>
      </c>
      <c r="AI848" s="3">
        <v>0.71379310344827585</v>
      </c>
      <c r="AJ848" s="1">
        <v>36</v>
      </c>
      <c r="AK848" s="2">
        <v>46299</v>
      </c>
      <c r="AL848" s="4">
        <v>30</v>
      </c>
      <c r="AM848" s="5">
        <v>15</v>
      </c>
      <c r="AN848" s="4">
        <v>26</v>
      </c>
      <c r="AO848">
        <v>356.89655172413796</v>
      </c>
      <c r="AP848" s="4">
        <v>1</v>
      </c>
      <c r="AQ848" t="s">
        <v>1619</v>
      </c>
      <c r="AR848" t="s">
        <v>1620</v>
      </c>
      <c r="AT848" s="16" t="str">
        <f>_xlfn.XLOOKUP(B848,'SWiSH Demand Forecast Sep-26'!D:D,'SWiSH Demand Forecast Sep-26'!G:G,"Not Exist")</f>
        <v>Not Exist</v>
      </c>
    </row>
    <row r="849" spans="1:46" hidden="1" x14ac:dyDescent="0.3">
      <c r="A849">
        <v>103700037</v>
      </c>
      <c r="B849" t="s">
        <v>1435</v>
      </c>
      <c r="C849" t="s">
        <v>136</v>
      </c>
      <c r="D849" t="s">
        <v>1613</v>
      </c>
      <c r="E849" t="s">
        <v>2193</v>
      </c>
      <c r="F849" t="s">
        <v>1615</v>
      </c>
      <c r="G849" t="s">
        <v>1616</v>
      </c>
      <c r="H849" t="s">
        <v>1617</v>
      </c>
      <c r="I849" t="s">
        <v>1618</v>
      </c>
      <c r="J849" t="s">
        <v>2125</v>
      </c>
      <c r="K849">
        <v>1.0992612399999999</v>
      </c>
      <c r="L849">
        <v>58.810476339999994</v>
      </c>
      <c r="M849" s="1">
        <v>3</v>
      </c>
      <c r="N849">
        <v>0</v>
      </c>
      <c r="O849">
        <v>0</v>
      </c>
      <c r="P849">
        <v>53.5</v>
      </c>
      <c r="Q849" s="1">
        <v>53.5</v>
      </c>
      <c r="R849">
        <v>0.55000000000000004</v>
      </c>
      <c r="S849" s="2">
        <v>46217</v>
      </c>
      <c r="T849" s="2">
        <v>46263</v>
      </c>
      <c r="U849">
        <v>27.85</v>
      </c>
      <c r="V849">
        <v>60</v>
      </c>
      <c r="W849">
        <v>47</v>
      </c>
      <c r="X849">
        <v>32</v>
      </c>
      <c r="Y849">
        <v>27.85</v>
      </c>
      <c r="Z849" s="8">
        <v>60</v>
      </c>
      <c r="AA849">
        <v>41.712499999999999</v>
      </c>
      <c r="AB849">
        <v>0.66766556787533715</v>
      </c>
      <c r="AC849">
        <v>1.4384177404854661</v>
      </c>
      <c r="AD849" s="1">
        <v>26</v>
      </c>
      <c r="AE849" s="2">
        <v>46274</v>
      </c>
      <c r="AF849" s="2">
        <v>46282</v>
      </c>
      <c r="AG849" s="2">
        <v>46289</v>
      </c>
      <c r="AH849">
        <v>4</v>
      </c>
      <c r="AI849" s="3">
        <v>6.8965517241379309E-2</v>
      </c>
      <c r="AJ849" s="1">
        <v>387</v>
      </c>
      <c r="AK849" s="2">
        <v>46650</v>
      </c>
      <c r="AL849" s="4">
        <v>30</v>
      </c>
      <c r="AM849" s="5">
        <v>15</v>
      </c>
      <c r="AN849" s="4">
        <v>26</v>
      </c>
      <c r="AO849">
        <v>4.1379310344827589</v>
      </c>
      <c r="AP849" s="4">
        <v>1</v>
      </c>
      <c r="AQ849" t="s">
        <v>1619</v>
      </c>
      <c r="AR849" t="s">
        <v>1620</v>
      </c>
      <c r="AT849" s="16">
        <f>_xlfn.XLOOKUP(B849,'SWiSH Demand Forecast Sep-26'!D:D,'SWiSH Demand Forecast Sep-26'!G:G,"Not Exist")</f>
        <v>9.8009734696693904</v>
      </c>
    </row>
    <row r="850" spans="1:46" hidden="1" x14ac:dyDescent="0.3">
      <c r="A850">
        <v>100700043</v>
      </c>
      <c r="B850" t="s">
        <v>381</v>
      </c>
      <c r="C850" t="s">
        <v>136</v>
      </c>
      <c r="D850" t="s">
        <v>1613</v>
      </c>
      <c r="E850" t="s">
        <v>1732</v>
      </c>
      <c r="F850" t="s">
        <v>1671</v>
      </c>
      <c r="G850" t="s">
        <v>1616</v>
      </c>
      <c r="H850" t="s">
        <v>1867</v>
      </c>
      <c r="I850" t="s">
        <v>1618</v>
      </c>
      <c r="J850" t="s">
        <v>136</v>
      </c>
      <c r="K850">
        <v>0.57872036000000004</v>
      </c>
      <c r="L850">
        <v>6988.0483470000008</v>
      </c>
      <c r="M850" s="1">
        <v>3</v>
      </c>
      <c r="N850">
        <v>0</v>
      </c>
      <c r="O850">
        <v>0</v>
      </c>
      <c r="P850">
        <v>12075</v>
      </c>
      <c r="Q850" s="1">
        <v>12075</v>
      </c>
      <c r="R850">
        <v>9</v>
      </c>
      <c r="S850" s="2">
        <v>46217</v>
      </c>
      <c r="T850" s="2">
        <v>46263</v>
      </c>
      <c r="U850">
        <v>7425</v>
      </c>
      <c r="V850">
        <v>3180</v>
      </c>
      <c r="W850">
        <v>13545</v>
      </c>
      <c r="X850">
        <v>13425</v>
      </c>
      <c r="Y850">
        <v>3180</v>
      </c>
      <c r="Z850" s="8">
        <v>13545</v>
      </c>
      <c r="AA850">
        <v>9393.75</v>
      </c>
      <c r="AB850">
        <v>0.33852295409181637</v>
      </c>
      <c r="AC850">
        <v>1.4419161676646706</v>
      </c>
      <c r="AD850" s="1">
        <v>26</v>
      </c>
      <c r="AE850" s="2">
        <v>46274</v>
      </c>
      <c r="AF850" s="2">
        <v>46282</v>
      </c>
      <c r="AG850" s="2">
        <v>46289</v>
      </c>
      <c r="AH850">
        <v>12165</v>
      </c>
      <c r="AI850" s="3">
        <v>0.92908695154084087</v>
      </c>
      <c r="AJ850" s="1">
        <v>28</v>
      </c>
      <c r="AK850" s="2">
        <v>46291</v>
      </c>
      <c r="AL850" s="4">
        <v>5</v>
      </c>
      <c r="AM850" s="5">
        <v>3</v>
      </c>
      <c r="AN850" s="4">
        <v>26</v>
      </c>
      <c r="AO850">
        <v>2097.4137931034484</v>
      </c>
      <c r="AP850" s="4">
        <v>8</v>
      </c>
      <c r="AQ850" t="s">
        <v>1619</v>
      </c>
      <c r="AR850" t="s">
        <v>2765</v>
      </c>
      <c r="AS850" t="s">
        <v>1666</v>
      </c>
      <c r="AT850" s="16">
        <f>_xlfn.XLOOKUP(B850,'SWiSH Demand Forecast Sep-26'!D:D,'SWiSH Demand Forecast Sep-26'!G:G,"Not Exist")</f>
        <v>3008.8049900596402</v>
      </c>
    </row>
    <row r="851" spans="1:46" hidden="1" x14ac:dyDescent="0.3">
      <c r="A851">
        <v>107400033</v>
      </c>
      <c r="B851" t="s">
        <v>60</v>
      </c>
      <c r="C851" t="s">
        <v>10</v>
      </c>
      <c r="D851" t="s">
        <v>1613</v>
      </c>
      <c r="E851" t="s">
        <v>1921</v>
      </c>
      <c r="F851" t="s">
        <v>1664</v>
      </c>
      <c r="G851" t="s">
        <v>1624</v>
      </c>
      <c r="H851" t="s">
        <v>2016</v>
      </c>
      <c r="I851" t="s">
        <v>1634</v>
      </c>
      <c r="J851" t="s">
        <v>10</v>
      </c>
      <c r="K851">
        <v>7.01229E-3</v>
      </c>
      <c r="L851">
        <v>476.83571999999998</v>
      </c>
      <c r="M851" s="1">
        <v>30</v>
      </c>
      <c r="N851">
        <v>0</v>
      </c>
      <c r="O851">
        <v>0</v>
      </c>
      <c r="P851">
        <v>68000</v>
      </c>
      <c r="Q851" s="1">
        <v>68000</v>
      </c>
      <c r="R851">
        <v>7.0000000000000001E-3</v>
      </c>
      <c r="S851" s="2">
        <v>46200</v>
      </c>
      <c r="T851" s="2">
        <v>46261</v>
      </c>
      <c r="U851">
        <v>77500</v>
      </c>
      <c r="V851">
        <v>48000</v>
      </c>
      <c r="W851">
        <v>62000</v>
      </c>
      <c r="X851">
        <v>52000</v>
      </c>
      <c r="Y851">
        <v>48000</v>
      </c>
      <c r="Z851" s="8">
        <v>77500</v>
      </c>
      <c r="AA851">
        <v>59875</v>
      </c>
      <c r="AB851">
        <v>0.80167014613778709</v>
      </c>
      <c r="AC851">
        <v>1.2943632567849688</v>
      </c>
      <c r="AD851" s="1">
        <v>26</v>
      </c>
      <c r="AE851" s="2">
        <v>46274</v>
      </c>
      <c r="AF851" s="2">
        <v>46282</v>
      </c>
      <c r="AG851" s="2">
        <v>46289</v>
      </c>
      <c r="AH851">
        <v>36000</v>
      </c>
      <c r="AI851" s="3">
        <v>0.48053392658509453</v>
      </c>
      <c r="AJ851" s="1">
        <v>54</v>
      </c>
      <c r="AK851" s="2">
        <v>46317</v>
      </c>
      <c r="AL851" s="4">
        <v>30</v>
      </c>
      <c r="AM851" s="5">
        <v>15</v>
      </c>
      <c r="AN851" s="4">
        <v>26</v>
      </c>
      <c r="AO851">
        <v>37241.379310344826</v>
      </c>
      <c r="AP851" s="4">
        <v>1</v>
      </c>
      <c r="AQ851">
        <v>1070000</v>
      </c>
      <c r="AR851" t="s">
        <v>2766</v>
      </c>
      <c r="AT851" s="16">
        <f>_xlfn.XLOOKUP(B851,'SWiSH Demand Forecast Sep-26'!D:D,'SWiSH Demand Forecast Sep-26'!G:G,"Not Exist")</f>
        <v>40164</v>
      </c>
    </row>
    <row r="852" spans="1:46" hidden="1" x14ac:dyDescent="0.3">
      <c r="A852">
        <v>103800018</v>
      </c>
      <c r="B852" t="s">
        <v>1376</v>
      </c>
      <c r="C852" t="s">
        <v>136</v>
      </c>
      <c r="D852" t="s">
        <v>1613</v>
      </c>
      <c r="E852" t="s">
        <v>2351</v>
      </c>
      <c r="F852" t="s">
        <v>1615</v>
      </c>
      <c r="G852" t="s">
        <v>1616</v>
      </c>
      <c r="H852" t="s">
        <v>1822</v>
      </c>
      <c r="I852" t="s">
        <v>1618</v>
      </c>
      <c r="J852" t="s">
        <v>136</v>
      </c>
      <c r="K852">
        <v>12.54507862</v>
      </c>
      <c r="L852">
        <v>750.69750462080003</v>
      </c>
      <c r="M852" s="1">
        <v>3</v>
      </c>
      <c r="N852">
        <v>0</v>
      </c>
      <c r="O852">
        <v>0</v>
      </c>
      <c r="P852">
        <v>59.84</v>
      </c>
      <c r="Q852" s="1">
        <v>59.84</v>
      </c>
      <c r="R852">
        <v>8.5</v>
      </c>
      <c r="S852" s="2">
        <v>46246</v>
      </c>
      <c r="T852" s="2">
        <v>46263</v>
      </c>
      <c r="U852">
        <v>36.719999999999992</v>
      </c>
      <c r="V852">
        <v>36.719999999999992</v>
      </c>
      <c r="W852">
        <v>57.999999999999986</v>
      </c>
      <c r="X852">
        <v>67.999999999999986</v>
      </c>
      <c r="Y852">
        <v>36.719999999999992</v>
      </c>
      <c r="Z852" s="8">
        <v>67.999999999999986</v>
      </c>
      <c r="AA852">
        <v>49.859999999999985</v>
      </c>
      <c r="AB852">
        <v>0.73646209386281591</v>
      </c>
      <c r="AC852">
        <v>1.363818692338548</v>
      </c>
      <c r="AD852" s="1">
        <v>26</v>
      </c>
      <c r="AE852" s="2">
        <v>46274</v>
      </c>
      <c r="AF852" s="2">
        <v>46282</v>
      </c>
      <c r="AG852" s="2">
        <v>46289</v>
      </c>
      <c r="AH852">
        <v>54.399999999999991</v>
      </c>
      <c r="AI852" s="3">
        <v>0.82758620689655182</v>
      </c>
      <c r="AJ852" s="1">
        <v>31</v>
      </c>
      <c r="AK852" s="2">
        <v>46294</v>
      </c>
      <c r="AL852" s="4">
        <v>30</v>
      </c>
      <c r="AM852" s="5">
        <v>15</v>
      </c>
      <c r="AN852" s="4">
        <v>26</v>
      </c>
      <c r="AO852">
        <v>56.275862068965509</v>
      </c>
      <c r="AP852" s="4">
        <v>1</v>
      </c>
      <c r="AQ852" t="s">
        <v>1619</v>
      </c>
      <c r="AR852" t="s">
        <v>1620</v>
      </c>
      <c r="AT852" s="16">
        <f>_xlfn.XLOOKUP(B852,'SWiSH Demand Forecast Sep-26'!D:D,'SWiSH Demand Forecast Sep-26'!G:G,"Not Exist")</f>
        <v>17.927003992183099</v>
      </c>
    </row>
    <row r="853" spans="1:46" x14ac:dyDescent="0.3">
      <c r="A853">
        <v>106800306</v>
      </c>
      <c r="B853" t="s">
        <v>2767</v>
      </c>
      <c r="C853" t="s">
        <v>10</v>
      </c>
      <c r="D853" t="s">
        <v>1613</v>
      </c>
      <c r="E853" t="s">
        <v>1701</v>
      </c>
      <c r="F853" t="s">
        <v>1664</v>
      </c>
      <c r="G853" t="s">
        <v>1624</v>
      </c>
      <c r="H853" t="s">
        <v>1665</v>
      </c>
      <c r="I853" t="s">
        <v>1634</v>
      </c>
      <c r="J853" t="s">
        <v>10</v>
      </c>
      <c r="K853">
        <v>2.9510199999999999E-3</v>
      </c>
      <c r="L853">
        <v>354.12239999999997</v>
      </c>
      <c r="M853" s="1">
        <v>7</v>
      </c>
      <c r="N853">
        <v>0</v>
      </c>
      <c r="O853">
        <v>3000</v>
      </c>
      <c r="P853">
        <v>120000</v>
      </c>
      <c r="Q853" s="1">
        <v>117000</v>
      </c>
      <c r="R853">
        <v>2.8999999999999998E-3</v>
      </c>
      <c r="S853" s="2">
        <v>46219</v>
      </c>
      <c r="T853" s="2">
        <v>46263</v>
      </c>
      <c r="U853">
        <v>98000</v>
      </c>
      <c r="V853">
        <v>128000</v>
      </c>
      <c r="W853">
        <v>131000</v>
      </c>
      <c r="X853">
        <v>117000</v>
      </c>
      <c r="Y853">
        <v>98000</v>
      </c>
      <c r="Z853" s="8">
        <v>131000</v>
      </c>
      <c r="AA853">
        <v>118500</v>
      </c>
      <c r="AB853">
        <v>0.8270042194092827</v>
      </c>
      <c r="AC853">
        <v>1.1054852320675106</v>
      </c>
      <c r="AD853" s="1">
        <v>26</v>
      </c>
      <c r="AE853" s="2">
        <v>46274</v>
      </c>
      <c r="AF853" s="2">
        <v>46282</v>
      </c>
      <c r="AG853" s="2">
        <v>46289</v>
      </c>
      <c r="AH853">
        <v>118000</v>
      </c>
      <c r="AI853" s="3">
        <v>0.93182416425375092</v>
      </c>
      <c r="AJ853" s="1">
        <v>28</v>
      </c>
      <c r="AK853" s="2">
        <v>46291</v>
      </c>
      <c r="AL853" s="4">
        <v>30</v>
      </c>
      <c r="AM853" s="5">
        <v>15</v>
      </c>
      <c r="AN853" s="4">
        <v>26</v>
      </c>
      <c r="AO853">
        <v>122068.96551724138</v>
      </c>
      <c r="AP853" s="4">
        <v>1</v>
      </c>
      <c r="AQ853">
        <v>570000</v>
      </c>
      <c r="AR853" t="s">
        <v>2768</v>
      </c>
      <c r="AT853" s="16" t="str">
        <f>_xlfn.XLOOKUP(B853,'SWiSH Demand Forecast Sep-26'!D:D,'SWiSH Demand Forecast Sep-26'!G:G,"Not Exist")</f>
        <v>Not Exist</v>
      </c>
    </row>
    <row r="854" spans="1:46" x14ac:dyDescent="0.3">
      <c r="A854">
        <v>105100007</v>
      </c>
      <c r="B854" t="s">
        <v>2769</v>
      </c>
      <c r="C854" t="s">
        <v>10</v>
      </c>
      <c r="D854" t="s">
        <v>1613</v>
      </c>
      <c r="E854" t="s">
        <v>2147</v>
      </c>
      <c r="F854" t="s">
        <v>1664</v>
      </c>
      <c r="G854" t="s">
        <v>1616</v>
      </c>
      <c r="H854" t="s">
        <v>1985</v>
      </c>
      <c r="I854" t="s">
        <v>1634</v>
      </c>
      <c r="J854" t="s">
        <v>10</v>
      </c>
      <c r="K854">
        <v>9.7199999999999995E-2</v>
      </c>
      <c r="L854">
        <v>9564.48</v>
      </c>
      <c r="M854" s="1">
        <v>90</v>
      </c>
      <c r="N854">
        <v>0</v>
      </c>
      <c r="O854">
        <v>1600</v>
      </c>
      <c r="P854">
        <v>98400</v>
      </c>
      <c r="Q854" s="1">
        <v>96800</v>
      </c>
      <c r="R854">
        <v>9.7199999999999995E-2</v>
      </c>
      <c r="S854" s="2">
        <v>46245</v>
      </c>
      <c r="T854" s="2">
        <v>46263</v>
      </c>
      <c r="U854">
        <v>98408.4</v>
      </c>
      <c r="V854">
        <v>108880</v>
      </c>
      <c r="W854">
        <v>109640</v>
      </c>
      <c r="X854">
        <v>37600</v>
      </c>
      <c r="Y854">
        <v>37600</v>
      </c>
      <c r="Z854" s="8">
        <v>109640</v>
      </c>
      <c r="AA854">
        <v>88632.1</v>
      </c>
      <c r="AB854">
        <v>0.4242255345410974</v>
      </c>
      <c r="AC854">
        <v>1.237023606571434</v>
      </c>
      <c r="AD854" s="1">
        <v>26</v>
      </c>
      <c r="AE854" s="2">
        <v>46274</v>
      </c>
      <c r="AF854" s="2">
        <v>46282</v>
      </c>
      <c r="AG854" s="2">
        <v>46289</v>
      </c>
      <c r="AH854">
        <v>100800</v>
      </c>
      <c r="AI854" s="3">
        <v>0.95107499150825903</v>
      </c>
      <c r="AJ854" s="1">
        <v>27</v>
      </c>
      <c r="AK854" s="2">
        <v>46290</v>
      </c>
      <c r="AL854" s="4">
        <v>120</v>
      </c>
      <c r="AM854" s="5">
        <v>100</v>
      </c>
      <c r="AN854" s="4">
        <v>26</v>
      </c>
      <c r="AO854">
        <v>417103.44827586209</v>
      </c>
      <c r="AP854" s="4">
        <v>1</v>
      </c>
      <c r="AQ854" t="s">
        <v>1619</v>
      </c>
      <c r="AR854" t="s">
        <v>2770</v>
      </c>
      <c r="AT854" s="16" t="str">
        <f>_xlfn.XLOOKUP(B854,'SWiSH Demand Forecast Sep-26'!D:D,'SWiSH Demand Forecast Sep-26'!G:G,"Not Exist")</f>
        <v>Not Exist</v>
      </c>
    </row>
    <row r="855" spans="1:46" x14ac:dyDescent="0.3">
      <c r="A855">
        <v>101500015</v>
      </c>
      <c r="B855" t="s">
        <v>2771</v>
      </c>
      <c r="C855" t="s">
        <v>10</v>
      </c>
      <c r="D855" t="s">
        <v>1613</v>
      </c>
      <c r="E855" t="s">
        <v>2772</v>
      </c>
      <c r="F855" t="s">
        <v>1644</v>
      </c>
      <c r="G855" t="s">
        <v>1624</v>
      </c>
      <c r="H855" t="s">
        <v>1647</v>
      </c>
      <c r="I855" t="s">
        <v>1634</v>
      </c>
      <c r="J855" t="s">
        <v>10</v>
      </c>
      <c r="K855">
        <v>0.64972412000000002</v>
      </c>
      <c r="L855">
        <v>267.03661332000001</v>
      </c>
      <c r="M855" s="1">
        <v>3</v>
      </c>
      <c r="N855">
        <v>0</v>
      </c>
      <c r="O855">
        <v>4</v>
      </c>
      <c r="P855">
        <v>411</v>
      </c>
      <c r="Q855" s="1">
        <v>407</v>
      </c>
      <c r="R855">
        <v>0.65</v>
      </c>
      <c r="S855" s="2">
        <v>46258</v>
      </c>
      <c r="T855" s="2">
        <v>46263</v>
      </c>
      <c r="U855">
        <v>454</v>
      </c>
      <c r="V855">
        <v>435</v>
      </c>
      <c r="W855">
        <v>325</v>
      </c>
      <c r="X855">
        <v>438</v>
      </c>
      <c r="Y855">
        <v>325</v>
      </c>
      <c r="Z855" s="8">
        <v>454</v>
      </c>
      <c r="AA855">
        <v>413</v>
      </c>
      <c r="AB855">
        <v>0.78692493946731235</v>
      </c>
      <c r="AC855">
        <v>1.0992736077481839</v>
      </c>
      <c r="AD855" s="1">
        <v>26</v>
      </c>
      <c r="AE855" s="2">
        <v>46274</v>
      </c>
      <c r="AF855" s="2">
        <v>46282</v>
      </c>
      <c r="AG855" s="2">
        <v>46289</v>
      </c>
      <c r="AH855">
        <v>436</v>
      </c>
      <c r="AI855" s="3">
        <v>0.99346802369740239</v>
      </c>
      <c r="AJ855" s="1">
        <v>27</v>
      </c>
      <c r="AK855" s="2">
        <v>46290</v>
      </c>
      <c r="AL855" s="4">
        <v>30</v>
      </c>
      <c r="AM855" s="5">
        <v>15</v>
      </c>
      <c r="AN855" s="4">
        <v>26</v>
      </c>
      <c r="AO855">
        <v>451.0344827586207</v>
      </c>
      <c r="AP855" s="4">
        <v>1</v>
      </c>
      <c r="AQ855" t="s">
        <v>1619</v>
      </c>
      <c r="AR855" t="s">
        <v>2178</v>
      </c>
      <c r="AT855" s="16" t="str">
        <f>_xlfn.XLOOKUP(B855,'SWiSH Demand Forecast Sep-26'!D:D,'SWiSH Demand Forecast Sep-26'!G:G,"Not Exist")</f>
        <v>Not Exist</v>
      </c>
    </row>
    <row r="856" spans="1:46" hidden="1" x14ac:dyDescent="0.3">
      <c r="A856">
        <v>105500005</v>
      </c>
      <c r="B856" t="s">
        <v>918</v>
      </c>
      <c r="C856" t="s">
        <v>136</v>
      </c>
      <c r="D856" t="s">
        <v>1613</v>
      </c>
      <c r="E856" t="s">
        <v>1732</v>
      </c>
      <c r="F856" t="s">
        <v>1840</v>
      </c>
      <c r="G856" t="s">
        <v>1616</v>
      </c>
      <c r="H856" t="s">
        <v>1841</v>
      </c>
      <c r="I856" t="s">
        <v>1618</v>
      </c>
      <c r="J856" t="s">
        <v>1942</v>
      </c>
      <c r="K856">
        <v>0.35000134999999999</v>
      </c>
      <c r="L856">
        <v>241.50093149999998</v>
      </c>
      <c r="M856" s="1">
        <v>3</v>
      </c>
      <c r="N856">
        <v>0</v>
      </c>
      <c r="O856">
        <v>0</v>
      </c>
      <c r="P856">
        <v>690</v>
      </c>
      <c r="Q856" s="1">
        <v>690</v>
      </c>
      <c r="R856">
        <v>3.5</v>
      </c>
      <c r="S856" s="2">
        <v>46260</v>
      </c>
      <c r="T856" s="2">
        <v>46263</v>
      </c>
      <c r="U856">
        <v>530</v>
      </c>
      <c r="V856">
        <v>780</v>
      </c>
      <c r="W856">
        <v>710</v>
      </c>
      <c r="X856">
        <v>610</v>
      </c>
      <c r="Y856">
        <v>530</v>
      </c>
      <c r="Z856" s="8">
        <v>780</v>
      </c>
      <c r="AA856">
        <v>657.5</v>
      </c>
      <c r="AB856">
        <v>0.80608365019011408</v>
      </c>
      <c r="AC856">
        <v>1.1863117870722433</v>
      </c>
      <c r="AD856" s="1">
        <v>26</v>
      </c>
      <c r="AE856" s="2">
        <v>46274</v>
      </c>
      <c r="AF856" s="2">
        <v>46282</v>
      </c>
      <c r="AG856" s="2">
        <v>46289</v>
      </c>
      <c r="AH856">
        <v>600</v>
      </c>
      <c r="AI856" s="3">
        <v>0.79575596816976135</v>
      </c>
      <c r="AJ856" s="1">
        <v>33</v>
      </c>
      <c r="AK856" s="2">
        <v>46296</v>
      </c>
      <c r="AL856" s="4">
        <v>30</v>
      </c>
      <c r="AM856" s="5">
        <v>15</v>
      </c>
      <c r="AN856" s="4">
        <v>26</v>
      </c>
      <c r="AO856">
        <v>620.68965517241384</v>
      </c>
      <c r="AP856" s="4">
        <v>1</v>
      </c>
      <c r="AQ856" t="s">
        <v>1619</v>
      </c>
      <c r="AR856" t="s">
        <v>1620</v>
      </c>
      <c r="AT856" s="16">
        <f>_xlfn.XLOOKUP(B856,'SWiSH Demand Forecast Sep-26'!D:D,'SWiSH Demand Forecast Sep-26'!G:G,"Not Exist")</f>
        <v>226.29602520841601</v>
      </c>
    </row>
    <row r="857" spans="1:46" hidden="1" x14ac:dyDescent="0.3">
      <c r="A857">
        <v>100400029</v>
      </c>
      <c r="B857" t="s">
        <v>199</v>
      </c>
      <c r="C857" t="s">
        <v>10</v>
      </c>
      <c r="D857" t="s">
        <v>1613</v>
      </c>
      <c r="E857" t="s">
        <v>1775</v>
      </c>
      <c r="F857" t="s">
        <v>1664</v>
      </c>
      <c r="G857" t="s">
        <v>1624</v>
      </c>
      <c r="H857" t="s">
        <v>1810</v>
      </c>
      <c r="I857" t="s">
        <v>1634</v>
      </c>
      <c r="J857" t="s">
        <v>10</v>
      </c>
      <c r="K857">
        <v>6.5198299999999999E-3</v>
      </c>
      <c r="L857">
        <v>133.00453200000001</v>
      </c>
      <c r="M857" s="1">
        <v>30</v>
      </c>
      <c r="N857">
        <v>0</v>
      </c>
      <c r="O857">
        <v>0</v>
      </c>
      <c r="P857">
        <v>20400</v>
      </c>
      <c r="Q857" s="1">
        <v>20400</v>
      </c>
      <c r="R857">
        <v>7.0000000000000001E-3</v>
      </c>
      <c r="S857" s="2">
        <v>46235</v>
      </c>
      <c r="T857" s="2">
        <v>46263</v>
      </c>
      <c r="U857">
        <v>22950</v>
      </c>
      <c r="V857">
        <v>17850</v>
      </c>
      <c r="W857">
        <v>10200</v>
      </c>
      <c r="X857">
        <v>15300</v>
      </c>
      <c r="Y857">
        <v>10200</v>
      </c>
      <c r="Z857" s="8">
        <v>22950</v>
      </c>
      <c r="AA857">
        <v>16575</v>
      </c>
      <c r="AB857">
        <v>0.61538461538461542</v>
      </c>
      <c r="AC857">
        <v>1.3846153846153846</v>
      </c>
      <c r="AD857" s="1">
        <v>26</v>
      </c>
      <c r="AE857" s="2">
        <v>46274</v>
      </c>
      <c r="AF857" s="2">
        <v>46282</v>
      </c>
      <c r="AG857" s="2">
        <v>46289</v>
      </c>
      <c r="AH857">
        <v>12750</v>
      </c>
      <c r="AI857" s="3">
        <v>0.57471264367816088</v>
      </c>
      <c r="AJ857" s="1">
        <v>46</v>
      </c>
      <c r="AK857" s="2">
        <v>46309</v>
      </c>
      <c r="AL857" s="4">
        <v>30</v>
      </c>
      <c r="AM857" s="5">
        <v>15</v>
      </c>
      <c r="AN857" s="4">
        <v>26</v>
      </c>
      <c r="AO857">
        <v>13189.655172413792</v>
      </c>
      <c r="AP857" s="4">
        <v>1</v>
      </c>
      <c r="AQ857">
        <v>253100</v>
      </c>
      <c r="AR857" t="s">
        <v>2521</v>
      </c>
      <c r="AT857" s="16">
        <f>_xlfn.XLOOKUP(B857,'SWiSH Demand Forecast Sep-26'!D:D,'SWiSH Demand Forecast Sep-26'!G:G,"Not Exist")</f>
        <v>8575</v>
      </c>
    </row>
    <row r="858" spans="1:46" hidden="1" x14ac:dyDescent="0.3">
      <c r="A858">
        <v>100400134</v>
      </c>
      <c r="B858" t="s">
        <v>236</v>
      </c>
      <c r="C858" t="s">
        <v>10</v>
      </c>
      <c r="D858" t="s">
        <v>1613</v>
      </c>
      <c r="E858" t="s">
        <v>1655</v>
      </c>
      <c r="F858" t="s">
        <v>1664</v>
      </c>
      <c r="G858" t="s">
        <v>1624</v>
      </c>
      <c r="H858" t="s">
        <v>1810</v>
      </c>
      <c r="I858" t="s">
        <v>1634</v>
      </c>
      <c r="J858" t="s">
        <v>10</v>
      </c>
      <c r="K858">
        <v>9.8000000000000004E-2</v>
      </c>
      <c r="L858">
        <v>537.53</v>
      </c>
      <c r="M858" s="1">
        <v>30</v>
      </c>
      <c r="N858">
        <v>0</v>
      </c>
      <c r="O858">
        <v>135</v>
      </c>
      <c r="P858">
        <v>5485</v>
      </c>
      <c r="Q858" s="1">
        <v>5350</v>
      </c>
      <c r="R858">
        <v>0.151</v>
      </c>
      <c r="S858" s="2">
        <v>46247</v>
      </c>
      <c r="T858" s="2">
        <v>46263</v>
      </c>
      <c r="U858">
        <v>5200</v>
      </c>
      <c r="V858">
        <v>5903</v>
      </c>
      <c r="W858">
        <v>4495</v>
      </c>
      <c r="X858">
        <v>6000</v>
      </c>
      <c r="Y858">
        <v>4495</v>
      </c>
      <c r="Z858" s="8">
        <v>6000</v>
      </c>
      <c r="AA858">
        <v>5399.5</v>
      </c>
      <c r="AB858">
        <v>0.8324844893045652</v>
      </c>
      <c r="AC858">
        <v>1.1112140012964162</v>
      </c>
      <c r="AD858" s="1">
        <v>26</v>
      </c>
      <c r="AE858" s="2">
        <v>46274</v>
      </c>
      <c r="AF858" s="2">
        <v>46282</v>
      </c>
      <c r="AG858" s="2">
        <v>46289</v>
      </c>
      <c r="AH858">
        <v>4600</v>
      </c>
      <c r="AI858" s="3">
        <v>0.79310344827586199</v>
      </c>
      <c r="AJ858" s="1">
        <v>33</v>
      </c>
      <c r="AK858" s="2">
        <v>46296</v>
      </c>
      <c r="AL858" s="4">
        <v>15</v>
      </c>
      <c r="AM858" s="5">
        <v>15</v>
      </c>
      <c r="AN858" s="4">
        <v>26</v>
      </c>
      <c r="AO858">
        <v>2379.3103448275861</v>
      </c>
      <c r="AP858" s="4">
        <v>2</v>
      </c>
      <c r="AQ858">
        <v>12400</v>
      </c>
      <c r="AR858" t="s">
        <v>2202</v>
      </c>
      <c r="AT858" s="16">
        <f>_xlfn.XLOOKUP(B858,'SWiSH Demand Forecast Sep-26'!D:D,'SWiSH Demand Forecast Sep-26'!G:G,"Not Exist")</f>
        <v>7351</v>
      </c>
    </row>
    <row r="859" spans="1:46" x14ac:dyDescent="0.3">
      <c r="A859">
        <v>104900030</v>
      </c>
      <c r="B859" t="s">
        <v>2773</v>
      </c>
      <c r="C859" t="s">
        <v>10</v>
      </c>
      <c r="D859" t="s">
        <v>1613</v>
      </c>
      <c r="E859" t="s">
        <v>1926</v>
      </c>
      <c r="F859" t="s">
        <v>1664</v>
      </c>
      <c r="G859" t="s">
        <v>1624</v>
      </c>
      <c r="H859" t="s">
        <v>1759</v>
      </c>
      <c r="I859" t="s">
        <v>1634</v>
      </c>
      <c r="J859" t="s">
        <v>10</v>
      </c>
      <c r="K859">
        <v>8.5941899999999998E-3</v>
      </c>
      <c r="L859">
        <v>60.159329999999997</v>
      </c>
      <c r="M859" s="1">
        <v>15</v>
      </c>
      <c r="N859">
        <v>0</v>
      </c>
      <c r="O859">
        <v>0</v>
      </c>
      <c r="P859">
        <v>7000</v>
      </c>
      <c r="Q859" s="1">
        <v>7000</v>
      </c>
      <c r="R859">
        <v>8.6</v>
      </c>
      <c r="S859" s="2">
        <v>46236</v>
      </c>
      <c r="T859" s="2">
        <v>46261</v>
      </c>
      <c r="U859">
        <v>6000</v>
      </c>
      <c r="V859">
        <v>8000</v>
      </c>
      <c r="W859">
        <v>6000</v>
      </c>
      <c r="X859">
        <v>6000</v>
      </c>
      <c r="Y859">
        <v>6000</v>
      </c>
      <c r="Z859" s="8">
        <v>8000</v>
      </c>
      <c r="AA859">
        <v>6500</v>
      </c>
      <c r="AB859">
        <v>0.92307692307692313</v>
      </c>
      <c r="AC859">
        <v>1.2307692307692308</v>
      </c>
      <c r="AD859" s="1">
        <v>26</v>
      </c>
      <c r="AE859" s="2">
        <v>46274</v>
      </c>
      <c r="AF859" s="2">
        <v>46282</v>
      </c>
      <c r="AG859" s="2">
        <v>46289</v>
      </c>
      <c r="AH859">
        <v>7000</v>
      </c>
      <c r="AI859" s="3">
        <v>0.90517241379310354</v>
      </c>
      <c r="AJ859" s="1">
        <v>29</v>
      </c>
      <c r="AK859" s="2">
        <v>46292</v>
      </c>
      <c r="AL859" s="4">
        <v>30</v>
      </c>
      <c r="AM859" s="5">
        <v>15</v>
      </c>
      <c r="AN859" s="4">
        <v>26</v>
      </c>
      <c r="AO859">
        <v>7241.3793103448288</v>
      </c>
      <c r="AP859" s="4">
        <v>1</v>
      </c>
      <c r="AQ859">
        <v>10</v>
      </c>
      <c r="AR859" t="s">
        <v>2028</v>
      </c>
      <c r="AT859" s="16" t="str">
        <f>_xlfn.XLOOKUP(B859,'SWiSH Demand Forecast Sep-26'!D:D,'SWiSH Demand Forecast Sep-26'!G:G,"Not Exist")</f>
        <v>Not Exist</v>
      </c>
    </row>
    <row r="860" spans="1:46" hidden="1" x14ac:dyDescent="0.3">
      <c r="A860">
        <v>106800350</v>
      </c>
      <c r="B860" t="s">
        <v>195</v>
      </c>
      <c r="C860" t="s">
        <v>10</v>
      </c>
      <c r="D860" t="s">
        <v>1613</v>
      </c>
      <c r="E860" t="s">
        <v>1638</v>
      </c>
      <c r="F860" t="s">
        <v>1664</v>
      </c>
      <c r="G860" t="s">
        <v>1624</v>
      </c>
      <c r="H860" t="s">
        <v>1665</v>
      </c>
      <c r="I860" t="s">
        <v>1634</v>
      </c>
      <c r="J860" t="s">
        <v>10</v>
      </c>
      <c r="K860">
        <v>3.0000000000000001E-3</v>
      </c>
      <c r="L860">
        <v>67.5</v>
      </c>
      <c r="M860" s="1">
        <v>7</v>
      </c>
      <c r="N860">
        <v>0</v>
      </c>
      <c r="O860">
        <v>0</v>
      </c>
      <c r="P860">
        <v>22500</v>
      </c>
      <c r="Q860" s="1">
        <v>22500</v>
      </c>
      <c r="R860">
        <v>3.0000000000000001E-3</v>
      </c>
      <c r="S860" s="2">
        <v>46244</v>
      </c>
      <c r="T860" s="2">
        <v>46263</v>
      </c>
      <c r="U860">
        <v>0</v>
      </c>
      <c r="V860">
        <v>25502.5</v>
      </c>
      <c r="W860">
        <v>23500</v>
      </c>
      <c r="X860">
        <v>10500</v>
      </c>
      <c r="Y860">
        <v>0</v>
      </c>
      <c r="Z860" s="8">
        <v>25502.5</v>
      </c>
      <c r="AA860">
        <v>14875.625</v>
      </c>
      <c r="AB860">
        <v>0</v>
      </c>
      <c r="AC860">
        <v>1.7143817486660224</v>
      </c>
      <c r="AD860" s="1">
        <v>26</v>
      </c>
      <c r="AE860" s="2">
        <v>46274</v>
      </c>
      <c r="AF860" s="2">
        <v>46282</v>
      </c>
      <c r="AG860" s="2">
        <v>46289</v>
      </c>
      <c r="AH860">
        <v>32500</v>
      </c>
      <c r="AI860" s="3">
        <v>1.3183291698920661</v>
      </c>
      <c r="AJ860" s="1">
        <v>20</v>
      </c>
      <c r="AK860" s="2">
        <v>46283</v>
      </c>
      <c r="AL860" s="4">
        <v>30</v>
      </c>
      <c r="AM860" s="5">
        <v>15</v>
      </c>
      <c r="AN860" s="4">
        <v>20</v>
      </c>
      <c r="AO860">
        <v>33620.689655172413</v>
      </c>
      <c r="AP860" s="4">
        <v>1</v>
      </c>
      <c r="AQ860">
        <v>25000</v>
      </c>
      <c r="AR860" t="s">
        <v>2215</v>
      </c>
      <c r="AS860" t="s">
        <v>1666</v>
      </c>
      <c r="AT860" s="16">
        <f>_xlfn.XLOOKUP(B860,'SWiSH Demand Forecast Sep-26'!D:D,'SWiSH Demand Forecast Sep-26'!G:G,"Not Exist")</f>
        <v>8878</v>
      </c>
    </row>
    <row r="861" spans="1:46" x14ac:dyDescent="0.3">
      <c r="A861">
        <v>100300030</v>
      </c>
      <c r="B861" t="s">
        <v>2774</v>
      </c>
      <c r="C861" t="s">
        <v>136</v>
      </c>
      <c r="D861" t="s">
        <v>1613</v>
      </c>
      <c r="E861" t="s">
        <v>1732</v>
      </c>
      <c r="F861" t="s">
        <v>1752</v>
      </c>
      <c r="G861" t="s">
        <v>1616</v>
      </c>
      <c r="H861" t="s">
        <v>2018</v>
      </c>
      <c r="I861" t="s">
        <v>1754</v>
      </c>
      <c r="J861" t="s">
        <v>136</v>
      </c>
      <c r="K861">
        <v>2.5</v>
      </c>
      <c r="L861">
        <v>1000</v>
      </c>
      <c r="M861" s="1">
        <v>3</v>
      </c>
      <c r="N861">
        <v>0</v>
      </c>
      <c r="O861">
        <v>0</v>
      </c>
      <c r="P861">
        <v>400</v>
      </c>
      <c r="Q861" s="1">
        <v>400</v>
      </c>
      <c r="R861">
        <v>25</v>
      </c>
      <c r="S861" s="2">
        <v>46259</v>
      </c>
      <c r="T861" s="2">
        <v>46258</v>
      </c>
      <c r="U861">
        <v>130</v>
      </c>
      <c r="V861">
        <v>280</v>
      </c>
      <c r="W861">
        <v>430</v>
      </c>
      <c r="X861">
        <v>360</v>
      </c>
      <c r="Y861">
        <v>130</v>
      </c>
      <c r="Z861" s="8">
        <v>430</v>
      </c>
      <c r="AA861">
        <v>300</v>
      </c>
      <c r="AB861">
        <v>0.43333333333333335</v>
      </c>
      <c r="AC861">
        <v>1.4333333333333333</v>
      </c>
      <c r="AD861" s="1">
        <v>27</v>
      </c>
      <c r="AE861" s="2">
        <v>46275</v>
      </c>
      <c r="AF861" s="2">
        <v>46283</v>
      </c>
      <c r="AG861" s="2">
        <v>46290</v>
      </c>
      <c r="AH861">
        <v>300</v>
      </c>
      <c r="AI861" s="3">
        <v>0.72173215717722539</v>
      </c>
      <c r="AJ861" s="1">
        <v>38</v>
      </c>
      <c r="AK861" s="2">
        <v>46301</v>
      </c>
      <c r="AL861" s="4">
        <v>30</v>
      </c>
      <c r="AM861" s="5">
        <v>15</v>
      </c>
      <c r="AN861" s="4">
        <v>27</v>
      </c>
      <c r="AO861">
        <v>310.34482758620692</v>
      </c>
      <c r="AP861" s="4">
        <v>1</v>
      </c>
      <c r="AQ861" t="s">
        <v>1619</v>
      </c>
      <c r="AR861" t="s">
        <v>1620</v>
      </c>
      <c r="AS861" t="s">
        <v>1666</v>
      </c>
      <c r="AT861" s="16" t="str">
        <f>_xlfn.XLOOKUP(B861,'SWiSH Demand Forecast Sep-26'!D:D,'SWiSH Demand Forecast Sep-26'!G:G,"Not Exist")</f>
        <v>Not Exist</v>
      </c>
    </row>
    <row r="862" spans="1:46" x14ac:dyDescent="0.3">
      <c r="A862">
        <v>106800367</v>
      </c>
      <c r="B862" t="s">
        <v>2775</v>
      </c>
      <c r="C862" t="s">
        <v>10</v>
      </c>
      <c r="D862" t="s">
        <v>1613</v>
      </c>
      <c r="E862" t="s">
        <v>1663</v>
      </c>
      <c r="F862" t="s">
        <v>1664</v>
      </c>
      <c r="G862" t="s">
        <v>1624</v>
      </c>
      <c r="H862" t="s">
        <v>1665</v>
      </c>
      <c r="I862" t="s">
        <v>1634</v>
      </c>
      <c r="J862" t="s">
        <v>10</v>
      </c>
      <c r="K862">
        <v>0.01</v>
      </c>
      <c r="L862">
        <v>50</v>
      </c>
      <c r="M862" s="1">
        <v>7</v>
      </c>
      <c r="N862">
        <v>0</v>
      </c>
      <c r="O862">
        <v>0</v>
      </c>
      <c r="P862">
        <v>5000</v>
      </c>
      <c r="Q862" s="1">
        <v>5000</v>
      </c>
      <c r="R862">
        <v>0.01</v>
      </c>
      <c r="S862" s="2">
        <v>46250</v>
      </c>
      <c r="T862" s="2">
        <v>46204</v>
      </c>
      <c r="U862">
        <v>0</v>
      </c>
      <c r="V862">
        <v>5360</v>
      </c>
      <c r="W862">
        <v>480</v>
      </c>
      <c r="X862">
        <v>0</v>
      </c>
      <c r="Y862">
        <v>0</v>
      </c>
      <c r="Z862" s="8">
        <v>5360</v>
      </c>
      <c r="AA862">
        <v>1460</v>
      </c>
      <c r="AB862">
        <v>0</v>
      </c>
      <c r="AC862">
        <v>3.6712328767123288</v>
      </c>
      <c r="AD862" s="1">
        <v>27</v>
      </c>
      <c r="AE862" s="2">
        <v>46275</v>
      </c>
      <c r="AF862" s="2">
        <v>46283</v>
      </c>
      <c r="AG862" s="2">
        <v>46290</v>
      </c>
      <c r="AH862">
        <v>0</v>
      </c>
      <c r="AI862" s="3">
        <v>0</v>
      </c>
      <c r="AJ862" s="1" t="s">
        <v>1635</v>
      </c>
      <c r="AK862" s="2" t="s">
        <v>1635</v>
      </c>
      <c r="AL862" s="4">
        <v>30</v>
      </c>
      <c r="AM862" s="5">
        <v>15</v>
      </c>
      <c r="AN862" s="4">
        <v>27</v>
      </c>
      <c r="AO862">
        <v>0</v>
      </c>
      <c r="AP862" s="4">
        <v>1</v>
      </c>
      <c r="AQ862">
        <v>5000</v>
      </c>
      <c r="AR862" t="s">
        <v>1829</v>
      </c>
      <c r="AT862" s="16" t="str">
        <f>_xlfn.XLOOKUP(B862,'SWiSH Demand Forecast Sep-26'!D:D,'SWiSH Demand Forecast Sep-26'!G:G,"Not Exist")</f>
        <v>Not Exist</v>
      </c>
    </row>
    <row r="863" spans="1:46" x14ac:dyDescent="0.3">
      <c r="A863">
        <v>100100040</v>
      </c>
      <c r="B863" t="s">
        <v>2776</v>
      </c>
      <c r="C863" t="s">
        <v>136</v>
      </c>
      <c r="D863" t="s">
        <v>1613</v>
      </c>
      <c r="E863" t="s">
        <v>1732</v>
      </c>
      <c r="F863" t="s">
        <v>1833</v>
      </c>
      <c r="G863" t="s">
        <v>1616</v>
      </c>
      <c r="H863" t="s">
        <v>1877</v>
      </c>
      <c r="I863" t="s">
        <v>1626</v>
      </c>
      <c r="J863" t="e">
        <v>#N/A</v>
      </c>
      <c r="K863">
        <v>8.25</v>
      </c>
      <c r="L863">
        <v>86.625</v>
      </c>
      <c r="M863" s="1">
        <v>3</v>
      </c>
      <c r="N863">
        <v>0</v>
      </c>
      <c r="O863">
        <v>0</v>
      </c>
      <c r="P863">
        <v>10.5</v>
      </c>
      <c r="Q863" s="1">
        <v>10.5</v>
      </c>
      <c r="R863">
        <v>28.75</v>
      </c>
      <c r="S863" s="2">
        <v>46085</v>
      </c>
      <c r="T863" s="2">
        <v>46230</v>
      </c>
      <c r="U863">
        <v>0</v>
      </c>
      <c r="V863">
        <v>11.5</v>
      </c>
      <c r="W863">
        <v>0</v>
      </c>
      <c r="X863">
        <v>6</v>
      </c>
      <c r="Y863">
        <v>0</v>
      </c>
      <c r="Z863" s="8">
        <v>11.5</v>
      </c>
      <c r="AA863">
        <v>4.375</v>
      </c>
      <c r="AB863">
        <v>0</v>
      </c>
      <c r="AC863">
        <v>2.6285714285714286</v>
      </c>
      <c r="AD863" s="1">
        <v>27</v>
      </c>
      <c r="AE863" s="2">
        <v>46275</v>
      </c>
      <c r="AF863" s="2">
        <v>46283</v>
      </c>
      <c r="AG863" s="2">
        <v>46290</v>
      </c>
      <c r="AH863">
        <v>0</v>
      </c>
      <c r="AI863" s="3">
        <v>0</v>
      </c>
      <c r="AJ863" s="1" t="s">
        <v>1635</v>
      </c>
      <c r="AK863" s="2" t="s">
        <v>1635</v>
      </c>
      <c r="AL863" s="4">
        <v>30</v>
      </c>
      <c r="AM863" s="5">
        <v>15</v>
      </c>
      <c r="AN863" s="4">
        <v>27</v>
      </c>
      <c r="AO863">
        <v>0</v>
      </c>
      <c r="AP863" s="4">
        <v>1</v>
      </c>
      <c r="AQ863" t="s">
        <v>1619</v>
      </c>
      <c r="AR863" t="s">
        <v>1620</v>
      </c>
      <c r="AT863" s="16" t="str">
        <f>_xlfn.XLOOKUP(B863,'SWiSH Demand Forecast Sep-26'!D:D,'SWiSH Demand Forecast Sep-26'!G:G,"Not Exist")</f>
        <v>Not Exist</v>
      </c>
    </row>
    <row r="864" spans="1:46" x14ac:dyDescent="0.3">
      <c r="A864">
        <v>104200017</v>
      </c>
      <c r="B864" t="s">
        <v>2777</v>
      </c>
      <c r="C864" t="s">
        <v>10</v>
      </c>
      <c r="D864" t="s">
        <v>1613</v>
      </c>
      <c r="E864" t="s">
        <v>2075</v>
      </c>
      <c r="F864" t="s">
        <v>1631</v>
      </c>
      <c r="G864" t="s">
        <v>1624</v>
      </c>
      <c r="H864" t="s">
        <v>1633</v>
      </c>
      <c r="I864" t="s">
        <v>1634</v>
      </c>
      <c r="J864" t="s">
        <v>10</v>
      </c>
      <c r="K864">
        <v>15.471074379999999</v>
      </c>
      <c r="L864">
        <v>170.18181817999999</v>
      </c>
      <c r="M864" s="1">
        <v>30</v>
      </c>
      <c r="N864">
        <v>0</v>
      </c>
      <c r="O864">
        <v>0</v>
      </c>
      <c r="P864">
        <v>11</v>
      </c>
      <c r="Q864" s="1">
        <v>11</v>
      </c>
      <c r="R864">
        <v>16</v>
      </c>
      <c r="S864" s="2">
        <v>46177</v>
      </c>
      <c r="T864" s="2">
        <v>46249</v>
      </c>
      <c r="U864">
        <v>12</v>
      </c>
      <c r="V864">
        <v>6</v>
      </c>
      <c r="W864">
        <v>7</v>
      </c>
      <c r="X864">
        <v>5</v>
      </c>
      <c r="Y864">
        <v>5</v>
      </c>
      <c r="Z864" s="8">
        <v>12</v>
      </c>
      <c r="AA864">
        <v>7.5</v>
      </c>
      <c r="AB864">
        <v>0.66666666666666663</v>
      </c>
      <c r="AC864">
        <v>1.6</v>
      </c>
      <c r="AD864" s="1">
        <v>27</v>
      </c>
      <c r="AE864" s="2">
        <v>46275</v>
      </c>
      <c r="AF864" s="2">
        <v>46283</v>
      </c>
      <c r="AG864" s="2">
        <v>46290</v>
      </c>
      <c r="AH864">
        <v>7</v>
      </c>
      <c r="AI864" s="3">
        <v>0.60344827586206895</v>
      </c>
      <c r="AJ864" s="1">
        <v>45</v>
      </c>
      <c r="AK864" s="2">
        <v>46308</v>
      </c>
      <c r="AL864" s="4">
        <v>30</v>
      </c>
      <c r="AM864" s="5">
        <v>15</v>
      </c>
      <c r="AN864" s="4">
        <v>27</v>
      </c>
      <c r="AO864">
        <v>7.2413793103448274</v>
      </c>
      <c r="AP864" s="4">
        <v>1</v>
      </c>
      <c r="AQ864" t="s">
        <v>1619</v>
      </c>
      <c r="AR864" t="s">
        <v>1620</v>
      </c>
      <c r="AT864" s="16" t="str">
        <f>_xlfn.XLOOKUP(B864,'SWiSH Demand Forecast Sep-26'!D:D,'SWiSH Demand Forecast Sep-26'!G:G,"Not Exist")</f>
        <v>Not Exist</v>
      </c>
    </row>
    <row r="865" spans="1:46" x14ac:dyDescent="0.3">
      <c r="A865">
        <v>101400020</v>
      </c>
      <c r="B865" t="s">
        <v>2778</v>
      </c>
      <c r="C865" t="s">
        <v>240</v>
      </c>
      <c r="D865" t="s">
        <v>1629</v>
      </c>
      <c r="E865" t="s">
        <v>2779</v>
      </c>
      <c r="F865" t="s">
        <v>1644</v>
      </c>
      <c r="G865" t="s">
        <v>1624</v>
      </c>
      <c r="H865" t="s">
        <v>1693</v>
      </c>
      <c r="I865" t="s">
        <v>1634</v>
      </c>
      <c r="J865" t="s">
        <v>1697</v>
      </c>
      <c r="K865">
        <v>2</v>
      </c>
      <c r="L865">
        <v>500</v>
      </c>
      <c r="M865" s="1">
        <v>3</v>
      </c>
      <c r="N865">
        <v>0</v>
      </c>
      <c r="O865">
        <v>0</v>
      </c>
      <c r="P865">
        <v>250</v>
      </c>
      <c r="Q865" s="1">
        <v>250</v>
      </c>
      <c r="R865">
        <v>20</v>
      </c>
      <c r="S865" s="2">
        <v>46175</v>
      </c>
      <c r="T865" s="2">
        <v>46250</v>
      </c>
      <c r="U865">
        <v>275</v>
      </c>
      <c r="V865">
        <v>190</v>
      </c>
      <c r="W865">
        <v>30</v>
      </c>
      <c r="X865">
        <v>40</v>
      </c>
      <c r="Y865">
        <v>30</v>
      </c>
      <c r="Z865" s="8">
        <v>275</v>
      </c>
      <c r="AA865">
        <v>133.75</v>
      </c>
      <c r="AB865">
        <v>0.22429906542056074</v>
      </c>
      <c r="AC865">
        <v>2.05607476635514</v>
      </c>
      <c r="AD865" s="1">
        <v>27</v>
      </c>
      <c r="AE865" s="2">
        <v>46275</v>
      </c>
      <c r="AF865" s="2">
        <v>46283</v>
      </c>
      <c r="AG865" s="2">
        <v>46290</v>
      </c>
      <c r="AH865">
        <v>45</v>
      </c>
      <c r="AI865" s="3">
        <v>0.16927899686520376</v>
      </c>
      <c r="AJ865" s="1">
        <v>161</v>
      </c>
      <c r="AK865" s="2">
        <v>46424</v>
      </c>
      <c r="AL865" s="4" t="s">
        <v>1636</v>
      </c>
      <c r="AM865" s="5" t="s">
        <v>1636</v>
      </c>
      <c r="AN865" s="4">
        <v>27</v>
      </c>
      <c r="AO865" t="s">
        <v>1635</v>
      </c>
      <c r="AP865" s="4" t="s">
        <v>1636</v>
      </c>
      <c r="AQ865" t="s">
        <v>1619</v>
      </c>
      <c r="AR865" t="s">
        <v>1620</v>
      </c>
      <c r="AT865" s="16" t="str">
        <f>_xlfn.XLOOKUP(B865,'SWiSH Demand Forecast Sep-26'!D:D,'SWiSH Demand Forecast Sep-26'!G:G,"Not Exist")</f>
        <v>Not Exist</v>
      </c>
    </row>
    <row r="866" spans="1:46" hidden="1" x14ac:dyDescent="0.3">
      <c r="A866">
        <v>103700067</v>
      </c>
      <c r="B866" t="s">
        <v>1291</v>
      </c>
      <c r="C866" t="s">
        <v>136</v>
      </c>
      <c r="D866" t="s">
        <v>1613</v>
      </c>
      <c r="E866" t="s">
        <v>2780</v>
      </c>
      <c r="F866" t="s">
        <v>1615</v>
      </c>
      <c r="G866" t="s">
        <v>1616</v>
      </c>
      <c r="H866" t="s">
        <v>1617</v>
      </c>
      <c r="I866" t="s">
        <v>1618</v>
      </c>
      <c r="J866" t="s">
        <v>136</v>
      </c>
      <c r="K866">
        <v>1.9763332899999999</v>
      </c>
      <c r="L866">
        <v>187.75166254999999</v>
      </c>
      <c r="M866" s="1">
        <v>3</v>
      </c>
      <c r="N866">
        <v>0</v>
      </c>
      <c r="O866">
        <v>0</v>
      </c>
      <c r="P866">
        <v>95</v>
      </c>
      <c r="Q866" s="1">
        <v>95</v>
      </c>
      <c r="R866">
        <v>2</v>
      </c>
      <c r="S866" s="2">
        <v>46239</v>
      </c>
      <c r="T866" s="2">
        <v>46250</v>
      </c>
      <c r="U866">
        <v>104</v>
      </c>
      <c r="V866">
        <v>69</v>
      </c>
      <c r="W866">
        <v>83</v>
      </c>
      <c r="X866">
        <v>91</v>
      </c>
      <c r="Y866">
        <v>69</v>
      </c>
      <c r="Z866" s="8">
        <v>104</v>
      </c>
      <c r="AA866">
        <v>86.75</v>
      </c>
      <c r="AB866">
        <v>0.79538904899135443</v>
      </c>
      <c r="AC866">
        <v>1.1988472622478386</v>
      </c>
      <c r="AD866" s="1">
        <v>27</v>
      </c>
      <c r="AE866" s="2">
        <v>46275</v>
      </c>
      <c r="AF866" s="2">
        <v>46283</v>
      </c>
      <c r="AG866" s="2">
        <v>46290</v>
      </c>
      <c r="AH866">
        <v>10</v>
      </c>
      <c r="AI866" s="3">
        <v>9.9469496021220155E-2</v>
      </c>
      <c r="AJ866" s="1">
        <v>275</v>
      </c>
      <c r="AK866" s="2">
        <v>46538</v>
      </c>
      <c r="AL866" s="4">
        <v>30</v>
      </c>
      <c r="AM866" s="5">
        <v>15</v>
      </c>
      <c r="AN866" s="4">
        <v>27</v>
      </c>
      <c r="AO866">
        <v>10.344827586206897</v>
      </c>
      <c r="AP866" s="4">
        <v>1</v>
      </c>
      <c r="AQ866" t="s">
        <v>1619</v>
      </c>
      <c r="AR866" t="s">
        <v>1620</v>
      </c>
      <c r="AT866" s="16">
        <f>_xlfn.XLOOKUP(B866,'SWiSH Demand Forecast Sep-26'!D:D,'SWiSH Demand Forecast Sep-26'!G:G,"Not Exist")</f>
        <v>33.826000000000001</v>
      </c>
    </row>
    <row r="867" spans="1:46" hidden="1" x14ac:dyDescent="0.3">
      <c r="A867">
        <v>101200046</v>
      </c>
      <c r="B867" t="s">
        <v>1294</v>
      </c>
      <c r="C867" t="s">
        <v>136</v>
      </c>
      <c r="D867" t="s">
        <v>1613</v>
      </c>
      <c r="E867" t="s">
        <v>1677</v>
      </c>
      <c r="F867" t="s">
        <v>1875</v>
      </c>
      <c r="G867" t="s">
        <v>1616</v>
      </c>
      <c r="H867" t="s">
        <v>1625</v>
      </c>
      <c r="I867" t="s">
        <v>1618</v>
      </c>
      <c r="J867" t="s">
        <v>2781</v>
      </c>
      <c r="K867">
        <v>3.1</v>
      </c>
      <c r="L867">
        <v>263.5</v>
      </c>
      <c r="M867" s="1">
        <v>3</v>
      </c>
      <c r="N867">
        <v>0</v>
      </c>
      <c r="O867">
        <v>0</v>
      </c>
      <c r="P867">
        <v>85</v>
      </c>
      <c r="Q867" s="1">
        <v>85</v>
      </c>
      <c r="R867">
        <v>15.5</v>
      </c>
      <c r="S867" s="2">
        <v>46237</v>
      </c>
      <c r="T867" s="2">
        <v>46255</v>
      </c>
      <c r="U867">
        <v>30</v>
      </c>
      <c r="V867">
        <v>93</v>
      </c>
      <c r="W867">
        <v>20</v>
      </c>
      <c r="X867">
        <v>70</v>
      </c>
      <c r="Y867">
        <v>20</v>
      </c>
      <c r="Z867" s="8">
        <v>93</v>
      </c>
      <c r="AA867">
        <v>53.25</v>
      </c>
      <c r="AB867">
        <v>0.37558685446009388</v>
      </c>
      <c r="AC867">
        <v>1.7464788732394365</v>
      </c>
      <c r="AD867" s="1">
        <v>27</v>
      </c>
      <c r="AE867" s="2">
        <v>46275</v>
      </c>
      <c r="AF867" s="2">
        <v>46283</v>
      </c>
      <c r="AG867" s="2">
        <v>46290</v>
      </c>
      <c r="AH867">
        <v>10</v>
      </c>
      <c r="AI867" s="3">
        <v>0.11123470522803115</v>
      </c>
      <c r="AJ867" s="1">
        <v>246</v>
      </c>
      <c r="AK867" s="2">
        <v>46509</v>
      </c>
      <c r="AL867" s="4">
        <v>30</v>
      </c>
      <c r="AM867" s="5">
        <v>15</v>
      </c>
      <c r="AN867" s="4">
        <v>27</v>
      </c>
      <c r="AO867">
        <v>10.344827586206897</v>
      </c>
      <c r="AP867" s="4">
        <v>1</v>
      </c>
      <c r="AQ867" t="s">
        <v>1619</v>
      </c>
      <c r="AR867" t="s">
        <v>1620</v>
      </c>
      <c r="AT867" s="16">
        <f>_xlfn.XLOOKUP(B867,'SWiSH Demand Forecast Sep-26'!D:D,'SWiSH Demand Forecast Sep-26'!G:G,"Not Exist")</f>
        <v>33.075000000000003</v>
      </c>
    </row>
    <row r="868" spans="1:46" hidden="1" x14ac:dyDescent="0.3">
      <c r="A868">
        <v>106200152</v>
      </c>
      <c r="B868" t="s">
        <v>1202</v>
      </c>
      <c r="C868" t="s">
        <v>240</v>
      </c>
      <c r="D868" t="s">
        <v>1613</v>
      </c>
      <c r="E868" t="s">
        <v>1677</v>
      </c>
      <c r="F868" t="s">
        <v>1671</v>
      </c>
      <c r="G868" t="s">
        <v>1616</v>
      </c>
      <c r="H868" t="s">
        <v>1672</v>
      </c>
      <c r="I868" t="s">
        <v>1618</v>
      </c>
      <c r="J868" t="s">
        <v>2782</v>
      </c>
      <c r="K868">
        <v>1.39991182</v>
      </c>
      <c r="L868">
        <v>142.87500034920001</v>
      </c>
      <c r="M868" s="1">
        <v>3</v>
      </c>
      <c r="N868">
        <v>0</v>
      </c>
      <c r="O868">
        <v>0</v>
      </c>
      <c r="P868">
        <v>102.06</v>
      </c>
      <c r="Q868" s="1">
        <v>102.06</v>
      </c>
      <c r="R868">
        <v>16.5</v>
      </c>
      <c r="S868" s="2">
        <v>46205</v>
      </c>
      <c r="T868" s="2">
        <v>46259</v>
      </c>
      <c r="U868">
        <v>113.40000000000002</v>
      </c>
      <c r="V868">
        <v>68.040000000000006</v>
      </c>
      <c r="W868">
        <v>56.7</v>
      </c>
      <c r="X868">
        <v>68.040000000000006</v>
      </c>
      <c r="Y868">
        <v>56.7</v>
      </c>
      <c r="Z868" s="8">
        <v>113.40000000000002</v>
      </c>
      <c r="AA868">
        <v>76.545000000000016</v>
      </c>
      <c r="AB868">
        <v>0.74074074074074059</v>
      </c>
      <c r="AC868">
        <v>1.4814814814814814</v>
      </c>
      <c r="AD868" s="1">
        <v>27</v>
      </c>
      <c r="AE868" s="2">
        <v>46275</v>
      </c>
      <c r="AF868" s="2">
        <v>46283</v>
      </c>
      <c r="AG868" s="2">
        <v>46290</v>
      </c>
      <c r="AH868">
        <v>56.7</v>
      </c>
      <c r="AI868" s="3">
        <v>0.51724137931034475</v>
      </c>
      <c r="AJ868" s="1">
        <v>52</v>
      </c>
      <c r="AK868" s="2">
        <v>46315</v>
      </c>
      <c r="AL868" s="4">
        <v>30</v>
      </c>
      <c r="AM868" s="5">
        <v>15</v>
      </c>
      <c r="AN868" s="4">
        <v>27</v>
      </c>
      <c r="AO868">
        <v>58.655172413793103</v>
      </c>
      <c r="AP868" s="4">
        <v>1</v>
      </c>
      <c r="AQ868" t="s">
        <v>1619</v>
      </c>
      <c r="AR868" t="s">
        <v>1620</v>
      </c>
      <c r="AT868" s="16">
        <f>_xlfn.XLOOKUP(B868,'SWiSH Demand Forecast Sep-26'!D:D,'SWiSH Demand Forecast Sep-26'!G:G,"Not Exist")</f>
        <v>57.3138461538461</v>
      </c>
    </row>
    <row r="869" spans="1:46" x14ac:dyDescent="0.3">
      <c r="A869">
        <v>105300011</v>
      </c>
      <c r="B869" t="s">
        <v>2783</v>
      </c>
      <c r="C869" t="s">
        <v>10</v>
      </c>
      <c r="D869" t="s">
        <v>1613</v>
      </c>
      <c r="E869" t="s">
        <v>1775</v>
      </c>
      <c r="F869" t="s">
        <v>1664</v>
      </c>
      <c r="G869" t="s">
        <v>1624</v>
      </c>
      <c r="H869" t="s">
        <v>1978</v>
      </c>
      <c r="I869" t="s">
        <v>1634</v>
      </c>
      <c r="J869" t="s">
        <v>10</v>
      </c>
      <c r="K869">
        <v>3.2000000000000001E-2</v>
      </c>
      <c r="L869">
        <v>60.800000000000004</v>
      </c>
      <c r="M869" s="1">
        <v>30</v>
      </c>
      <c r="N869">
        <v>0</v>
      </c>
      <c r="O869">
        <v>0</v>
      </c>
      <c r="P869">
        <v>1900</v>
      </c>
      <c r="Q869" s="1">
        <v>1900</v>
      </c>
      <c r="R869">
        <v>3.2000000000000001E-2</v>
      </c>
      <c r="S869" s="2">
        <v>46210</v>
      </c>
      <c r="T869" s="2">
        <v>46258</v>
      </c>
      <c r="U869">
        <v>2000</v>
      </c>
      <c r="V869">
        <v>1000</v>
      </c>
      <c r="W869">
        <v>2100</v>
      </c>
      <c r="X869">
        <v>2000</v>
      </c>
      <c r="Y869">
        <v>1000</v>
      </c>
      <c r="Z869" s="8">
        <v>2100</v>
      </c>
      <c r="AA869">
        <v>1775</v>
      </c>
      <c r="AB869">
        <v>0.56338028169014087</v>
      </c>
      <c r="AC869">
        <v>1.1830985915492958</v>
      </c>
      <c r="AD869" s="1">
        <v>27</v>
      </c>
      <c r="AE869" s="2">
        <v>46275</v>
      </c>
      <c r="AF869" s="2">
        <v>46283</v>
      </c>
      <c r="AG869" s="2">
        <v>46290</v>
      </c>
      <c r="AH869">
        <v>2000</v>
      </c>
      <c r="AI869" s="3">
        <v>0.9852216748768472</v>
      </c>
      <c r="AJ869" s="1">
        <v>27</v>
      </c>
      <c r="AK869" s="2">
        <v>46290</v>
      </c>
      <c r="AL869" s="4">
        <v>30</v>
      </c>
      <c r="AM869" s="5">
        <v>15</v>
      </c>
      <c r="AN869" s="4">
        <v>27</v>
      </c>
      <c r="AO869">
        <v>2068.9655172413791</v>
      </c>
      <c r="AP869" s="4">
        <v>1</v>
      </c>
      <c r="AQ869">
        <v>3000</v>
      </c>
      <c r="AR869" t="s">
        <v>2098</v>
      </c>
      <c r="AT869" s="16" t="str">
        <f>_xlfn.XLOOKUP(B869,'SWiSH Demand Forecast Sep-26'!D:D,'SWiSH Demand Forecast Sep-26'!G:G,"Not Exist")</f>
        <v>Not Exist</v>
      </c>
    </row>
    <row r="870" spans="1:46" x14ac:dyDescent="0.3">
      <c r="A870">
        <v>107400024</v>
      </c>
      <c r="B870" t="s">
        <v>2784</v>
      </c>
      <c r="C870" t="s">
        <v>10</v>
      </c>
      <c r="D870" t="s">
        <v>1613</v>
      </c>
      <c r="E870" t="s">
        <v>1845</v>
      </c>
      <c r="F870" t="s">
        <v>1664</v>
      </c>
      <c r="G870" t="s">
        <v>1624</v>
      </c>
      <c r="H870" t="s">
        <v>2016</v>
      </c>
      <c r="I870" t="s">
        <v>1634</v>
      </c>
      <c r="J870" t="s">
        <v>10</v>
      </c>
      <c r="K870">
        <v>6.0000000000000001E-3</v>
      </c>
      <c r="L870">
        <v>132</v>
      </c>
      <c r="M870" s="1">
        <v>15</v>
      </c>
      <c r="N870">
        <v>0</v>
      </c>
      <c r="O870">
        <v>0</v>
      </c>
      <c r="P870">
        <v>22000</v>
      </c>
      <c r="Q870" s="1">
        <v>22000</v>
      </c>
      <c r="R870">
        <v>8.0000000000000002E-3</v>
      </c>
      <c r="S870" s="2">
        <v>46222</v>
      </c>
      <c r="T870" s="2">
        <v>46262</v>
      </c>
      <c r="U870">
        <v>24000</v>
      </c>
      <c r="V870">
        <v>12000</v>
      </c>
      <c r="W870">
        <v>16000</v>
      </c>
      <c r="X870">
        <v>13600</v>
      </c>
      <c r="Y870">
        <v>12000</v>
      </c>
      <c r="Z870" s="8">
        <v>24000</v>
      </c>
      <c r="AA870">
        <v>16400</v>
      </c>
      <c r="AB870">
        <v>0.73170731707317072</v>
      </c>
      <c r="AC870">
        <v>1.4634146341463414</v>
      </c>
      <c r="AD870" s="1">
        <v>27</v>
      </c>
      <c r="AE870" s="2">
        <v>46275</v>
      </c>
      <c r="AF870" s="2">
        <v>46283</v>
      </c>
      <c r="AG870" s="2">
        <v>46290</v>
      </c>
      <c r="AH870">
        <v>11000</v>
      </c>
      <c r="AI870" s="3">
        <v>0.47413793103448276</v>
      </c>
      <c r="AJ870" s="1">
        <v>58</v>
      </c>
      <c r="AK870" s="2">
        <v>46321</v>
      </c>
      <c r="AL870" s="4">
        <v>30</v>
      </c>
      <c r="AM870" s="5">
        <v>15</v>
      </c>
      <c r="AN870" s="4">
        <v>27</v>
      </c>
      <c r="AO870">
        <v>11379.310344827587</v>
      </c>
      <c r="AP870" s="4">
        <v>1</v>
      </c>
      <c r="AQ870">
        <v>36400</v>
      </c>
      <c r="AR870" t="s">
        <v>2034</v>
      </c>
      <c r="AT870" s="16" t="str">
        <f>_xlfn.XLOOKUP(B870,'SWiSH Demand Forecast Sep-26'!D:D,'SWiSH Demand Forecast Sep-26'!G:G,"Not Exist")</f>
        <v>Not Exist</v>
      </c>
    </row>
    <row r="871" spans="1:46" hidden="1" x14ac:dyDescent="0.3">
      <c r="A871">
        <v>100300006</v>
      </c>
      <c r="B871" t="s">
        <v>618</v>
      </c>
      <c r="C871" t="s">
        <v>136</v>
      </c>
      <c r="D871" t="s">
        <v>1613</v>
      </c>
      <c r="E871" t="s">
        <v>1732</v>
      </c>
      <c r="F871" t="s">
        <v>1752</v>
      </c>
      <c r="G871" t="s">
        <v>1616</v>
      </c>
      <c r="H871" t="s">
        <v>2018</v>
      </c>
      <c r="I871" t="s">
        <v>1754</v>
      </c>
      <c r="J871" t="s">
        <v>136</v>
      </c>
      <c r="K871">
        <v>1.1000000000000001</v>
      </c>
      <c r="L871">
        <v>1782.0000000000002</v>
      </c>
      <c r="M871" s="1">
        <v>3</v>
      </c>
      <c r="N871">
        <v>0</v>
      </c>
      <c r="O871">
        <v>0</v>
      </c>
      <c r="P871">
        <v>1620</v>
      </c>
      <c r="Q871" s="1">
        <v>1620</v>
      </c>
      <c r="R871">
        <v>1.4</v>
      </c>
      <c r="S871" s="2">
        <v>46251</v>
      </c>
      <c r="T871" s="2">
        <v>46263</v>
      </c>
      <c r="U871">
        <v>1480</v>
      </c>
      <c r="V871">
        <v>1420</v>
      </c>
      <c r="W871">
        <v>1760</v>
      </c>
      <c r="X871">
        <v>1600</v>
      </c>
      <c r="Y871">
        <v>1420</v>
      </c>
      <c r="Z871" s="8">
        <v>1760</v>
      </c>
      <c r="AA871">
        <v>1565</v>
      </c>
      <c r="AB871">
        <v>0.90734824281150162</v>
      </c>
      <c r="AC871">
        <v>1.1246006389776357</v>
      </c>
      <c r="AD871" s="1">
        <v>27</v>
      </c>
      <c r="AE871" s="2">
        <v>46275</v>
      </c>
      <c r="AF871" s="2">
        <v>46283</v>
      </c>
      <c r="AG871" s="2">
        <v>46290</v>
      </c>
      <c r="AH871">
        <v>1500</v>
      </c>
      <c r="AI871" s="3">
        <v>0.8816614420062695</v>
      </c>
      <c r="AJ871" s="1">
        <v>31</v>
      </c>
      <c r="AK871" s="2">
        <v>46294</v>
      </c>
      <c r="AL871" s="4">
        <v>15</v>
      </c>
      <c r="AM871" s="5">
        <v>15</v>
      </c>
      <c r="AN871" s="4">
        <v>27</v>
      </c>
      <c r="AO871">
        <v>775.86206896551721</v>
      </c>
      <c r="AP871" s="4">
        <v>2</v>
      </c>
      <c r="AQ871" t="s">
        <v>1619</v>
      </c>
      <c r="AR871" t="s">
        <v>2785</v>
      </c>
      <c r="AT871" s="16">
        <f>_xlfn.XLOOKUP(B871,'SWiSH Demand Forecast Sep-26'!D:D,'SWiSH Demand Forecast Sep-26'!G:G,"Not Exist")</f>
        <v>932.51581846821</v>
      </c>
    </row>
    <row r="872" spans="1:46" hidden="1" x14ac:dyDescent="0.3">
      <c r="A872">
        <v>105300051</v>
      </c>
      <c r="B872" t="s">
        <v>62</v>
      </c>
      <c r="C872" t="s">
        <v>10</v>
      </c>
      <c r="D872" t="s">
        <v>1613</v>
      </c>
      <c r="E872" t="s">
        <v>2786</v>
      </c>
      <c r="F872" t="s">
        <v>1664</v>
      </c>
      <c r="G872" t="s">
        <v>1624</v>
      </c>
      <c r="H872" t="s">
        <v>1978</v>
      </c>
      <c r="I872" t="s">
        <v>1634</v>
      </c>
      <c r="J872" t="s">
        <v>2113</v>
      </c>
      <c r="K872">
        <v>2.3181299999999998E-2</v>
      </c>
      <c r="L872">
        <v>1217.0182499999999</v>
      </c>
      <c r="M872" s="1">
        <v>30</v>
      </c>
      <c r="N872">
        <v>0</v>
      </c>
      <c r="O872">
        <v>1000</v>
      </c>
      <c r="P872">
        <v>52500</v>
      </c>
      <c r="Q872" s="1">
        <v>51500</v>
      </c>
      <c r="R872">
        <v>25</v>
      </c>
      <c r="S872" s="2">
        <v>46240</v>
      </c>
      <c r="T872" s="2">
        <v>46263</v>
      </c>
      <c r="U872">
        <v>56000</v>
      </c>
      <c r="V872">
        <v>57000</v>
      </c>
      <c r="W872">
        <v>45000</v>
      </c>
      <c r="X872">
        <v>45000</v>
      </c>
      <c r="Y872">
        <v>45000</v>
      </c>
      <c r="Z872" s="8">
        <v>57000</v>
      </c>
      <c r="AA872">
        <v>50750</v>
      </c>
      <c r="AB872">
        <v>0.88669950738916259</v>
      </c>
      <c r="AC872">
        <v>1.1231527093596059</v>
      </c>
      <c r="AD872" s="1">
        <v>27</v>
      </c>
      <c r="AE872" s="2">
        <v>46275</v>
      </c>
      <c r="AF872" s="2">
        <v>46283</v>
      </c>
      <c r="AG872" s="2">
        <v>46290</v>
      </c>
      <c r="AH872">
        <v>40000</v>
      </c>
      <c r="AI872" s="3">
        <v>0.72595281306715065</v>
      </c>
      <c r="AJ872" s="1">
        <v>37</v>
      </c>
      <c r="AK872" s="2">
        <v>46300</v>
      </c>
      <c r="AL872" s="4">
        <v>15</v>
      </c>
      <c r="AM872" s="5">
        <v>15</v>
      </c>
      <c r="AN872" s="4">
        <v>27</v>
      </c>
      <c r="AO872">
        <v>20689.655172413793</v>
      </c>
      <c r="AP872" s="4">
        <v>2</v>
      </c>
      <c r="AQ872" t="s">
        <v>1619</v>
      </c>
      <c r="AR872" t="s">
        <v>1620</v>
      </c>
      <c r="AT872" s="16">
        <f>_xlfn.XLOOKUP(B872,'SWiSH Demand Forecast Sep-26'!D:D,'SWiSH Demand Forecast Sep-26'!G:G,"Not Exist")</f>
        <v>39490</v>
      </c>
    </row>
    <row r="873" spans="1:46" x14ac:dyDescent="0.3">
      <c r="A873">
        <v>101800032</v>
      </c>
      <c r="B873" t="s">
        <v>2787</v>
      </c>
      <c r="C873" t="s">
        <v>10</v>
      </c>
      <c r="D873" t="s">
        <v>1613</v>
      </c>
      <c r="E873" t="s">
        <v>1685</v>
      </c>
      <c r="F873" t="s">
        <v>1631</v>
      </c>
      <c r="G873" t="s">
        <v>1624</v>
      </c>
      <c r="H873" t="s">
        <v>2144</v>
      </c>
      <c r="I873" t="s">
        <v>1634</v>
      </c>
      <c r="J873" t="s">
        <v>10</v>
      </c>
      <c r="K873">
        <v>0.01</v>
      </c>
      <c r="L873">
        <v>50</v>
      </c>
      <c r="M873" s="1">
        <v>7</v>
      </c>
      <c r="N873">
        <v>0</v>
      </c>
      <c r="O873">
        <v>0</v>
      </c>
      <c r="P873">
        <v>5000</v>
      </c>
      <c r="Q873" s="1">
        <v>5000</v>
      </c>
      <c r="R873">
        <v>5</v>
      </c>
      <c r="S873" s="2">
        <v>46202</v>
      </c>
      <c r="T873" s="2">
        <v>46261</v>
      </c>
      <c r="U873">
        <v>0</v>
      </c>
      <c r="V873">
        <v>0</v>
      </c>
      <c r="W873">
        <v>0</v>
      </c>
      <c r="X873">
        <v>5500</v>
      </c>
      <c r="Y873">
        <v>0</v>
      </c>
      <c r="Z873" s="8">
        <v>5500</v>
      </c>
      <c r="AA873">
        <v>1375</v>
      </c>
      <c r="AB873">
        <v>0</v>
      </c>
      <c r="AC873">
        <v>4</v>
      </c>
      <c r="AD873" s="1">
        <v>27</v>
      </c>
      <c r="AE873" s="2">
        <v>46275</v>
      </c>
      <c r="AF873" s="2">
        <v>46283</v>
      </c>
      <c r="AG873" s="2">
        <v>46290</v>
      </c>
      <c r="AH873">
        <v>4500</v>
      </c>
      <c r="AI873" s="3">
        <v>0.84639498432601878</v>
      </c>
      <c r="AJ873" s="1">
        <v>32</v>
      </c>
      <c r="AK873" s="2">
        <v>46295</v>
      </c>
      <c r="AL873" s="4">
        <v>30</v>
      </c>
      <c r="AM873" s="5">
        <v>15</v>
      </c>
      <c r="AN873" s="4">
        <v>27</v>
      </c>
      <c r="AO873">
        <v>4655.1724137931033</v>
      </c>
      <c r="AP873" s="4">
        <v>1</v>
      </c>
      <c r="AQ873" t="s">
        <v>1619</v>
      </c>
      <c r="AR873" t="s">
        <v>1620</v>
      </c>
      <c r="AT873" s="16" t="str">
        <f>_xlfn.XLOOKUP(B873,'SWiSH Demand Forecast Sep-26'!D:D,'SWiSH Demand Forecast Sep-26'!G:G,"Not Exist")</f>
        <v>Not Exist</v>
      </c>
    </row>
    <row r="874" spans="1:46" hidden="1" x14ac:dyDescent="0.3">
      <c r="A874">
        <v>106200161</v>
      </c>
      <c r="B874" t="s">
        <v>640</v>
      </c>
      <c r="C874" t="s">
        <v>136</v>
      </c>
      <c r="D874" t="s">
        <v>1613</v>
      </c>
      <c r="E874" t="s">
        <v>1732</v>
      </c>
      <c r="F874" t="s">
        <v>1671</v>
      </c>
      <c r="G874" t="s">
        <v>1616</v>
      </c>
      <c r="H874" t="s">
        <v>1672</v>
      </c>
      <c r="I874" t="s">
        <v>1618</v>
      </c>
      <c r="J874" t="s">
        <v>136</v>
      </c>
      <c r="K874">
        <v>0.91</v>
      </c>
      <c r="L874">
        <v>638.82000000000005</v>
      </c>
      <c r="M874" s="1">
        <v>3</v>
      </c>
      <c r="N874">
        <v>0</v>
      </c>
      <c r="O874">
        <v>0</v>
      </c>
      <c r="P874">
        <v>702</v>
      </c>
      <c r="Q874" s="1">
        <v>702</v>
      </c>
      <c r="R874">
        <v>5.46</v>
      </c>
      <c r="S874" s="2">
        <v>46253</v>
      </c>
      <c r="T874" s="2">
        <v>46263</v>
      </c>
      <c r="U874">
        <v>102</v>
      </c>
      <c r="V874">
        <v>396</v>
      </c>
      <c r="W874">
        <v>768</v>
      </c>
      <c r="X874">
        <v>744</v>
      </c>
      <c r="Y874">
        <v>102</v>
      </c>
      <c r="Z874" s="8">
        <v>768</v>
      </c>
      <c r="AA874">
        <v>502.5</v>
      </c>
      <c r="AB874">
        <v>0.20298507462686566</v>
      </c>
      <c r="AC874">
        <v>1.5283582089552239</v>
      </c>
      <c r="AD874" s="1">
        <v>27</v>
      </c>
      <c r="AE874" s="2">
        <v>46275</v>
      </c>
      <c r="AF874" s="2">
        <v>46283</v>
      </c>
      <c r="AG874" s="2">
        <v>46290</v>
      </c>
      <c r="AH874">
        <v>1302</v>
      </c>
      <c r="AI874" s="3">
        <v>1.7537715517241379</v>
      </c>
      <c r="AJ874" s="1">
        <v>15</v>
      </c>
      <c r="AK874" s="2">
        <v>46278</v>
      </c>
      <c r="AL874" s="4">
        <v>15</v>
      </c>
      <c r="AM874" s="5">
        <v>15</v>
      </c>
      <c r="AN874" s="4">
        <v>15</v>
      </c>
      <c r="AO874">
        <v>673.44827586206895</v>
      </c>
      <c r="AP874" s="4">
        <v>2</v>
      </c>
      <c r="AQ874" t="s">
        <v>1619</v>
      </c>
      <c r="AR874" t="s">
        <v>1620</v>
      </c>
      <c r="AS874" t="s">
        <v>1666</v>
      </c>
      <c r="AT874" s="16">
        <f>_xlfn.XLOOKUP(B874,'SWiSH Demand Forecast Sep-26'!D:D,'SWiSH Demand Forecast Sep-26'!G:G,"Not Exist")</f>
        <v>835.546875</v>
      </c>
    </row>
    <row r="875" spans="1:46" hidden="1" x14ac:dyDescent="0.3">
      <c r="A875">
        <v>107400052</v>
      </c>
      <c r="B875" t="s">
        <v>47</v>
      </c>
      <c r="C875" t="s">
        <v>10</v>
      </c>
      <c r="D875" t="s">
        <v>1613</v>
      </c>
      <c r="E875" t="s">
        <v>2147</v>
      </c>
      <c r="F875" t="s">
        <v>1664</v>
      </c>
      <c r="G875" t="s">
        <v>1624</v>
      </c>
      <c r="H875" t="s">
        <v>2016</v>
      </c>
      <c r="I875" t="s">
        <v>1634</v>
      </c>
      <c r="J875" t="s">
        <v>10</v>
      </c>
      <c r="K875">
        <v>3.9998300000000002E-3</v>
      </c>
      <c r="L875">
        <v>263.98878000000002</v>
      </c>
      <c r="M875" s="1">
        <v>15</v>
      </c>
      <c r="N875">
        <v>0</v>
      </c>
      <c r="O875">
        <v>0</v>
      </c>
      <c r="P875">
        <v>66000</v>
      </c>
      <c r="Q875" s="1">
        <v>66000</v>
      </c>
      <c r="R875">
        <v>4.0000000000000001E-3</v>
      </c>
      <c r="S875" s="2">
        <v>46237</v>
      </c>
      <c r="T875" s="2">
        <v>46263</v>
      </c>
      <c r="U875">
        <v>35000</v>
      </c>
      <c r="V875">
        <v>64000</v>
      </c>
      <c r="W875">
        <v>58000</v>
      </c>
      <c r="X875">
        <v>72000</v>
      </c>
      <c r="Y875">
        <v>35000</v>
      </c>
      <c r="Z875" s="8">
        <v>72000</v>
      </c>
      <c r="AA875">
        <v>57250</v>
      </c>
      <c r="AB875">
        <v>0.611353711790393</v>
      </c>
      <c r="AC875">
        <v>1.25764192139738</v>
      </c>
      <c r="AD875" s="1">
        <v>27</v>
      </c>
      <c r="AE875" s="2">
        <v>46275</v>
      </c>
      <c r="AF875" s="2">
        <v>46283</v>
      </c>
      <c r="AG875" s="2">
        <v>46290</v>
      </c>
      <c r="AH875">
        <v>63000</v>
      </c>
      <c r="AI875" s="3">
        <v>0.90517241379310343</v>
      </c>
      <c r="AJ875" s="1">
        <v>30</v>
      </c>
      <c r="AK875" s="2">
        <v>46293</v>
      </c>
      <c r="AL875" s="4">
        <v>30</v>
      </c>
      <c r="AM875" s="5">
        <v>15</v>
      </c>
      <c r="AN875" s="4">
        <v>27</v>
      </c>
      <c r="AO875">
        <v>65172.413793103449</v>
      </c>
      <c r="AP875" s="4">
        <v>1</v>
      </c>
      <c r="AQ875">
        <v>143000</v>
      </c>
      <c r="AR875" t="s">
        <v>2034</v>
      </c>
      <c r="AT875" s="16">
        <f>_xlfn.XLOOKUP(B875,'SWiSH Demand Forecast Sep-26'!D:D,'SWiSH Demand Forecast Sep-26'!G:G,"Not Exist")</f>
        <v>48678</v>
      </c>
    </row>
    <row r="876" spans="1:46" x14ac:dyDescent="0.3">
      <c r="A876">
        <v>100400162</v>
      </c>
      <c r="B876" t="s">
        <v>2788</v>
      </c>
      <c r="C876" t="s">
        <v>10</v>
      </c>
      <c r="D876" t="s">
        <v>1613</v>
      </c>
      <c r="E876" t="s">
        <v>2075</v>
      </c>
      <c r="F876" t="s">
        <v>1664</v>
      </c>
      <c r="G876" t="s">
        <v>1624</v>
      </c>
      <c r="H876" t="s">
        <v>1810</v>
      </c>
      <c r="I876" t="s">
        <v>1634</v>
      </c>
      <c r="J876" t="s">
        <v>10</v>
      </c>
      <c r="K876">
        <v>0.05</v>
      </c>
      <c r="L876">
        <v>260</v>
      </c>
      <c r="M876" s="1">
        <v>30</v>
      </c>
      <c r="N876">
        <v>0</v>
      </c>
      <c r="O876">
        <v>0</v>
      </c>
      <c r="P876">
        <v>5200</v>
      </c>
      <c r="Q876" s="1">
        <v>5200</v>
      </c>
      <c r="R876">
        <v>0.05</v>
      </c>
      <c r="S876" s="2">
        <v>46149</v>
      </c>
      <c r="T876" s="2">
        <v>46251</v>
      </c>
      <c r="U876">
        <v>0</v>
      </c>
      <c r="V876">
        <v>5400</v>
      </c>
      <c r="W876">
        <v>0</v>
      </c>
      <c r="X876">
        <v>2800</v>
      </c>
      <c r="Y876">
        <v>0</v>
      </c>
      <c r="Z876" s="8">
        <v>5400</v>
      </c>
      <c r="AA876">
        <v>2050</v>
      </c>
      <c r="AB876">
        <v>0</v>
      </c>
      <c r="AC876">
        <v>2.6341463414634148</v>
      </c>
      <c r="AD876" s="1">
        <v>28</v>
      </c>
      <c r="AE876" s="2">
        <v>46276</v>
      </c>
      <c r="AF876" s="2">
        <v>46284</v>
      </c>
      <c r="AG876" s="2">
        <v>46291</v>
      </c>
      <c r="AH876">
        <v>3600</v>
      </c>
      <c r="AI876" s="3">
        <v>0.68965517241379315</v>
      </c>
      <c r="AJ876" s="1">
        <v>41</v>
      </c>
      <c r="AK876" s="2">
        <v>46304</v>
      </c>
      <c r="AL876" s="4">
        <v>30</v>
      </c>
      <c r="AM876" s="5">
        <v>15</v>
      </c>
      <c r="AN876" s="4">
        <v>28</v>
      </c>
      <c r="AO876">
        <v>3724.1379310344828</v>
      </c>
      <c r="AP876" s="4">
        <v>1</v>
      </c>
      <c r="AQ876">
        <v>15400</v>
      </c>
      <c r="AR876" t="s">
        <v>2521</v>
      </c>
      <c r="AT876" s="16" t="str">
        <f>_xlfn.XLOOKUP(B876,'SWiSH Demand Forecast Sep-26'!D:D,'SWiSH Demand Forecast Sep-26'!G:G,"Not Exist")</f>
        <v>Not Exist</v>
      </c>
    </row>
    <row r="877" spans="1:46" hidden="1" x14ac:dyDescent="0.3">
      <c r="A877">
        <v>100700040</v>
      </c>
      <c r="B877" t="s">
        <v>1159</v>
      </c>
      <c r="C877" t="s">
        <v>136</v>
      </c>
      <c r="D877" t="s">
        <v>1613</v>
      </c>
      <c r="E877" t="s">
        <v>2789</v>
      </c>
      <c r="F877" t="s">
        <v>1875</v>
      </c>
      <c r="G877" t="s">
        <v>1616</v>
      </c>
      <c r="H877" t="s">
        <v>1867</v>
      </c>
      <c r="I877" t="s">
        <v>1618</v>
      </c>
      <c r="J877" t="s">
        <v>2790</v>
      </c>
      <c r="K877">
        <v>1.5151515099999999</v>
      </c>
      <c r="L877">
        <v>1006.363632942</v>
      </c>
      <c r="M877" s="1">
        <v>3</v>
      </c>
      <c r="N877">
        <v>0</v>
      </c>
      <c r="O877">
        <v>12</v>
      </c>
      <c r="P877">
        <v>664.2</v>
      </c>
      <c r="Q877" s="1">
        <v>652.20000000000005</v>
      </c>
      <c r="R877">
        <v>5</v>
      </c>
      <c r="S877" s="2">
        <v>46218</v>
      </c>
      <c r="T877" s="2">
        <v>46258</v>
      </c>
      <c r="U877">
        <v>354.23999999999995</v>
      </c>
      <c r="V877">
        <v>628.55999999999983</v>
      </c>
      <c r="W877">
        <v>681.4799999999999</v>
      </c>
      <c r="X877">
        <v>636.62399999999991</v>
      </c>
      <c r="Y877">
        <v>354.23999999999995</v>
      </c>
      <c r="Z877" s="8">
        <v>681.4799999999999</v>
      </c>
      <c r="AA877">
        <v>575.22599999999989</v>
      </c>
      <c r="AB877">
        <v>0.61582751822761839</v>
      </c>
      <c r="AC877">
        <v>1.1847169634195951</v>
      </c>
      <c r="AD877" s="1">
        <v>28</v>
      </c>
      <c r="AE877" s="2">
        <v>46276</v>
      </c>
      <c r="AF877" s="2">
        <v>46284</v>
      </c>
      <c r="AG877" s="2">
        <v>46291</v>
      </c>
      <c r="AH877">
        <v>376.79999999999995</v>
      </c>
      <c r="AI877" s="3">
        <v>0.57198025393008722</v>
      </c>
      <c r="AJ877" s="1">
        <v>50</v>
      </c>
      <c r="AK877" s="2">
        <v>46313</v>
      </c>
      <c r="AL877" s="4">
        <v>15</v>
      </c>
      <c r="AM877" s="5">
        <v>15</v>
      </c>
      <c r="AN877" s="4">
        <v>28</v>
      </c>
      <c r="AO877">
        <v>194.89655172413788</v>
      </c>
      <c r="AP877" s="4">
        <v>2</v>
      </c>
      <c r="AQ877" t="s">
        <v>1619</v>
      </c>
      <c r="AR877" t="s">
        <v>2189</v>
      </c>
      <c r="AT877" s="16">
        <f>_xlfn.XLOOKUP(B877,'SWiSH Demand Forecast Sep-26'!D:D,'SWiSH Demand Forecast Sep-26'!G:G,"Not Exist")</f>
        <v>77.359548847776693</v>
      </c>
    </row>
    <row r="878" spans="1:46" x14ac:dyDescent="0.3">
      <c r="A878">
        <v>104200038</v>
      </c>
      <c r="B878" t="s">
        <v>2791</v>
      </c>
      <c r="C878" t="s">
        <v>10</v>
      </c>
      <c r="D878" t="s">
        <v>1613</v>
      </c>
      <c r="E878" t="s">
        <v>2792</v>
      </c>
      <c r="F878" t="s">
        <v>1631</v>
      </c>
      <c r="G878" t="s">
        <v>1624</v>
      </c>
      <c r="H878" t="s">
        <v>1633</v>
      </c>
      <c r="I878" t="s">
        <v>1634</v>
      </c>
      <c r="J878" t="s">
        <v>10</v>
      </c>
      <c r="K878">
        <v>3.7055899999999999E-3</v>
      </c>
      <c r="L878">
        <v>247.16285299999998</v>
      </c>
      <c r="M878" s="1">
        <v>3</v>
      </c>
      <c r="N878">
        <v>0</v>
      </c>
      <c r="O878">
        <v>800</v>
      </c>
      <c r="P878">
        <v>66700</v>
      </c>
      <c r="Q878" s="1">
        <v>65900</v>
      </c>
      <c r="R878">
        <v>3.75</v>
      </c>
      <c r="S878" s="2">
        <v>46250</v>
      </c>
      <c r="T878" s="2">
        <v>46263</v>
      </c>
      <c r="U878">
        <v>59400</v>
      </c>
      <c r="V878">
        <v>69700</v>
      </c>
      <c r="W878">
        <v>67600</v>
      </c>
      <c r="X878">
        <v>55400</v>
      </c>
      <c r="Y878">
        <v>55400</v>
      </c>
      <c r="Z878" s="8">
        <v>69700</v>
      </c>
      <c r="AA878">
        <v>63025</v>
      </c>
      <c r="AB878">
        <v>0.87901626338754457</v>
      </c>
      <c r="AC878">
        <v>1.10591035303451</v>
      </c>
      <c r="AD878" s="1">
        <v>28</v>
      </c>
      <c r="AE878" s="2">
        <v>46276</v>
      </c>
      <c r="AF878" s="2">
        <v>46284</v>
      </c>
      <c r="AG878" s="2">
        <v>46291</v>
      </c>
      <c r="AH878">
        <v>65100</v>
      </c>
      <c r="AI878" s="3">
        <v>0.96620986493840599</v>
      </c>
      <c r="AJ878" s="1">
        <v>29</v>
      </c>
      <c r="AK878" s="2">
        <v>46292</v>
      </c>
      <c r="AL878" s="4">
        <v>30</v>
      </c>
      <c r="AM878" s="5">
        <v>15</v>
      </c>
      <c r="AN878" s="4">
        <v>28</v>
      </c>
      <c r="AO878">
        <v>67344.827586206899</v>
      </c>
      <c r="AP878" s="4">
        <v>1</v>
      </c>
      <c r="AQ878" t="s">
        <v>1619</v>
      </c>
      <c r="AR878" t="s">
        <v>1620</v>
      </c>
      <c r="AT878" s="16" t="str">
        <f>_xlfn.XLOOKUP(B878,'SWiSH Demand Forecast Sep-26'!D:D,'SWiSH Demand Forecast Sep-26'!G:G,"Not Exist")</f>
        <v>Not Exist</v>
      </c>
    </row>
    <row r="879" spans="1:46" hidden="1" x14ac:dyDescent="0.3">
      <c r="A879">
        <v>100400204</v>
      </c>
      <c r="B879" t="s">
        <v>317</v>
      </c>
      <c r="C879" t="s">
        <v>10</v>
      </c>
      <c r="D879" t="s">
        <v>1613</v>
      </c>
      <c r="E879" t="s">
        <v>1926</v>
      </c>
      <c r="F879" t="s">
        <v>1664</v>
      </c>
      <c r="G879" t="s">
        <v>1624</v>
      </c>
      <c r="H879" t="s">
        <v>1810</v>
      </c>
      <c r="I879" t="s">
        <v>1634</v>
      </c>
      <c r="J879" t="s">
        <v>2226</v>
      </c>
      <c r="K879">
        <v>4.7944199999999999E-2</v>
      </c>
      <c r="L879">
        <v>302.04845999999998</v>
      </c>
      <c r="M879" s="1">
        <v>30</v>
      </c>
      <c r="N879">
        <v>0</v>
      </c>
      <c r="O879">
        <v>0</v>
      </c>
      <c r="P879">
        <v>6300</v>
      </c>
      <c r="Q879" s="1">
        <v>6300</v>
      </c>
      <c r="R879">
        <v>14.4</v>
      </c>
      <c r="S879" s="2">
        <v>46257</v>
      </c>
      <c r="T879" s="2">
        <v>46263</v>
      </c>
      <c r="U879">
        <v>6300</v>
      </c>
      <c r="V879">
        <v>5700</v>
      </c>
      <c r="W879">
        <v>4500</v>
      </c>
      <c r="X879">
        <v>6600</v>
      </c>
      <c r="Y879">
        <v>4500</v>
      </c>
      <c r="Z879" s="8">
        <v>6600</v>
      </c>
      <c r="AA879">
        <v>5775</v>
      </c>
      <c r="AB879">
        <v>0.77922077922077926</v>
      </c>
      <c r="AC879">
        <v>1.1428571428571428</v>
      </c>
      <c r="AD879" s="1">
        <v>28</v>
      </c>
      <c r="AE879" s="2">
        <v>46276</v>
      </c>
      <c r="AF879" s="2">
        <v>46284</v>
      </c>
      <c r="AG879" s="2">
        <v>46291</v>
      </c>
      <c r="AH879">
        <v>3900</v>
      </c>
      <c r="AI879" s="3">
        <v>0.61128526645768022</v>
      </c>
      <c r="AJ879" s="1">
        <v>46</v>
      </c>
      <c r="AK879" s="2">
        <v>46309</v>
      </c>
      <c r="AL879" s="4">
        <v>15</v>
      </c>
      <c r="AM879" s="5">
        <v>15</v>
      </c>
      <c r="AN879" s="4">
        <v>28</v>
      </c>
      <c r="AO879">
        <v>2017.2413793103447</v>
      </c>
      <c r="AP879" s="4">
        <v>2</v>
      </c>
      <c r="AQ879">
        <v>5047</v>
      </c>
      <c r="AR879" t="s">
        <v>2146</v>
      </c>
      <c r="AT879" s="16">
        <f>_xlfn.XLOOKUP(B879,'SWiSH Demand Forecast Sep-26'!D:D,'SWiSH Demand Forecast Sep-26'!G:G,"Not Exist")</f>
        <v>4424</v>
      </c>
    </row>
    <row r="880" spans="1:46" hidden="1" x14ac:dyDescent="0.3">
      <c r="A880">
        <v>100400229</v>
      </c>
      <c r="B880" t="s">
        <v>75</v>
      </c>
      <c r="C880" t="s">
        <v>10</v>
      </c>
      <c r="D880" t="s">
        <v>1613</v>
      </c>
      <c r="E880" t="s">
        <v>2147</v>
      </c>
      <c r="F880" t="s">
        <v>1664</v>
      </c>
      <c r="G880" t="s">
        <v>1624</v>
      </c>
      <c r="H880" t="s">
        <v>1810</v>
      </c>
      <c r="I880" t="s">
        <v>1634</v>
      </c>
      <c r="J880" t="s">
        <v>10</v>
      </c>
      <c r="K880">
        <v>2.7976999999999998E-2</v>
      </c>
      <c r="L880">
        <v>2663.4103999999998</v>
      </c>
      <c r="M880" s="1">
        <v>30</v>
      </c>
      <c r="N880">
        <v>0</v>
      </c>
      <c r="O880">
        <v>1000</v>
      </c>
      <c r="P880">
        <v>95200</v>
      </c>
      <c r="Q880" s="1">
        <v>94200</v>
      </c>
      <c r="R880">
        <v>2.8000000000000001E-2</v>
      </c>
      <c r="S880" s="2">
        <v>46233</v>
      </c>
      <c r="T880" s="2">
        <v>46263</v>
      </c>
      <c r="U880">
        <v>82850</v>
      </c>
      <c r="V880">
        <v>98600</v>
      </c>
      <c r="W880">
        <v>91800</v>
      </c>
      <c r="X880">
        <v>96880</v>
      </c>
      <c r="Y880">
        <v>82850</v>
      </c>
      <c r="Z880" s="8">
        <v>98600</v>
      </c>
      <c r="AA880">
        <v>92532.5</v>
      </c>
      <c r="AB880">
        <v>0.89536108934698622</v>
      </c>
      <c r="AC880">
        <v>1.0655715559398049</v>
      </c>
      <c r="AD880" s="1">
        <v>28</v>
      </c>
      <c r="AE880" s="2">
        <v>46276</v>
      </c>
      <c r="AF880" s="2">
        <v>46284</v>
      </c>
      <c r="AG880" s="2">
        <v>46291</v>
      </c>
      <c r="AH880">
        <v>56975</v>
      </c>
      <c r="AI880" s="3">
        <v>0.59776526544030217</v>
      </c>
      <c r="AJ880" s="1">
        <v>47</v>
      </c>
      <c r="AK880" s="2">
        <v>46310</v>
      </c>
      <c r="AL880" s="4">
        <v>15</v>
      </c>
      <c r="AM880" s="5">
        <v>15</v>
      </c>
      <c r="AN880" s="4">
        <v>28</v>
      </c>
      <c r="AO880">
        <v>29469.827586206899</v>
      </c>
      <c r="AP880" s="4">
        <v>2</v>
      </c>
      <c r="AQ880">
        <v>110000</v>
      </c>
      <c r="AR880" t="s">
        <v>2377</v>
      </c>
      <c r="AT880" s="16">
        <f>_xlfn.XLOOKUP(B880,'SWiSH Demand Forecast Sep-26'!D:D,'SWiSH Demand Forecast Sep-26'!G:G,"Not Exist")</f>
        <v>29941</v>
      </c>
    </row>
    <row r="881" spans="1:46" hidden="1" x14ac:dyDescent="0.3">
      <c r="A881">
        <v>101600049</v>
      </c>
      <c r="B881" t="s">
        <v>213</v>
      </c>
      <c r="C881" t="s">
        <v>10</v>
      </c>
      <c r="D881" t="s">
        <v>1613</v>
      </c>
      <c r="E881" t="s">
        <v>1663</v>
      </c>
      <c r="F881" t="s">
        <v>1664</v>
      </c>
      <c r="G881" t="s">
        <v>1624</v>
      </c>
      <c r="H881" t="s">
        <v>1768</v>
      </c>
      <c r="I881" t="s">
        <v>1634</v>
      </c>
      <c r="J881" t="s">
        <v>2113</v>
      </c>
      <c r="K881">
        <v>1.747742E-2</v>
      </c>
      <c r="L881">
        <v>384.50324000000001</v>
      </c>
      <c r="M881" s="1">
        <v>30</v>
      </c>
      <c r="N881">
        <v>0</v>
      </c>
      <c r="O881">
        <v>0</v>
      </c>
      <c r="P881">
        <v>22000</v>
      </c>
      <c r="Q881" s="1">
        <v>22000</v>
      </c>
      <c r="R881">
        <v>13</v>
      </c>
      <c r="S881" s="2">
        <v>45630</v>
      </c>
      <c r="T881" s="2">
        <v>46262</v>
      </c>
      <c r="U881">
        <v>12000</v>
      </c>
      <c r="V881">
        <v>19000</v>
      </c>
      <c r="W881">
        <v>15000</v>
      </c>
      <c r="X881">
        <v>23000</v>
      </c>
      <c r="Y881">
        <v>12000</v>
      </c>
      <c r="Z881" s="8">
        <v>23000</v>
      </c>
      <c r="AA881">
        <v>17250</v>
      </c>
      <c r="AB881">
        <v>0.69565217391304346</v>
      </c>
      <c r="AC881">
        <v>1.3333333333333333</v>
      </c>
      <c r="AD881" s="1">
        <v>28</v>
      </c>
      <c r="AE881" s="2">
        <v>46276</v>
      </c>
      <c r="AF881" s="2">
        <v>46284</v>
      </c>
      <c r="AG881" s="2">
        <v>46291</v>
      </c>
      <c r="AH881">
        <v>20000</v>
      </c>
      <c r="AI881" s="3">
        <v>0.8995502248875562</v>
      </c>
      <c r="AJ881" s="1">
        <v>31</v>
      </c>
      <c r="AK881" s="2">
        <v>46294</v>
      </c>
      <c r="AL881" s="4">
        <v>30</v>
      </c>
      <c r="AM881" s="5">
        <v>15</v>
      </c>
      <c r="AN881" s="4">
        <v>28</v>
      </c>
      <c r="AO881">
        <v>20689.655172413793</v>
      </c>
      <c r="AP881" s="4">
        <v>1</v>
      </c>
      <c r="AQ881" t="s">
        <v>1619</v>
      </c>
      <c r="AR881" t="s">
        <v>1620</v>
      </c>
      <c r="AT881" s="16">
        <f>_xlfn.XLOOKUP(B881,'SWiSH Demand Forecast Sep-26'!D:D,'SWiSH Demand Forecast Sep-26'!G:G,"Not Exist")</f>
        <v>7937</v>
      </c>
    </row>
    <row r="882" spans="1:46" x14ac:dyDescent="0.3">
      <c r="A882">
        <v>100400098</v>
      </c>
      <c r="B882" t="s">
        <v>2793</v>
      </c>
      <c r="C882" t="s">
        <v>10</v>
      </c>
      <c r="D882" t="s">
        <v>1613</v>
      </c>
      <c r="E882" t="s">
        <v>2075</v>
      </c>
      <c r="F882" t="s">
        <v>1664</v>
      </c>
      <c r="G882" t="s">
        <v>1624</v>
      </c>
      <c r="H882" t="s">
        <v>1810</v>
      </c>
      <c r="I882" t="s">
        <v>1634</v>
      </c>
      <c r="J882" t="s">
        <v>10</v>
      </c>
      <c r="K882">
        <v>3.6999999999999998E-2</v>
      </c>
      <c r="L882">
        <v>416.25</v>
      </c>
      <c r="M882" s="1">
        <v>30</v>
      </c>
      <c r="N882">
        <v>0</v>
      </c>
      <c r="O882">
        <v>0</v>
      </c>
      <c r="P882">
        <v>11250</v>
      </c>
      <c r="Q882" s="1">
        <v>11250</v>
      </c>
      <c r="R882">
        <v>4.8000000000000001E-2</v>
      </c>
      <c r="S882" s="2">
        <v>46193</v>
      </c>
      <c r="T882" s="2">
        <v>46246</v>
      </c>
      <c r="U882">
        <v>10250</v>
      </c>
      <c r="V882">
        <v>10000</v>
      </c>
      <c r="W882">
        <v>4000</v>
      </c>
      <c r="X882">
        <v>11500</v>
      </c>
      <c r="Y882">
        <v>4000</v>
      </c>
      <c r="Z882" s="8">
        <v>11500</v>
      </c>
      <c r="AA882">
        <v>8937.5</v>
      </c>
      <c r="AB882">
        <v>0.44755244755244755</v>
      </c>
      <c r="AC882">
        <v>1.2867132867132867</v>
      </c>
      <c r="AD882" s="1">
        <v>29</v>
      </c>
      <c r="AE882" s="2">
        <v>46277</v>
      </c>
      <c r="AF882" s="2">
        <v>46285</v>
      </c>
      <c r="AG882" s="2">
        <v>46292</v>
      </c>
      <c r="AH882">
        <v>8000</v>
      </c>
      <c r="AI882" s="3">
        <v>0.71964017991004492</v>
      </c>
      <c r="AJ882" s="1">
        <v>40</v>
      </c>
      <c r="AK882" s="2">
        <v>46303</v>
      </c>
      <c r="AL882" s="4">
        <v>30</v>
      </c>
      <c r="AM882" s="5">
        <v>15</v>
      </c>
      <c r="AN882" s="4">
        <v>29</v>
      </c>
      <c r="AO882">
        <v>8275.8620689655163</v>
      </c>
      <c r="AP882" s="4">
        <v>1</v>
      </c>
      <c r="AQ882">
        <v>96000</v>
      </c>
      <c r="AR882" t="s">
        <v>2285</v>
      </c>
      <c r="AT882" s="16" t="str">
        <f>_xlfn.XLOOKUP(B882,'SWiSH Demand Forecast Sep-26'!D:D,'SWiSH Demand Forecast Sep-26'!G:G,"Not Exist")</f>
        <v>Not Exist</v>
      </c>
    </row>
    <row r="883" spans="1:46" hidden="1" x14ac:dyDescent="0.3">
      <c r="A883">
        <v>103700087</v>
      </c>
      <c r="B883" t="s">
        <v>1506</v>
      </c>
      <c r="C883" t="s">
        <v>136</v>
      </c>
      <c r="D883" t="s">
        <v>1613</v>
      </c>
      <c r="E883" t="s">
        <v>1732</v>
      </c>
      <c r="F883" t="s">
        <v>1615</v>
      </c>
      <c r="G883" t="s">
        <v>1616</v>
      </c>
      <c r="H883" t="s">
        <v>1617</v>
      </c>
      <c r="I883" t="s">
        <v>1618</v>
      </c>
      <c r="J883" t="s">
        <v>2794</v>
      </c>
      <c r="K883">
        <v>7.5644681299999998</v>
      </c>
      <c r="L883">
        <v>82.059350274240003</v>
      </c>
      <c r="M883" s="1">
        <v>3</v>
      </c>
      <c r="N883">
        <v>0</v>
      </c>
      <c r="O883">
        <v>0</v>
      </c>
      <c r="P883">
        <v>10.848000000000001</v>
      </c>
      <c r="Q883" s="1">
        <v>10.848000000000001</v>
      </c>
      <c r="R883">
        <v>20</v>
      </c>
      <c r="S883" s="2">
        <v>46163</v>
      </c>
      <c r="T883" s="2">
        <v>46235</v>
      </c>
      <c r="U883">
        <v>0</v>
      </c>
      <c r="V883">
        <v>3.1760000000000002</v>
      </c>
      <c r="W883">
        <v>10.888</v>
      </c>
      <c r="X883">
        <v>10.886999999999999</v>
      </c>
      <c r="Y883">
        <v>0</v>
      </c>
      <c r="Z883" s="8">
        <v>10.888</v>
      </c>
      <c r="AA883">
        <v>6.2377500000000001</v>
      </c>
      <c r="AB883">
        <v>0</v>
      </c>
      <c r="AC883">
        <v>1.7455011823173419</v>
      </c>
      <c r="AD883" s="1">
        <v>29</v>
      </c>
      <c r="AE883" s="2">
        <v>46277</v>
      </c>
      <c r="AF883" s="2">
        <v>46285</v>
      </c>
      <c r="AG883" s="2">
        <v>46292</v>
      </c>
      <c r="AH883">
        <v>5.4429999999999996</v>
      </c>
      <c r="AI883" s="3">
        <v>0.5171463680356736</v>
      </c>
      <c r="AJ883" s="1">
        <v>57</v>
      </c>
      <c r="AK883" s="2">
        <v>46320</v>
      </c>
      <c r="AL883" s="4">
        <v>30</v>
      </c>
      <c r="AM883" s="5">
        <v>15</v>
      </c>
      <c r="AN883" s="4">
        <v>29</v>
      </c>
      <c r="AO883">
        <v>5.6306896551724144</v>
      </c>
      <c r="AP883" s="4">
        <v>1</v>
      </c>
      <c r="AQ883" t="s">
        <v>1619</v>
      </c>
      <c r="AR883" t="s">
        <v>1620</v>
      </c>
      <c r="AT883" s="16">
        <f>_xlfn.XLOOKUP(B883,'SWiSH Demand Forecast Sep-26'!D:D,'SWiSH Demand Forecast Sep-26'!G:G,"Not Exist")</f>
        <v>3.0604436229205101</v>
      </c>
    </row>
    <row r="884" spans="1:46" hidden="1" x14ac:dyDescent="0.3">
      <c r="A884">
        <v>103700029</v>
      </c>
      <c r="B884" t="s">
        <v>1556</v>
      </c>
      <c r="C884" t="s">
        <v>136</v>
      </c>
      <c r="D884" t="s">
        <v>1613</v>
      </c>
      <c r="E884" t="s">
        <v>1732</v>
      </c>
      <c r="F884" t="s">
        <v>1615</v>
      </c>
      <c r="G884" t="s">
        <v>1616</v>
      </c>
      <c r="H884" t="s">
        <v>1617</v>
      </c>
      <c r="I884" t="s">
        <v>1618</v>
      </c>
      <c r="J884" t="s">
        <v>2795</v>
      </c>
      <c r="K884">
        <v>2.7515491700000001</v>
      </c>
      <c r="L884">
        <v>21.924343786560001</v>
      </c>
      <c r="M884" s="1">
        <v>3</v>
      </c>
      <c r="N884">
        <v>0</v>
      </c>
      <c r="O884">
        <v>0</v>
      </c>
      <c r="P884">
        <v>7.968</v>
      </c>
      <c r="Q884" s="1">
        <v>7.968</v>
      </c>
      <c r="R884">
        <v>1.32</v>
      </c>
      <c r="S884" s="2">
        <v>46200</v>
      </c>
      <c r="T884" s="2">
        <v>46257</v>
      </c>
      <c r="U884">
        <v>8.16</v>
      </c>
      <c r="V884">
        <v>4.8</v>
      </c>
      <c r="W884">
        <v>4.8</v>
      </c>
      <c r="X884">
        <v>7.68</v>
      </c>
      <c r="Y884">
        <v>4.8</v>
      </c>
      <c r="Z884" s="8">
        <v>8.16</v>
      </c>
      <c r="AA884">
        <v>6.36</v>
      </c>
      <c r="AB884">
        <v>0.75471698113207542</v>
      </c>
      <c r="AC884">
        <v>1.2830188679245282</v>
      </c>
      <c r="AD884" s="1">
        <v>29</v>
      </c>
      <c r="AE884" s="2">
        <v>46277</v>
      </c>
      <c r="AF884" s="2">
        <v>46285</v>
      </c>
      <c r="AG884" s="2">
        <v>46292</v>
      </c>
      <c r="AH884">
        <v>2.4</v>
      </c>
      <c r="AI884" s="3">
        <v>0.30425963488843816</v>
      </c>
      <c r="AJ884" s="1">
        <v>96</v>
      </c>
      <c r="AK884" s="2">
        <v>46359</v>
      </c>
      <c r="AL884" s="4">
        <v>30</v>
      </c>
      <c r="AM884" s="5">
        <v>15</v>
      </c>
      <c r="AN884" s="4">
        <v>29</v>
      </c>
      <c r="AO884">
        <v>2.4827586206896552</v>
      </c>
      <c r="AP884" s="4">
        <v>1</v>
      </c>
      <c r="AQ884" t="s">
        <v>1619</v>
      </c>
      <c r="AR884" t="s">
        <v>1620</v>
      </c>
      <c r="AT884" s="16">
        <f>_xlfn.XLOOKUP(B884,'SWiSH Demand Forecast Sep-26'!D:D,'SWiSH Demand Forecast Sep-26'!G:G,"Not Exist")</f>
        <v>0.25875238095238001</v>
      </c>
    </row>
    <row r="885" spans="1:46" hidden="1" x14ac:dyDescent="0.3">
      <c r="A885">
        <v>106200107</v>
      </c>
      <c r="B885" t="s">
        <v>1036</v>
      </c>
      <c r="C885" t="s">
        <v>136</v>
      </c>
      <c r="D885" t="s">
        <v>1613</v>
      </c>
      <c r="E885" t="s">
        <v>1677</v>
      </c>
      <c r="F885" t="s">
        <v>1671</v>
      </c>
      <c r="G885" t="s">
        <v>1616</v>
      </c>
      <c r="H885" t="s">
        <v>1672</v>
      </c>
      <c r="I885" t="s">
        <v>1618</v>
      </c>
      <c r="J885" t="s">
        <v>136</v>
      </c>
      <c r="K885">
        <v>0.52273298000000001</v>
      </c>
      <c r="L885">
        <v>462.30504751199999</v>
      </c>
      <c r="M885" s="1">
        <v>3</v>
      </c>
      <c r="N885">
        <v>0</v>
      </c>
      <c r="O885">
        <v>0</v>
      </c>
      <c r="P885">
        <v>884.4</v>
      </c>
      <c r="Q885" s="1">
        <v>884.4</v>
      </c>
      <c r="R885">
        <v>7</v>
      </c>
      <c r="S885" s="2">
        <v>46135</v>
      </c>
      <c r="T885" s="2">
        <v>46262</v>
      </c>
      <c r="U885">
        <v>607.1999999999997</v>
      </c>
      <c r="V885">
        <v>593.99999999999989</v>
      </c>
      <c r="W885">
        <v>567.5999999999998</v>
      </c>
      <c r="X885">
        <v>910.80000000000007</v>
      </c>
      <c r="Y885">
        <v>567.5999999999998</v>
      </c>
      <c r="Z885" s="8">
        <v>910.80000000000007</v>
      </c>
      <c r="AA885">
        <v>669.89999999999986</v>
      </c>
      <c r="AB885">
        <v>0.84729064039408852</v>
      </c>
      <c r="AC885">
        <v>1.3596059113300496</v>
      </c>
      <c r="AD885" s="1">
        <v>29</v>
      </c>
      <c r="AE885" s="2">
        <v>46277</v>
      </c>
      <c r="AF885" s="2">
        <v>46285</v>
      </c>
      <c r="AG885" s="2">
        <v>46292</v>
      </c>
      <c r="AH885">
        <v>52.8</v>
      </c>
      <c r="AI885" s="3">
        <v>5.9970014992503741E-2</v>
      </c>
      <c r="AJ885" s="1">
        <v>485</v>
      </c>
      <c r="AK885" s="2">
        <v>46748</v>
      </c>
      <c r="AL885" s="4">
        <v>30</v>
      </c>
      <c r="AM885" s="5">
        <v>15</v>
      </c>
      <c r="AN885" s="4">
        <v>29</v>
      </c>
      <c r="AO885">
        <v>54.620689655172413</v>
      </c>
      <c r="AP885" s="4">
        <v>1</v>
      </c>
      <c r="AQ885" t="s">
        <v>1619</v>
      </c>
      <c r="AR885" t="s">
        <v>1620</v>
      </c>
      <c r="AT885" s="16">
        <f>_xlfn.XLOOKUP(B885,'SWiSH Demand Forecast Sep-26'!D:D,'SWiSH Demand Forecast Sep-26'!G:G,"Not Exist")</f>
        <v>131.53154801310001</v>
      </c>
    </row>
    <row r="886" spans="1:46" hidden="1" x14ac:dyDescent="0.3">
      <c r="A886">
        <v>106600133</v>
      </c>
      <c r="B886" t="s">
        <v>56</v>
      </c>
      <c r="C886" t="s">
        <v>10</v>
      </c>
      <c r="D886" t="s">
        <v>1613</v>
      </c>
      <c r="E886" t="s">
        <v>1701</v>
      </c>
      <c r="F886" t="s">
        <v>1664</v>
      </c>
      <c r="G886" t="s">
        <v>1624</v>
      </c>
      <c r="H886" t="s">
        <v>1723</v>
      </c>
      <c r="I886" t="s">
        <v>1634</v>
      </c>
      <c r="J886" t="s">
        <v>10</v>
      </c>
      <c r="K886">
        <v>7.0000000000000001E-3</v>
      </c>
      <c r="L886">
        <v>441</v>
      </c>
      <c r="M886" s="1">
        <v>30</v>
      </c>
      <c r="N886">
        <v>0</v>
      </c>
      <c r="O886">
        <v>2000</v>
      </c>
      <c r="P886">
        <v>63000</v>
      </c>
      <c r="Q886" s="1">
        <v>61000</v>
      </c>
      <c r="R886">
        <v>7.0000000000000001E-3</v>
      </c>
      <c r="S886" s="2">
        <v>46245</v>
      </c>
      <c r="T886" s="2">
        <v>46263</v>
      </c>
      <c r="U886">
        <v>53000</v>
      </c>
      <c r="V886">
        <v>63000</v>
      </c>
      <c r="W886">
        <v>44001</v>
      </c>
      <c r="X886">
        <v>50000</v>
      </c>
      <c r="Y886">
        <v>44001</v>
      </c>
      <c r="Z886" s="8">
        <v>63000</v>
      </c>
      <c r="AA886">
        <v>52500.25</v>
      </c>
      <c r="AB886">
        <v>0.83811029471288234</v>
      </c>
      <c r="AC886">
        <v>1.1999942857414965</v>
      </c>
      <c r="AD886" s="1">
        <v>29</v>
      </c>
      <c r="AE886" s="2">
        <v>46277</v>
      </c>
      <c r="AF886" s="2">
        <v>46285</v>
      </c>
      <c r="AG886" s="2">
        <v>46292</v>
      </c>
      <c r="AH886">
        <v>50999</v>
      </c>
      <c r="AI886" s="3">
        <v>0.83742200328407224</v>
      </c>
      <c r="AJ886" s="1">
        <v>34</v>
      </c>
      <c r="AK886" s="2">
        <v>46297</v>
      </c>
      <c r="AL886" s="4">
        <v>30</v>
      </c>
      <c r="AM886" s="5">
        <v>15</v>
      </c>
      <c r="AN886" s="4">
        <v>29</v>
      </c>
      <c r="AO886">
        <v>52757.586206896551</v>
      </c>
      <c r="AP886" s="4">
        <v>1</v>
      </c>
      <c r="AQ886">
        <v>287000</v>
      </c>
      <c r="AR886" t="s">
        <v>2032</v>
      </c>
      <c r="AT886" s="16">
        <f>_xlfn.XLOOKUP(B886,'SWiSH Demand Forecast Sep-26'!D:D,'SWiSH Demand Forecast Sep-26'!G:G,"Not Exist")</f>
        <v>43170</v>
      </c>
    </row>
    <row r="887" spans="1:46" hidden="1" x14ac:dyDescent="0.3">
      <c r="A887">
        <v>100700037</v>
      </c>
      <c r="B887" t="s">
        <v>991</v>
      </c>
      <c r="C887" t="s">
        <v>136</v>
      </c>
      <c r="D887" t="s">
        <v>1613</v>
      </c>
      <c r="E887" t="s">
        <v>2796</v>
      </c>
      <c r="F887" t="s">
        <v>1875</v>
      </c>
      <c r="G887" t="s">
        <v>1616</v>
      </c>
      <c r="H887" t="s">
        <v>1867</v>
      </c>
      <c r="I887" t="s">
        <v>1618</v>
      </c>
      <c r="J887" t="s">
        <v>2797</v>
      </c>
      <c r="K887">
        <v>0.65653044999999999</v>
      </c>
      <c r="L887">
        <v>722.44610718000001</v>
      </c>
      <c r="M887" s="1">
        <v>3</v>
      </c>
      <c r="N887">
        <v>0</v>
      </c>
      <c r="O887">
        <v>46.20000000000001</v>
      </c>
      <c r="P887">
        <v>1100.4000000000001</v>
      </c>
      <c r="Q887" s="1">
        <v>1054.2</v>
      </c>
      <c r="R887">
        <v>11</v>
      </c>
      <c r="S887" s="2">
        <v>46261</v>
      </c>
      <c r="T887" s="2">
        <v>46263</v>
      </c>
      <c r="U887">
        <v>389.65000000000049</v>
      </c>
      <c r="V887">
        <v>818.92000000000144</v>
      </c>
      <c r="W887">
        <v>1008.0000000000027</v>
      </c>
      <c r="X887">
        <v>1075.2000000000025</v>
      </c>
      <c r="Y887">
        <v>389.65000000000049</v>
      </c>
      <c r="Z887" s="8">
        <v>1075.2000000000025</v>
      </c>
      <c r="AA887">
        <v>822.94250000000181</v>
      </c>
      <c r="AB887">
        <v>0.47348387037976486</v>
      </c>
      <c r="AC887">
        <v>1.306531136744062</v>
      </c>
      <c r="AD887" s="1">
        <v>29</v>
      </c>
      <c r="AE887" s="2">
        <v>46277</v>
      </c>
      <c r="AF887" s="2">
        <v>46285</v>
      </c>
      <c r="AG887" s="2">
        <v>46292</v>
      </c>
      <c r="AH887">
        <v>991.20000000000232</v>
      </c>
      <c r="AI887" s="3">
        <v>0.95366379310344818</v>
      </c>
      <c r="AJ887" s="1">
        <v>30</v>
      </c>
      <c r="AK887" s="2">
        <v>46293</v>
      </c>
      <c r="AL887" s="4">
        <v>30</v>
      </c>
      <c r="AM887" s="5">
        <v>15</v>
      </c>
      <c r="AN887" s="4">
        <v>29</v>
      </c>
      <c r="AO887">
        <v>1025.3793103448299</v>
      </c>
      <c r="AP887" s="4">
        <v>1</v>
      </c>
      <c r="AQ887" t="s">
        <v>1619</v>
      </c>
      <c r="AR887" t="s">
        <v>1620</v>
      </c>
      <c r="AT887" s="16">
        <f>_xlfn.XLOOKUP(B887,'SWiSH Demand Forecast Sep-26'!D:D,'SWiSH Demand Forecast Sep-26'!G:G,"Not Exist")</f>
        <v>155.98299999999901</v>
      </c>
    </row>
    <row r="888" spans="1:46" x14ac:dyDescent="0.3">
      <c r="A888">
        <v>106700067</v>
      </c>
      <c r="B888" t="s">
        <v>2798</v>
      </c>
      <c r="C888" t="s">
        <v>10</v>
      </c>
      <c r="D888" t="s">
        <v>1613</v>
      </c>
      <c r="E888" t="s">
        <v>2799</v>
      </c>
      <c r="F888" t="s">
        <v>1650</v>
      </c>
      <c r="G888" t="s">
        <v>1624</v>
      </c>
      <c r="H888" t="s">
        <v>1651</v>
      </c>
      <c r="I888" t="s">
        <v>1634</v>
      </c>
      <c r="J888" t="s">
        <v>10</v>
      </c>
      <c r="K888">
        <v>0.12499999000000001</v>
      </c>
      <c r="L888">
        <v>176.74998586000001</v>
      </c>
      <c r="M888" s="1">
        <v>3</v>
      </c>
      <c r="N888">
        <v>0</v>
      </c>
      <c r="O888">
        <v>0</v>
      </c>
      <c r="P888">
        <v>1414</v>
      </c>
      <c r="Q888" s="1">
        <v>1414</v>
      </c>
      <c r="R888">
        <v>1.25</v>
      </c>
      <c r="S888" s="2">
        <v>46263</v>
      </c>
      <c r="T888" s="2">
        <v>46263</v>
      </c>
      <c r="U888">
        <v>1236</v>
      </c>
      <c r="V888">
        <v>1374</v>
      </c>
      <c r="W888">
        <v>1194</v>
      </c>
      <c r="X888">
        <v>1007</v>
      </c>
      <c r="Y888">
        <v>1007</v>
      </c>
      <c r="Z888" s="8">
        <v>1374</v>
      </c>
      <c r="AA888">
        <v>1202.75</v>
      </c>
      <c r="AB888">
        <v>0.83724797339430468</v>
      </c>
      <c r="AC888">
        <v>1.1423820411556849</v>
      </c>
      <c r="AD888" s="1">
        <v>30</v>
      </c>
      <c r="AE888" s="2">
        <v>46278</v>
      </c>
      <c r="AF888" s="2">
        <v>46286</v>
      </c>
      <c r="AG888" s="2">
        <v>46293</v>
      </c>
      <c r="AH888">
        <v>960</v>
      </c>
      <c r="AI888" s="3">
        <v>0.72278271344677003</v>
      </c>
      <c r="AJ888" s="1">
        <v>42</v>
      </c>
      <c r="AK888" s="2">
        <v>46305</v>
      </c>
      <c r="AL888" s="4">
        <v>30</v>
      </c>
      <c r="AM888" s="5">
        <v>15</v>
      </c>
      <c r="AN888" s="4">
        <v>30</v>
      </c>
      <c r="AO888">
        <v>993.10344827586198</v>
      </c>
      <c r="AP888" s="4">
        <v>1</v>
      </c>
      <c r="AQ888">
        <v>100</v>
      </c>
      <c r="AR888" t="s">
        <v>2598</v>
      </c>
      <c r="AT888" s="16" t="str">
        <f>_xlfn.XLOOKUP(B888,'SWiSH Demand Forecast Sep-26'!D:D,'SWiSH Demand Forecast Sep-26'!G:G,"Not Exist")</f>
        <v>Not Exist</v>
      </c>
    </row>
    <row r="889" spans="1:46" x14ac:dyDescent="0.3">
      <c r="A889">
        <v>100100090</v>
      </c>
      <c r="B889" t="s">
        <v>2800</v>
      </c>
      <c r="C889" t="s">
        <v>136</v>
      </c>
      <c r="D889" t="s">
        <v>1613</v>
      </c>
      <c r="E889" t="s">
        <v>1832</v>
      </c>
      <c r="F889" t="s">
        <v>1840</v>
      </c>
      <c r="G889" t="s">
        <v>1616</v>
      </c>
      <c r="H889" t="s">
        <v>1877</v>
      </c>
      <c r="I889" t="s">
        <v>1618</v>
      </c>
      <c r="J889" t="s">
        <v>2384</v>
      </c>
      <c r="K889">
        <v>3</v>
      </c>
      <c r="L889">
        <v>12</v>
      </c>
      <c r="M889" s="1">
        <v>3</v>
      </c>
      <c r="N889">
        <v>0</v>
      </c>
      <c r="O889">
        <v>0</v>
      </c>
      <c r="P889">
        <v>4</v>
      </c>
      <c r="Q889" s="1">
        <v>4</v>
      </c>
      <c r="R889">
        <v>18</v>
      </c>
      <c r="S889" s="2">
        <v>46228</v>
      </c>
      <c r="T889" s="2">
        <v>46260</v>
      </c>
      <c r="U889">
        <v>0</v>
      </c>
      <c r="V889">
        <v>0</v>
      </c>
      <c r="W889">
        <v>4</v>
      </c>
      <c r="X889">
        <v>4</v>
      </c>
      <c r="Y889">
        <v>0</v>
      </c>
      <c r="Z889" s="8">
        <v>4</v>
      </c>
      <c r="AA889">
        <v>2</v>
      </c>
      <c r="AB889">
        <v>0</v>
      </c>
      <c r="AC889">
        <v>2</v>
      </c>
      <c r="AD889" s="1">
        <v>30</v>
      </c>
      <c r="AE889" s="2">
        <v>46278</v>
      </c>
      <c r="AF889" s="2">
        <v>46286</v>
      </c>
      <c r="AG889" s="2">
        <v>46293</v>
      </c>
      <c r="AH889">
        <v>2</v>
      </c>
      <c r="AI889" s="3">
        <v>0.51724137931034486</v>
      </c>
      <c r="AJ889" s="1">
        <v>58</v>
      </c>
      <c r="AK889" s="2">
        <v>46321</v>
      </c>
      <c r="AL889" s="4">
        <v>30</v>
      </c>
      <c r="AM889" s="5">
        <v>15</v>
      </c>
      <c r="AN889" s="4">
        <v>30</v>
      </c>
      <c r="AO889">
        <v>2.0689655172413794</v>
      </c>
      <c r="AP889" s="4">
        <v>1</v>
      </c>
      <c r="AQ889" t="s">
        <v>1619</v>
      </c>
      <c r="AR889" t="s">
        <v>1620</v>
      </c>
      <c r="AT889" s="16" t="str">
        <f>_xlfn.XLOOKUP(B889,'SWiSH Demand Forecast Sep-26'!D:D,'SWiSH Demand Forecast Sep-26'!G:G,"Not Exist")</f>
        <v>Not Exist</v>
      </c>
    </row>
    <row r="890" spans="1:46" x14ac:dyDescent="0.3">
      <c r="A890">
        <v>101100013</v>
      </c>
      <c r="B890" t="s">
        <v>2801</v>
      </c>
      <c r="C890" t="s">
        <v>10</v>
      </c>
      <c r="D890" t="s">
        <v>1613</v>
      </c>
      <c r="E890" t="s">
        <v>2802</v>
      </c>
      <c r="F890" t="s">
        <v>1650</v>
      </c>
      <c r="G890" t="s">
        <v>1624</v>
      </c>
      <c r="H890" t="s">
        <v>1953</v>
      </c>
      <c r="I890" t="s">
        <v>1634</v>
      </c>
      <c r="J890" t="s">
        <v>10</v>
      </c>
      <c r="K890">
        <v>26</v>
      </c>
      <c r="L890">
        <v>208</v>
      </c>
      <c r="M890" s="1">
        <v>3</v>
      </c>
      <c r="N890">
        <v>0</v>
      </c>
      <c r="O890">
        <v>2</v>
      </c>
      <c r="P890">
        <v>8</v>
      </c>
      <c r="Q890" s="1">
        <v>6</v>
      </c>
      <c r="R890">
        <v>26</v>
      </c>
      <c r="S890" s="2">
        <v>46259</v>
      </c>
      <c r="T890" s="2">
        <v>46243</v>
      </c>
      <c r="U890">
        <v>6</v>
      </c>
      <c r="V890">
        <v>3</v>
      </c>
      <c r="W890">
        <v>2</v>
      </c>
      <c r="X890">
        <v>4</v>
      </c>
      <c r="Y890">
        <v>2</v>
      </c>
      <c r="Z890" s="8">
        <v>6</v>
      </c>
      <c r="AA890">
        <v>3.75</v>
      </c>
      <c r="AB890">
        <v>0.53333333333333333</v>
      </c>
      <c r="AC890">
        <v>1.6</v>
      </c>
      <c r="AD890" s="1">
        <v>30</v>
      </c>
      <c r="AE890" s="2">
        <v>46278</v>
      </c>
      <c r="AF890" s="2">
        <v>46286</v>
      </c>
      <c r="AG890" s="2">
        <v>46293</v>
      </c>
      <c r="AH890">
        <v>0</v>
      </c>
      <c r="AI890" s="3">
        <v>0</v>
      </c>
      <c r="AJ890" s="1" t="s">
        <v>1635</v>
      </c>
      <c r="AK890" s="2" t="s">
        <v>1635</v>
      </c>
      <c r="AL890" s="4">
        <v>30</v>
      </c>
      <c r="AM890" s="5">
        <v>15</v>
      </c>
      <c r="AN890" s="4">
        <v>30</v>
      </c>
      <c r="AO890">
        <v>0</v>
      </c>
      <c r="AP890" s="4">
        <v>1</v>
      </c>
      <c r="AQ890" t="s">
        <v>1619</v>
      </c>
      <c r="AR890" t="s">
        <v>1620</v>
      </c>
      <c r="AT890" s="16" t="str">
        <f>_xlfn.XLOOKUP(B890,'SWiSH Demand Forecast Sep-26'!D:D,'SWiSH Demand Forecast Sep-26'!G:G,"Not Exist")</f>
        <v>Not Exist</v>
      </c>
    </row>
    <row r="891" spans="1:46" x14ac:dyDescent="0.3">
      <c r="A891">
        <v>101400006</v>
      </c>
      <c r="B891" t="s">
        <v>2803</v>
      </c>
      <c r="C891" t="s">
        <v>240</v>
      </c>
      <c r="D891" t="s">
        <v>1613</v>
      </c>
      <c r="E891" t="s">
        <v>2154</v>
      </c>
      <c r="F891" t="s">
        <v>1644</v>
      </c>
      <c r="G891" t="s">
        <v>1616</v>
      </c>
      <c r="H891" t="s">
        <v>1693</v>
      </c>
      <c r="I891" t="s">
        <v>1634</v>
      </c>
      <c r="J891" t="s">
        <v>2525</v>
      </c>
      <c r="K891">
        <v>25</v>
      </c>
      <c r="L891">
        <v>275</v>
      </c>
      <c r="M891" s="1">
        <v>3</v>
      </c>
      <c r="N891">
        <v>0</v>
      </c>
      <c r="O891">
        <v>0</v>
      </c>
      <c r="P891">
        <v>11</v>
      </c>
      <c r="Q891" s="1">
        <v>11</v>
      </c>
      <c r="R891">
        <v>25</v>
      </c>
      <c r="S891" s="2">
        <v>46257</v>
      </c>
      <c r="T891" s="2">
        <v>46231</v>
      </c>
      <c r="U891">
        <v>11</v>
      </c>
      <c r="V891">
        <v>3</v>
      </c>
      <c r="W891">
        <v>7</v>
      </c>
      <c r="X891">
        <v>9</v>
      </c>
      <c r="Y891">
        <v>3</v>
      </c>
      <c r="Z891" s="8">
        <v>11</v>
      </c>
      <c r="AA891">
        <v>7.5</v>
      </c>
      <c r="AB891">
        <v>0.4</v>
      </c>
      <c r="AC891">
        <v>1.4666666666666666</v>
      </c>
      <c r="AD891" s="1">
        <v>30</v>
      </c>
      <c r="AE891" s="2">
        <v>46278</v>
      </c>
      <c r="AF891" s="2">
        <v>46286</v>
      </c>
      <c r="AG891" s="2">
        <v>46293</v>
      </c>
      <c r="AH891">
        <v>0</v>
      </c>
      <c r="AI891" s="3">
        <v>0</v>
      </c>
      <c r="AJ891" s="1" t="s">
        <v>1635</v>
      </c>
      <c r="AK891" s="2" t="s">
        <v>1635</v>
      </c>
      <c r="AL891" s="4">
        <v>30</v>
      </c>
      <c r="AM891" s="5">
        <v>15</v>
      </c>
      <c r="AN891" s="4">
        <v>30</v>
      </c>
      <c r="AO891">
        <v>0</v>
      </c>
      <c r="AP891" s="4">
        <v>1</v>
      </c>
      <c r="AQ891">
        <v>20</v>
      </c>
      <c r="AR891" t="s">
        <v>2804</v>
      </c>
      <c r="AT891" s="16" t="str">
        <f>_xlfn.XLOOKUP(B891,'SWiSH Demand Forecast Sep-26'!D:D,'SWiSH Demand Forecast Sep-26'!G:G,"Not Exist")</f>
        <v>Not Exist</v>
      </c>
    </row>
    <row r="892" spans="1:46" hidden="1" x14ac:dyDescent="0.3">
      <c r="A892">
        <v>104000016</v>
      </c>
      <c r="B892" t="s">
        <v>1087</v>
      </c>
      <c r="C892" t="s">
        <v>10</v>
      </c>
      <c r="D892" t="s">
        <v>1613</v>
      </c>
      <c r="E892" t="s">
        <v>1926</v>
      </c>
      <c r="F892" t="s">
        <v>1639</v>
      </c>
      <c r="G892" t="s">
        <v>1616</v>
      </c>
      <c r="H892" t="s">
        <v>1850</v>
      </c>
      <c r="I892" t="s">
        <v>1618</v>
      </c>
      <c r="J892" t="s">
        <v>2579</v>
      </c>
      <c r="K892">
        <v>0.1</v>
      </c>
      <c r="L892">
        <v>10.8</v>
      </c>
      <c r="M892" s="1">
        <v>3</v>
      </c>
      <c r="N892">
        <v>0</v>
      </c>
      <c r="O892">
        <v>0</v>
      </c>
      <c r="P892">
        <v>108</v>
      </c>
      <c r="Q892" s="1">
        <v>108</v>
      </c>
      <c r="R892">
        <v>1.8</v>
      </c>
      <c r="S892" s="2">
        <v>46253</v>
      </c>
      <c r="T892" s="2">
        <v>46240</v>
      </c>
      <c r="U892">
        <v>90</v>
      </c>
      <c r="V892">
        <v>18</v>
      </c>
      <c r="W892">
        <v>108</v>
      </c>
      <c r="X892">
        <v>72</v>
      </c>
      <c r="Y892">
        <v>18</v>
      </c>
      <c r="Z892" s="8">
        <v>108</v>
      </c>
      <c r="AA892">
        <v>72</v>
      </c>
      <c r="AB892">
        <v>0.25</v>
      </c>
      <c r="AC892">
        <v>1.5</v>
      </c>
      <c r="AD892" s="1">
        <v>30</v>
      </c>
      <c r="AE892" s="2">
        <v>46278</v>
      </c>
      <c r="AF892" s="2">
        <v>46286</v>
      </c>
      <c r="AG892" s="2">
        <v>46293</v>
      </c>
      <c r="AH892">
        <v>36</v>
      </c>
      <c r="AI892" s="3">
        <v>0.34482758620689652</v>
      </c>
      <c r="AJ892" s="1">
        <v>87</v>
      </c>
      <c r="AK892" s="2">
        <v>46350</v>
      </c>
      <c r="AL892" s="4">
        <v>30</v>
      </c>
      <c r="AM892" s="5">
        <v>15</v>
      </c>
      <c r="AN892" s="4">
        <v>30</v>
      </c>
      <c r="AO892">
        <v>37.241379310344826</v>
      </c>
      <c r="AP892" s="4">
        <v>1</v>
      </c>
      <c r="AQ892" t="s">
        <v>1619</v>
      </c>
      <c r="AR892" t="s">
        <v>1620</v>
      </c>
      <c r="AT892" s="16">
        <f>_xlfn.XLOOKUP(B892,'SWiSH Demand Forecast Sep-26'!D:D,'SWiSH Demand Forecast Sep-26'!G:G,"Not Exist")</f>
        <v>110</v>
      </c>
    </row>
    <row r="893" spans="1:46" x14ac:dyDescent="0.3">
      <c r="A893">
        <v>103200004</v>
      </c>
      <c r="B893" t="s">
        <v>2805</v>
      </c>
      <c r="C893" t="s">
        <v>136</v>
      </c>
      <c r="D893" t="s">
        <v>1629</v>
      </c>
      <c r="E893" t="s">
        <v>1663</v>
      </c>
      <c r="F893" t="s">
        <v>1752</v>
      </c>
      <c r="G893" t="s">
        <v>1616</v>
      </c>
      <c r="H893" t="s">
        <v>1753</v>
      </c>
      <c r="I893" t="s">
        <v>1754</v>
      </c>
      <c r="J893" t="s">
        <v>2806</v>
      </c>
      <c r="K893">
        <v>0.66562500000000002</v>
      </c>
      <c r="L893">
        <v>21.3</v>
      </c>
      <c r="M893" s="1">
        <v>3</v>
      </c>
      <c r="N893">
        <v>0</v>
      </c>
      <c r="O893">
        <v>0</v>
      </c>
      <c r="P893">
        <v>32</v>
      </c>
      <c r="Q893" s="1">
        <v>32</v>
      </c>
      <c r="R893">
        <v>10.65</v>
      </c>
      <c r="S893" s="2">
        <v>45987</v>
      </c>
      <c r="T893" s="2">
        <v>46241</v>
      </c>
      <c r="U893">
        <v>0</v>
      </c>
      <c r="V893">
        <v>16</v>
      </c>
      <c r="W893">
        <v>32</v>
      </c>
      <c r="X893">
        <v>0</v>
      </c>
      <c r="Y893">
        <v>0</v>
      </c>
      <c r="Z893" s="8">
        <v>32</v>
      </c>
      <c r="AA893">
        <v>12</v>
      </c>
      <c r="AB893">
        <v>0</v>
      </c>
      <c r="AC893">
        <v>2.6666666666666665</v>
      </c>
      <c r="AD893" s="1">
        <v>30</v>
      </c>
      <c r="AE893" s="2">
        <v>46278</v>
      </c>
      <c r="AF893" s="2">
        <v>46286</v>
      </c>
      <c r="AG893" s="2">
        <v>46293</v>
      </c>
      <c r="AH893">
        <v>16</v>
      </c>
      <c r="AI893" s="3">
        <v>0.51724137931034486</v>
      </c>
      <c r="AJ893" s="1">
        <v>58</v>
      </c>
      <c r="AK893" s="2">
        <v>46321</v>
      </c>
      <c r="AL893" s="4" t="s">
        <v>1636</v>
      </c>
      <c r="AM893" s="5" t="s">
        <v>1636</v>
      </c>
      <c r="AN893" s="4">
        <v>30</v>
      </c>
      <c r="AO893" t="s">
        <v>1635</v>
      </c>
      <c r="AP893" s="4" t="s">
        <v>1636</v>
      </c>
      <c r="AQ893" t="s">
        <v>1619</v>
      </c>
      <c r="AR893" t="s">
        <v>1620</v>
      </c>
      <c r="AT893" s="16" t="str">
        <f>_xlfn.XLOOKUP(B893,'SWiSH Demand Forecast Sep-26'!D:D,'SWiSH Demand Forecast Sep-26'!G:G,"Not Exist")</f>
        <v>Not Exist</v>
      </c>
    </row>
    <row r="894" spans="1:46" hidden="1" x14ac:dyDescent="0.3">
      <c r="A894">
        <v>103700044</v>
      </c>
      <c r="B894" t="s">
        <v>1545</v>
      </c>
      <c r="C894" t="s">
        <v>136</v>
      </c>
      <c r="D894" t="s">
        <v>1613</v>
      </c>
      <c r="E894" t="s">
        <v>2351</v>
      </c>
      <c r="F894" t="s">
        <v>1615</v>
      </c>
      <c r="G894" t="s">
        <v>1616</v>
      </c>
      <c r="H894" t="s">
        <v>1617</v>
      </c>
      <c r="I894" t="s">
        <v>1618</v>
      </c>
      <c r="J894" t="s">
        <v>2807</v>
      </c>
      <c r="K894">
        <v>15.91230086</v>
      </c>
      <c r="L894">
        <v>29.119510573800003</v>
      </c>
      <c r="M894" s="1">
        <v>3</v>
      </c>
      <c r="N894">
        <v>0</v>
      </c>
      <c r="O894">
        <v>0</v>
      </c>
      <c r="P894">
        <v>1.83</v>
      </c>
      <c r="Q894" s="1">
        <v>1.83</v>
      </c>
      <c r="R894">
        <v>0.495</v>
      </c>
      <c r="S894" s="2">
        <v>46217</v>
      </c>
      <c r="T894" s="2">
        <v>46249</v>
      </c>
      <c r="U894">
        <v>0</v>
      </c>
      <c r="V894">
        <v>0</v>
      </c>
      <c r="W894">
        <v>1.8</v>
      </c>
      <c r="X894">
        <v>0</v>
      </c>
      <c r="Y894">
        <v>0</v>
      </c>
      <c r="Z894" s="8">
        <v>1.8</v>
      </c>
      <c r="AA894">
        <v>0.45</v>
      </c>
      <c r="AB894">
        <v>0</v>
      </c>
      <c r="AC894">
        <v>4</v>
      </c>
      <c r="AD894" s="1">
        <v>30</v>
      </c>
      <c r="AE894" s="2">
        <v>46278</v>
      </c>
      <c r="AF894" s="2">
        <v>46286</v>
      </c>
      <c r="AG894" s="2">
        <v>46293</v>
      </c>
      <c r="AH894">
        <v>1.08</v>
      </c>
      <c r="AI894" s="3">
        <v>0.62068965517241381</v>
      </c>
      <c r="AJ894" s="1">
        <v>49</v>
      </c>
      <c r="AK894" s="2">
        <v>46312</v>
      </c>
      <c r="AL894" s="4">
        <v>30</v>
      </c>
      <c r="AM894" s="5">
        <v>15</v>
      </c>
      <c r="AN894" s="4">
        <v>30</v>
      </c>
      <c r="AO894">
        <v>1.1172413793103448</v>
      </c>
      <c r="AP894" s="4">
        <v>1</v>
      </c>
      <c r="AQ894" t="s">
        <v>1619</v>
      </c>
      <c r="AR894" t="s">
        <v>1620</v>
      </c>
      <c r="AT894" s="16">
        <f>_xlfn.XLOOKUP(B894,'SWiSH Demand Forecast Sep-26'!D:D,'SWiSH Demand Forecast Sep-26'!G:G,"Not Exist")</f>
        <v>0.70845433580947403</v>
      </c>
    </row>
    <row r="895" spans="1:46" x14ac:dyDescent="0.3">
      <c r="A895">
        <v>106200096</v>
      </c>
      <c r="B895" t="s">
        <v>2808</v>
      </c>
      <c r="C895" t="s">
        <v>240</v>
      </c>
      <c r="D895" t="s">
        <v>1613</v>
      </c>
      <c r="E895" t="s">
        <v>1663</v>
      </c>
      <c r="F895" t="s">
        <v>1671</v>
      </c>
      <c r="G895" t="s">
        <v>1616</v>
      </c>
      <c r="H895" t="s">
        <v>1672</v>
      </c>
      <c r="I895" t="s">
        <v>1618</v>
      </c>
      <c r="J895" t="s">
        <v>2809</v>
      </c>
      <c r="K895">
        <v>4.5129870099999998</v>
      </c>
      <c r="L895">
        <v>208.49999986200001</v>
      </c>
      <c r="M895" s="1">
        <v>3</v>
      </c>
      <c r="N895">
        <v>0</v>
      </c>
      <c r="O895">
        <v>0</v>
      </c>
      <c r="P895">
        <v>46.2</v>
      </c>
      <c r="Q895" s="1">
        <v>46.2</v>
      </c>
      <c r="R895">
        <v>16.5</v>
      </c>
      <c r="S895" s="2">
        <v>46246</v>
      </c>
      <c r="T895" s="2">
        <v>46234</v>
      </c>
      <c r="U895">
        <v>0</v>
      </c>
      <c r="V895">
        <v>0</v>
      </c>
      <c r="W895">
        <v>46.20000000000001</v>
      </c>
      <c r="X895">
        <v>37.800000000000004</v>
      </c>
      <c r="Y895">
        <v>0</v>
      </c>
      <c r="Z895" s="8">
        <v>46.20000000000001</v>
      </c>
      <c r="AA895">
        <v>21.000000000000004</v>
      </c>
      <c r="AB895">
        <v>0</v>
      </c>
      <c r="AC895">
        <v>2.2000000000000002</v>
      </c>
      <c r="AD895" s="1">
        <v>30</v>
      </c>
      <c r="AE895" s="2">
        <v>46278</v>
      </c>
      <c r="AF895" s="2">
        <v>46286</v>
      </c>
      <c r="AG895" s="2">
        <v>46293</v>
      </c>
      <c r="AH895">
        <v>0</v>
      </c>
      <c r="AI895" s="3">
        <v>0</v>
      </c>
      <c r="AJ895" s="1" t="s">
        <v>1635</v>
      </c>
      <c r="AK895" s="2" t="s">
        <v>1635</v>
      </c>
      <c r="AL895" s="4">
        <v>30</v>
      </c>
      <c r="AM895" s="5">
        <v>15</v>
      </c>
      <c r="AN895" s="4">
        <v>30</v>
      </c>
      <c r="AO895">
        <v>0</v>
      </c>
      <c r="AP895" s="4">
        <v>1</v>
      </c>
      <c r="AQ895" t="s">
        <v>1619</v>
      </c>
      <c r="AR895" t="s">
        <v>1620</v>
      </c>
      <c r="AT895" s="16" t="str">
        <f>_xlfn.XLOOKUP(B895,'SWiSH Demand Forecast Sep-26'!D:D,'SWiSH Demand Forecast Sep-26'!G:G,"Not Exist")</f>
        <v>Not Exist</v>
      </c>
    </row>
    <row r="896" spans="1:46" x14ac:dyDescent="0.3">
      <c r="A896">
        <v>106300065</v>
      </c>
      <c r="B896" t="s">
        <v>2810</v>
      </c>
      <c r="C896" t="s">
        <v>136</v>
      </c>
      <c r="D896" t="s">
        <v>1613</v>
      </c>
      <c r="E896" t="s">
        <v>1832</v>
      </c>
      <c r="F896" t="s">
        <v>1615</v>
      </c>
      <c r="G896" t="s">
        <v>1616</v>
      </c>
      <c r="H896" t="s">
        <v>1860</v>
      </c>
      <c r="I896" t="s">
        <v>1618</v>
      </c>
      <c r="J896" t="s">
        <v>136</v>
      </c>
      <c r="K896">
        <v>2.5</v>
      </c>
      <c r="L896">
        <v>12.5</v>
      </c>
      <c r="M896" s="1">
        <v>3</v>
      </c>
      <c r="N896">
        <v>0</v>
      </c>
      <c r="O896">
        <v>0</v>
      </c>
      <c r="P896">
        <v>5</v>
      </c>
      <c r="Q896" s="1">
        <v>5</v>
      </c>
      <c r="R896">
        <v>2.5</v>
      </c>
      <c r="S896" s="2">
        <v>46246</v>
      </c>
      <c r="T896" s="2">
        <v>46230</v>
      </c>
      <c r="U896">
        <v>0</v>
      </c>
      <c r="V896">
        <v>5</v>
      </c>
      <c r="W896">
        <v>3</v>
      </c>
      <c r="X896">
        <v>5</v>
      </c>
      <c r="Y896">
        <v>0</v>
      </c>
      <c r="Z896" s="8">
        <v>5</v>
      </c>
      <c r="AA896">
        <v>3.25</v>
      </c>
      <c r="AB896">
        <v>0</v>
      </c>
      <c r="AC896">
        <v>1.5384615384615385</v>
      </c>
      <c r="AD896" s="1">
        <v>30</v>
      </c>
      <c r="AE896" s="2">
        <v>46278</v>
      </c>
      <c r="AF896" s="2">
        <v>46286</v>
      </c>
      <c r="AG896" s="2">
        <v>46293</v>
      </c>
      <c r="AH896">
        <v>0</v>
      </c>
      <c r="AI896" s="3">
        <v>0</v>
      </c>
      <c r="AJ896" s="1" t="s">
        <v>1635</v>
      </c>
      <c r="AK896" s="2" t="s">
        <v>1635</v>
      </c>
      <c r="AL896" s="4">
        <v>30</v>
      </c>
      <c r="AM896" s="5">
        <v>15</v>
      </c>
      <c r="AN896" s="4">
        <v>30</v>
      </c>
      <c r="AO896">
        <v>0</v>
      </c>
      <c r="AP896" s="4">
        <v>1</v>
      </c>
      <c r="AQ896" t="s">
        <v>1619</v>
      </c>
      <c r="AR896" t="s">
        <v>1620</v>
      </c>
      <c r="AT896" s="16" t="str">
        <f>_xlfn.XLOOKUP(B896,'SWiSH Demand Forecast Sep-26'!D:D,'SWiSH Demand Forecast Sep-26'!G:G,"Not Exist")</f>
        <v>Not Exist</v>
      </c>
    </row>
    <row r="897" spans="1:46" hidden="1" x14ac:dyDescent="0.3">
      <c r="A897">
        <v>100100089</v>
      </c>
      <c r="B897" t="s">
        <v>1497</v>
      </c>
      <c r="C897" t="s">
        <v>136</v>
      </c>
      <c r="D897" t="s">
        <v>1613</v>
      </c>
      <c r="E897" t="s">
        <v>1732</v>
      </c>
      <c r="F897" t="s">
        <v>1941</v>
      </c>
      <c r="G897" t="s">
        <v>1616</v>
      </c>
      <c r="H897" t="s">
        <v>1877</v>
      </c>
      <c r="I897" t="s">
        <v>1618</v>
      </c>
      <c r="J897" t="s">
        <v>2781</v>
      </c>
      <c r="K897">
        <v>2.4</v>
      </c>
      <c r="L897">
        <v>48</v>
      </c>
      <c r="M897" s="1">
        <v>3</v>
      </c>
      <c r="N897">
        <v>0</v>
      </c>
      <c r="O897">
        <v>0</v>
      </c>
      <c r="P897">
        <v>20</v>
      </c>
      <c r="Q897" s="1">
        <v>20</v>
      </c>
      <c r="R897">
        <v>12</v>
      </c>
      <c r="S897" s="2">
        <v>46244</v>
      </c>
      <c r="T897" s="2">
        <v>46252</v>
      </c>
      <c r="U897">
        <v>0</v>
      </c>
      <c r="V897">
        <v>0</v>
      </c>
      <c r="W897">
        <v>10</v>
      </c>
      <c r="X897">
        <v>20</v>
      </c>
      <c r="Y897">
        <v>0</v>
      </c>
      <c r="Z897" s="8">
        <v>20</v>
      </c>
      <c r="AA897">
        <v>7.5</v>
      </c>
      <c r="AB897">
        <v>0</v>
      </c>
      <c r="AC897">
        <v>2.6666666666666665</v>
      </c>
      <c r="AD897" s="1">
        <v>30</v>
      </c>
      <c r="AE897" s="2">
        <v>46278</v>
      </c>
      <c r="AF897" s="2">
        <v>46286</v>
      </c>
      <c r="AG897" s="2">
        <v>46293</v>
      </c>
      <c r="AH897">
        <v>0</v>
      </c>
      <c r="AI897" s="3">
        <v>0</v>
      </c>
      <c r="AJ897" s="1" t="s">
        <v>1635</v>
      </c>
      <c r="AK897" s="2" t="s">
        <v>1635</v>
      </c>
      <c r="AL897" s="4">
        <v>30</v>
      </c>
      <c r="AM897" s="5">
        <v>15</v>
      </c>
      <c r="AN897" s="4">
        <v>30</v>
      </c>
      <c r="AO897">
        <v>0</v>
      </c>
      <c r="AP897" s="4">
        <v>1</v>
      </c>
      <c r="AQ897" t="s">
        <v>1619</v>
      </c>
      <c r="AR897" t="s">
        <v>1620</v>
      </c>
      <c r="AT897" s="16">
        <f>_xlfn.XLOOKUP(B897,'SWiSH Demand Forecast Sep-26'!D:D,'SWiSH Demand Forecast Sep-26'!G:G,"Not Exist")</f>
        <v>3.6</v>
      </c>
    </row>
    <row r="898" spans="1:46" x14ac:dyDescent="0.3">
      <c r="A898">
        <v>101100014</v>
      </c>
      <c r="B898" t="s">
        <v>2811</v>
      </c>
      <c r="C898" t="s">
        <v>10</v>
      </c>
      <c r="D898" t="s">
        <v>1613</v>
      </c>
      <c r="E898" t="s">
        <v>2802</v>
      </c>
      <c r="F898" t="s">
        <v>1650</v>
      </c>
      <c r="G898" t="s">
        <v>1624</v>
      </c>
      <c r="H898" t="s">
        <v>1953</v>
      </c>
      <c r="I898" t="s">
        <v>1634</v>
      </c>
      <c r="J898" t="s">
        <v>10</v>
      </c>
      <c r="K898">
        <v>26</v>
      </c>
      <c r="L898">
        <v>260</v>
      </c>
      <c r="M898" s="1">
        <v>3</v>
      </c>
      <c r="N898">
        <v>0</v>
      </c>
      <c r="O898">
        <v>3</v>
      </c>
      <c r="P898">
        <v>10</v>
      </c>
      <c r="Q898" s="1">
        <v>7</v>
      </c>
      <c r="R898">
        <v>26</v>
      </c>
      <c r="S898" s="2">
        <v>46243</v>
      </c>
      <c r="T898" s="2">
        <v>46243</v>
      </c>
      <c r="U898">
        <v>7</v>
      </c>
      <c r="V898">
        <v>0</v>
      </c>
      <c r="W898">
        <v>5</v>
      </c>
      <c r="X898">
        <v>4</v>
      </c>
      <c r="Y898">
        <v>0</v>
      </c>
      <c r="Z898" s="8">
        <v>7</v>
      </c>
      <c r="AA898">
        <v>4</v>
      </c>
      <c r="AB898">
        <v>0</v>
      </c>
      <c r="AC898">
        <v>1.75</v>
      </c>
      <c r="AD898" s="1">
        <v>30</v>
      </c>
      <c r="AE898" s="2">
        <v>46278</v>
      </c>
      <c r="AF898" s="2">
        <v>46286</v>
      </c>
      <c r="AG898" s="2">
        <v>46293</v>
      </c>
      <c r="AH898">
        <v>0</v>
      </c>
      <c r="AI898" s="3">
        <v>0</v>
      </c>
      <c r="AJ898" s="1" t="s">
        <v>1635</v>
      </c>
      <c r="AK898" s="2" t="s">
        <v>1635</v>
      </c>
      <c r="AL898" s="4">
        <v>30</v>
      </c>
      <c r="AM898" s="5">
        <v>15</v>
      </c>
      <c r="AN898" s="4">
        <v>30</v>
      </c>
      <c r="AO898">
        <v>0</v>
      </c>
      <c r="AP898" s="4">
        <v>1</v>
      </c>
      <c r="AQ898" t="s">
        <v>1619</v>
      </c>
      <c r="AR898" t="s">
        <v>1620</v>
      </c>
      <c r="AT898" s="16" t="str">
        <f>_xlfn.XLOOKUP(B898,'SWiSH Demand Forecast Sep-26'!D:D,'SWiSH Demand Forecast Sep-26'!G:G,"Not Exist")</f>
        <v>Not Exist</v>
      </c>
    </row>
    <row r="899" spans="1:46" x14ac:dyDescent="0.3">
      <c r="A899">
        <v>101100012</v>
      </c>
      <c r="B899" t="s">
        <v>2812</v>
      </c>
      <c r="C899" t="s">
        <v>10</v>
      </c>
      <c r="D899" t="s">
        <v>1613</v>
      </c>
      <c r="E899" t="s">
        <v>2802</v>
      </c>
      <c r="F899" t="s">
        <v>1650</v>
      </c>
      <c r="G899" t="s">
        <v>1624</v>
      </c>
      <c r="H899" t="s">
        <v>1953</v>
      </c>
      <c r="I899" t="s">
        <v>1634</v>
      </c>
      <c r="J899" t="s">
        <v>10</v>
      </c>
      <c r="K899">
        <v>26</v>
      </c>
      <c r="L899">
        <v>260</v>
      </c>
      <c r="M899" s="1">
        <v>3</v>
      </c>
      <c r="N899">
        <v>0</v>
      </c>
      <c r="O899">
        <v>3</v>
      </c>
      <c r="P899">
        <v>10</v>
      </c>
      <c r="Q899" s="1">
        <v>7</v>
      </c>
      <c r="R899">
        <v>26</v>
      </c>
      <c r="S899" s="2">
        <v>46243</v>
      </c>
      <c r="T899" s="2">
        <v>46243</v>
      </c>
      <c r="U899">
        <v>7</v>
      </c>
      <c r="V899">
        <v>3</v>
      </c>
      <c r="W899">
        <v>2</v>
      </c>
      <c r="X899">
        <v>4</v>
      </c>
      <c r="Y899">
        <v>2</v>
      </c>
      <c r="Z899" s="8">
        <v>7</v>
      </c>
      <c r="AA899">
        <v>4</v>
      </c>
      <c r="AB899">
        <v>0.5</v>
      </c>
      <c r="AC899">
        <v>1.75</v>
      </c>
      <c r="AD899" s="1">
        <v>30</v>
      </c>
      <c r="AE899" s="2">
        <v>46278</v>
      </c>
      <c r="AF899" s="2">
        <v>46286</v>
      </c>
      <c r="AG899" s="2">
        <v>46293</v>
      </c>
      <c r="AH899">
        <v>0</v>
      </c>
      <c r="AI899" s="3">
        <v>0</v>
      </c>
      <c r="AJ899" s="1" t="s">
        <v>1635</v>
      </c>
      <c r="AK899" s="2" t="s">
        <v>1635</v>
      </c>
      <c r="AL899" s="4">
        <v>30</v>
      </c>
      <c r="AM899" s="5">
        <v>15</v>
      </c>
      <c r="AN899" s="4">
        <v>30</v>
      </c>
      <c r="AO899">
        <v>0</v>
      </c>
      <c r="AP899" s="4">
        <v>1</v>
      </c>
      <c r="AQ899" t="s">
        <v>1619</v>
      </c>
      <c r="AR899" t="s">
        <v>1620</v>
      </c>
      <c r="AT899" s="16" t="str">
        <f>_xlfn.XLOOKUP(B899,'SWiSH Demand Forecast Sep-26'!D:D,'SWiSH Demand Forecast Sep-26'!G:G,"Not Exist")</f>
        <v>Not Exist</v>
      </c>
    </row>
    <row r="900" spans="1:46" hidden="1" x14ac:dyDescent="0.3">
      <c r="A900">
        <v>100100074</v>
      </c>
      <c r="B900" t="s">
        <v>1242</v>
      </c>
      <c r="C900" t="s">
        <v>136</v>
      </c>
      <c r="D900" t="s">
        <v>1613</v>
      </c>
      <c r="E900" t="s">
        <v>1732</v>
      </c>
      <c r="F900" t="s">
        <v>1833</v>
      </c>
      <c r="G900" t="s">
        <v>1616</v>
      </c>
      <c r="H900" t="s">
        <v>1877</v>
      </c>
      <c r="I900" t="s">
        <v>1626</v>
      </c>
      <c r="J900" t="s">
        <v>136</v>
      </c>
      <c r="K900">
        <v>3.9756965100000001</v>
      </c>
      <c r="L900">
        <v>437.32661610000002</v>
      </c>
      <c r="M900" s="1">
        <v>3</v>
      </c>
      <c r="N900">
        <v>0</v>
      </c>
      <c r="O900">
        <v>0</v>
      </c>
      <c r="P900">
        <v>110</v>
      </c>
      <c r="Q900" s="1">
        <v>110</v>
      </c>
      <c r="R900">
        <v>40</v>
      </c>
      <c r="S900" s="2">
        <v>46201</v>
      </c>
      <c r="T900" s="2">
        <v>46252</v>
      </c>
      <c r="U900">
        <v>80</v>
      </c>
      <c r="V900">
        <v>100</v>
      </c>
      <c r="W900">
        <v>110</v>
      </c>
      <c r="X900">
        <v>80</v>
      </c>
      <c r="Y900">
        <v>80</v>
      </c>
      <c r="Z900" s="8">
        <v>110</v>
      </c>
      <c r="AA900">
        <v>92.5</v>
      </c>
      <c r="AB900">
        <v>0.86486486486486491</v>
      </c>
      <c r="AC900">
        <v>1.1891891891891893</v>
      </c>
      <c r="AD900" s="1">
        <v>30</v>
      </c>
      <c r="AE900" s="2">
        <v>46278</v>
      </c>
      <c r="AF900" s="2">
        <v>46286</v>
      </c>
      <c r="AG900" s="2">
        <v>46293</v>
      </c>
      <c r="AH900">
        <v>0</v>
      </c>
      <c r="AI900" s="3">
        <v>0</v>
      </c>
      <c r="AJ900" s="1" t="s">
        <v>1635</v>
      </c>
      <c r="AK900" s="2" t="s">
        <v>1635</v>
      </c>
      <c r="AL900" s="4">
        <v>30</v>
      </c>
      <c r="AM900" s="5">
        <v>15</v>
      </c>
      <c r="AN900" s="4">
        <v>30</v>
      </c>
      <c r="AO900">
        <v>0</v>
      </c>
      <c r="AP900" s="4">
        <v>1</v>
      </c>
      <c r="AQ900" t="s">
        <v>1619</v>
      </c>
      <c r="AR900" t="s">
        <v>1620</v>
      </c>
      <c r="AT900" s="16">
        <f>_xlfn.XLOOKUP(B900,'SWiSH Demand Forecast Sep-26'!D:D,'SWiSH Demand Forecast Sep-26'!G:G,"Not Exist")</f>
        <v>45.527391304347802</v>
      </c>
    </row>
    <row r="901" spans="1:46" x14ac:dyDescent="0.3">
      <c r="A901">
        <v>101500003</v>
      </c>
      <c r="B901" t="s">
        <v>2813</v>
      </c>
      <c r="C901" t="s">
        <v>136</v>
      </c>
      <c r="D901" t="s">
        <v>1613</v>
      </c>
      <c r="E901" t="s">
        <v>1638</v>
      </c>
      <c r="F901" t="s">
        <v>1644</v>
      </c>
      <c r="G901" t="s">
        <v>1624</v>
      </c>
      <c r="H901" t="s">
        <v>1647</v>
      </c>
      <c r="I901" t="s">
        <v>1634</v>
      </c>
      <c r="J901" t="s">
        <v>136</v>
      </c>
      <c r="K901">
        <v>0.3</v>
      </c>
      <c r="L901">
        <v>33</v>
      </c>
      <c r="M901" s="1">
        <v>30</v>
      </c>
      <c r="N901">
        <v>0</v>
      </c>
      <c r="O901">
        <v>0</v>
      </c>
      <c r="P901">
        <v>110</v>
      </c>
      <c r="Q901" s="1">
        <v>110</v>
      </c>
      <c r="R901">
        <v>3.6</v>
      </c>
      <c r="S901" s="2">
        <v>46204</v>
      </c>
      <c r="T901" s="2">
        <v>46208</v>
      </c>
      <c r="U901">
        <v>100</v>
      </c>
      <c r="V901">
        <v>110</v>
      </c>
      <c r="W901">
        <v>20</v>
      </c>
      <c r="X901">
        <v>0</v>
      </c>
      <c r="Y901">
        <v>0</v>
      </c>
      <c r="Z901" s="8">
        <v>110</v>
      </c>
      <c r="AA901">
        <v>57.5</v>
      </c>
      <c r="AB901">
        <v>0</v>
      </c>
      <c r="AC901">
        <v>1.9130434782608696</v>
      </c>
      <c r="AD901" s="1">
        <v>30</v>
      </c>
      <c r="AE901" s="2">
        <v>46278</v>
      </c>
      <c r="AF901" s="2">
        <v>46286</v>
      </c>
      <c r="AG901" s="2">
        <v>46293</v>
      </c>
      <c r="AH901">
        <v>0</v>
      </c>
      <c r="AI901" s="3">
        <v>0</v>
      </c>
      <c r="AJ901" s="1" t="s">
        <v>1635</v>
      </c>
      <c r="AK901" s="2" t="s">
        <v>1635</v>
      </c>
      <c r="AL901" s="4">
        <v>30</v>
      </c>
      <c r="AM901" s="5">
        <v>15</v>
      </c>
      <c r="AN901" s="4">
        <v>30</v>
      </c>
      <c r="AO901">
        <v>0</v>
      </c>
      <c r="AP901" s="4">
        <v>1</v>
      </c>
      <c r="AQ901" t="s">
        <v>1619</v>
      </c>
      <c r="AR901" t="s">
        <v>1620</v>
      </c>
      <c r="AS901" t="s">
        <v>1666</v>
      </c>
      <c r="AT901" s="16" t="str">
        <f>_xlfn.XLOOKUP(B901,'SWiSH Demand Forecast Sep-26'!D:D,'SWiSH Demand Forecast Sep-26'!G:G,"Not Exist")</f>
        <v>Not Exist</v>
      </c>
    </row>
    <row r="902" spans="1:46" x14ac:dyDescent="0.3">
      <c r="A902">
        <v>101400010</v>
      </c>
      <c r="B902" t="s">
        <v>2814</v>
      </c>
      <c r="C902" t="s">
        <v>240</v>
      </c>
      <c r="D902" t="s">
        <v>1613</v>
      </c>
      <c r="E902" t="s">
        <v>1643</v>
      </c>
      <c r="F902" t="s">
        <v>1644</v>
      </c>
      <c r="G902" t="s">
        <v>1624</v>
      </c>
      <c r="H902" t="s">
        <v>1693</v>
      </c>
      <c r="I902" t="s">
        <v>1634</v>
      </c>
      <c r="J902" t="s">
        <v>2815</v>
      </c>
      <c r="K902">
        <v>0.69384615000000005</v>
      </c>
      <c r="L902">
        <v>6.2446153500000001</v>
      </c>
      <c r="M902" s="1">
        <v>3</v>
      </c>
      <c r="N902">
        <v>0</v>
      </c>
      <c r="O902">
        <v>0</v>
      </c>
      <c r="P902">
        <v>9</v>
      </c>
      <c r="Q902" s="1">
        <v>9</v>
      </c>
      <c r="R902">
        <v>1.69</v>
      </c>
      <c r="S902" s="2">
        <v>46238</v>
      </c>
      <c r="T902" s="2">
        <v>46229</v>
      </c>
      <c r="U902">
        <v>9</v>
      </c>
      <c r="V902">
        <v>0</v>
      </c>
      <c r="W902">
        <v>2</v>
      </c>
      <c r="X902">
        <v>4</v>
      </c>
      <c r="Y902">
        <v>0</v>
      </c>
      <c r="Z902" s="8">
        <v>9</v>
      </c>
      <c r="AA902">
        <v>3.75</v>
      </c>
      <c r="AB902">
        <v>0</v>
      </c>
      <c r="AC902">
        <v>2.4</v>
      </c>
      <c r="AD902" s="1">
        <v>30</v>
      </c>
      <c r="AE902" s="2">
        <v>46278</v>
      </c>
      <c r="AF902" s="2">
        <v>46286</v>
      </c>
      <c r="AG902" s="2">
        <v>46293</v>
      </c>
      <c r="AH902">
        <v>0</v>
      </c>
      <c r="AI902" s="3">
        <v>0</v>
      </c>
      <c r="AJ902" s="1" t="s">
        <v>1635</v>
      </c>
      <c r="AK902" s="2" t="s">
        <v>1635</v>
      </c>
      <c r="AL902" s="4">
        <v>30</v>
      </c>
      <c r="AM902" s="5">
        <v>15</v>
      </c>
      <c r="AN902" s="4">
        <v>30</v>
      </c>
      <c r="AO902">
        <v>0</v>
      </c>
      <c r="AP902" s="4">
        <v>1</v>
      </c>
      <c r="AQ902" t="s">
        <v>1619</v>
      </c>
      <c r="AR902" t="s">
        <v>1620</v>
      </c>
      <c r="AT902" s="16" t="str">
        <f>_xlfn.XLOOKUP(B902,'SWiSH Demand Forecast Sep-26'!D:D,'SWiSH Demand Forecast Sep-26'!G:G,"Not Exist")</f>
        <v>Not Exist</v>
      </c>
    </row>
    <row r="903" spans="1:46" hidden="1" x14ac:dyDescent="0.3">
      <c r="A903">
        <v>105300022</v>
      </c>
      <c r="B903" t="s">
        <v>787</v>
      </c>
      <c r="C903" t="s">
        <v>10</v>
      </c>
      <c r="D903" t="s">
        <v>1613</v>
      </c>
      <c r="E903" t="s">
        <v>1638</v>
      </c>
      <c r="F903" t="s">
        <v>1664</v>
      </c>
      <c r="G903" t="s">
        <v>1624</v>
      </c>
      <c r="H903" t="s">
        <v>1978</v>
      </c>
      <c r="I903" t="s">
        <v>1634</v>
      </c>
      <c r="J903" t="s">
        <v>10</v>
      </c>
      <c r="K903">
        <v>3.4000000000000002E-2</v>
      </c>
      <c r="L903">
        <v>204.00000000000003</v>
      </c>
      <c r="M903" s="1">
        <v>30</v>
      </c>
      <c r="N903">
        <v>0</v>
      </c>
      <c r="O903">
        <v>0</v>
      </c>
      <c r="P903">
        <v>6000</v>
      </c>
      <c r="Q903" s="1">
        <v>6000</v>
      </c>
      <c r="R903">
        <v>3.4000000000000002E-2</v>
      </c>
      <c r="S903" s="2">
        <v>46190</v>
      </c>
      <c r="T903" s="2">
        <v>46219</v>
      </c>
      <c r="U903">
        <v>2000</v>
      </c>
      <c r="V903">
        <v>6000</v>
      </c>
      <c r="W903">
        <v>1000</v>
      </c>
      <c r="X903">
        <v>1000</v>
      </c>
      <c r="Y903">
        <v>1000</v>
      </c>
      <c r="Z903" s="8">
        <v>6000</v>
      </c>
      <c r="AA903">
        <v>2500</v>
      </c>
      <c r="AB903">
        <v>0.4</v>
      </c>
      <c r="AC903">
        <v>2.4</v>
      </c>
      <c r="AD903" s="1">
        <v>30</v>
      </c>
      <c r="AE903" s="2">
        <v>46278</v>
      </c>
      <c r="AF903" s="2">
        <v>46286</v>
      </c>
      <c r="AG903" s="2">
        <v>46293</v>
      </c>
      <c r="AH903">
        <v>0</v>
      </c>
      <c r="AI903" s="3">
        <v>0</v>
      </c>
      <c r="AJ903" s="1" t="s">
        <v>1635</v>
      </c>
      <c r="AK903" s="2" t="s">
        <v>1635</v>
      </c>
      <c r="AL903" s="4">
        <v>30</v>
      </c>
      <c r="AM903" s="5">
        <v>15</v>
      </c>
      <c r="AN903" s="4">
        <v>30</v>
      </c>
      <c r="AO903">
        <v>0</v>
      </c>
      <c r="AP903" s="4">
        <v>1</v>
      </c>
      <c r="AQ903">
        <v>21000</v>
      </c>
      <c r="AR903" t="s">
        <v>2098</v>
      </c>
      <c r="AT903" s="16">
        <f>_xlfn.XLOOKUP(B903,'SWiSH Demand Forecast Sep-26'!D:D,'SWiSH Demand Forecast Sep-26'!G:G,"Not Exist")</f>
        <v>425</v>
      </c>
    </row>
    <row r="904" spans="1:46" x14ac:dyDescent="0.3">
      <c r="A904">
        <v>106300067</v>
      </c>
      <c r="B904" t="s">
        <v>2816</v>
      </c>
      <c r="C904" t="s">
        <v>136</v>
      </c>
      <c r="D904" t="s">
        <v>1629</v>
      </c>
      <c r="E904" t="e">
        <v>#N/A</v>
      </c>
      <c r="F904" t="s">
        <v>1615</v>
      </c>
      <c r="G904" t="s">
        <v>1704</v>
      </c>
      <c r="H904" t="s">
        <v>1860</v>
      </c>
      <c r="I904" t="s">
        <v>1618</v>
      </c>
      <c r="J904" t="s">
        <v>136</v>
      </c>
      <c r="K904">
        <v>0.95</v>
      </c>
      <c r="L904">
        <v>2.8499999999999996</v>
      </c>
      <c r="M904" s="1">
        <v>3</v>
      </c>
      <c r="N904">
        <v>0</v>
      </c>
      <c r="O904">
        <v>0</v>
      </c>
      <c r="P904">
        <v>3</v>
      </c>
      <c r="Q904" s="1">
        <v>3</v>
      </c>
      <c r="R904">
        <v>0.95</v>
      </c>
      <c r="S904" s="2">
        <v>45774</v>
      </c>
      <c r="T904" s="2">
        <v>46140</v>
      </c>
      <c r="U904">
        <v>3</v>
      </c>
      <c r="V904">
        <v>0</v>
      </c>
      <c r="W904">
        <v>0</v>
      </c>
      <c r="X904">
        <v>0</v>
      </c>
      <c r="Y904">
        <v>0</v>
      </c>
      <c r="Z904" s="8">
        <v>3</v>
      </c>
      <c r="AA904">
        <v>0.75</v>
      </c>
      <c r="AB904">
        <v>0</v>
      </c>
      <c r="AC904">
        <v>4</v>
      </c>
      <c r="AD904" s="1">
        <v>30</v>
      </c>
      <c r="AE904" s="2">
        <v>46278</v>
      </c>
      <c r="AF904" s="2">
        <v>46286</v>
      </c>
      <c r="AG904" s="2">
        <v>46293</v>
      </c>
      <c r="AH904">
        <v>0</v>
      </c>
      <c r="AI904" s="3">
        <v>0</v>
      </c>
      <c r="AJ904" s="1" t="s">
        <v>1635</v>
      </c>
      <c r="AK904" s="2" t="s">
        <v>1635</v>
      </c>
      <c r="AL904" s="4" t="s">
        <v>1636</v>
      </c>
      <c r="AM904" s="5" t="s">
        <v>1636</v>
      </c>
      <c r="AN904" s="4">
        <v>30</v>
      </c>
      <c r="AO904" t="s">
        <v>1635</v>
      </c>
      <c r="AP904" s="4" t="s">
        <v>1636</v>
      </c>
      <c r="AQ904" t="s">
        <v>1619</v>
      </c>
      <c r="AR904" t="s">
        <v>1620</v>
      </c>
      <c r="AT904" s="16" t="str">
        <f>_xlfn.XLOOKUP(B904,'SWiSH Demand Forecast Sep-26'!D:D,'SWiSH Demand Forecast Sep-26'!G:G,"Not Exist")</f>
        <v>Not Exist</v>
      </c>
    </row>
    <row r="905" spans="1:46" x14ac:dyDescent="0.3">
      <c r="A905">
        <v>106800368</v>
      </c>
      <c r="B905" t="s">
        <v>2817</v>
      </c>
      <c r="C905" t="s">
        <v>10</v>
      </c>
      <c r="D905" t="s">
        <v>1613</v>
      </c>
      <c r="E905" t="s">
        <v>1685</v>
      </c>
      <c r="F905" t="s">
        <v>1664</v>
      </c>
      <c r="G905" t="s">
        <v>1624</v>
      </c>
      <c r="H905" t="s">
        <v>1665</v>
      </c>
      <c r="I905" t="s">
        <v>1634</v>
      </c>
      <c r="J905" t="s">
        <v>10</v>
      </c>
      <c r="K905">
        <v>8.0000000000000002E-3</v>
      </c>
      <c r="L905">
        <v>84</v>
      </c>
      <c r="M905" s="1">
        <v>7</v>
      </c>
      <c r="N905">
        <v>0</v>
      </c>
      <c r="O905">
        <v>0</v>
      </c>
      <c r="P905">
        <v>10500</v>
      </c>
      <c r="Q905" s="1">
        <v>10500</v>
      </c>
      <c r="R905">
        <v>8.0000000000000002E-3</v>
      </c>
      <c r="S905" s="2">
        <v>46194</v>
      </c>
      <c r="T905" s="2">
        <v>46199</v>
      </c>
      <c r="U905">
        <v>0</v>
      </c>
      <c r="V905">
        <v>4000</v>
      </c>
      <c r="W905">
        <v>10500</v>
      </c>
      <c r="X905">
        <v>0</v>
      </c>
      <c r="Y905">
        <v>0</v>
      </c>
      <c r="Z905" s="8">
        <v>10500</v>
      </c>
      <c r="AA905">
        <v>3625</v>
      </c>
      <c r="AB905">
        <v>0</v>
      </c>
      <c r="AC905">
        <v>2.896551724137931</v>
      </c>
      <c r="AD905" s="1">
        <v>30</v>
      </c>
      <c r="AE905" s="2">
        <v>46278</v>
      </c>
      <c r="AF905" s="2">
        <v>46286</v>
      </c>
      <c r="AG905" s="2">
        <v>46293</v>
      </c>
      <c r="AH905">
        <v>0</v>
      </c>
      <c r="AI905" s="3">
        <v>0</v>
      </c>
      <c r="AJ905" s="1" t="s">
        <v>1635</v>
      </c>
      <c r="AK905" s="2" t="s">
        <v>1635</v>
      </c>
      <c r="AL905" s="4">
        <v>30</v>
      </c>
      <c r="AM905" s="5">
        <v>15</v>
      </c>
      <c r="AN905" s="4">
        <v>30</v>
      </c>
      <c r="AO905">
        <v>0</v>
      </c>
      <c r="AP905" s="4">
        <v>1</v>
      </c>
      <c r="AQ905">
        <v>11000</v>
      </c>
      <c r="AR905" t="s">
        <v>2215</v>
      </c>
      <c r="AT905" s="16" t="str">
        <f>_xlfn.XLOOKUP(B905,'SWiSH Demand Forecast Sep-26'!D:D,'SWiSH Demand Forecast Sep-26'!G:G,"Not Exist")</f>
        <v>Not Exist</v>
      </c>
    </row>
    <row r="906" spans="1:46" hidden="1" x14ac:dyDescent="0.3">
      <c r="A906">
        <v>100100058</v>
      </c>
      <c r="B906" t="s">
        <v>778</v>
      </c>
      <c r="C906" t="s">
        <v>10</v>
      </c>
      <c r="D906" t="s">
        <v>1613</v>
      </c>
      <c r="E906" t="s">
        <v>1638</v>
      </c>
      <c r="F906" t="s">
        <v>1941</v>
      </c>
      <c r="G906" t="s">
        <v>1616</v>
      </c>
      <c r="H906" t="s">
        <v>1877</v>
      </c>
      <c r="I906" t="s">
        <v>1618</v>
      </c>
      <c r="J906" t="s">
        <v>2818</v>
      </c>
      <c r="K906">
        <v>6.0749999999999997E-3</v>
      </c>
      <c r="L906">
        <v>14.58</v>
      </c>
      <c r="M906" s="1">
        <v>3</v>
      </c>
      <c r="N906">
        <v>0</v>
      </c>
      <c r="O906">
        <v>0</v>
      </c>
      <c r="P906">
        <v>2400</v>
      </c>
      <c r="Q906" s="1">
        <v>2400</v>
      </c>
      <c r="R906">
        <v>4.8600000000000003</v>
      </c>
      <c r="S906" s="2">
        <v>46228</v>
      </c>
      <c r="T906" s="2">
        <v>46219</v>
      </c>
      <c r="U906">
        <v>2400</v>
      </c>
      <c r="V906">
        <v>2400</v>
      </c>
      <c r="W906">
        <v>1600</v>
      </c>
      <c r="X906">
        <v>800</v>
      </c>
      <c r="Y906">
        <v>800</v>
      </c>
      <c r="Z906" s="8">
        <v>2400</v>
      </c>
      <c r="AA906">
        <v>1800</v>
      </c>
      <c r="AB906">
        <v>0.44444444444444442</v>
      </c>
      <c r="AC906">
        <v>1.3333333333333333</v>
      </c>
      <c r="AD906" s="1">
        <v>30</v>
      </c>
      <c r="AE906" s="2">
        <v>46278</v>
      </c>
      <c r="AF906" s="2">
        <v>46286</v>
      </c>
      <c r="AG906" s="2">
        <v>46293</v>
      </c>
      <c r="AH906">
        <v>0</v>
      </c>
      <c r="AI906" s="3">
        <v>0</v>
      </c>
      <c r="AJ906" s="1" t="s">
        <v>1635</v>
      </c>
      <c r="AK906" s="2" t="s">
        <v>1635</v>
      </c>
      <c r="AL906" s="4">
        <v>30</v>
      </c>
      <c r="AM906" s="5">
        <v>15</v>
      </c>
      <c r="AN906" s="4">
        <v>30</v>
      </c>
      <c r="AO906">
        <v>0</v>
      </c>
      <c r="AP906" s="4">
        <v>1</v>
      </c>
      <c r="AQ906" t="s">
        <v>1619</v>
      </c>
      <c r="AR906" t="s">
        <v>1620</v>
      </c>
      <c r="AT906" s="16">
        <f>_xlfn.XLOOKUP(B906,'SWiSH Demand Forecast Sep-26'!D:D,'SWiSH Demand Forecast Sep-26'!G:G,"Not Exist")</f>
        <v>433</v>
      </c>
    </row>
    <row r="907" spans="1:46" x14ac:dyDescent="0.3">
      <c r="A907">
        <v>107400028</v>
      </c>
      <c r="B907" t="s">
        <v>2819</v>
      </c>
      <c r="C907" t="s">
        <v>10</v>
      </c>
      <c r="D907" t="s">
        <v>1675</v>
      </c>
      <c r="E907" t="s">
        <v>1685</v>
      </c>
      <c r="F907" t="s">
        <v>1664</v>
      </c>
      <c r="G907" t="s">
        <v>1704</v>
      </c>
      <c r="H907" t="s">
        <v>2016</v>
      </c>
      <c r="I907" t="s">
        <v>1634</v>
      </c>
      <c r="J907" t="s">
        <v>10</v>
      </c>
      <c r="K907">
        <v>6.0000000000000001E-3</v>
      </c>
      <c r="L907">
        <v>30</v>
      </c>
      <c r="M907" s="1">
        <v>15</v>
      </c>
      <c r="N907">
        <v>0</v>
      </c>
      <c r="O907">
        <v>0</v>
      </c>
      <c r="P907">
        <v>5000</v>
      </c>
      <c r="Q907" s="1">
        <v>5000</v>
      </c>
      <c r="R907">
        <v>6.0000000000000001E-3</v>
      </c>
      <c r="S907" s="2">
        <v>45981</v>
      </c>
      <c r="T907" s="2">
        <v>46221</v>
      </c>
      <c r="U907">
        <v>5000</v>
      </c>
      <c r="V907">
        <v>2000</v>
      </c>
      <c r="W907">
        <v>0</v>
      </c>
      <c r="X907">
        <v>0</v>
      </c>
      <c r="Y907">
        <v>0</v>
      </c>
      <c r="Z907" s="8">
        <v>5000</v>
      </c>
      <c r="AA907">
        <v>1750</v>
      </c>
      <c r="AB907">
        <v>0</v>
      </c>
      <c r="AC907">
        <v>2.8571428571428572</v>
      </c>
      <c r="AD907" s="1">
        <v>30</v>
      </c>
      <c r="AE907" s="2">
        <v>46278</v>
      </c>
      <c r="AF907" s="2">
        <v>46286</v>
      </c>
      <c r="AG907" s="2">
        <v>46293</v>
      </c>
      <c r="AH907">
        <v>0</v>
      </c>
      <c r="AI907" s="3">
        <v>0</v>
      </c>
      <c r="AJ907" s="1" t="s">
        <v>1635</v>
      </c>
      <c r="AK907" s="2" t="s">
        <v>1635</v>
      </c>
      <c r="AL907" s="4" t="s">
        <v>1658</v>
      </c>
      <c r="AM907" s="5" t="s">
        <v>1658</v>
      </c>
      <c r="AN907" s="4">
        <v>30</v>
      </c>
      <c r="AO907" t="s">
        <v>1635</v>
      </c>
      <c r="AP907" s="4" t="s">
        <v>1658</v>
      </c>
      <c r="AQ907">
        <v>50000</v>
      </c>
      <c r="AR907" t="s">
        <v>2034</v>
      </c>
      <c r="AT907" s="16" t="str">
        <f>_xlfn.XLOOKUP(B907,'SWiSH Demand Forecast Sep-26'!D:D,'SWiSH Demand Forecast Sep-26'!G:G,"Not Exist")</f>
        <v>Not Exist</v>
      </c>
    </row>
    <row r="908" spans="1:46" x14ac:dyDescent="0.3">
      <c r="A908">
        <v>103100015</v>
      </c>
      <c r="B908" t="s">
        <v>2820</v>
      </c>
      <c r="C908" t="s">
        <v>136</v>
      </c>
      <c r="D908" t="s">
        <v>1699</v>
      </c>
      <c r="E908" t="s">
        <v>1832</v>
      </c>
      <c r="F908" t="s">
        <v>1752</v>
      </c>
      <c r="G908" t="s">
        <v>1616</v>
      </c>
      <c r="H908" t="s">
        <v>1869</v>
      </c>
      <c r="I908" t="s">
        <v>1754</v>
      </c>
      <c r="J908" t="s">
        <v>136</v>
      </c>
      <c r="K908">
        <v>1.97106</v>
      </c>
      <c r="L908">
        <v>98.750106000000002</v>
      </c>
      <c r="M908" s="1">
        <v>3</v>
      </c>
      <c r="N908">
        <v>0</v>
      </c>
      <c r="O908">
        <v>0</v>
      </c>
      <c r="P908">
        <v>50.1</v>
      </c>
      <c r="Q908" s="1">
        <v>50.1</v>
      </c>
      <c r="R908">
        <v>1.97106</v>
      </c>
      <c r="S908" s="2">
        <v>46055</v>
      </c>
      <c r="T908" s="2">
        <v>46172</v>
      </c>
      <c r="U908">
        <v>0</v>
      </c>
      <c r="V908">
        <v>50.1</v>
      </c>
      <c r="W908">
        <v>0</v>
      </c>
      <c r="X908">
        <v>0</v>
      </c>
      <c r="Y908">
        <v>0</v>
      </c>
      <c r="Z908" s="8">
        <v>50.1</v>
      </c>
      <c r="AA908">
        <v>12.525</v>
      </c>
      <c r="AB908">
        <v>0</v>
      </c>
      <c r="AC908">
        <v>4</v>
      </c>
      <c r="AD908" s="1">
        <v>30</v>
      </c>
      <c r="AE908" s="2">
        <v>46278</v>
      </c>
      <c r="AF908" s="2">
        <v>46286</v>
      </c>
      <c r="AG908" s="2">
        <v>46293</v>
      </c>
      <c r="AH908">
        <v>0</v>
      </c>
      <c r="AI908" s="3">
        <v>0</v>
      </c>
      <c r="AJ908" s="1" t="s">
        <v>1635</v>
      </c>
      <c r="AK908" s="2" t="s">
        <v>1635</v>
      </c>
      <c r="AL908" s="4" t="s">
        <v>1658</v>
      </c>
      <c r="AM908" s="5" t="s">
        <v>1658</v>
      </c>
      <c r="AN908" s="4">
        <v>30</v>
      </c>
      <c r="AO908" t="s">
        <v>1635</v>
      </c>
      <c r="AP908" s="4" t="s">
        <v>1658</v>
      </c>
      <c r="AQ908" t="s">
        <v>1619</v>
      </c>
      <c r="AR908" t="s">
        <v>1620</v>
      </c>
      <c r="AT908" s="16" t="str">
        <f>_xlfn.XLOOKUP(B908,'SWiSH Demand Forecast Sep-26'!D:D,'SWiSH Demand Forecast Sep-26'!G:G,"Not Exist")</f>
        <v>Not Exist</v>
      </c>
    </row>
    <row r="909" spans="1:46" x14ac:dyDescent="0.3">
      <c r="A909">
        <v>103700125</v>
      </c>
      <c r="B909" t="s">
        <v>2821</v>
      </c>
      <c r="C909" t="s">
        <v>136</v>
      </c>
      <c r="D909" t="s">
        <v>1613</v>
      </c>
      <c r="E909" t="s">
        <v>1832</v>
      </c>
      <c r="F909" t="s">
        <v>1615</v>
      </c>
      <c r="G909" t="s">
        <v>1616</v>
      </c>
      <c r="H909" t="s">
        <v>1617</v>
      </c>
      <c r="I909" t="s">
        <v>1618</v>
      </c>
      <c r="J909" t="s">
        <v>136</v>
      </c>
      <c r="K909">
        <v>4.5</v>
      </c>
      <c r="L909">
        <v>2.6999999999999997</v>
      </c>
      <c r="M909" s="1">
        <v>3</v>
      </c>
      <c r="N909">
        <v>0</v>
      </c>
      <c r="O909">
        <v>0</v>
      </c>
      <c r="P909">
        <v>0.6</v>
      </c>
      <c r="Q909" s="1">
        <v>0.6</v>
      </c>
      <c r="R909">
        <v>0.45</v>
      </c>
      <c r="S909" s="2">
        <v>46221</v>
      </c>
      <c r="T909" s="2">
        <v>46242</v>
      </c>
      <c r="U909">
        <v>0.4</v>
      </c>
      <c r="V909">
        <v>0.3</v>
      </c>
      <c r="W909">
        <v>0.60000000000000009</v>
      </c>
      <c r="X909">
        <v>0.3</v>
      </c>
      <c r="Y909">
        <v>0.3</v>
      </c>
      <c r="Z909" s="8">
        <v>0.60000000000000009</v>
      </c>
      <c r="AA909">
        <v>0.4</v>
      </c>
      <c r="AB909">
        <v>0.74999999999999989</v>
      </c>
      <c r="AC909">
        <v>1.5000000000000002</v>
      </c>
      <c r="AD909" s="1">
        <v>30</v>
      </c>
      <c r="AE909" s="2">
        <v>46278</v>
      </c>
      <c r="AF909" s="2">
        <v>46286</v>
      </c>
      <c r="AG909" s="2">
        <v>46293</v>
      </c>
      <c r="AH909">
        <v>0.2</v>
      </c>
      <c r="AI909" s="3">
        <v>0.34482758620689652</v>
      </c>
      <c r="AJ909" s="1">
        <v>87</v>
      </c>
      <c r="AK909" s="2">
        <v>46350</v>
      </c>
      <c r="AL909" s="4">
        <v>30</v>
      </c>
      <c r="AM909" s="5">
        <v>15</v>
      </c>
      <c r="AN909" s="4">
        <v>30</v>
      </c>
      <c r="AO909">
        <v>0.20689655172413796</v>
      </c>
      <c r="AP909" s="4">
        <v>1</v>
      </c>
      <c r="AQ909" t="s">
        <v>1619</v>
      </c>
      <c r="AR909" t="s">
        <v>1620</v>
      </c>
      <c r="AT909" s="16" t="str">
        <f>_xlfn.XLOOKUP(B909,'SWiSH Demand Forecast Sep-26'!D:D,'SWiSH Demand Forecast Sep-26'!G:G,"Not Exist")</f>
        <v>Not Exist</v>
      </c>
    </row>
    <row r="910" spans="1:46" hidden="1" x14ac:dyDescent="0.3">
      <c r="A910">
        <v>103700056</v>
      </c>
      <c r="B910" t="s">
        <v>1547</v>
      </c>
      <c r="C910" t="s">
        <v>136</v>
      </c>
      <c r="D910" t="s">
        <v>1699</v>
      </c>
      <c r="E910" t="s">
        <v>1732</v>
      </c>
      <c r="F910" t="s">
        <v>1615</v>
      </c>
      <c r="G910" t="s">
        <v>1616</v>
      </c>
      <c r="H910" t="s">
        <v>1617</v>
      </c>
      <c r="I910" t="s">
        <v>1618</v>
      </c>
      <c r="J910" t="s">
        <v>2822</v>
      </c>
      <c r="K910">
        <v>14.70588235</v>
      </c>
      <c r="L910">
        <v>59.999999987999999</v>
      </c>
      <c r="M910" s="1">
        <v>3</v>
      </c>
      <c r="N910">
        <v>0</v>
      </c>
      <c r="O910">
        <v>0</v>
      </c>
      <c r="P910">
        <v>4.08</v>
      </c>
      <c r="Q910" s="1">
        <v>4.08</v>
      </c>
      <c r="R910">
        <v>10</v>
      </c>
      <c r="S910" s="2">
        <v>46135</v>
      </c>
      <c r="T910" s="2">
        <v>46236</v>
      </c>
      <c r="U910">
        <v>4.08</v>
      </c>
      <c r="V910">
        <v>4.08</v>
      </c>
      <c r="W910">
        <v>0</v>
      </c>
      <c r="X910">
        <v>0</v>
      </c>
      <c r="Y910">
        <v>0</v>
      </c>
      <c r="Z910" s="8">
        <v>4.08</v>
      </c>
      <c r="AA910">
        <v>2.04</v>
      </c>
      <c r="AB910">
        <v>0</v>
      </c>
      <c r="AC910">
        <v>2</v>
      </c>
      <c r="AD910" s="1">
        <v>30</v>
      </c>
      <c r="AE910" s="2">
        <v>46278</v>
      </c>
      <c r="AF910" s="2">
        <v>46286</v>
      </c>
      <c r="AG910" s="2">
        <v>46293</v>
      </c>
      <c r="AH910">
        <v>4.08</v>
      </c>
      <c r="AI910" s="3">
        <v>1.0344827586206897</v>
      </c>
      <c r="AJ910" s="1">
        <v>29</v>
      </c>
      <c r="AK910" s="2">
        <v>46292</v>
      </c>
      <c r="AL910" s="4" t="s">
        <v>1658</v>
      </c>
      <c r="AM910" s="5" t="s">
        <v>1658</v>
      </c>
      <c r="AN910" s="4">
        <v>29</v>
      </c>
      <c r="AO910" t="s">
        <v>1635</v>
      </c>
      <c r="AP910" s="4" t="s">
        <v>1658</v>
      </c>
      <c r="AQ910" t="s">
        <v>1619</v>
      </c>
      <c r="AR910" t="s">
        <v>1620</v>
      </c>
      <c r="AT910" s="16">
        <f>_xlfn.XLOOKUP(B910,'SWiSH Demand Forecast Sep-26'!D:D,'SWiSH Demand Forecast Sep-26'!G:G,"Not Exist")</f>
        <v>0.63801152622868196</v>
      </c>
    </row>
    <row r="911" spans="1:46" x14ac:dyDescent="0.3">
      <c r="A911">
        <v>105400002</v>
      </c>
      <c r="B911" t="s">
        <v>2823</v>
      </c>
      <c r="C911" t="s">
        <v>10</v>
      </c>
      <c r="D911" t="s">
        <v>1613</v>
      </c>
      <c r="E911" t="s">
        <v>1655</v>
      </c>
      <c r="F911" t="s">
        <v>1664</v>
      </c>
      <c r="G911" t="s">
        <v>1624</v>
      </c>
      <c r="H911" t="s">
        <v>1904</v>
      </c>
      <c r="I911" t="s">
        <v>1634</v>
      </c>
      <c r="J911" t="s">
        <v>10</v>
      </c>
      <c r="K911">
        <v>0.03</v>
      </c>
      <c r="L911">
        <v>15</v>
      </c>
      <c r="M911" s="1">
        <v>15</v>
      </c>
      <c r="N911">
        <v>0</v>
      </c>
      <c r="O911">
        <v>0</v>
      </c>
      <c r="P911">
        <v>500</v>
      </c>
      <c r="Q911" s="1">
        <v>500</v>
      </c>
      <c r="R911">
        <v>2.8000000000000001E-2</v>
      </c>
      <c r="S911" s="2">
        <v>45870</v>
      </c>
      <c r="T911" s="2">
        <v>46222</v>
      </c>
      <c r="U911">
        <v>500</v>
      </c>
      <c r="V911">
        <v>500</v>
      </c>
      <c r="W911">
        <v>0</v>
      </c>
      <c r="X911">
        <v>500</v>
      </c>
      <c r="Y911">
        <v>0</v>
      </c>
      <c r="Z911" s="8">
        <v>500</v>
      </c>
      <c r="AA911">
        <v>375</v>
      </c>
      <c r="AB911">
        <v>0</v>
      </c>
      <c r="AC911">
        <v>1.3333333333333333</v>
      </c>
      <c r="AD911" s="1">
        <v>30</v>
      </c>
      <c r="AE911" s="2">
        <v>46278</v>
      </c>
      <c r="AF911" s="2">
        <v>46286</v>
      </c>
      <c r="AG911" s="2">
        <v>46293</v>
      </c>
      <c r="AH911">
        <v>0</v>
      </c>
      <c r="AI911" s="3">
        <v>0</v>
      </c>
      <c r="AJ911" s="1" t="s">
        <v>1635</v>
      </c>
      <c r="AK911" s="2" t="s">
        <v>1635</v>
      </c>
      <c r="AL911" s="4">
        <v>30</v>
      </c>
      <c r="AM911" s="5">
        <v>15</v>
      </c>
      <c r="AN911" s="4">
        <v>30</v>
      </c>
      <c r="AO911">
        <v>0</v>
      </c>
      <c r="AP911" s="4">
        <v>1</v>
      </c>
      <c r="AQ911" t="s">
        <v>1619</v>
      </c>
      <c r="AR911" t="s">
        <v>1620</v>
      </c>
      <c r="AT911" s="16" t="str">
        <f>_xlfn.XLOOKUP(B911,'SWiSH Demand Forecast Sep-26'!D:D,'SWiSH Demand Forecast Sep-26'!G:G,"Not Exist")</f>
        <v>Not Exist</v>
      </c>
    </row>
    <row r="912" spans="1:46" x14ac:dyDescent="0.3">
      <c r="A912">
        <v>103700123</v>
      </c>
      <c r="B912" t="s">
        <v>2824</v>
      </c>
      <c r="C912" t="s">
        <v>136</v>
      </c>
      <c r="D912" t="s">
        <v>1629</v>
      </c>
      <c r="E912" t="s">
        <v>1732</v>
      </c>
      <c r="F912" t="s">
        <v>1615</v>
      </c>
      <c r="G912" t="s">
        <v>1616</v>
      </c>
      <c r="H912" t="s">
        <v>1617</v>
      </c>
      <c r="I912" t="s">
        <v>1618</v>
      </c>
      <c r="J912" t="s">
        <v>136</v>
      </c>
      <c r="K912">
        <v>4.50865385</v>
      </c>
      <c r="L912">
        <v>22.543269250000002</v>
      </c>
      <c r="M912" s="1">
        <v>3</v>
      </c>
      <c r="N912">
        <v>0</v>
      </c>
      <c r="O912">
        <v>0</v>
      </c>
      <c r="P912">
        <v>5</v>
      </c>
      <c r="Q912" s="1">
        <v>5</v>
      </c>
      <c r="R912">
        <v>4.5</v>
      </c>
      <c r="S912" s="2">
        <v>46175</v>
      </c>
      <c r="T912" s="2">
        <v>46238</v>
      </c>
      <c r="U912">
        <v>5</v>
      </c>
      <c r="V912">
        <v>2</v>
      </c>
      <c r="W912">
        <v>0</v>
      </c>
      <c r="X912">
        <v>1</v>
      </c>
      <c r="Y912">
        <v>0</v>
      </c>
      <c r="Z912" s="8">
        <v>5</v>
      </c>
      <c r="AA912">
        <v>2</v>
      </c>
      <c r="AB912">
        <v>0</v>
      </c>
      <c r="AC912">
        <v>2.5</v>
      </c>
      <c r="AD912" s="1">
        <v>30</v>
      </c>
      <c r="AE912" s="2">
        <v>46278</v>
      </c>
      <c r="AF912" s="2">
        <v>46286</v>
      </c>
      <c r="AG912" s="2">
        <v>46293</v>
      </c>
      <c r="AH912">
        <v>1</v>
      </c>
      <c r="AI912" s="3">
        <v>0.20689655172413796</v>
      </c>
      <c r="AJ912" s="1">
        <v>145</v>
      </c>
      <c r="AK912" s="2">
        <v>46408</v>
      </c>
      <c r="AL912" s="4" t="s">
        <v>1658</v>
      </c>
      <c r="AM912" s="5" t="s">
        <v>1658</v>
      </c>
      <c r="AN912" s="4">
        <v>30</v>
      </c>
      <c r="AO912" t="s">
        <v>1635</v>
      </c>
      <c r="AP912" s="4" t="s">
        <v>1658</v>
      </c>
      <c r="AQ912" t="s">
        <v>1619</v>
      </c>
      <c r="AR912" t="s">
        <v>1620</v>
      </c>
      <c r="AT912" s="16" t="str">
        <f>_xlfn.XLOOKUP(B912,'SWiSH Demand Forecast Sep-26'!D:D,'SWiSH Demand Forecast Sep-26'!G:G,"Not Exist")</f>
        <v>Not Exist</v>
      </c>
    </row>
    <row r="913" spans="1:46" x14ac:dyDescent="0.3">
      <c r="A913">
        <v>106800266</v>
      </c>
      <c r="B913" t="s">
        <v>2825</v>
      </c>
      <c r="C913" t="s">
        <v>10</v>
      </c>
      <c r="D913" t="s">
        <v>1675</v>
      </c>
      <c r="E913" t="s">
        <v>1638</v>
      </c>
      <c r="F913" t="s">
        <v>1664</v>
      </c>
      <c r="G913" t="s">
        <v>1624</v>
      </c>
      <c r="H913" t="s">
        <v>1665</v>
      </c>
      <c r="I913" t="s">
        <v>1634</v>
      </c>
      <c r="J913" t="s">
        <v>10</v>
      </c>
      <c r="K913">
        <v>6.0000000000000001E-3</v>
      </c>
      <c r="L913">
        <v>15</v>
      </c>
      <c r="M913" s="1">
        <v>7</v>
      </c>
      <c r="N913">
        <v>0</v>
      </c>
      <c r="O913">
        <v>0</v>
      </c>
      <c r="P913">
        <v>2500</v>
      </c>
      <c r="Q913" s="1">
        <v>2500</v>
      </c>
      <c r="R913">
        <v>6.0000000000000001E-3</v>
      </c>
      <c r="S913" s="2">
        <v>45656</v>
      </c>
      <c r="T913" s="2">
        <v>46190</v>
      </c>
      <c r="U913">
        <v>0</v>
      </c>
      <c r="V913">
        <v>0</v>
      </c>
      <c r="W913">
        <v>2500</v>
      </c>
      <c r="X913">
        <v>0</v>
      </c>
      <c r="Y913">
        <v>0</v>
      </c>
      <c r="Z913" s="8">
        <v>2500</v>
      </c>
      <c r="AA913">
        <v>625</v>
      </c>
      <c r="AB913">
        <v>0</v>
      </c>
      <c r="AC913">
        <v>4</v>
      </c>
      <c r="AD913" s="1">
        <v>30</v>
      </c>
      <c r="AE913" s="2">
        <v>46278</v>
      </c>
      <c r="AF913" s="2">
        <v>46286</v>
      </c>
      <c r="AG913" s="2">
        <v>46293</v>
      </c>
      <c r="AH913">
        <v>0</v>
      </c>
      <c r="AI913" s="3">
        <v>0</v>
      </c>
      <c r="AJ913" s="1" t="s">
        <v>1635</v>
      </c>
      <c r="AK913" s="2" t="s">
        <v>1635</v>
      </c>
      <c r="AL913" s="4" t="s">
        <v>1658</v>
      </c>
      <c r="AM913" s="5" t="s">
        <v>1658</v>
      </c>
      <c r="AN913" s="4">
        <v>30</v>
      </c>
      <c r="AO913" t="s">
        <v>1635</v>
      </c>
      <c r="AP913" s="4" t="s">
        <v>1658</v>
      </c>
      <c r="AQ913" t="s">
        <v>1619</v>
      </c>
      <c r="AR913" t="s">
        <v>1620</v>
      </c>
      <c r="AT913" s="16" t="str">
        <f>_xlfn.XLOOKUP(B913,'SWiSH Demand Forecast Sep-26'!D:D,'SWiSH Demand Forecast Sep-26'!G:G,"Not Exist")</f>
        <v>Not Exist</v>
      </c>
    </row>
    <row r="914" spans="1:46" x14ac:dyDescent="0.3">
      <c r="A914">
        <v>101800013</v>
      </c>
      <c r="B914" t="s">
        <v>2826</v>
      </c>
      <c r="C914" t="s">
        <v>10</v>
      </c>
      <c r="D914" t="s">
        <v>1613</v>
      </c>
      <c r="E914" t="s">
        <v>1745</v>
      </c>
      <c r="F914" t="s">
        <v>1631</v>
      </c>
      <c r="G914" t="s">
        <v>1624</v>
      </c>
      <c r="H914" t="s">
        <v>2144</v>
      </c>
      <c r="I914" t="s">
        <v>1634</v>
      </c>
      <c r="J914" t="s">
        <v>10</v>
      </c>
      <c r="K914">
        <v>4.8333300000000003E-3</v>
      </c>
      <c r="L914">
        <v>3.8666640000000001</v>
      </c>
      <c r="M914" s="1">
        <v>3</v>
      </c>
      <c r="N914">
        <v>0</v>
      </c>
      <c r="O914">
        <v>0</v>
      </c>
      <c r="P914">
        <v>800</v>
      </c>
      <c r="Q914" s="1">
        <v>800</v>
      </c>
      <c r="R914">
        <v>4.75</v>
      </c>
      <c r="S914" s="2">
        <v>46084</v>
      </c>
      <c r="T914" s="2">
        <v>46243</v>
      </c>
      <c r="U914">
        <v>100</v>
      </c>
      <c r="V914">
        <v>500</v>
      </c>
      <c r="W914">
        <v>0</v>
      </c>
      <c r="X914">
        <v>800</v>
      </c>
      <c r="Y914">
        <v>0</v>
      </c>
      <c r="Z914" s="8">
        <v>800</v>
      </c>
      <c r="AA914">
        <v>350</v>
      </c>
      <c r="AB914">
        <v>0</v>
      </c>
      <c r="AC914">
        <v>2.2857142857142856</v>
      </c>
      <c r="AD914" s="1">
        <v>30</v>
      </c>
      <c r="AE914" s="2">
        <v>46278</v>
      </c>
      <c r="AF914" s="2">
        <v>46286</v>
      </c>
      <c r="AG914" s="2">
        <v>46293</v>
      </c>
      <c r="AH914">
        <v>200</v>
      </c>
      <c r="AI914" s="3">
        <v>0.25862068965517243</v>
      </c>
      <c r="AJ914" s="1">
        <v>116</v>
      </c>
      <c r="AK914" s="2">
        <v>46379</v>
      </c>
      <c r="AL914" s="4">
        <v>30</v>
      </c>
      <c r="AM914" s="5">
        <v>15</v>
      </c>
      <c r="AN914" s="4">
        <v>30</v>
      </c>
      <c r="AO914">
        <v>206.89655172413794</v>
      </c>
      <c r="AP914" s="4">
        <v>1</v>
      </c>
      <c r="AQ914" t="s">
        <v>1619</v>
      </c>
      <c r="AR914" t="s">
        <v>1620</v>
      </c>
      <c r="AT914" s="16" t="str">
        <f>_xlfn.XLOOKUP(B914,'SWiSH Demand Forecast Sep-26'!D:D,'SWiSH Demand Forecast Sep-26'!G:G,"Not Exist")</f>
        <v>Not Exist</v>
      </c>
    </row>
    <row r="915" spans="1:46" x14ac:dyDescent="0.3">
      <c r="A915">
        <v>103700061</v>
      </c>
      <c r="B915" t="s">
        <v>2827</v>
      </c>
      <c r="C915" t="s">
        <v>136</v>
      </c>
      <c r="D915" t="s">
        <v>1613</v>
      </c>
      <c r="E915" t="s">
        <v>2351</v>
      </c>
      <c r="F915" t="s">
        <v>1615</v>
      </c>
      <c r="G915" t="s">
        <v>1616</v>
      </c>
      <c r="H915" t="s">
        <v>1617</v>
      </c>
      <c r="I915" t="s">
        <v>1618</v>
      </c>
      <c r="J915" t="s">
        <v>2125</v>
      </c>
      <c r="K915">
        <v>10.5</v>
      </c>
      <c r="L915">
        <v>21</v>
      </c>
      <c r="M915" s="1">
        <v>3</v>
      </c>
      <c r="N915">
        <v>0</v>
      </c>
      <c r="O915">
        <v>0</v>
      </c>
      <c r="P915">
        <v>2</v>
      </c>
      <c r="Q915" s="1">
        <v>2</v>
      </c>
      <c r="R915">
        <v>5.25</v>
      </c>
      <c r="S915" s="2">
        <v>46228</v>
      </c>
      <c r="T915" s="2">
        <v>46247</v>
      </c>
      <c r="U915">
        <v>1</v>
      </c>
      <c r="V915">
        <v>1</v>
      </c>
      <c r="W915">
        <v>2</v>
      </c>
      <c r="X915">
        <v>0</v>
      </c>
      <c r="Y915">
        <v>0</v>
      </c>
      <c r="Z915" s="8">
        <v>2</v>
      </c>
      <c r="AA915">
        <v>1</v>
      </c>
      <c r="AB915">
        <v>0</v>
      </c>
      <c r="AC915">
        <v>2</v>
      </c>
      <c r="AD915" s="1">
        <v>30</v>
      </c>
      <c r="AE915" s="2">
        <v>46278</v>
      </c>
      <c r="AF915" s="2">
        <v>46286</v>
      </c>
      <c r="AG915" s="2">
        <v>46293</v>
      </c>
      <c r="AH915">
        <v>2</v>
      </c>
      <c r="AI915" s="3">
        <v>1.0344827586206897</v>
      </c>
      <c r="AJ915" s="1">
        <v>29</v>
      </c>
      <c r="AK915" s="2">
        <v>46292</v>
      </c>
      <c r="AL915" s="4">
        <v>30</v>
      </c>
      <c r="AM915" s="5">
        <v>15</v>
      </c>
      <c r="AN915" s="4">
        <v>29</v>
      </c>
      <c r="AO915">
        <v>2.0689655172413794</v>
      </c>
      <c r="AP915" s="4">
        <v>1</v>
      </c>
      <c r="AQ915" t="s">
        <v>1619</v>
      </c>
      <c r="AR915" t="s">
        <v>1620</v>
      </c>
      <c r="AT915" s="16" t="str">
        <f>_xlfn.XLOOKUP(B915,'SWiSH Demand Forecast Sep-26'!D:D,'SWiSH Demand Forecast Sep-26'!G:G,"Not Exist")</f>
        <v>Not Exist</v>
      </c>
    </row>
    <row r="916" spans="1:46" x14ac:dyDescent="0.3">
      <c r="A916">
        <v>105100001</v>
      </c>
      <c r="B916" t="s">
        <v>2828</v>
      </c>
      <c r="C916" t="s">
        <v>10</v>
      </c>
      <c r="D916" t="s">
        <v>1789</v>
      </c>
      <c r="E916" t="s">
        <v>1732</v>
      </c>
      <c r="F916" t="s">
        <v>1644</v>
      </c>
      <c r="G916" t="s">
        <v>1624</v>
      </c>
      <c r="H916" t="s">
        <v>1985</v>
      </c>
      <c r="I916" t="s">
        <v>1634</v>
      </c>
      <c r="J916" t="s">
        <v>2487</v>
      </c>
      <c r="K916">
        <v>0.33200000000000002</v>
      </c>
      <c r="L916">
        <v>66.400000000000006</v>
      </c>
      <c r="M916" s="1">
        <v>3</v>
      </c>
      <c r="N916">
        <v>0</v>
      </c>
      <c r="O916">
        <v>0</v>
      </c>
      <c r="P916">
        <v>200</v>
      </c>
      <c r="Q916" s="1">
        <v>200</v>
      </c>
      <c r="R916">
        <v>33.200000000000003</v>
      </c>
      <c r="S916" s="2">
        <v>46229</v>
      </c>
      <c r="T916" s="2">
        <v>46179</v>
      </c>
      <c r="U916">
        <v>0</v>
      </c>
      <c r="V916">
        <v>200</v>
      </c>
      <c r="W916">
        <v>100</v>
      </c>
      <c r="X916">
        <v>0</v>
      </c>
      <c r="Y916">
        <v>0</v>
      </c>
      <c r="Z916" s="8">
        <v>200</v>
      </c>
      <c r="AA916">
        <v>75</v>
      </c>
      <c r="AB916">
        <v>0</v>
      </c>
      <c r="AC916">
        <v>2.6666666666666665</v>
      </c>
      <c r="AD916" s="1">
        <v>30</v>
      </c>
      <c r="AE916" s="2">
        <v>46278</v>
      </c>
      <c r="AF916" s="2">
        <v>46286</v>
      </c>
      <c r="AG916" s="2">
        <v>46293</v>
      </c>
      <c r="AH916">
        <v>0</v>
      </c>
      <c r="AI916" s="3">
        <v>0</v>
      </c>
      <c r="AJ916" s="1" t="s">
        <v>1635</v>
      </c>
      <c r="AK916" s="2" t="s">
        <v>1635</v>
      </c>
      <c r="AL916" s="4" t="s">
        <v>1658</v>
      </c>
      <c r="AM916" s="5" t="s">
        <v>1658</v>
      </c>
      <c r="AN916" s="4">
        <v>30</v>
      </c>
      <c r="AO916" t="s">
        <v>1635</v>
      </c>
      <c r="AP916" s="4" t="s">
        <v>1658</v>
      </c>
      <c r="AQ916" t="s">
        <v>1619</v>
      </c>
      <c r="AR916" t="s">
        <v>1620</v>
      </c>
      <c r="AT916" s="16" t="str">
        <f>_xlfn.XLOOKUP(B916,'SWiSH Demand Forecast Sep-26'!D:D,'SWiSH Demand Forecast Sep-26'!G:G,"Not Exist")</f>
        <v>Not Exist</v>
      </c>
    </row>
    <row r="917" spans="1:46" x14ac:dyDescent="0.3">
      <c r="A917">
        <v>101600010</v>
      </c>
      <c r="B917" t="s">
        <v>2829</v>
      </c>
      <c r="C917" t="s">
        <v>10</v>
      </c>
      <c r="D917" t="s">
        <v>1613</v>
      </c>
      <c r="E917" t="s">
        <v>1832</v>
      </c>
      <c r="F917" t="s">
        <v>1631</v>
      </c>
      <c r="G917" t="s">
        <v>1624</v>
      </c>
      <c r="H917" t="s">
        <v>1768</v>
      </c>
      <c r="I917" t="s">
        <v>1634</v>
      </c>
      <c r="J917" t="s">
        <v>2113</v>
      </c>
      <c r="K917">
        <v>1.2999999999999999E-2</v>
      </c>
      <c r="L917">
        <v>13</v>
      </c>
      <c r="M917" s="1">
        <v>3</v>
      </c>
      <c r="N917">
        <v>0</v>
      </c>
      <c r="O917">
        <v>0</v>
      </c>
      <c r="P917">
        <v>1000</v>
      </c>
      <c r="Q917" s="1">
        <v>1000</v>
      </c>
      <c r="R917">
        <v>13</v>
      </c>
      <c r="S917" s="2">
        <v>46228</v>
      </c>
      <c r="T917" s="2">
        <v>46242</v>
      </c>
      <c r="U917">
        <v>1000</v>
      </c>
      <c r="V917">
        <v>1000</v>
      </c>
      <c r="W917">
        <v>1000</v>
      </c>
      <c r="X917">
        <v>0</v>
      </c>
      <c r="Y917">
        <v>0</v>
      </c>
      <c r="Z917" s="8">
        <v>1000</v>
      </c>
      <c r="AA917">
        <v>750</v>
      </c>
      <c r="AB917">
        <v>0</v>
      </c>
      <c r="AC917">
        <v>1.3333333333333333</v>
      </c>
      <c r="AD917" s="1">
        <v>30</v>
      </c>
      <c r="AE917" s="2">
        <v>46278</v>
      </c>
      <c r="AF917" s="2">
        <v>46286</v>
      </c>
      <c r="AG917" s="2">
        <v>46293</v>
      </c>
      <c r="AH917">
        <v>1000</v>
      </c>
      <c r="AI917" s="3">
        <v>1.0344827586206895</v>
      </c>
      <c r="AJ917" s="1">
        <v>29</v>
      </c>
      <c r="AK917" s="2">
        <v>46292</v>
      </c>
      <c r="AL917" s="4">
        <v>30</v>
      </c>
      <c r="AM917" s="5">
        <v>15</v>
      </c>
      <c r="AN917" s="4">
        <v>29</v>
      </c>
      <c r="AO917">
        <v>1034.4827586206895</v>
      </c>
      <c r="AP917" s="4">
        <v>1</v>
      </c>
      <c r="AQ917" t="s">
        <v>1619</v>
      </c>
      <c r="AR917" t="s">
        <v>1620</v>
      </c>
      <c r="AT917" s="16" t="str">
        <f>_xlfn.XLOOKUP(B917,'SWiSH Demand Forecast Sep-26'!D:D,'SWiSH Demand Forecast Sep-26'!G:G,"Not Exist")</f>
        <v>Not Exist</v>
      </c>
    </row>
    <row r="918" spans="1:46" x14ac:dyDescent="0.3">
      <c r="A918">
        <v>106600088</v>
      </c>
      <c r="B918" t="s">
        <v>2830</v>
      </c>
      <c r="C918" t="s">
        <v>10</v>
      </c>
      <c r="D918" t="s">
        <v>1613</v>
      </c>
      <c r="E918" t="s">
        <v>1655</v>
      </c>
      <c r="F918" t="s">
        <v>1664</v>
      </c>
      <c r="G918" t="s">
        <v>1624</v>
      </c>
      <c r="H918" t="s">
        <v>1723</v>
      </c>
      <c r="I918" t="s">
        <v>1634</v>
      </c>
      <c r="J918" t="s">
        <v>10</v>
      </c>
      <c r="K918">
        <v>7.0000000000000001E-3</v>
      </c>
      <c r="L918">
        <v>315</v>
      </c>
      <c r="M918" s="1">
        <v>15</v>
      </c>
      <c r="N918">
        <v>0</v>
      </c>
      <c r="O918">
        <v>0</v>
      </c>
      <c r="P918">
        <v>45000</v>
      </c>
      <c r="Q918" s="1">
        <v>45000</v>
      </c>
      <c r="R918">
        <v>7.0000000000000001E-3</v>
      </c>
      <c r="S918" s="2">
        <v>46203</v>
      </c>
      <c r="T918" s="2">
        <v>46247</v>
      </c>
      <c r="U918">
        <v>5000</v>
      </c>
      <c r="V918">
        <v>43600</v>
      </c>
      <c r="W918">
        <v>14572</v>
      </c>
      <c r="X918">
        <v>0</v>
      </c>
      <c r="Y918">
        <v>0</v>
      </c>
      <c r="Z918" s="8">
        <v>43600</v>
      </c>
      <c r="AA918">
        <v>15793</v>
      </c>
      <c r="AB918">
        <v>0</v>
      </c>
      <c r="AC918">
        <v>2.7607167732539732</v>
      </c>
      <c r="AD918" s="1">
        <v>30</v>
      </c>
      <c r="AE918" s="2">
        <v>46278</v>
      </c>
      <c r="AF918" s="2">
        <v>46286</v>
      </c>
      <c r="AG918" s="2">
        <v>46293</v>
      </c>
      <c r="AH918">
        <v>5000</v>
      </c>
      <c r="AI918" s="3">
        <v>0.11863334387851945</v>
      </c>
      <c r="AJ918" s="1">
        <v>261</v>
      </c>
      <c r="AK918" s="2">
        <v>46524</v>
      </c>
      <c r="AL918" s="4">
        <v>30</v>
      </c>
      <c r="AM918" s="5">
        <v>15</v>
      </c>
      <c r="AN918" s="4">
        <v>30</v>
      </c>
      <c r="AO918">
        <v>5172.4137931034484</v>
      </c>
      <c r="AP918" s="4">
        <v>1</v>
      </c>
      <c r="AQ918">
        <v>50000</v>
      </c>
      <c r="AR918" t="s">
        <v>2034</v>
      </c>
      <c r="AT918" s="16" t="str">
        <f>_xlfn.XLOOKUP(B918,'SWiSH Demand Forecast Sep-26'!D:D,'SWiSH Demand Forecast Sep-26'!G:G,"Not Exist")</f>
        <v>Not Exist</v>
      </c>
    </row>
    <row r="919" spans="1:46" hidden="1" x14ac:dyDescent="0.3">
      <c r="A919">
        <v>106600100</v>
      </c>
      <c r="B919" t="s">
        <v>31</v>
      </c>
      <c r="C919" t="s">
        <v>10</v>
      </c>
      <c r="D919" t="s">
        <v>1613</v>
      </c>
      <c r="E919" t="s">
        <v>1663</v>
      </c>
      <c r="F919" t="s">
        <v>1664</v>
      </c>
      <c r="G919" t="s">
        <v>1624</v>
      </c>
      <c r="H919" t="s">
        <v>1723</v>
      </c>
      <c r="I919" t="s">
        <v>1634</v>
      </c>
      <c r="J919" t="s">
        <v>10</v>
      </c>
      <c r="K919">
        <v>4.9768599999999996E-3</v>
      </c>
      <c r="L919">
        <v>273.72729999999996</v>
      </c>
      <c r="M919" s="1">
        <v>15</v>
      </c>
      <c r="N919">
        <v>0</v>
      </c>
      <c r="O919">
        <v>0</v>
      </c>
      <c r="P919">
        <v>55000</v>
      </c>
      <c r="Q919" s="1">
        <v>55000</v>
      </c>
      <c r="R919">
        <v>5.4000000000000003E-3</v>
      </c>
      <c r="S919" s="2">
        <v>46198</v>
      </c>
      <c r="T919" s="2">
        <v>46252</v>
      </c>
      <c r="U919">
        <v>35000</v>
      </c>
      <c r="V919">
        <v>45000</v>
      </c>
      <c r="W919">
        <v>50000</v>
      </c>
      <c r="X919">
        <v>55000</v>
      </c>
      <c r="Y919">
        <v>35000</v>
      </c>
      <c r="Z919" s="8">
        <v>55000</v>
      </c>
      <c r="AA919">
        <v>46250</v>
      </c>
      <c r="AB919">
        <v>0.7567567567567568</v>
      </c>
      <c r="AC919">
        <v>1.1891891891891893</v>
      </c>
      <c r="AD919" s="1">
        <v>30</v>
      </c>
      <c r="AE919" s="2">
        <v>46278</v>
      </c>
      <c r="AF919" s="2">
        <v>46286</v>
      </c>
      <c r="AG919" s="2">
        <v>46293</v>
      </c>
      <c r="AH919">
        <v>45000</v>
      </c>
      <c r="AI919" s="3">
        <v>0.8463949843260189</v>
      </c>
      <c r="AJ919" s="1">
        <v>35</v>
      </c>
      <c r="AK919" s="2">
        <v>46298</v>
      </c>
      <c r="AL919" s="4">
        <v>30</v>
      </c>
      <c r="AM919" s="5">
        <v>15</v>
      </c>
      <c r="AN919" s="4">
        <v>30</v>
      </c>
      <c r="AO919">
        <v>46551.724137931036</v>
      </c>
      <c r="AP919" s="4">
        <v>1</v>
      </c>
      <c r="AQ919">
        <v>125000</v>
      </c>
      <c r="AR919" t="s">
        <v>2034</v>
      </c>
      <c r="AT919" s="16">
        <f>_xlfn.XLOOKUP(B919,'SWiSH Demand Forecast Sep-26'!D:D,'SWiSH Demand Forecast Sep-26'!G:G,"Not Exist")</f>
        <v>83768</v>
      </c>
    </row>
    <row r="920" spans="1:46" x14ac:dyDescent="0.3">
      <c r="A920">
        <v>105700000</v>
      </c>
      <c r="B920" t="s">
        <v>2831</v>
      </c>
      <c r="C920" t="s">
        <v>10</v>
      </c>
      <c r="D920" t="s">
        <v>1699</v>
      </c>
      <c r="E920" t="s">
        <v>1832</v>
      </c>
      <c r="F920" t="s">
        <v>1631</v>
      </c>
      <c r="G920" t="s">
        <v>1624</v>
      </c>
      <c r="H920" t="s">
        <v>2574</v>
      </c>
      <c r="I920" t="s">
        <v>1634</v>
      </c>
      <c r="J920" t="s">
        <v>2113</v>
      </c>
      <c r="K920">
        <v>5.0000000000000001E-3</v>
      </c>
      <c r="L920">
        <v>5</v>
      </c>
      <c r="M920" s="1">
        <v>7</v>
      </c>
      <c r="N920">
        <v>0</v>
      </c>
      <c r="O920">
        <v>0</v>
      </c>
      <c r="P920">
        <v>1000</v>
      </c>
      <c r="Q920" s="1">
        <v>1000</v>
      </c>
      <c r="R920">
        <v>5.5</v>
      </c>
      <c r="S920" s="2">
        <v>46192</v>
      </c>
      <c r="T920" s="2">
        <v>46242</v>
      </c>
      <c r="U920">
        <v>1000</v>
      </c>
      <c r="V920">
        <v>1000</v>
      </c>
      <c r="W920">
        <v>0</v>
      </c>
      <c r="X920">
        <v>0</v>
      </c>
      <c r="Y920">
        <v>0</v>
      </c>
      <c r="Z920" s="8">
        <v>1000</v>
      </c>
      <c r="AA920">
        <v>500</v>
      </c>
      <c r="AB920">
        <v>0</v>
      </c>
      <c r="AC920">
        <v>2</v>
      </c>
      <c r="AD920" s="1">
        <v>30</v>
      </c>
      <c r="AE920" s="2">
        <v>46278</v>
      </c>
      <c r="AF920" s="2">
        <v>46286</v>
      </c>
      <c r="AG920" s="2">
        <v>46293</v>
      </c>
      <c r="AH920">
        <v>1000</v>
      </c>
      <c r="AI920" s="3">
        <v>1.0344827586206895</v>
      </c>
      <c r="AJ920" s="1">
        <v>29</v>
      </c>
      <c r="AK920" s="2">
        <v>46292</v>
      </c>
      <c r="AL920" s="4" t="s">
        <v>1658</v>
      </c>
      <c r="AM920" s="5" t="s">
        <v>1658</v>
      </c>
      <c r="AN920" s="4">
        <v>29</v>
      </c>
      <c r="AO920" t="s">
        <v>1635</v>
      </c>
      <c r="AP920" s="4" t="s">
        <v>1658</v>
      </c>
      <c r="AQ920" t="s">
        <v>1619</v>
      </c>
      <c r="AR920" t="s">
        <v>1620</v>
      </c>
      <c r="AT920" s="16" t="str">
        <f>_xlfn.XLOOKUP(B920,'SWiSH Demand Forecast Sep-26'!D:D,'SWiSH Demand Forecast Sep-26'!G:G,"Not Exist")</f>
        <v>Not Exist</v>
      </c>
    </row>
    <row r="921" spans="1:46" hidden="1" x14ac:dyDescent="0.3">
      <c r="A921">
        <v>103400009</v>
      </c>
      <c r="B921" t="s">
        <v>829</v>
      </c>
      <c r="C921" t="s">
        <v>136</v>
      </c>
      <c r="D921" t="s">
        <v>1613</v>
      </c>
      <c r="E921" t="s">
        <v>1701</v>
      </c>
      <c r="F921" t="s">
        <v>1752</v>
      </c>
      <c r="G921" t="s">
        <v>1616</v>
      </c>
      <c r="H921" t="s">
        <v>1931</v>
      </c>
      <c r="I921" t="s">
        <v>1754</v>
      </c>
      <c r="J921" t="s">
        <v>2832</v>
      </c>
      <c r="K921">
        <v>1.19792089</v>
      </c>
      <c r="L921">
        <v>632.50222991999999</v>
      </c>
      <c r="M921" s="1">
        <v>3</v>
      </c>
      <c r="N921">
        <v>0</v>
      </c>
      <c r="O921">
        <v>0</v>
      </c>
      <c r="P921">
        <v>528</v>
      </c>
      <c r="Q921" s="1">
        <v>528</v>
      </c>
      <c r="R921">
        <v>11.5</v>
      </c>
      <c r="S921" s="2">
        <v>46175</v>
      </c>
      <c r="T921" s="2">
        <v>46261</v>
      </c>
      <c r="U921">
        <v>508.80000000000052</v>
      </c>
      <c r="V921">
        <v>518.40000000000055</v>
      </c>
      <c r="W921">
        <v>345.60000000000014</v>
      </c>
      <c r="X921">
        <v>336.00000000000011</v>
      </c>
      <c r="Y921">
        <v>336.00000000000011</v>
      </c>
      <c r="Z921" s="8">
        <v>518.40000000000055</v>
      </c>
      <c r="AA921">
        <v>427.20000000000039</v>
      </c>
      <c r="AB921">
        <v>0.78651685393258386</v>
      </c>
      <c r="AC921">
        <v>1.2134831460674158</v>
      </c>
      <c r="AD921" s="1">
        <v>30</v>
      </c>
      <c r="AE921" s="2">
        <v>46278</v>
      </c>
      <c r="AF921" s="2">
        <v>46286</v>
      </c>
      <c r="AG921" s="2">
        <v>46293</v>
      </c>
      <c r="AH921">
        <v>278.39999999999998</v>
      </c>
      <c r="AI921" s="3">
        <v>0.55555555555555503</v>
      </c>
      <c r="AJ921" s="1">
        <v>55</v>
      </c>
      <c r="AK921" s="2">
        <v>46318</v>
      </c>
      <c r="AL921" s="4">
        <v>15</v>
      </c>
      <c r="AM921" s="5">
        <v>15</v>
      </c>
      <c r="AN921" s="4">
        <v>30</v>
      </c>
      <c r="AO921">
        <v>144</v>
      </c>
      <c r="AP921" s="4">
        <v>2</v>
      </c>
      <c r="AQ921" t="s">
        <v>1619</v>
      </c>
      <c r="AR921" t="s">
        <v>1620</v>
      </c>
      <c r="AT921" s="16">
        <f>_xlfn.XLOOKUP(B921,'SWiSH Demand Forecast Sep-26'!D:D,'SWiSH Demand Forecast Sep-26'!G:G,"Not Exist")</f>
        <v>350.62381598062899</v>
      </c>
    </row>
    <row r="922" spans="1:46" x14ac:dyDescent="0.3">
      <c r="A922">
        <v>106700098</v>
      </c>
      <c r="B922" t="s">
        <v>2833</v>
      </c>
      <c r="C922" t="s">
        <v>10</v>
      </c>
      <c r="D922" t="s">
        <v>1613</v>
      </c>
      <c r="E922" t="s">
        <v>2834</v>
      </c>
      <c r="F922" t="s">
        <v>1650</v>
      </c>
      <c r="G922" t="s">
        <v>1624</v>
      </c>
      <c r="H922" t="s">
        <v>1651</v>
      </c>
      <c r="I922" t="s">
        <v>1634</v>
      </c>
      <c r="J922" t="s">
        <v>10</v>
      </c>
      <c r="K922">
        <v>0.25</v>
      </c>
      <c r="L922">
        <v>0.75</v>
      </c>
      <c r="M922" s="1">
        <v>3</v>
      </c>
      <c r="N922">
        <v>0</v>
      </c>
      <c r="O922">
        <v>0</v>
      </c>
      <c r="P922">
        <v>3</v>
      </c>
      <c r="Q922" s="1">
        <v>3</v>
      </c>
      <c r="R922">
        <v>0.25</v>
      </c>
      <c r="S922" s="2">
        <v>46025</v>
      </c>
      <c r="T922" s="2">
        <v>46248</v>
      </c>
      <c r="U922">
        <v>2</v>
      </c>
      <c r="V922">
        <v>0</v>
      </c>
      <c r="W922">
        <v>0</v>
      </c>
      <c r="X922">
        <v>3</v>
      </c>
      <c r="Y922">
        <v>0</v>
      </c>
      <c r="Z922" s="8">
        <v>3</v>
      </c>
      <c r="AA922">
        <v>1.25</v>
      </c>
      <c r="AB922">
        <v>0</v>
      </c>
      <c r="AC922">
        <v>2.4</v>
      </c>
      <c r="AD922" s="1">
        <v>30</v>
      </c>
      <c r="AE922" s="2">
        <v>46278</v>
      </c>
      <c r="AF922" s="2">
        <v>46286</v>
      </c>
      <c r="AG922" s="2">
        <v>46293</v>
      </c>
      <c r="AH922">
        <v>2</v>
      </c>
      <c r="AI922" s="3">
        <v>0.68965517241379315</v>
      </c>
      <c r="AJ922" s="1">
        <v>43</v>
      </c>
      <c r="AK922" s="2">
        <v>46306</v>
      </c>
      <c r="AL922" s="4">
        <v>30</v>
      </c>
      <c r="AM922" s="5">
        <v>15</v>
      </c>
      <c r="AN922" s="4">
        <v>30</v>
      </c>
      <c r="AO922">
        <v>2.0689655172413794</v>
      </c>
      <c r="AP922" s="4">
        <v>1</v>
      </c>
      <c r="AQ922" t="s">
        <v>1619</v>
      </c>
      <c r="AR922" t="s">
        <v>1620</v>
      </c>
      <c r="AT922" s="16" t="str">
        <f>_xlfn.XLOOKUP(B922,'SWiSH Demand Forecast Sep-26'!D:D,'SWiSH Demand Forecast Sep-26'!G:G,"Not Exist")</f>
        <v>Not Exist</v>
      </c>
    </row>
    <row r="923" spans="1:46" x14ac:dyDescent="0.3">
      <c r="A923">
        <v>106700108</v>
      </c>
      <c r="B923" t="s">
        <v>2835</v>
      </c>
      <c r="C923" t="s">
        <v>10</v>
      </c>
      <c r="D923" t="s">
        <v>1613</v>
      </c>
      <c r="E923" t="s">
        <v>2836</v>
      </c>
      <c r="F923" t="s">
        <v>1650</v>
      </c>
      <c r="G923" t="s">
        <v>1624</v>
      </c>
      <c r="H923" t="s">
        <v>1651</v>
      </c>
      <c r="I923" t="s">
        <v>1634</v>
      </c>
      <c r="J923" t="s">
        <v>1688</v>
      </c>
      <c r="K923">
        <v>0.14583333000000001</v>
      </c>
      <c r="L923">
        <v>10.208333100000001</v>
      </c>
      <c r="M923" s="1">
        <v>3</v>
      </c>
      <c r="N923">
        <v>0</v>
      </c>
      <c r="O923">
        <v>0</v>
      </c>
      <c r="P923">
        <v>70</v>
      </c>
      <c r="Q923" s="1">
        <v>70</v>
      </c>
      <c r="R923">
        <v>1.75</v>
      </c>
      <c r="S923" s="2">
        <v>46083</v>
      </c>
      <c r="T923" s="2">
        <v>46252</v>
      </c>
      <c r="U923">
        <v>47</v>
      </c>
      <c r="V923">
        <v>0</v>
      </c>
      <c r="W923">
        <v>52</v>
      </c>
      <c r="X923">
        <v>70</v>
      </c>
      <c r="Y923">
        <v>0</v>
      </c>
      <c r="Z923" s="8">
        <v>70</v>
      </c>
      <c r="AA923">
        <v>42.25</v>
      </c>
      <c r="AB923">
        <v>0</v>
      </c>
      <c r="AC923">
        <v>1.6568047337278107</v>
      </c>
      <c r="AD923" s="1">
        <v>30</v>
      </c>
      <c r="AE923" s="2">
        <v>46278</v>
      </c>
      <c r="AF923" s="2">
        <v>46286</v>
      </c>
      <c r="AG923" s="2">
        <v>46293</v>
      </c>
      <c r="AH923">
        <v>4</v>
      </c>
      <c r="AI923" s="3">
        <v>5.9113300492610842E-2</v>
      </c>
      <c r="AJ923" s="1">
        <v>507</v>
      </c>
      <c r="AK923" s="2">
        <v>46770</v>
      </c>
      <c r="AL923" s="4">
        <v>30</v>
      </c>
      <c r="AM923" s="5">
        <v>15</v>
      </c>
      <c r="AN923" s="4">
        <v>30</v>
      </c>
      <c r="AO923">
        <v>4.1379310344827589</v>
      </c>
      <c r="AP923" s="4">
        <v>1</v>
      </c>
      <c r="AQ923" t="s">
        <v>1619</v>
      </c>
      <c r="AR923" t="s">
        <v>2335</v>
      </c>
      <c r="AT923" s="16" t="str">
        <f>_xlfn.XLOOKUP(B923,'SWiSH Demand Forecast Sep-26'!D:D,'SWiSH Demand Forecast Sep-26'!G:G,"Not Exist")</f>
        <v>Not Exist</v>
      </c>
    </row>
    <row r="924" spans="1:46" x14ac:dyDescent="0.3">
      <c r="A924">
        <v>104200062</v>
      </c>
      <c r="B924" t="s">
        <v>2837</v>
      </c>
      <c r="C924" t="s">
        <v>10</v>
      </c>
      <c r="D924" t="s">
        <v>1613</v>
      </c>
      <c r="E924" t="s">
        <v>1926</v>
      </c>
      <c r="F924" t="s">
        <v>1631</v>
      </c>
      <c r="G924" t="s">
        <v>1624</v>
      </c>
      <c r="H924" t="s">
        <v>1633</v>
      </c>
      <c r="I924" t="s">
        <v>1634</v>
      </c>
      <c r="J924" t="s">
        <v>10</v>
      </c>
      <c r="K924">
        <v>0.75</v>
      </c>
      <c r="L924">
        <v>33</v>
      </c>
      <c r="M924" s="1">
        <v>3</v>
      </c>
      <c r="N924">
        <v>0</v>
      </c>
      <c r="O924">
        <v>0</v>
      </c>
      <c r="P924">
        <v>44</v>
      </c>
      <c r="Q924" s="1">
        <v>44</v>
      </c>
      <c r="R924">
        <v>0.75</v>
      </c>
      <c r="S924" s="2">
        <v>46247</v>
      </c>
      <c r="T924" s="2">
        <v>46262</v>
      </c>
      <c r="U924">
        <v>28</v>
      </c>
      <c r="V924">
        <v>41</v>
      </c>
      <c r="W924">
        <v>23</v>
      </c>
      <c r="X924">
        <v>44</v>
      </c>
      <c r="Y924">
        <v>23</v>
      </c>
      <c r="Z924" s="8">
        <v>44</v>
      </c>
      <c r="AA924">
        <v>34</v>
      </c>
      <c r="AB924">
        <v>0.67647058823529416</v>
      </c>
      <c r="AC924">
        <v>1.2941176470588236</v>
      </c>
      <c r="AD924" s="1">
        <v>30</v>
      </c>
      <c r="AE924" s="2">
        <v>46278</v>
      </c>
      <c r="AF924" s="2">
        <v>46286</v>
      </c>
      <c r="AG924" s="2">
        <v>46293</v>
      </c>
      <c r="AH924">
        <v>28</v>
      </c>
      <c r="AI924" s="3">
        <v>0.65830721003134796</v>
      </c>
      <c r="AJ924" s="1">
        <v>45</v>
      </c>
      <c r="AK924" s="2">
        <v>46308</v>
      </c>
      <c r="AL924" s="4">
        <v>30</v>
      </c>
      <c r="AM924" s="5">
        <v>15</v>
      </c>
      <c r="AN924" s="4">
        <v>30</v>
      </c>
      <c r="AO924">
        <v>28.96551724137931</v>
      </c>
      <c r="AP924" s="4">
        <v>1</v>
      </c>
      <c r="AQ924" t="s">
        <v>1619</v>
      </c>
      <c r="AR924" t="s">
        <v>1620</v>
      </c>
      <c r="AT924" s="16" t="str">
        <f>_xlfn.XLOOKUP(B924,'SWiSH Demand Forecast Sep-26'!D:D,'SWiSH Demand Forecast Sep-26'!G:G,"Not Exist")</f>
        <v>Not Exist</v>
      </c>
    </row>
    <row r="925" spans="1:46" x14ac:dyDescent="0.3">
      <c r="A925">
        <v>105500014</v>
      </c>
      <c r="B925" t="s">
        <v>2838</v>
      </c>
      <c r="C925" t="s">
        <v>136</v>
      </c>
      <c r="D925" t="s">
        <v>1613</v>
      </c>
      <c r="E925" t="s">
        <v>1832</v>
      </c>
      <c r="F925" t="s">
        <v>1840</v>
      </c>
      <c r="G925" t="s">
        <v>1616</v>
      </c>
      <c r="H925" t="s">
        <v>1841</v>
      </c>
      <c r="I925" t="s">
        <v>1618</v>
      </c>
      <c r="J925" t="s">
        <v>1942</v>
      </c>
      <c r="K925">
        <v>0.42</v>
      </c>
      <c r="L925">
        <v>12.6</v>
      </c>
      <c r="M925" s="1">
        <v>3</v>
      </c>
      <c r="N925">
        <v>0</v>
      </c>
      <c r="O925">
        <v>0</v>
      </c>
      <c r="P925">
        <v>30</v>
      </c>
      <c r="Q925" s="1">
        <v>30</v>
      </c>
      <c r="R925">
        <v>4.2</v>
      </c>
      <c r="S925" s="2">
        <v>46237</v>
      </c>
      <c r="T925" s="2">
        <v>46260</v>
      </c>
      <c r="U925">
        <v>30</v>
      </c>
      <c r="V925">
        <v>30</v>
      </c>
      <c r="W925">
        <v>20</v>
      </c>
      <c r="X925">
        <v>30</v>
      </c>
      <c r="Y925">
        <v>20</v>
      </c>
      <c r="Z925" s="8">
        <v>30</v>
      </c>
      <c r="AA925">
        <v>27.5</v>
      </c>
      <c r="AB925">
        <v>0.72727272727272729</v>
      </c>
      <c r="AC925">
        <v>1.0909090909090908</v>
      </c>
      <c r="AD925" s="1">
        <v>30</v>
      </c>
      <c r="AE925" s="2">
        <v>46278</v>
      </c>
      <c r="AF925" s="2">
        <v>46286</v>
      </c>
      <c r="AG925" s="2">
        <v>46293</v>
      </c>
      <c r="AH925">
        <v>20</v>
      </c>
      <c r="AI925" s="3">
        <v>0.68965517241379315</v>
      </c>
      <c r="AJ925" s="1">
        <v>43</v>
      </c>
      <c r="AK925" s="2">
        <v>46306</v>
      </c>
      <c r="AL925" s="4">
        <v>30</v>
      </c>
      <c r="AM925" s="5">
        <v>15</v>
      </c>
      <c r="AN925" s="4">
        <v>30</v>
      </c>
      <c r="AO925">
        <v>20.689655172413794</v>
      </c>
      <c r="AP925" s="4">
        <v>1</v>
      </c>
      <c r="AQ925" t="s">
        <v>1619</v>
      </c>
      <c r="AR925" t="s">
        <v>1620</v>
      </c>
      <c r="AT925" s="16" t="str">
        <f>_xlfn.XLOOKUP(B925,'SWiSH Demand Forecast Sep-26'!D:D,'SWiSH Demand Forecast Sep-26'!G:G,"Not Exist")</f>
        <v>Not Exist</v>
      </c>
    </row>
    <row r="926" spans="1:46" hidden="1" x14ac:dyDescent="0.3">
      <c r="A926">
        <v>104000000</v>
      </c>
      <c r="B926" t="s">
        <v>863</v>
      </c>
      <c r="C926" t="s">
        <v>10</v>
      </c>
      <c r="D926" t="s">
        <v>1613</v>
      </c>
      <c r="E926" t="s">
        <v>1926</v>
      </c>
      <c r="F926" t="s">
        <v>1639</v>
      </c>
      <c r="G926" t="s">
        <v>1616</v>
      </c>
      <c r="H926" t="s">
        <v>1850</v>
      </c>
      <c r="I926" t="s">
        <v>1618</v>
      </c>
      <c r="J926" t="s">
        <v>2579</v>
      </c>
      <c r="K926">
        <v>0.1</v>
      </c>
      <c r="L926">
        <v>14.4</v>
      </c>
      <c r="M926" s="1">
        <v>3</v>
      </c>
      <c r="N926">
        <v>0</v>
      </c>
      <c r="O926">
        <v>0</v>
      </c>
      <c r="P926">
        <v>144</v>
      </c>
      <c r="Q926" s="1">
        <v>144</v>
      </c>
      <c r="R926">
        <v>1.8</v>
      </c>
      <c r="S926" s="2">
        <v>46253</v>
      </c>
      <c r="T926" s="2">
        <v>46256</v>
      </c>
      <c r="U926">
        <v>144</v>
      </c>
      <c r="V926">
        <v>72</v>
      </c>
      <c r="W926">
        <v>144</v>
      </c>
      <c r="X926">
        <v>54</v>
      </c>
      <c r="Y926">
        <v>54</v>
      </c>
      <c r="Z926" s="8">
        <v>144</v>
      </c>
      <c r="AA926">
        <v>103.5</v>
      </c>
      <c r="AB926">
        <v>0.52173913043478259</v>
      </c>
      <c r="AC926">
        <v>1.3913043478260869</v>
      </c>
      <c r="AD926" s="1">
        <v>30</v>
      </c>
      <c r="AE926" s="2">
        <v>46278</v>
      </c>
      <c r="AF926" s="2">
        <v>46286</v>
      </c>
      <c r="AG926" s="2">
        <v>46293</v>
      </c>
      <c r="AH926">
        <v>126</v>
      </c>
      <c r="AI926" s="3">
        <v>0.90517241379310343</v>
      </c>
      <c r="AJ926" s="1">
        <v>33</v>
      </c>
      <c r="AK926" s="2">
        <v>46296</v>
      </c>
      <c r="AL926" s="4">
        <v>30</v>
      </c>
      <c r="AM926" s="5">
        <v>15</v>
      </c>
      <c r="AN926" s="4">
        <v>30</v>
      </c>
      <c r="AO926">
        <v>130.34482758620689</v>
      </c>
      <c r="AP926" s="4">
        <v>1</v>
      </c>
      <c r="AQ926" t="s">
        <v>1619</v>
      </c>
      <c r="AR926" t="s">
        <v>1620</v>
      </c>
      <c r="AT926" s="16">
        <f>_xlfn.XLOOKUP(B926,'SWiSH Demand Forecast Sep-26'!D:D,'SWiSH Demand Forecast Sep-26'!G:G,"Not Exist")</f>
        <v>286</v>
      </c>
    </row>
    <row r="927" spans="1:46" x14ac:dyDescent="0.3">
      <c r="A927">
        <v>103900001</v>
      </c>
      <c r="B927" t="s">
        <v>2839</v>
      </c>
      <c r="C927" t="s">
        <v>136</v>
      </c>
      <c r="D927" t="s">
        <v>1613</v>
      </c>
      <c r="E927" t="s">
        <v>2840</v>
      </c>
      <c r="F927" t="s">
        <v>1840</v>
      </c>
      <c r="G927" t="s">
        <v>1616</v>
      </c>
      <c r="H927" t="s">
        <v>2063</v>
      </c>
      <c r="I927" t="s">
        <v>1618</v>
      </c>
      <c r="J927" t="s">
        <v>2841</v>
      </c>
      <c r="K927">
        <v>2.4249999999999998</v>
      </c>
      <c r="L927">
        <v>89.239999999999981</v>
      </c>
      <c r="M927" s="1">
        <v>3</v>
      </c>
      <c r="N927">
        <v>0</v>
      </c>
      <c r="O927">
        <v>0</v>
      </c>
      <c r="P927">
        <v>36.799999999999997</v>
      </c>
      <c r="Q927" s="1">
        <v>36.799999999999997</v>
      </c>
      <c r="R927">
        <v>16</v>
      </c>
      <c r="S927" s="2">
        <v>46240</v>
      </c>
      <c r="T927" s="2">
        <v>46260</v>
      </c>
      <c r="U927">
        <v>25.200000000000003</v>
      </c>
      <c r="V927">
        <v>32.79999999999999</v>
      </c>
      <c r="W927">
        <v>35.999999999999986</v>
      </c>
      <c r="X927">
        <v>29.199999999999996</v>
      </c>
      <c r="Y927">
        <v>25.200000000000003</v>
      </c>
      <c r="Z927" s="8">
        <v>35.999999999999986</v>
      </c>
      <c r="AA927">
        <v>30.79999999999999</v>
      </c>
      <c r="AB927">
        <v>0.81818181818181857</v>
      </c>
      <c r="AC927">
        <v>1.1688311688311688</v>
      </c>
      <c r="AD927" s="1">
        <v>30</v>
      </c>
      <c r="AE927" s="2">
        <v>46278</v>
      </c>
      <c r="AF927" s="2">
        <v>46286</v>
      </c>
      <c r="AG927" s="2">
        <v>46293</v>
      </c>
      <c r="AH927">
        <v>24.799999999999994</v>
      </c>
      <c r="AI927" s="3">
        <v>0.71264367816091967</v>
      </c>
      <c r="AJ927" s="1">
        <v>43</v>
      </c>
      <c r="AK927" s="2">
        <v>46306</v>
      </c>
      <c r="AL927" s="4">
        <v>30</v>
      </c>
      <c r="AM927" s="5">
        <v>15</v>
      </c>
      <c r="AN927" s="4">
        <v>30</v>
      </c>
      <c r="AO927">
        <v>25.6551724137931</v>
      </c>
      <c r="AP927" s="4">
        <v>1</v>
      </c>
      <c r="AQ927" t="s">
        <v>1619</v>
      </c>
      <c r="AR927" t="s">
        <v>1620</v>
      </c>
      <c r="AT927" s="16" t="str">
        <f>_xlfn.XLOOKUP(B927,'SWiSH Demand Forecast Sep-26'!D:D,'SWiSH Demand Forecast Sep-26'!G:G,"Not Exist")</f>
        <v>Not Exist</v>
      </c>
    </row>
    <row r="928" spans="1:46" hidden="1" x14ac:dyDescent="0.3">
      <c r="A928">
        <v>100400033</v>
      </c>
      <c r="B928" t="s">
        <v>96</v>
      </c>
      <c r="C928" t="s">
        <v>10</v>
      </c>
      <c r="D928" t="s">
        <v>1613</v>
      </c>
      <c r="E928" t="s">
        <v>1775</v>
      </c>
      <c r="F928" t="s">
        <v>1664</v>
      </c>
      <c r="G928" t="s">
        <v>1624</v>
      </c>
      <c r="H928" t="s">
        <v>1810</v>
      </c>
      <c r="I928" t="s">
        <v>1634</v>
      </c>
      <c r="J928" t="s">
        <v>10</v>
      </c>
      <c r="K928">
        <v>5.5325900000000004E-3</v>
      </c>
      <c r="L928">
        <v>221.30360000000002</v>
      </c>
      <c r="M928" s="1">
        <v>30</v>
      </c>
      <c r="N928">
        <v>0</v>
      </c>
      <c r="O928">
        <v>0</v>
      </c>
      <c r="P928">
        <v>40000</v>
      </c>
      <c r="Q928" s="1">
        <v>40000</v>
      </c>
      <c r="R928">
        <v>5.4999999999999997E-3</v>
      </c>
      <c r="S928" s="2">
        <v>46211</v>
      </c>
      <c r="T928" s="2">
        <v>46262</v>
      </c>
      <c r="U928">
        <v>39300</v>
      </c>
      <c r="V928">
        <v>22000</v>
      </c>
      <c r="W928">
        <v>16000</v>
      </c>
      <c r="X928">
        <v>28000</v>
      </c>
      <c r="Y928">
        <v>16000</v>
      </c>
      <c r="Z928" s="8">
        <v>39300</v>
      </c>
      <c r="AA928">
        <v>26325</v>
      </c>
      <c r="AB928">
        <v>0.6077872744539411</v>
      </c>
      <c r="AC928">
        <v>1.4928774928774928</v>
      </c>
      <c r="AD928" s="1">
        <v>30</v>
      </c>
      <c r="AE928" s="2">
        <v>46278</v>
      </c>
      <c r="AF928" s="2">
        <v>46286</v>
      </c>
      <c r="AG928" s="2">
        <v>46293</v>
      </c>
      <c r="AH928">
        <v>16000</v>
      </c>
      <c r="AI928" s="3">
        <v>0.4211634640694919</v>
      </c>
      <c r="AJ928" s="1">
        <v>72</v>
      </c>
      <c r="AK928" s="2">
        <v>46335</v>
      </c>
      <c r="AL928" s="4">
        <v>30</v>
      </c>
      <c r="AM928" s="5">
        <v>15</v>
      </c>
      <c r="AN928" s="4">
        <v>30</v>
      </c>
      <c r="AO928">
        <v>16551.724137931033</v>
      </c>
      <c r="AP928" s="4">
        <v>1</v>
      </c>
      <c r="AQ928">
        <v>70000</v>
      </c>
      <c r="AR928" t="s">
        <v>2076</v>
      </c>
      <c r="AT928" s="16">
        <f>_xlfn.XLOOKUP(B928,'SWiSH Demand Forecast Sep-26'!D:D,'SWiSH Demand Forecast Sep-26'!G:G,"Not Exist")</f>
        <v>19499</v>
      </c>
    </row>
    <row r="929" spans="1:46" hidden="1" x14ac:dyDescent="0.3">
      <c r="A929">
        <v>106800087</v>
      </c>
      <c r="B929" t="s">
        <v>280</v>
      </c>
      <c r="C929" t="s">
        <v>10</v>
      </c>
      <c r="D929" t="s">
        <v>1613</v>
      </c>
      <c r="E929" t="s">
        <v>1655</v>
      </c>
      <c r="F929" t="s">
        <v>1664</v>
      </c>
      <c r="G929" t="s">
        <v>1624</v>
      </c>
      <c r="H929" t="s">
        <v>1665</v>
      </c>
      <c r="I929" t="s">
        <v>1634</v>
      </c>
      <c r="J929" t="s">
        <v>10</v>
      </c>
      <c r="K929">
        <v>4.9315599999999998E-3</v>
      </c>
      <c r="L929">
        <v>44.384039999999999</v>
      </c>
      <c r="M929" s="1">
        <v>7</v>
      </c>
      <c r="N929">
        <v>0</v>
      </c>
      <c r="O929">
        <v>0</v>
      </c>
      <c r="P929">
        <v>9000</v>
      </c>
      <c r="Q929" s="1">
        <v>9000</v>
      </c>
      <c r="R929">
        <v>5.0000000000000001E-3</v>
      </c>
      <c r="S929" s="2">
        <v>46216</v>
      </c>
      <c r="T929" s="2">
        <v>46261</v>
      </c>
      <c r="U929">
        <v>7000</v>
      </c>
      <c r="V929">
        <v>5000</v>
      </c>
      <c r="W929">
        <v>1000</v>
      </c>
      <c r="X929">
        <v>9000</v>
      </c>
      <c r="Y929">
        <v>1000</v>
      </c>
      <c r="Z929" s="8">
        <v>9000</v>
      </c>
      <c r="AA929">
        <v>5500</v>
      </c>
      <c r="AB929">
        <v>0.18181818181818182</v>
      </c>
      <c r="AC929">
        <v>1.6363636363636365</v>
      </c>
      <c r="AD929" s="1">
        <v>30</v>
      </c>
      <c r="AE929" s="2">
        <v>46278</v>
      </c>
      <c r="AF929" s="2">
        <v>46286</v>
      </c>
      <c r="AG929" s="2">
        <v>46293</v>
      </c>
      <c r="AH929">
        <v>6000</v>
      </c>
      <c r="AI929" s="3">
        <v>0.68965517241379304</v>
      </c>
      <c r="AJ929" s="1">
        <v>43</v>
      </c>
      <c r="AK929" s="2">
        <v>46306</v>
      </c>
      <c r="AL929" s="4">
        <v>30</v>
      </c>
      <c r="AM929" s="5">
        <v>15</v>
      </c>
      <c r="AN929" s="4">
        <v>30</v>
      </c>
      <c r="AO929">
        <v>6206.8965517241377</v>
      </c>
      <c r="AP929" s="4">
        <v>1</v>
      </c>
      <c r="AQ929">
        <v>55000</v>
      </c>
      <c r="AR929" t="s">
        <v>1829</v>
      </c>
      <c r="AT929" s="16">
        <f>_xlfn.XLOOKUP(B929,'SWiSH Demand Forecast Sep-26'!D:D,'SWiSH Demand Forecast Sep-26'!G:G,"Not Exist")</f>
        <v>5574</v>
      </c>
    </row>
    <row r="930" spans="1:46" x14ac:dyDescent="0.3">
      <c r="A930">
        <v>105200020</v>
      </c>
      <c r="B930" t="s">
        <v>2842</v>
      </c>
      <c r="C930" t="s">
        <v>10</v>
      </c>
      <c r="D930" t="s">
        <v>1613</v>
      </c>
      <c r="E930" t="s">
        <v>1638</v>
      </c>
      <c r="F930" t="s">
        <v>1664</v>
      </c>
      <c r="G930" t="s">
        <v>1624</v>
      </c>
      <c r="H930" t="s">
        <v>1779</v>
      </c>
      <c r="I930" t="s">
        <v>1634</v>
      </c>
      <c r="J930" t="s">
        <v>10</v>
      </c>
      <c r="K930">
        <v>1.2E-2</v>
      </c>
      <c r="L930">
        <v>732</v>
      </c>
      <c r="M930" s="1">
        <v>30</v>
      </c>
      <c r="N930">
        <v>0</v>
      </c>
      <c r="O930">
        <v>0</v>
      </c>
      <c r="P930">
        <v>61000</v>
      </c>
      <c r="Q930" s="1">
        <v>61000</v>
      </c>
      <c r="R930">
        <v>1.2E-2</v>
      </c>
      <c r="S930" s="2">
        <v>46214</v>
      </c>
      <c r="T930" s="2">
        <v>46263</v>
      </c>
      <c r="U930">
        <v>60000</v>
      </c>
      <c r="V930">
        <v>48000</v>
      </c>
      <c r="W930">
        <v>48000</v>
      </c>
      <c r="X930">
        <v>44050</v>
      </c>
      <c r="Y930">
        <v>44050</v>
      </c>
      <c r="Z930" s="8">
        <v>60000</v>
      </c>
      <c r="AA930">
        <v>50012.5</v>
      </c>
      <c r="AB930">
        <v>0.88077980504873776</v>
      </c>
      <c r="AC930">
        <v>1.1997000749812547</v>
      </c>
      <c r="AD930" s="1">
        <v>30</v>
      </c>
      <c r="AE930" s="2">
        <v>46278</v>
      </c>
      <c r="AF930" s="2">
        <v>46286</v>
      </c>
      <c r="AG930" s="2">
        <v>46293</v>
      </c>
      <c r="AH930">
        <v>45000</v>
      </c>
      <c r="AI930" s="3">
        <v>0.77586206896551724</v>
      </c>
      <c r="AJ930" s="1">
        <v>39</v>
      </c>
      <c r="AK930" s="2">
        <v>46302</v>
      </c>
      <c r="AL930" s="4">
        <v>15</v>
      </c>
      <c r="AM930" s="5">
        <v>15</v>
      </c>
      <c r="AN930" s="4">
        <v>30</v>
      </c>
      <c r="AO930">
        <v>23275.862068965518</v>
      </c>
      <c r="AP930" s="4">
        <v>2</v>
      </c>
      <c r="AQ930">
        <v>79350</v>
      </c>
      <c r="AR930" t="s">
        <v>2034</v>
      </c>
      <c r="AT930" s="16" t="str">
        <f>_xlfn.XLOOKUP(B930,'SWiSH Demand Forecast Sep-26'!D:D,'SWiSH Demand Forecast Sep-26'!G:G,"Not Exist")</f>
        <v>Not Exist</v>
      </c>
    </row>
    <row r="931" spans="1:46" hidden="1" x14ac:dyDescent="0.3">
      <c r="A931">
        <v>100300002</v>
      </c>
      <c r="B931" t="s">
        <v>781</v>
      </c>
      <c r="C931" t="s">
        <v>136</v>
      </c>
      <c r="D931" t="s">
        <v>1613</v>
      </c>
      <c r="E931" t="s">
        <v>2843</v>
      </c>
      <c r="F931" t="s">
        <v>1752</v>
      </c>
      <c r="G931" t="s">
        <v>1616</v>
      </c>
      <c r="H931" t="s">
        <v>2018</v>
      </c>
      <c r="I931" t="s">
        <v>1754</v>
      </c>
      <c r="J931" t="s">
        <v>2844</v>
      </c>
      <c r="K931">
        <v>4.6994737300000002</v>
      </c>
      <c r="L931">
        <v>4640.0723820528001</v>
      </c>
      <c r="M931" s="1">
        <v>3</v>
      </c>
      <c r="N931">
        <v>0</v>
      </c>
      <c r="O931">
        <v>8.16</v>
      </c>
      <c r="P931">
        <v>987.36</v>
      </c>
      <c r="Q931" s="1">
        <v>979.2</v>
      </c>
      <c r="R931">
        <v>38.76</v>
      </c>
      <c r="S931" s="2">
        <v>46229</v>
      </c>
      <c r="T931" s="2">
        <v>46263</v>
      </c>
      <c r="U931">
        <v>873.12</v>
      </c>
      <c r="V931">
        <v>883.99999999999977</v>
      </c>
      <c r="W931">
        <v>505.92000000000007</v>
      </c>
      <c r="X931">
        <v>971.03999999999962</v>
      </c>
      <c r="Y931">
        <v>505.92000000000007</v>
      </c>
      <c r="Z931" s="8">
        <v>971.03999999999962</v>
      </c>
      <c r="AA931">
        <v>808.51999999999987</v>
      </c>
      <c r="AB931">
        <v>0.62573591253153926</v>
      </c>
      <c r="AC931">
        <v>1.2010092514718247</v>
      </c>
      <c r="AD931" s="1">
        <v>30</v>
      </c>
      <c r="AE931" s="2">
        <v>46278</v>
      </c>
      <c r="AF931" s="2">
        <v>46286</v>
      </c>
      <c r="AG931" s="2">
        <v>46293</v>
      </c>
      <c r="AH931">
        <v>783.3599999999999</v>
      </c>
      <c r="AI931" s="3">
        <v>0.83454071283685904</v>
      </c>
      <c r="AJ931" s="1">
        <v>36</v>
      </c>
      <c r="AK931" s="2">
        <v>46299</v>
      </c>
      <c r="AL931" s="4">
        <v>15</v>
      </c>
      <c r="AM931" s="5">
        <v>15</v>
      </c>
      <c r="AN931" s="4">
        <v>30</v>
      </c>
      <c r="AO931">
        <v>405.18620689655165</v>
      </c>
      <c r="AP931" s="4">
        <v>2</v>
      </c>
      <c r="AQ931" t="s">
        <v>1619</v>
      </c>
      <c r="AR931" t="s">
        <v>1620</v>
      </c>
      <c r="AT931" s="16">
        <f>_xlfn.XLOOKUP(B931,'SWiSH Demand Forecast Sep-26'!D:D,'SWiSH Demand Forecast Sep-26'!G:G,"Not Exist")</f>
        <v>429.14587225488702</v>
      </c>
    </row>
    <row r="932" spans="1:46" x14ac:dyDescent="0.3">
      <c r="A932">
        <v>100400251</v>
      </c>
      <c r="B932" t="s">
        <v>2845</v>
      </c>
      <c r="C932" t="s">
        <v>10</v>
      </c>
      <c r="D932" t="s">
        <v>1613</v>
      </c>
      <c r="E932" t="s">
        <v>1685</v>
      </c>
      <c r="F932" t="s">
        <v>1664</v>
      </c>
      <c r="G932" t="s">
        <v>1624</v>
      </c>
      <c r="H932" t="s">
        <v>1810</v>
      </c>
      <c r="I932" t="s">
        <v>1634</v>
      </c>
      <c r="J932" t="s">
        <v>10</v>
      </c>
      <c r="K932">
        <v>0.05</v>
      </c>
      <c r="L932">
        <v>270</v>
      </c>
      <c r="M932" s="1">
        <v>30</v>
      </c>
      <c r="N932">
        <v>0</v>
      </c>
      <c r="O932">
        <v>0</v>
      </c>
      <c r="P932">
        <v>5400</v>
      </c>
      <c r="Q932" s="1">
        <v>5400</v>
      </c>
      <c r="R932">
        <v>0.05</v>
      </c>
      <c r="S932" s="2">
        <v>46247</v>
      </c>
      <c r="T932" s="2">
        <v>46261</v>
      </c>
      <c r="U932">
        <v>0</v>
      </c>
      <c r="V932">
        <v>0</v>
      </c>
      <c r="W932">
        <v>5400</v>
      </c>
      <c r="X932">
        <v>4200</v>
      </c>
      <c r="Y932">
        <v>0</v>
      </c>
      <c r="Z932" s="8">
        <v>5400</v>
      </c>
      <c r="AA932">
        <v>2400</v>
      </c>
      <c r="AB932">
        <v>0</v>
      </c>
      <c r="AC932">
        <v>2.25</v>
      </c>
      <c r="AD932" s="1">
        <v>30</v>
      </c>
      <c r="AE932" s="2">
        <v>46278</v>
      </c>
      <c r="AF932" s="2">
        <v>46286</v>
      </c>
      <c r="AG932" s="2">
        <v>46293</v>
      </c>
      <c r="AH932">
        <v>5000</v>
      </c>
      <c r="AI932" s="3">
        <v>0.95785440613026818</v>
      </c>
      <c r="AJ932" s="1">
        <v>31</v>
      </c>
      <c r="AK932" s="2">
        <v>46294</v>
      </c>
      <c r="AL932" s="4">
        <v>30</v>
      </c>
      <c r="AM932" s="5">
        <v>15</v>
      </c>
      <c r="AN932" s="4">
        <v>30</v>
      </c>
      <c r="AO932">
        <v>5172.4137931034484</v>
      </c>
      <c r="AP932" s="4">
        <v>1</v>
      </c>
      <c r="AQ932">
        <v>6000</v>
      </c>
      <c r="AR932" t="s">
        <v>2076</v>
      </c>
      <c r="AT932" s="16" t="str">
        <f>_xlfn.XLOOKUP(B932,'SWiSH Demand Forecast Sep-26'!D:D,'SWiSH Demand Forecast Sep-26'!G:G,"Not Exist")</f>
        <v>Not Exist</v>
      </c>
    </row>
    <row r="933" spans="1:46" hidden="1" x14ac:dyDescent="0.3">
      <c r="A933">
        <v>101800018</v>
      </c>
      <c r="B933" t="s">
        <v>570</v>
      </c>
      <c r="C933" t="s">
        <v>10</v>
      </c>
      <c r="D933" t="s">
        <v>1613</v>
      </c>
      <c r="E933" t="s">
        <v>2846</v>
      </c>
      <c r="F933" t="s">
        <v>1631</v>
      </c>
      <c r="G933" t="s">
        <v>1624</v>
      </c>
      <c r="H933" t="s">
        <v>2144</v>
      </c>
      <c r="I933" t="s">
        <v>1634</v>
      </c>
      <c r="J933" t="s">
        <v>10</v>
      </c>
      <c r="K933">
        <v>5.0198300000000003E-3</v>
      </c>
      <c r="L933">
        <v>15.561473000000001</v>
      </c>
      <c r="M933" s="1">
        <v>3</v>
      </c>
      <c r="N933">
        <v>0</v>
      </c>
      <c r="O933">
        <v>0</v>
      </c>
      <c r="P933">
        <v>3100</v>
      </c>
      <c r="Q933" s="1">
        <v>3100</v>
      </c>
      <c r="R933">
        <v>5</v>
      </c>
      <c r="S933" s="2">
        <v>46261</v>
      </c>
      <c r="T933" s="2">
        <v>46262</v>
      </c>
      <c r="U933">
        <v>3000</v>
      </c>
      <c r="V933">
        <v>3100</v>
      </c>
      <c r="W933">
        <v>1000</v>
      </c>
      <c r="X933">
        <v>1000</v>
      </c>
      <c r="Y933">
        <v>1000</v>
      </c>
      <c r="Z933" s="8">
        <v>3100</v>
      </c>
      <c r="AA933">
        <v>2025</v>
      </c>
      <c r="AB933">
        <v>0.49382716049382713</v>
      </c>
      <c r="AC933">
        <v>1.5308641975308641</v>
      </c>
      <c r="AD933" s="1">
        <v>30</v>
      </c>
      <c r="AE933" s="2">
        <v>46278</v>
      </c>
      <c r="AF933" s="2">
        <v>46286</v>
      </c>
      <c r="AG933" s="2">
        <v>46293</v>
      </c>
      <c r="AH933">
        <v>2000</v>
      </c>
      <c r="AI933" s="3">
        <v>0.66740823136818683</v>
      </c>
      <c r="AJ933" s="1">
        <v>44</v>
      </c>
      <c r="AK933" s="2">
        <v>46307</v>
      </c>
      <c r="AL933" s="4">
        <v>30</v>
      </c>
      <c r="AM933" s="5">
        <v>15</v>
      </c>
      <c r="AN933" s="4">
        <v>30</v>
      </c>
      <c r="AO933">
        <v>2068.9655172413791</v>
      </c>
      <c r="AP933" s="4">
        <v>1</v>
      </c>
      <c r="AQ933" t="s">
        <v>1619</v>
      </c>
      <c r="AR933" t="s">
        <v>1620</v>
      </c>
      <c r="AT933" s="16">
        <f>_xlfn.XLOOKUP(B933,'SWiSH Demand Forecast Sep-26'!D:D,'SWiSH Demand Forecast Sep-26'!G:G,"Not Exist")</f>
        <v>1147</v>
      </c>
    </row>
    <row r="934" spans="1:46" hidden="1" x14ac:dyDescent="0.3">
      <c r="A934">
        <v>104000014</v>
      </c>
      <c r="B934" t="s">
        <v>1057</v>
      </c>
      <c r="C934" t="s">
        <v>240</v>
      </c>
      <c r="D934" t="s">
        <v>1613</v>
      </c>
      <c r="E934" t="s">
        <v>1832</v>
      </c>
      <c r="F934" t="s">
        <v>1840</v>
      </c>
      <c r="G934" t="s">
        <v>1616</v>
      </c>
      <c r="H934" t="s">
        <v>1850</v>
      </c>
      <c r="I934" t="s">
        <v>1618</v>
      </c>
      <c r="J934" t="s">
        <v>1874</v>
      </c>
      <c r="K934">
        <v>0.38333333000000003</v>
      </c>
      <c r="L934">
        <v>147.19999872</v>
      </c>
      <c r="M934" s="1">
        <v>3</v>
      </c>
      <c r="N934">
        <v>0</v>
      </c>
      <c r="O934">
        <v>0</v>
      </c>
      <c r="P934">
        <v>384</v>
      </c>
      <c r="Q934" s="1">
        <v>384</v>
      </c>
      <c r="R934">
        <v>4.5999999999999996</v>
      </c>
      <c r="S934" s="2">
        <v>46257</v>
      </c>
      <c r="T934" s="2">
        <v>46263</v>
      </c>
      <c r="U934">
        <v>240</v>
      </c>
      <c r="V934">
        <v>216</v>
      </c>
      <c r="W934">
        <v>288</v>
      </c>
      <c r="X934">
        <v>372</v>
      </c>
      <c r="Y934">
        <v>216</v>
      </c>
      <c r="Z934" s="8">
        <v>372</v>
      </c>
      <c r="AA934">
        <v>279</v>
      </c>
      <c r="AB934">
        <v>0.77419354838709675</v>
      </c>
      <c r="AC934">
        <v>1.3333333333333333</v>
      </c>
      <c r="AD934" s="1">
        <v>30</v>
      </c>
      <c r="AE934" s="2">
        <v>46278</v>
      </c>
      <c r="AF934" s="2">
        <v>46286</v>
      </c>
      <c r="AG934" s="2">
        <v>46293</v>
      </c>
      <c r="AH934">
        <v>732</v>
      </c>
      <c r="AI934" s="3">
        <v>2.0355951056729698</v>
      </c>
      <c r="AJ934" s="1">
        <v>15</v>
      </c>
      <c r="AK934" s="2">
        <v>46278</v>
      </c>
      <c r="AL934" s="4">
        <v>30</v>
      </c>
      <c r="AM934" s="5">
        <v>15</v>
      </c>
      <c r="AN934" s="4">
        <v>15</v>
      </c>
      <c r="AO934">
        <v>757.24137931034477</v>
      </c>
      <c r="AP934" s="4">
        <v>1</v>
      </c>
      <c r="AQ934" t="s">
        <v>1619</v>
      </c>
      <c r="AR934" t="s">
        <v>1620</v>
      </c>
      <c r="AT934" s="16">
        <f>_xlfn.XLOOKUP(B934,'SWiSH Demand Forecast Sep-26'!D:D,'SWiSH Demand Forecast Sep-26'!G:G,"Not Exist")</f>
        <v>125.41030588235201</v>
      </c>
    </row>
    <row r="935" spans="1:46" x14ac:dyDescent="0.3">
      <c r="A935">
        <v>105200036</v>
      </c>
      <c r="B935" t="s">
        <v>2847</v>
      </c>
      <c r="C935" t="s">
        <v>10</v>
      </c>
      <c r="D935" t="s">
        <v>1613</v>
      </c>
      <c r="E935" t="s">
        <v>2147</v>
      </c>
      <c r="F935" t="s">
        <v>1664</v>
      </c>
      <c r="G935" t="s">
        <v>1624</v>
      </c>
      <c r="H935" t="s">
        <v>1779</v>
      </c>
      <c r="I935" t="s">
        <v>1634</v>
      </c>
      <c r="J935" t="s">
        <v>10</v>
      </c>
      <c r="K935">
        <v>2.3E-2</v>
      </c>
      <c r="L935">
        <v>2155.1</v>
      </c>
      <c r="M935" s="1">
        <v>30</v>
      </c>
      <c r="N935">
        <v>0</v>
      </c>
      <c r="O935">
        <v>300</v>
      </c>
      <c r="P935">
        <v>93700</v>
      </c>
      <c r="Q935" s="1">
        <v>93400</v>
      </c>
      <c r="R935">
        <v>2.3E-2</v>
      </c>
      <c r="S935" s="2">
        <v>46254</v>
      </c>
      <c r="T935" s="2">
        <v>46263</v>
      </c>
      <c r="U935">
        <v>70500</v>
      </c>
      <c r="V935">
        <v>81900</v>
      </c>
      <c r="W935">
        <v>85000</v>
      </c>
      <c r="X935">
        <v>89150</v>
      </c>
      <c r="Y935">
        <v>70500</v>
      </c>
      <c r="Z935" s="8">
        <v>89150</v>
      </c>
      <c r="AA935">
        <v>81637.5</v>
      </c>
      <c r="AB935">
        <v>0.86357372531005971</v>
      </c>
      <c r="AC935">
        <v>1.0920226611544939</v>
      </c>
      <c r="AD935" s="1">
        <v>31</v>
      </c>
      <c r="AE935" s="2">
        <v>46279</v>
      </c>
      <c r="AF935" s="2">
        <v>46287</v>
      </c>
      <c r="AG935" s="2">
        <v>46294</v>
      </c>
      <c r="AH935">
        <v>72000</v>
      </c>
      <c r="AI935" s="3">
        <v>0.83547682132013068</v>
      </c>
      <c r="AJ935" s="1">
        <v>37</v>
      </c>
      <c r="AK935" s="2">
        <v>46300</v>
      </c>
      <c r="AL935" s="4">
        <v>15</v>
      </c>
      <c r="AM935" s="5">
        <v>15</v>
      </c>
      <c r="AN935" s="4">
        <v>31</v>
      </c>
      <c r="AO935">
        <v>37241.379310344826</v>
      </c>
      <c r="AP935" s="4">
        <v>2</v>
      </c>
      <c r="AQ935">
        <v>94580</v>
      </c>
      <c r="AR935" t="s">
        <v>2034</v>
      </c>
      <c r="AT935" s="16" t="str">
        <f>_xlfn.XLOOKUP(B935,'SWiSH Demand Forecast Sep-26'!D:D,'SWiSH Demand Forecast Sep-26'!G:G,"Not Exist")</f>
        <v>Not Exist</v>
      </c>
    </row>
    <row r="936" spans="1:46" x14ac:dyDescent="0.3">
      <c r="A936">
        <v>105900038</v>
      </c>
      <c r="B936" t="s">
        <v>2848</v>
      </c>
      <c r="C936" t="s">
        <v>10</v>
      </c>
      <c r="D936" t="s">
        <v>1613</v>
      </c>
      <c r="E936" t="s">
        <v>1732</v>
      </c>
      <c r="F936" t="s">
        <v>1664</v>
      </c>
      <c r="G936" t="s">
        <v>1616</v>
      </c>
      <c r="H936" t="s">
        <v>1729</v>
      </c>
      <c r="I936" t="s">
        <v>1634</v>
      </c>
      <c r="J936" t="s">
        <v>1733</v>
      </c>
      <c r="K936">
        <v>5.4799999999999996E-3</v>
      </c>
      <c r="L936">
        <v>37.263999999999996</v>
      </c>
      <c r="M936" s="1">
        <v>90</v>
      </c>
      <c r="N936">
        <v>0</v>
      </c>
      <c r="O936">
        <v>0</v>
      </c>
      <c r="P936">
        <v>6800</v>
      </c>
      <c r="Q936" s="1">
        <v>6800</v>
      </c>
      <c r="R936">
        <v>5.4799999999999996E-3</v>
      </c>
      <c r="S936" s="2">
        <v>46214</v>
      </c>
      <c r="T936" s="2">
        <v>46246</v>
      </c>
      <c r="U936">
        <v>4000</v>
      </c>
      <c r="V936">
        <v>0</v>
      </c>
      <c r="W936">
        <v>0</v>
      </c>
      <c r="X936">
        <v>6400</v>
      </c>
      <c r="Y936">
        <v>0</v>
      </c>
      <c r="Z936" s="8">
        <v>6400</v>
      </c>
      <c r="AA936">
        <v>2600</v>
      </c>
      <c r="AB936">
        <v>0</v>
      </c>
      <c r="AC936">
        <v>2.4615384615384617</v>
      </c>
      <c r="AD936" s="1">
        <v>31</v>
      </c>
      <c r="AE936" s="2">
        <v>46279</v>
      </c>
      <c r="AF936" s="2">
        <v>46287</v>
      </c>
      <c r="AG936" s="2">
        <v>46294</v>
      </c>
      <c r="AH936">
        <v>6800</v>
      </c>
      <c r="AI936" s="3">
        <v>1.0991379310344827</v>
      </c>
      <c r="AJ936" s="1">
        <v>29</v>
      </c>
      <c r="AK936" s="2">
        <v>46292</v>
      </c>
      <c r="AL936" s="4">
        <v>120</v>
      </c>
      <c r="AM936" s="5">
        <v>100</v>
      </c>
      <c r="AN936" s="4">
        <v>29</v>
      </c>
      <c r="AO936">
        <v>28137.931034482757</v>
      </c>
      <c r="AP936" s="4">
        <v>1</v>
      </c>
      <c r="AQ936" t="s">
        <v>1619</v>
      </c>
      <c r="AR936" t="s">
        <v>1620</v>
      </c>
      <c r="AT936" s="16" t="str">
        <f>_xlfn.XLOOKUP(B936,'SWiSH Demand Forecast Sep-26'!D:D,'SWiSH Demand Forecast Sep-26'!G:G,"Not Exist")</f>
        <v>Not Exist</v>
      </c>
    </row>
    <row r="937" spans="1:46" x14ac:dyDescent="0.3">
      <c r="A937">
        <v>101400045</v>
      </c>
      <c r="B937" t="s">
        <v>2849</v>
      </c>
      <c r="C937" t="s">
        <v>240</v>
      </c>
      <c r="D937" t="s">
        <v>1613</v>
      </c>
      <c r="E937" t="s">
        <v>2850</v>
      </c>
      <c r="F937" t="s">
        <v>1644</v>
      </c>
      <c r="G937" t="s">
        <v>1624</v>
      </c>
      <c r="H937" t="s">
        <v>1693</v>
      </c>
      <c r="I937" t="s">
        <v>1634</v>
      </c>
      <c r="J937" t="s">
        <v>240</v>
      </c>
      <c r="K937">
        <v>1.1200000000000001</v>
      </c>
      <c r="L937">
        <v>117.60000000000001</v>
      </c>
      <c r="M937" s="1">
        <v>3</v>
      </c>
      <c r="N937">
        <v>0</v>
      </c>
      <c r="O937">
        <v>0</v>
      </c>
      <c r="P937">
        <v>105</v>
      </c>
      <c r="Q937" s="1">
        <v>105</v>
      </c>
      <c r="R937">
        <v>22.4</v>
      </c>
      <c r="S937" s="2">
        <v>46254</v>
      </c>
      <c r="T937" s="2">
        <v>46261</v>
      </c>
      <c r="U937">
        <v>35</v>
      </c>
      <c r="V937">
        <v>100</v>
      </c>
      <c r="W937">
        <v>60</v>
      </c>
      <c r="X937">
        <v>65</v>
      </c>
      <c r="Y937">
        <v>35</v>
      </c>
      <c r="Z937" s="8">
        <v>100</v>
      </c>
      <c r="AA937">
        <v>65</v>
      </c>
      <c r="AB937">
        <v>0.53846153846153844</v>
      </c>
      <c r="AC937">
        <v>1.5384615384615385</v>
      </c>
      <c r="AD937" s="1">
        <v>31</v>
      </c>
      <c r="AE937" s="2">
        <v>46279</v>
      </c>
      <c r="AF937" s="2">
        <v>46287</v>
      </c>
      <c r="AG937" s="2">
        <v>46294</v>
      </c>
      <c r="AH937">
        <v>85</v>
      </c>
      <c r="AI937" s="3">
        <v>0.87931034482758619</v>
      </c>
      <c r="AJ937" s="1">
        <v>35</v>
      </c>
      <c r="AK937" s="2">
        <v>46298</v>
      </c>
      <c r="AL937" s="4">
        <v>30</v>
      </c>
      <c r="AM937" s="5">
        <v>15</v>
      </c>
      <c r="AN937" s="4">
        <v>31</v>
      </c>
      <c r="AO937">
        <v>87.931034482758619</v>
      </c>
      <c r="AP937" s="4">
        <v>1</v>
      </c>
      <c r="AQ937" t="s">
        <v>1619</v>
      </c>
      <c r="AR937" t="s">
        <v>1620</v>
      </c>
      <c r="AT937" s="16" t="str">
        <f>_xlfn.XLOOKUP(B937,'SWiSH Demand Forecast Sep-26'!D:D,'SWiSH Demand Forecast Sep-26'!G:G,"Not Exist")</f>
        <v>Not Exist</v>
      </c>
    </row>
    <row r="938" spans="1:46" x14ac:dyDescent="0.3">
      <c r="A938">
        <v>106300063</v>
      </c>
      <c r="B938" t="s">
        <v>2851</v>
      </c>
      <c r="C938" t="s">
        <v>10</v>
      </c>
      <c r="D938" t="s">
        <v>1613</v>
      </c>
      <c r="E938" t="s">
        <v>1685</v>
      </c>
      <c r="F938" t="s">
        <v>1840</v>
      </c>
      <c r="G938" t="s">
        <v>1616</v>
      </c>
      <c r="H938" t="s">
        <v>1860</v>
      </c>
      <c r="I938" t="s">
        <v>1618</v>
      </c>
      <c r="J938" t="s">
        <v>2064</v>
      </c>
      <c r="K938">
        <v>0.62</v>
      </c>
      <c r="L938">
        <v>223.2</v>
      </c>
      <c r="M938" s="1">
        <v>3</v>
      </c>
      <c r="N938">
        <v>0</v>
      </c>
      <c r="O938">
        <v>0</v>
      </c>
      <c r="P938">
        <v>360</v>
      </c>
      <c r="Q938" s="1">
        <v>360</v>
      </c>
      <c r="R938">
        <v>12.401</v>
      </c>
      <c r="S938" s="2">
        <v>46180</v>
      </c>
      <c r="T938" s="2">
        <v>46260</v>
      </c>
      <c r="U938">
        <v>340</v>
      </c>
      <c r="V938">
        <v>280</v>
      </c>
      <c r="W938">
        <v>100</v>
      </c>
      <c r="X938">
        <v>120</v>
      </c>
      <c r="Y938">
        <v>100</v>
      </c>
      <c r="Z938" s="8">
        <v>340</v>
      </c>
      <c r="AA938">
        <v>210</v>
      </c>
      <c r="AB938">
        <v>0.47619047619047616</v>
      </c>
      <c r="AC938">
        <v>1.6190476190476191</v>
      </c>
      <c r="AD938" s="1">
        <v>31</v>
      </c>
      <c r="AE938" s="2">
        <v>46279</v>
      </c>
      <c r="AF938" s="2">
        <v>46287</v>
      </c>
      <c r="AG938" s="2">
        <v>46294</v>
      </c>
      <c r="AH938">
        <v>100</v>
      </c>
      <c r="AI938" s="3">
        <v>0.30425963488843816</v>
      </c>
      <c r="AJ938" s="1">
        <v>104</v>
      </c>
      <c r="AK938" s="2">
        <v>46367</v>
      </c>
      <c r="AL938" s="4">
        <v>30</v>
      </c>
      <c r="AM938" s="5">
        <v>15</v>
      </c>
      <c r="AN938" s="4">
        <v>31</v>
      </c>
      <c r="AO938">
        <v>103.44827586206897</v>
      </c>
      <c r="AP938" s="4">
        <v>1</v>
      </c>
      <c r="AQ938" t="s">
        <v>1619</v>
      </c>
      <c r="AR938" t="s">
        <v>1620</v>
      </c>
      <c r="AT938" s="16" t="str">
        <f>_xlfn.XLOOKUP(B938,'SWiSH Demand Forecast Sep-26'!D:D,'SWiSH Demand Forecast Sep-26'!G:G,"Not Exist")</f>
        <v>Not Exist</v>
      </c>
    </row>
    <row r="939" spans="1:46" x14ac:dyDescent="0.3">
      <c r="A939">
        <v>106800351</v>
      </c>
      <c r="B939" t="s">
        <v>2852</v>
      </c>
      <c r="C939" t="s">
        <v>10</v>
      </c>
      <c r="D939" t="s">
        <v>1613</v>
      </c>
      <c r="E939" t="s">
        <v>1685</v>
      </c>
      <c r="F939" t="s">
        <v>1664</v>
      </c>
      <c r="G939" t="s">
        <v>1624</v>
      </c>
      <c r="H939" t="s">
        <v>1665</v>
      </c>
      <c r="I939" t="s">
        <v>1634</v>
      </c>
      <c r="J939" t="s">
        <v>10</v>
      </c>
      <c r="K939">
        <v>6.0000000000000001E-3</v>
      </c>
      <c r="L939">
        <v>108</v>
      </c>
      <c r="M939" s="1">
        <v>7</v>
      </c>
      <c r="N939">
        <v>0</v>
      </c>
      <c r="O939">
        <v>0</v>
      </c>
      <c r="P939">
        <v>18000</v>
      </c>
      <c r="Q939" s="1">
        <v>18000</v>
      </c>
      <c r="R939">
        <v>6.0000000000000001E-3</v>
      </c>
      <c r="S939" s="2">
        <v>46243</v>
      </c>
      <c r="T939" s="2">
        <v>46257</v>
      </c>
      <c r="U939">
        <v>0</v>
      </c>
      <c r="V939">
        <v>14000</v>
      </c>
      <c r="W939">
        <v>17000</v>
      </c>
      <c r="X939">
        <v>13000</v>
      </c>
      <c r="Y939">
        <v>0</v>
      </c>
      <c r="Z939" s="8">
        <v>17000</v>
      </c>
      <c r="AA939">
        <v>11000</v>
      </c>
      <c r="AB939">
        <v>0</v>
      </c>
      <c r="AC939">
        <v>1.5454545454545454</v>
      </c>
      <c r="AD939" s="1">
        <v>31</v>
      </c>
      <c r="AE939" s="2">
        <v>46279</v>
      </c>
      <c r="AF939" s="2">
        <v>46287</v>
      </c>
      <c r="AG939" s="2">
        <v>46294</v>
      </c>
      <c r="AH939">
        <v>8000</v>
      </c>
      <c r="AI939" s="3">
        <v>0.48681541582150095</v>
      </c>
      <c r="AJ939" s="1">
        <v>65</v>
      </c>
      <c r="AK939" s="2">
        <v>46328</v>
      </c>
      <c r="AL939" s="4">
        <v>30</v>
      </c>
      <c r="AM939" s="5">
        <v>15</v>
      </c>
      <c r="AN939" s="4">
        <v>31</v>
      </c>
      <c r="AO939">
        <v>8275.8620689655163</v>
      </c>
      <c r="AP939" s="4">
        <v>1</v>
      </c>
      <c r="AQ939">
        <v>25000</v>
      </c>
      <c r="AR939" t="s">
        <v>2215</v>
      </c>
      <c r="AS939" t="s">
        <v>1666</v>
      </c>
      <c r="AT939" s="16" t="str">
        <f>_xlfn.XLOOKUP(B939,'SWiSH Demand Forecast Sep-26'!D:D,'SWiSH Demand Forecast Sep-26'!G:G,"Not Exist")</f>
        <v>Not Exist</v>
      </c>
    </row>
    <row r="940" spans="1:46" hidden="1" x14ac:dyDescent="0.3">
      <c r="A940">
        <v>101600028</v>
      </c>
      <c r="B940" t="s">
        <v>372</v>
      </c>
      <c r="C940" t="s">
        <v>10</v>
      </c>
      <c r="D940" t="s">
        <v>1613</v>
      </c>
      <c r="E940" t="s">
        <v>1745</v>
      </c>
      <c r="F940" t="s">
        <v>1631</v>
      </c>
      <c r="G940" t="s">
        <v>1624</v>
      </c>
      <c r="H940" t="s">
        <v>1768</v>
      </c>
      <c r="I940" t="s">
        <v>1634</v>
      </c>
      <c r="J940" t="s">
        <v>10</v>
      </c>
      <c r="K940">
        <v>0.04</v>
      </c>
      <c r="L940">
        <v>144</v>
      </c>
      <c r="M940" s="1">
        <v>3</v>
      </c>
      <c r="N940">
        <v>0</v>
      </c>
      <c r="O940">
        <v>150</v>
      </c>
      <c r="P940">
        <v>3600</v>
      </c>
      <c r="Q940" s="1">
        <v>3450</v>
      </c>
      <c r="R940">
        <v>6</v>
      </c>
      <c r="S940" s="2">
        <v>46236</v>
      </c>
      <c r="T940" s="2">
        <v>46262</v>
      </c>
      <c r="U940">
        <v>3300</v>
      </c>
      <c r="V940">
        <v>3000</v>
      </c>
      <c r="W940">
        <v>2700</v>
      </c>
      <c r="X940">
        <v>3150</v>
      </c>
      <c r="Y940">
        <v>2700</v>
      </c>
      <c r="Z940" s="8">
        <v>3300</v>
      </c>
      <c r="AA940">
        <v>3037.5</v>
      </c>
      <c r="AB940">
        <v>0.88888888888888884</v>
      </c>
      <c r="AC940">
        <v>1.0864197530864197</v>
      </c>
      <c r="AD940" s="1">
        <v>31</v>
      </c>
      <c r="AE940" s="2">
        <v>46279</v>
      </c>
      <c r="AF940" s="2">
        <v>46287</v>
      </c>
      <c r="AG940" s="2">
        <v>46294</v>
      </c>
      <c r="AH940">
        <v>2100</v>
      </c>
      <c r="AI940" s="3">
        <v>0.65830721003134796</v>
      </c>
      <c r="AJ940" s="1">
        <v>47</v>
      </c>
      <c r="AK940" s="2">
        <v>46310</v>
      </c>
      <c r="AL940" s="4">
        <v>15</v>
      </c>
      <c r="AM940" s="5">
        <v>15</v>
      </c>
      <c r="AN940" s="4">
        <v>31</v>
      </c>
      <c r="AO940">
        <v>1086.2068965517242</v>
      </c>
      <c r="AP940" s="4">
        <v>2</v>
      </c>
      <c r="AQ940" t="s">
        <v>1619</v>
      </c>
      <c r="AR940" t="s">
        <v>1620</v>
      </c>
      <c r="AT940" s="16">
        <f>_xlfn.XLOOKUP(B940,'SWiSH Demand Forecast Sep-26'!D:D,'SWiSH Demand Forecast Sep-26'!G:G,"Not Exist")</f>
        <v>3123</v>
      </c>
    </row>
    <row r="941" spans="1:46" hidden="1" x14ac:dyDescent="0.3">
      <c r="A941">
        <v>106200153</v>
      </c>
      <c r="B941" t="s">
        <v>890</v>
      </c>
      <c r="C941" t="s">
        <v>240</v>
      </c>
      <c r="D941" t="s">
        <v>1613</v>
      </c>
      <c r="E941" t="s">
        <v>1832</v>
      </c>
      <c r="F941" t="s">
        <v>1671</v>
      </c>
      <c r="G941" t="s">
        <v>1616</v>
      </c>
      <c r="H941" t="s">
        <v>1672</v>
      </c>
      <c r="I941" t="s">
        <v>1618</v>
      </c>
      <c r="J941" t="s">
        <v>1880</v>
      </c>
      <c r="K941">
        <v>1.8518518500000001</v>
      </c>
      <c r="L941">
        <v>475.99999952400003</v>
      </c>
      <c r="M941" s="1">
        <v>3</v>
      </c>
      <c r="N941">
        <v>0</v>
      </c>
      <c r="O941">
        <v>0</v>
      </c>
      <c r="P941">
        <v>257.04000000000002</v>
      </c>
      <c r="Q941" s="1">
        <v>257.04000000000002</v>
      </c>
      <c r="R941">
        <v>20.5</v>
      </c>
      <c r="S941" s="2">
        <v>46257</v>
      </c>
      <c r="T941" s="2">
        <v>46262</v>
      </c>
      <c r="U941">
        <v>139.85999999999999</v>
      </c>
      <c r="V941">
        <v>124.73999999999998</v>
      </c>
      <c r="W941">
        <v>245.70000000000005</v>
      </c>
      <c r="X941">
        <v>170.1</v>
      </c>
      <c r="Y941">
        <v>124.73999999999998</v>
      </c>
      <c r="Z941" s="8">
        <v>245.70000000000005</v>
      </c>
      <c r="AA941">
        <v>170.1</v>
      </c>
      <c r="AB941">
        <v>0.73333333333333328</v>
      </c>
      <c r="AC941">
        <v>1.4444444444444449</v>
      </c>
      <c r="AD941" s="1">
        <v>31</v>
      </c>
      <c r="AE941" s="2">
        <v>46279</v>
      </c>
      <c r="AF941" s="2">
        <v>46287</v>
      </c>
      <c r="AG941" s="2">
        <v>46294</v>
      </c>
      <c r="AH941">
        <v>207.9</v>
      </c>
      <c r="AI941" s="3">
        <v>0.87533156498673725</v>
      </c>
      <c r="AJ941" s="1">
        <v>35</v>
      </c>
      <c r="AK941" s="2">
        <v>46298</v>
      </c>
      <c r="AL941" s="4">
        <v>30</v>
      </c>
      <c r="AM941" s="5">
        <v>15</v>
      </c>
      <c r="AN941" s="4">
        <v>31</v>
      </c>
      <c r="AO941">
        <v>215.06896551724139</v>
      </c>
      <c r="AP941" s="4">
        <v>1</v>
      </c>
      <c r="AQ941" t="s">
        <v>1619</v>
      </c>
      <c r="AR941" t="s">
        <v>1620</v>
      </c>
      <c r="AT941" s="16">
        <f>_xlfn.XLOOKUP(B941,'SWiSH Demand Forecast Sep-26'!D:D,'SWiSH Demand Forecast Sep-26'!G:G,"Not Exist")</f>
        <v>254.275486874363</v>
      </c>
    </row>
    <row r="942" spans="1:46" x14ac:dyDescent="0.3">
      <c r="A942">
        <v>100400138</v>
      </c>
      <c r="B942" t="s">
        <v>2853</v>
      </c>
      <c r="C942" t="s">
        <v>10</v>
      </c>
      <c r="D942" t="s">
        <v>1613</v>
      </c>
      <c r="E942" t="s">
        <v>1685</v>
      </c>
      <c r="F942" t="s">
        <v>1664</v>
      </c>
      <c r="G942" t="s">
        <v>1624</v>
      </c>
      <c r="H942" t="s">
        <v>1810</v>
      </c>
      <c r="I942" t="s">
        <v>1634</v>
      </c>
      <c r="J942" t="s">
        <v>10</v>
      </c>
      <c r="K942">
        <v>4.5454550000000003E-2</v>
      </c>
      <c r="L942">
        <v>431.81822500000004</v>
      </c>
      <c r="M942" s="1">
        <v>15</v>
      </c>
      <c r="N942">
        <v>0</v>
      </c>
      <c r="O942">
        <v>1000</v>
      </c>
      <c r="P942">
        <v>9500</v>
      </c>
      <c r="Q942" s="1">
        <v>8500</v>
      </c>
      <c r="R942">
        <v>4.65E-2</v>
      </c>
      <c r="S942" s="2">
        <v>46235</v>
      </c>
      <c r="T942" s="2">
        <v>46257</v>
      </c>
      <c r="U942">
        <v>8000</v>
      </c>
      <c r="V942">
        <v>4000</v>
      </c>
      <c r="W942">
        <v>1000</v>
      </c>
      <c r="X942">
        <v>5500</v>
      </c>
      <c r="Y942">
        <v>1000</v>
      </c>
      <c r="Z942" s="8">
        <v>8000</v>
      </c>
      <c r="AA942">
        <v>4625</v>
      </c>
      <c r="AB942">
        <v>0.21621621621621623</v>
      </c>
      <c r="AC942">
        <v>1.7297297297297298</v>
      </c>
      <c r="AD942" s="1">
        <v>31</v>
      </c>
      <c r="AE942" s="2">
        <v>46279</v>
      </c>
      <c r="AF942" s="2">
        <v>46287</v>
      </c>
      <c r="AG942" s="2">
        <v>46294</v>
      </c>
      <c r="AH942">
        <v>1500</v>
      </c>
      <c r="AI942" s="3">
        <v>0.19396551724137931</v>
      </c>
      <c r="AJ942" s="1">
        <v>164</v>
      </c>
      <c r="AK942" s="2">
        <v>46427</v>
      </c>
      <c r="AL942" s="4">
        <v>30</v>
      </c>
      <c r="AM942" s="5">
        <v>15</v>
      </c>
      <c r="AN942" s="4">
        <v>31</v>
      </c>
      <c r="AO942">
        <v>1551.7241379310346</v>
      </c>
      <c r="AP942" s="4">
        <v>1</v>
      </c>
      <c r="AQ942" t="s">
        <v>1619</v>
      </c>
      <c r="AR942" t="s">
        <v>1620</v>
      </c>
      <c r="AT942" s="16" t="str">
        <f>_xlfn.XLOOKUP(B942,'SWiSH Demand Forecast Sep-26'!D:D,'SWiSH Demand Forecast Sep-26'!G:G,"Not Exist")</f>
        <v>Not Exist</v>
      </c>
    </row>
    <row r="943" spans="1:46" hidden="1" x14ac:dyDescent="0.3">
      <c r="A943">
        <v>101200007</v>
      </c>
      <c r="B943" t="s">
        <v>756</v>
      </c>
      <c r="C943" t="s">
        <v>136</v>
      </c>
      <c r="D943" t="s">
        <v>1613</v>
      </c>
      <c r="E943" t="s">
        <v>2854</v>
      </c>
      <c r="F943" t="s">
        <v>1833</v>
      </c>
      <c r="G943" t="s">
        <v>1616</v>
      </c>
      <c r="H943" t="s">
        <v>1625</v>
      </c>
      <c r="I943" t="s">
        <v>1626</v>
      </c>
      <c r="J943" t="s">
        <v>136</v>
      </c>
      <c r="K943">
        <v>1.5670498100000001</v>
      </c>
      <c r="L943">
        <v>1922.77011687</v>
      </c>
      <c r="M943" s="1">
        <v>3</v>
      </c>
      <c r="N943">
        <v>0</v>
      </c>
      <c r="O943">
        <v>51</v>
      </c>
      <c r="P943">
        <v>1227</v>
      </c>
      <c r="Q943" s="1">
        <v>1176</v>
      </c>
      <c r="R943">
        <v>28</v>
      </c>
      <c r="S943" s="2">
        <v>46239</v>
      </c>
      <c r="T943" s="2">
        <v>46263</v>
      </c>
      <c r="U943">
        <v>1122</v>
      </c>
      <c r="V943">
        <v>1122</v>
      </c>
      <c r="W943">
        <v>1092</v>
      </c>
      <c r="X943">
        <v>1137</v>
      </c>
      <c r="Y943">
        <v>1092</v>
      </c>
      <c r="Z943" s="8">
        <v>1137</v>
      </c>
      <c r="AA943">
        <v>1118.25</v>
      </c>
      <c r="AB943">
        <v>0.97652582159624413</v>
      </c>
      <c r="AC943">
        <v>1.016767270288397</v>
      </c>
      <c r="AD943" s="1">
        <v>31</v>
      </c>
      <c r="AE943" s="2">
        <v>46279</v>
      </c>
      <c r="AF943" s="2">
        <v>46287</v>
      </c>
      <c r="AG943" s="2">
        <v>46294</v>
      </c>
      <c r="AH943">
        <v>1044</v>
      </c>
      <c r="AI943" s="3">
        <v>0.94986807387862793</v>
      </c>
      <c r="AJ943" s="1">
        <v>32</v>
      </c>
      <c r="AK943" s="2">
        <v>46295</v>
      </c>
      <c r="AL943" s="4">
        <v>30</v>
      </c>
      <c r="AM943" s="5">
        <v>15</v>
      </c>
      <c r="AN943" s="4">
        <v>31</v>
      </c>
      <c r="AO943">
        <v>1080</v>
      </c>
      <c r="AP943" s="4">
        <v>1</v>
      </c>
      <c r="AQ943" t="s">
        <v>1619</v>
      </c>
      <c r="AR943" t="s">
        <v>1620</v>
      </c>
      <c r="AT943" s="16">
        <f>_xlfn.XLOOKUP(B943,'SWiSH Demand Forecast Sep-26'!D:D,'SWiSH Demand Forecast Sep-26'!G:G,"Not Exist")</f>
        <v>491.38</v>
      </c>
    </row>
    <row r="944" spans="1:46" x14ac:dyDescent="0.3">
      <c r="A944">
        <v>105600066</v>
      </c>
      <c r="B944" t="s">
        <v>2855</v>
      </c>
      <c r="C944" t="s">
        <v>136</v>
      </c>
      <c r="D944" t="s">
        <v>1613</v>
      </c>
      <c r="E944" t="s">
        <v>1638</v>
      </c>
      <c r="F944" t="s">
        <v>1631</v>
      </c>
      <c r="G944" t="s">
        <v>1624</v>
      </c>
      <c r="H944" t="s">
        <v>1679</v>
      </c>
      <c r="I944" t="s">
        <v>1634</v>
      </c>
      <c r="J944" t="s">
        <v>136</v>
      </c>
      <c r="K944">
        <v>0.6</v>
      </c>
      <c r="L944">
        <v>234</v>
      </c>
      <c r="M944" s="1">
        <v>3</v>
      </c>
      <c r="N944">
        <v>0</v>
      </c>
      <c r="O944">
        <v>0</v>
      </c>
      <c r="P944">
        <v>390</v>
      </c>
      <c r="Q944" s="1">
        <v>390</v>
      </c>
      <c r="R944">
        <v>0.6</v>
      </c>
      <c r="S944" s="2">
        <v>46261</v>
      </c>
      <c r="T944" s="2">
        <v>46260</v>
      </c>
      <c r="U944">
        <v>201</v>
      </c>
      <c r="V944">
        <v>225</v>
      </c>
      <c r="W944">
        <v>180</v>
      </c>
      <c r="X944">
        <v>360</v>
      </c>
      <c r="Y944">
        <v>180</v>
      </c>
      <c r="Z944" s="8">
        <v>360</v>
      </c>
      <c r="AA944">
        <v>241.5</v>
      </c>
      <c r="AB944">
        <v>0.74534161490683226</v>
      </c>
      <c r="AC944">
        <v>1.4906832298136645</v>
      </c>
      <c r="AD944" s="1">
        <v>32</v>
      </c>
      <c r="AE944" s="2">
        <v>46280</v>
      </c>
      <c r="AF944" s="2">
        <v>46288</v>
      </c>
      <c r="AG944" s="2">
        <v>46295</v>
      </c>
      <c r="AH944">
        <v>200</v>
      </c>
      <c r="AI944" s="3">
        <v>0.57471264367816088</v>
      </c>
      <c r="AJ944" s="1">
        <v>56</v>
      </c>
      <c r="AK944" s="2">
        <v>46319</v>
      </c>
      <c r="AL944" s="4">
        <v>30</v>
      </c>
      <c r="AM944" s="5">
        <v>15</v>
      </c>
      <c r="AN944" s="4">
        <v>32</v>
      </c>
      <c r="AO944">
        <v>206.89655172413791</v>
      </c>
      <c r="AP944" s="4">
        <v>1</v>
      </c>
      <c r="AQ944" t="s">
        <v>1619</v>
      </c>
      <c r="AR944" t="s">
        <v>1620</v>
      </c>
      <c r="AS944" t="s">
        <v>1666</v>
      </c>
      <c r="AT944" s="16" t="str">
        <f>_xlfn.XLOOKUP(B944,'SWiSH Demand Forecast Sep-26'!D:D,'SWiSH Demand Forecast Sep-26'!G:G,"Not Exist")</f>
        <v>Not Exist</v>
      </c>
    </row>
    <row r="945" spans="1:46" x14ac:dyDescent="0.3">
      <c r="A945">
        <v>106200116</v>
      </c>
      <c r="B945" t="s">
        <v>2856</v>
      </c>
      <c r="C945" t="s">
        <v>240</v>
      </c>
      <c r="D945" t="s">
        <v>1613</v>
      </c>
      <c r="E945" t="s">
        <v>1832</v>
      </c>
      <c r="F945" t="s">
        <v>1671</v>
      </c>
      <c r="G945" t="s">
        <v>1616</v>
      </c>
      <c r="H945" t="s">
        <v>1672</v>
      </c>
      <c r="I945" t="s">
        <v>1618</v>
      </c>
      <c r="J945" t="s">
        <v>2396</v>
      </c>
      <c r="K945">
        <v>1.71875</v>
      </c>
      <c r="L945">
        <v>27.5</v>
      </c>
      <c r="M945" s="1">
        <v>3</v>
      </c>
      <c r="N945">
        <v>0</v>
      </c>
      <c r="O945">
        <v>0</v>
      </c>
      <c r="P945">
        <v>16</v>
      </c>
      <c r="Q945" s="1">
        <v>16</v>
      </c>
      <c r="R945">
        <v>1.25</v>
      </c>
      <c r="S945" s="2">
        <v>46259</v>
      </c>
      <c r="T945" s="2">
        <v>46258</v>
      </c>
      <c r="U945">
        <v>5</v>
      </c>
      <c r="V945">
        <v>0</v>
      </c>
      <c r="W945">
        <v>15</v>
      </c>
      <c r="X945">
        <v>15</v>
      </c>
      <c r="Y945">
        <v>0</v>
      </c>
      <c r="Z945" s="8">
        <v>15</v>
      </c>
      <c r="AA945">
        <v>8.75</v>
      </c>
      <c r="AB945">
        <v>0</v>
      </c>
      <c r="AC945">
        <v>1.7142857142857142</v>
      </c>
      <c r="AD945" s="1">
        <v>32</v>
      </c>
      <c r="AE945" s="2">
        <v>46280</v>
      </c>
      <c r="AF945" s="2">
        <v>46288</v>
      </c>
      <c r="AG945" s="2">
        <v>46295</v>
      </c>
      <c r="AH945">
        <v>17.16</v>
      </c>
      <c r="AI945" s="3">
        <v>1.183448275862069</v>
      </c>
      <c r="AJ945" s="1">
        <v>27</v>
      </c>
      <c r="AK945" s="2">
        <v>46290</v>
      </c>
      <c r="AL945" s="4">
        <v>30</v>
      </c>
      <c r="AM945" s="5">
        <v>15</v>
      </c>
      <c r="AN945" s="4">
        <v>27</v>
      </c>
      <c r="AO945">
        <v>17.751724137931035</v>
      </c>
      <c r="AP945" s="4">
        <v>1</v>
      </c>
      <c r="AQ945" t="s">
        <v>1619</v>
      </c>
      <c r="AR945" t="s">
        <v>1620</v>
      </c>
      <c r="AT945" s="16" t="str">
        <f>_xlfn.XLOOKUP(B945,'SWiSH Demand Forecast Sep-26'!D:D,'SWiSH Demand Forecast Sep-26'!G:G,"Not Exist")</f>
        <v>Not Exist</v>
      </c>
    </row>
    <row r="946" spans="1:46" hidden="1" x14ac:dyDescent="0.3">
      <c r="A946">
        <v>103800001</v>
      </c>
      <c r="B946" t="s">
        <v>1533</v>
      </c>
      <c r="C946" t="s">
        <v>136</v>
      </c>
      <c r="D946" t="s">
        <v>1613</v>
      </c>
      <c r="E946" t="s">
        <v>2351</v>
      </c>
      <c r="F946" t="s">
        <v>1615</v>
      </c>
      <c r="G946" t="s">
        <v>1616</v>
      </c>
      <c r="H946" t="s">
        <v>1822</v>
      </c>
      <c r="I946" t="s">
        <v>1618</v>
      </c>
      <c r="J946" t="s">
        <v>2125</v>
      </c>
      <c r="K946">
        <v>1.6202764999999999</v>
      </c>
      <c r="L946">
        <v>12.15207375</v>
      </c>
      <c r="M946" s="1">
        <v>3</v>
      </c>
      <c r="N946">
        <v>0</v>
      </c>
      <c r="O946">
        <v>0</v>
      </c>
      <c r="P946">
        <v>7.5</v>
      </c>
      <c r="Q946" s="1">
        <v>7.5</v>
      </c>
      <c r="R946">
        <v>0.8</v>
      </c>
      <c r="S946" s="2">
        <v>46154</v>
      </c>
      <c r="T946" s="2">
        <v>46202</v>
      </c>
      <c r="U946">
        <v>5.5</v>
      </c>
      <c r="V946">
        <v>1.5</v>
      </c>
      <c r="W946">
        <v>7</v>
      </c>
      <c r="X946">
        <v>0</v>
      </c>
      <c r="Y946">
        <v>0</v>
      </c>
      <c r="Z946" s="8">
        <v>7</v>
      </c>
      <c r="AA946">
        <v>3.5</v>
      </c>
      <c r="AB946">
        <v>0</v>
      </c>
      <c r="AC946">
        <v>2</v>
      </c>
      <c r="AD946" s="1">
        <v>32</v>
      </c>
      <c r="AE946" s="2">
        <v>46280</v>
      </c>
      <c r="AF946" s="2">
        <v>46288</v>
      </c>
      <c r="AG946" s="2">
        <v>46295</v>
      </c>
      <c r="AH946">
        <v>0</v>
      </c>
      <c r="AI946" s="3">
        <v>0</v>
      </c>
      <c r="AJ946" s="1" t="s">
        <v>1635</v>
      </c>
      <c r="AK946" s="2" t="s">
        <v>1635</v>
      </c>
      <c r="AL946" s="4">
        <v>30</v>
      </c>
      <c r="AM946" s="5">
        <v>15</v>
      </c>
      <c r="AN946" s="4">
        <v>32</v>
      </c>
      <c r="AO946">
        <v>0</v>
      </c>
      <c r="AP946" s="4">
        <v>1</v>
      </c>
      <c r="AQ946" t="s">
        <v>1619</v>
      </c>
      <c r="AR946" t="s">
        <v>1620</v>
      </c>
      <c r="AT946" s="16">
        <f>_xlfn.XLOOKUP(B946,'SWiSH Demand Forecast Sep-26'!D:D,'SWiSH Demand Forecast Sep-26'!G:G,"Not Exist")</f>
        <v>1.2717086330935199</v>
      </c>
    </row>
    <row r="947" spans="1:46" x14ac:dyDescent="0.3">
      <c r="A947">
        <v>105600006</v>
      </c>
      <c r="B947" t="s">
        <v>2857</v>
      </c>
      <c r="C947" t="s">
        <v>10</v>
      </c>
      <c r="D947" t="s">
        <v>1613</v>
      </c>
      <c r="E947" t="s">
        <v>1732</v>
      </c>
      <c r="F947" t="s">
        <v>1631</v>
      </c>
      <c r="G947" t="s">
        <v>1616</v>
      </c>
      <c r="H947" t="s">
        <v>1679</v>
      </c>
      <c r="I947" t="s">
        <v>1634</v>
      </c>
      <c r="J947" t="s">
        <v>136</v>
      </c>
      <c r="K947">
        <v>0.5</v>
      </c>
      <c r="L947">
        <v>130</v>
      </c>
      <c r="M947" s="1">
        <v>7</v>
      </c>
      <c r="N947">
        <v>0</v>
      </c>
      <c r="O947">
        <v>0</v>
      </c>
      <c r="P947">
        <v>260</v>
      </c>
      <c r="Q947" s="1">
        <v>260</v>
      </c>
      <c r="R947">
        <v>0.6</v>
      </c>
      <c r="S947" s="2">
        <v>46257</v>
      </c>
      <c r="T947" s="2">
        <v>46260</v>
      </c>
      <c r="U947">
        <v>0</v>
      </c>
      <c r="V947">
        <v>80</v>
      </c>
      <c r="W947">
        <v>140</v>
      </c>
      <c r="X947">
        <v>240</v>
      </c>
      <c r="Y947">
        <v>0</v>
      </c>
      <c r="Z947" s="8">
        <v>240</v>
      </c>
      <c r="AA947">
        <v>115</v>
      </c>
      <c r="AB947">
        <v>0</v>
      </c>
      <c r="AC947">
        <v>2.0869565217391304</v>
      </c>
      <c r="AD947" s="1">
        <v>32</v>
      </c>
      <c r="AE947" s="2">
        <v>46280</v>
      </c>
      <c r="AF947" s="2">
        <v>46288</v>
      </c>
      <c r="AG947" s="2">
        <v>46295</v>
      </c>
      <c r="AH947">
        <v>160</v>
      </c>
      <c r="AI947" s="3">
        <v>0.68965517241379315</v>
      </c>
      <c r="AJ947" s="1">
        <v>47</v>
      </c>
      <c r="AK947" s="2">
        <v>46310</v>
      </c>
      <c r="AL947" s="4">
        <v>30</v>
      </c>
      <c r="AM947" s="5">
        <v>15</v>
      </c>
      <c r="AN947" s="4">
        <v>32</v>
      </c>
      <c r="AO947">
        <v>165.51724137931035</v>
      </c>
      <c r="AP947" s="4">
        <v>1</v>
      </c>
      <c r="AQ947" t="s">
        <v>1619</v>
      </c>
      <c r="AR947" t="s">
        <v>1620</v>
      </c>
      <c r="AT947" s="16" t="str">
        <f>_xlfn.XLOOKUP(B947,'SWiSH Demand Forecast Sep-26'!D:D,'SWiSH Demand Forecast Sep-26'!G:G,"Not Exist")</f>
        <v>Not Exist</v>
      </c>
    </row>
    <row r="948" spans="1:46" x14ac:dyDescent="0.3">
      <c r="A948">
        <v>106800360</v>
      </c>
      <c r="B948" t="s">
        <v>2858</v>
      </c>
      <c r="C948" t="s">
        <v>10</v>
      </c>
      <c r="D948" t="s">
        <v>1613</v>
      </c>
      <c r="E948" t="s">
        <v>1663</v>
      </c>
      <c r="F948" t="s">
        <v>1664</v>
      </c>
      <c r="G948" t="s">
        <v>1624</v>
      </c>
      <c r="H948" t="s">
        <v>1665</v>
      </c>
      <c r="I948" t="s">
        <v>1634</v>
      </c>
      <c r="J948" t="s">
        <v>10</v>
      </c>
      <c r="K948">
        <v>4.0000000000000001E-3</v>
      </c>
      <c r="L948">
        <v>64</v>
      </c>
      <c r="M948" s="1">
        <v>7</v>
      </c>
      <c r="N948">
        <v>0</v>
      </c>
      <c r="O948">
        <v>0</v>
      </c>
      <c r="P948">
        <v>16000</v>
      </c>
      <c r="Q948" s="1">
        <v>16000</v>
      </c>
      <c r="R948">
        <v>4.0000000000000001E-3</v>
      </c>
      <c r="S948" s="2">
        <v>46163</v>
      </c>
      <c r="T948" s="2">
        <v>46251</v>
      </c>
      <c r="U948">
        <v>0</v>
      </c>
      <c r="V948">
        <v>15000</v>
      </c>
      <c r="W948">
        <v>8000</v>
      </c>
      <c r="X948">
        <v>9000</v>
      </c>
      <c r="Y948">
        <v>0</v>
      </c>
      <c r="Z948" s="8">
        <v>15000</v>
      </c>
      <c r="AA948">
        <v>8000</v>
      </c>
      <c r="AB948">
        <v>0</v>
      </c>
      <c r="AC948">
        <v>1.875</v>
      </c>
      <c r="AD948" s="1">
        <v>32</v>
      </c>
      <c r="AE948" s="2">
        <v>46280</v>
      </c>
      <c r="AF948" s="2">
        <v>46288</v>
      </c>
      <c r="AG948" s="2">
        <v>46295</v>
      </c>
      <c r="AH948">
        <v>4000</v>
      </c>
      <c r="AI948" s="3">
        <v>0.27586206896551724</v>
      </c>
      <c r="AJ948" s="1">
        <v>116</v>
      </c>
      <c r="AK948" s="2">
        <v>46379</v>
      </c>
      <c r="AL948" s="4">
        <v>30</v>
      </c>
      <c r="AM948" s="5">
        <v>15</v>
      </c>
      <c r="AN948" s="4">
        <v>32</v>
      </c>
      <c r="AO948">
        <v>4137.9310344827582</v>
      </c>
      <c r="AP948" s="4">
        <v>1</v>
      </c>
      <c r="AQ948" t="s">
        <v>1619</v>
      </c>
      <c r="AR948" t="s">
        <v>1620</v>
      </c>
      <c r="AT948" s="16" t="str">
        <f>_xlfn.XLOOKUP(B948,'SWiSH Demand Forecast Sep-26'!D:D,'SWiSH Demand Forecast Sep-26'!G:G,"Not Exist")</f>
        <v>Not Exist</v>
      </c>
    </row>
    <row r="949" spans="1:46" x14ac:dyDescent="0.3">
      <c r="A949">
        <v>105600022</v>
      </c>
      <c r="B949" t="s">
        <v>2859</v>
      </c>
      <c r="C949" t="s">
        <v>136</v>
      </c>
      <c r="D949" t="s">
        <v>1613</v>
      </c>
      <c r="E949" t="s">
        <v>1663</v>
      </c>
      <c r="F949" t="s">
        <v>1664</v>
      </c>
      <c r="G949" t="s">
        <v>1624</v>
      </c>
      <c r="H949" t="s">
        <v>1679</v>
      </c>
      <c r="I949" t="s">
        <v>1634</v>
      </c>
      <c r="J949" t="s">
        <v>136</v>
      </c>
      <c r="K949">
        <v>0.56499999999999995</v>
      </c>
      <c r="L949">
        <v>338.99999999999994</v>
      </c>
      <c r="M949" s="1">
        <v>15</v>
      </c>
      <c r="N949">
        <v>0</v>
      </c>
      <c r="O949">
        <v>0</v>
      </c>
      <c r="P949">
        <v>600</v>
      </c>
      <c r="Q949" s="1">
        <v>600</v>
      </c>
      <c r="R949">
        <v>0.63</v>
      </c>
      <c r="S949" s="2">
        <v>46246</v>
      </c>
      <c r="T949" s="2">
        <v>46261</v>
      </c>
      <c r="U949">
        <v>277.45</v>
      </c>
      <c r="V949">
        <v>70</v>
      </c>
      <c r="W949">
        <v>550</v>
      </c>
      <c r="X949">
        <v>382</v>
      </c>
      <c r="Y949">
        <v>70</v>
      </c>
      <c r="Z949" s="8">
        <v>550</v>
      </c>
      <c r="AA949">
        <v>319.86250000000001</v>
      </c>
      <c r="AB949">
        <v>0.21884403454609402</v>
      </c>
      <c r="AC949">
        <v>1.7194888428621673</v>
      </c>
      <c r="AD949" s="1">
        <v>32</v>
      </c>
      <c r="AE949" s="2">
        <v>46280</v>
      </c>
      <c r="AF949" s="2">
        <v>46288</v>
      </c>
      <c r="AG949" s="2">
        <v>46295</v>
      </c>
      <c r="AH949">
        <v>660</v>
      </c>
      <c r="AI949" s="3">
        <v>1.2413793103448274</v>
      </c>
      <c r="AJ949" s="1">
        <v>26</v>
      </c>
      <c r="AK949" s="2">
        <v>46289</v>
      </c>
      <c r="AL949" s="4">
        <v>30</v>
      </c>
      <c r="AM949" s="5">
        <v>15</v>
      </c>
      <c r="AN949" s="4">
        <v>26</v>
      </c>
      <c r="AO949">
        <v>682.75862068965512</v>
      </c>
      <c r="AP949" s="4">
        <v>1</v>
      </c>
      <c r="AQ949">
        <v>600</v>
      </c>
      <c r="AR949" t="s">
        <v>2860</v>
      </c>
      <c r="AS949" t="s">
        <v>1666</v>
      </c>
      <c r="AT949" s="16" t="str">
        <f>_xlfn.XLOOKUP(B949,'SWiSH Demand Forecast Sep-26'!D:D,'SWiSH Demand Forecast Sep-26'!G:G,"Not Exist")</f>
        <v>Not Exist</v>
      </c>
    </row>
    <row r="950" spans="1:46" x14ac:dyDescent="0.3">
      <c r="A950">
        <v>100100055</v>
      </c>
      <c r="B950" t="s">
        <v>2861</v>
      </c>
      <c r="C950" t="s">
        <v>10</v>
      </c>
      <c r="D950" t="s">
        <v>1613</v>
      </c>
      <c r="E950" t="s">
        <v>1685</v>
      </c>
      <c r="F950" t="s">
        <v>1840</v>
      </c>
      <c r="G950" t="s">
        <v>1616</v>
      </c>
      <c r="H950" t="s">
        <v>1877</v>
      </c>
      <c r="I950" t="s">
        <v>1618</v>
      </c>
      <c r="J950" t="s">
        <v>1688</v>
      </c>
      <c r="K950">
        <v>0.72</v>
      </c>
      <c r="L950">
        <v>319.68</v>
      </c>
      <c r="M950" s="1">
        <v>3</v>
      </c>
      <c r="N950">
        <v>0</v>
      </c>
      <c r="O950">
        <v>0</v>
      </c>
      <c r="P950">
        <v>444</v>
      </c>
      <c r="Q950" s="1">
        <v>444</v>
      </c>
      <c r="R950">
        <v>8.64</v>
      </c>
      <c r="S950" s="2">
        <v>46232</v>
      </c>
      <c r="T950" s="2">
        <v>46256</v>
      </c>
      <c r="U950">
        <v>408</v>
      </c>
      <c r="V950">
        <v>300</v>
      </c>
      <c r="W950">
        <v>84</v>
      </c>
      <c r="X950">
        <v>108</v>
      </c>
      <c r="Y950">
        <v>84</v>
      </c>
      <c r="Z950" s="8">
        <v>408</v>
      </c>
      <c r="AA950">
        <v>225</v>
      </c>
      <c r="AB950">
        <v>0.37333333333333335</v>
      </c>
      <c r="AC950">
        <v>1.8133333333333332</v>
      </c>
      <c r="AD950" s="1">
        <v>32</v>
      </c>
      <c r="AE950" s="2">
        <v>46280</v>
      </c>
      <c r="AF950" s="2">
        <v>46288</v>
      </c>
      <c r="AG950" s="2">
        <v>46295</v>
      </c>
      <c r="AH950">
        <v>84</v>
      </c>
      <c r="AI950" s="3">
        <v>0.2129817444219067</v>
      </c>
      <c r="AJ950" s="1">
        <v>153</v>
      </c>
      <c r="AK950" s="2">
        <v>46416</v>
      </c>
      <c r="AL950" s="4">
        <v>30</v>
      </c>
      <c r="AM950" s="5">
        <v>15</v>
      </c>
      <c r="AN950" s="4">
        <v>32</v>
      </c>
      <c r="AO950">
        <v>86.896551724137936</v>
      </c>
      <c r="AP950" s="4">
        <v>1</v>
      </c>
      <c r="AQ950" t="s">
        <v>1619</v>
      </c>
      <c r="AR950" t="s">
        <v>1620</v>
      </c>
      <c r="AT950" s="16" t="str">
        <f>_xlfn.XLOOKUP(B950,'SWiSH Demand Forecast Sep-26'!D:D,'SWiSH Demand Forecast Sep-26'!G:G,"Not Exist")</f>
        <v>Not Exist</v>
      </c>
    </row>
    <row r="951" spans="1:46" x14ac:dyDescent="0.3">
      <c r="A951">
        <v>105200094</v>
      </c>
      <c r="B951" t="s">
        <v>2862</v>
      </c>
      <c r="C951" t="s">
        <v>10</v>
      </c>
      <c r="D951" t="s">
        <v>1613</v>
      </c>
      <c r="E951" t="s">
        <v>1663</v>
      </c>
      <c r="F951" t="s">
        <v>1664</v>
      </c>
      <c r="G951" t="s">
        <v>1624</v>
      </c>
      <c r="H951" t="s">
        <v>1779</v>
      </c>
      <c r="I951" t="s">
        <v>1634</v>
      </c>
      <c r="J951" t="s">
        <v>10</v>
      </c>
      <c r="K951">
        <v>2.5999999999999999E-2</v>
      </c>
      <c r="L951">
        <v>351</v>
      </c>
      <c r="M951" s="1">
        <v>30</v>
      </c>
      <c r="N951">
        <v>0</v>
      </c>
      <c r="O951">
        <v>0</v>
      </c>
      <c r="P951">
        <v>13500</v>
      </c>
      <c r="Q951" s="1">
        <v>13500</v>
      </c>
      <c r="R951">
        <v>2.5999999999999999E-2</v>
      </c>
      <c r="S951" s="2">
        <v>46176</v>
      </c>
      <c r="T951" s="2">
        <v>46262</v>
      </c>
      <c r="U951">
        <v>0</v>
      </c>
      <c r="V951">
        <v>12000</v>
      </c>
      <c r="W951">
        <v>12600</v>
      </c>
      <c r="X951">
        <v>8400</v>
      </c>
      <c r="Y951">
        <v>0</v>
      </c>
      <c r="Z951" s="8">
        <v>12600</v>
      </c>
      <c r="AA951">
        <v>8250</v>
      </c>
      <c r="AB951">
        <v>0</v>
      </c>
      <c r="AC951">
        <v>1.5272727272727273</v>
      </c>
      <c r="AD951" s="1">
        <v>32</v>
      </c>
      <c r="AE951" s="2">
        <v>46280</v>
      </c>
      <c r="AF951" s="2">
        <v>46288</v>
      </c>
      <c r="AG951" s="2">
        <v>46295</v>
      </c>
      <c r="AH951">
        <v>3600</v>
      </c>
      <c r="AI951" s="3">
        <v>0.29556650246305421</v>
      </c>
      <c r="AJ951" s="1">
        <v>108</v>
      </c>
      <c r="AK951" s="2">
        <v>46371</v>
      </c>
      <c r="AL951" s="4">
        <v>30</v>
      </c>
      <c r="AM951" s="5">
        <v>15</v>
      </c>
      <c r="AN951" s="4">
        <v>32</v>
      </c>
      <c r="AO951">
        <v>3724.1379310344832</v>
      </c>
      <c r="AP951" s="4">
        <v>1</v>
      </c>
      <c r="AQ951">
        <v>49900</v>
      </c>
      <c r="AR951" t="s">
        <v>2863</v>
      </c>
      <c r="AT951" s="16" t="str">
        <f>_xlfn.XLOOKUP(B951,'SWiSH Demand Forecast Sep-26'!D:D,'SWiSH Demand Forecast Sep-26'!G:G,"Not Exist")</f>
        <v>Not Exist</v>
      </c>
    </row>
    <row r="952" spans="1:46" x14ac:dyDescent="0.3">
      <c r="A952">
        <v>106600050</v>
      </c>
      <c r="B952" t="s">
        <v>2864</v>
      </c>
      <c r="C952" t="s">
        <v>10</v>
      </c>
      <c r="D952" t="s">
        <v>1613</v>
      </c>
      <c r="E952" t="s">
        <v>1685</v>
      </c>
      <c r="F952" t="s">
        <v>1664</v>
      </c>
      <c r="G952" t="s">
        <v>1624</v>
      </c>
      <c r="H952" t="s">
        <v>1723</v>
      </c>
      <c r="I952" t="s">
        <v>1634</v>
      </c>
      <c r="J952" t="s">
        <v>10</v>
      </c>
      <c r="K952">
        <v>9.2700000000000005E-3</v>
      </c>
      <c r="L952">
        <v>231.75</v>
      </c>
      <c r="M952" s="1">
        <v>15</v>
      </c>
      <c r="N952">
        <v>0</v>
      </c>
      <c r="O952">
        <v>0</v>
      </c>
      <c r="P952">
        <v>25000</v>
      </c>
      <c r="Q952" s="1">
        <v>25000</v>
      </c>
      <c r="R952">
        <v>8.0000000000000002E-3</v>
      </c>
      <c r="S952" s="2">
        <v>46243</v>
      </c>
      <c r="T952" s="2">
        <v>46263</v>
      </c>
      <c r="U952">
        <v>20000</v>
      </c>
      <c r="V952">
        <v>23000</v>
      </c>
      <c r="W952">
        <v>11000</v>
      </c>
      <c r="X952">
        <v>12000</v>
      </c>
      <c r="Y952">
        <v>11000</v>
      </c>
      <c r="Z952" s="8">
        <v>23000</v>
      </c>
      <c r="AA952">
        <v>16500</v>
      </c>
      <c r="AB952">
        <v>0.66666666666666663</v>
      </c>
      <c r="AC952">
        <v>1.393939393939394</v>
      </c>
      <c r="AD952" s="1">
        <v>32</v>
      </c>
      <c r="AE952" s="2">
        <v>46280</v>
      </c>
      <c r="AF952" s="2">
        <v>46288</v>
      </c>
      <c r="AG952" s="2">
        <v>46295</v>
      </c>
      <c r="AH952">
        <v>11000</v>
      </c>
      <c r="AI952" s="3">
        <v>0.49475262368815598</v>
      </c>
      <c r="AJ952" s="1">
        <v>65</v>
      </c>
      <c r="AK952" s="2">
        <v>46328</v>
      </c>
      <c r="AL952" s="4">
        <v>30</v>
      </c>
      <c r="AM952" s="5">
        <v>15</v>
      </c>
      <c r="AN952" s="4">
        <v>32</v>
      </c>
      <c r="AO952">
        <v>11379.310344827587</v>
      </c>
      <c r="AP952" s="4">
        <v>1</v>
      </c>
      <c r="AQ952">
        <v>25000</v>
      </c>
      <c r="AR952" t="s">
        <v>2215</v>
      </c>
      <c r="AT952" s="16" t="str">
        <f>_xlfn.XLOOKUP(B952,'SWiSH Demand Forecast Sep-26'!D:D,'SWiSH Demand Forecast Sep-26'!G:G,"Not Exist")</f>
        <v>Not Exist</v>
      </c>
    </row>
    <row r="953" spans="1:46" hidden="1" x14ac:dyDescent="0.3">
      <c r="A953">
        <v>101700001</v>
      </c>
      <c r="B953" t="s">
        <v>797</v>
      </c>
      <c r="C953" t="s">
        <v>240</v>
      </c>
      <c r="D953" t="s">
        <v>1613</v>
      </c>
      <c r="E953" t="s">
        <v>1862</v>
      </c>
      <c r="F953" t="s">
        <v>1833</v>
      </c>
      <c r="G953" t="s">
        <v>1616</v>
      </c>
      <c r="H953" t="s">
        <v>2221</v>
      </c>
      <c r="I953" t="s">
        <v>1626</v>
      </c>
      <c r="J953" t="s">
        <v>1874</v>
      </c>
      <c r="K953">
        <v>2.0833333299999999</v>
      </c>
      <c r="L953">
        <v>3374.9999945999998</v>
      </c>
      <c r="M953" s="1">
        <v>3</v>
      </c>
      <c r="N953">
        <v>0</v>
      </c>
      <c r="O953">
        <v>0</v>
      </c>
      <c r="P953">
        <v>1620</v>
      </c>
      <c r="Q953" s="1">
        <v>1620</v>
      </c>
      <c r="R953">
        <v>25</v>
      </c>
      <c r="S953" s="2">
        <v>46254</v>
      </c>
      <c r="T953" s="2">
        <v>46263</v>
      </c>
      <c r="U953">
        <v>852</v>
      </c>
      <c r="V953">
        <v>1488</v>
      </c>
      <c r="W953">
        <v>1116</v>
      </c>
      <c r="X953">
        <v>696</v>
      </c>
      <c r="Y953">
        <v>696</v>
      </c>
      <c r="Z953" s="8">
        <v>1488</v>
      </c>
      <c r="AA953">
        <v>1038</v>
      </c>
      <c r="AB953">
        <v>0.67052023121387283</v>
      </c>
      <c r="AC953">
        <v>1.4335260115606936</v>
      </c>
      <c r="AD953" s="1">
        <v>32</v>
      </c>
      <c r="AE953" s="2">
        <v>46280</v>
      </c>
      <c r="AF953" s="2">
        <v>46288</v>
      </c>
      <c r="AG953" s="2">
        <v>46295</v>
      </c>
      <c r="AH953">
        <v>1116</v>
      </c>
      <c r="AI953" s="3">
        <v>0.77586206896551713</v>
      </c>
      <c r="AJ953" s="1">
        <v>42</v>
      </c>
      <c r="AK953" s="2">
        <v>46305</v>
      </c>
      <c r="AL953" s="4">
        <v>10</v>
      </c>
      <c r="AM953" s="5">
        <v>10</v>
      </c>
      <c r="AN953" s="4">
        <v>32</v>
      </c>
      <c r="AO953">
        <v>384.82758620689651</v>
      </c>
      <c r="AP953" s="4">
        <v>3</v>
      </c>
      <c r="AQ953" t="s">
        <v>1619</v>
      </c>
      <c r="AR953" t="s">
        <v>1620</v>
      </c>
      <c r="AT953" s="16">
        <f>_xlfn.XLOOKUP(B953,'SWiSH Demand Forecast Sep-26'!D:D,'SWiSH Demand Forecast Sep-26'!G:G,"Not Exist")</f>
        <v>404.63200000000001</v>
      </c>
    </row>
    <row r="954" spans="1:46" x14ac:dyDescent="0.3">
      <c r="A954">
        <v>106800144</v>
      </c>
      <c r="B954" t="s">
        <v>2865</v>
      </c>
      <c r="C954" t="s">
        <v>10</v>
      </c>
      <c r="D954" t="s">
        <v>1613</v>
      </c>
      <c r="E954" t="s">
        <v>1638</v>
      </c>
      <c r="F954" t="s">
        <v>1664</v>
      </c>
      <c r="G954" t="s">
        <v>1624</v>
      </c>
      <c r="H954" t="s">
        <v>1665</v>
      </c>
      <c r="I954" t="s">
        <v>1634</v>
      </c>
      <c r="J954" t="s">
        <v>10</v>
      </c>
      <c r="K954">
        <v>4.0000000000000001E-3</v>
      </c>
      <c r="L954">
        <v>360</v>
      </c>
      <c r="M954" s="1">
        <v>7</v>
      </c>
      <c r="N954">
        <v>0</v>
      </c>
      <c r="O954">
        <v>0</v>
      </c>
      <c r="P954">
        <v>90000</v>
      </c>
      <c r="Q954" s="1">
        <v>90000</v>
      </c>
      <c r="R954">
        <v>4.0000000000000001E-3</v>
      </c>
      <c r="S954" s="2">
        <v>46244</v>
      </c>
      <c r="T954" s="2">
        <v>46262</v>
      </c>
      <c r="U954">
        <v>83000</v>
      </c>
      <c r="V954">
        <v>74000</v>
      </c>
      <c r="W954">
        <v>59000</v>
      </c>
      <c r="X954">
        <v>57000</v>
      </c>
      <c r="Y954">
        <v>57000</v>
      </c>
      <c r="Z954" s="8">
        <v>83000</v>
      </c>
      <c r="AA954">
        <v>68250</v>
      </c>
      <c r="AB954">
        <v>0.8351648351648352</v>
      </c>
      <c r="AC954">
        <v>1.216117216117216</v>
      </c>
      <c r="AD954" s="1">
        <v>32</v>
      </c>
      <c r="AE954" s="2">
        <v>46280</v>
      </c>
      <c r="AF954" s="2">
        <v>46288</v>
      </c>
      <c r="AG954" s="2">
        <v>46295</v>
      </c>
      <c r="AH954">
        <v>59000</v>
      </c>
      <c r="AI954" s="3">
        <v>0.73535521395928538</v>
      </c>
      <c r="AJ954" s="1">
        <v>44</v>
      </c>
      <c r="AK954" s="2">
        <v>46307</v>
      </c>
      <c r="AL954" s="4">
        <v>30</v>
      </c>
      <c r="AM954" s="5">
        <v>15</v>
      </c>
      <c r="AN954" s="4">
        <v>32</v>
      </c>
      <c r="AO954">
        <v>61034.482758620688</v>
      </c>
      <c r="AP954" s="4">
        <v>1</v>
      </c>
      <c r="AQ954">
        <v>332500</v>
      </c>
      <c r="AR954" t="s">
        <v>1829</v>
      </c>
      <c r="AT954" s="16" t="str">
        <f>_xlfn.XLOOKUP(B954,'SWiSH Demand Forecast Sep-26'!D:D,'SWiSH Demand Forecast Sep-26'!G:G,"Not Exist")</f>
        <v>Not Exist</v>
      </c>
    </row>
    <row r="955" spans="1:46" x14ac:dyDescent="0.3">
      <c r="A955">
        <v>106800362</v>
      </c>
      <c r="B955" t="s">
        <v>2866</v>
      </c>
      <c r="C955" t="s">
        <v>10</v>
      </c>
      <c r="D955" t="s">
        <v>1613</v>
      </c>
      <c r="E955" t="s">
        <v>1663</v>
      </c>
      <c r="F955" t="s">
        <v>1664</v>
      </c>
      <c r="G955" t="s">
        <v>1624</v>
      </c>
      <c r="H955" t="s">
        <v>1665</v>
      </c>
      <c r="I955" t="s">
        <v>1634</v>
      </c>
      <c r="J955" t="s">
        <v>10</v>
      </c>
      <c r="K955">
        <v>6.0000000000000001E-3</v>
      </c>
      <c r="L955">
        <v>750</v>
      </c>
      <c r="M955" s="1">
        <v>7</v>
      </c>
      <c r="N955">
        <v>0</v>
      </c>
      <c r="O955">
        <v>0</v>
      </c>
      <c r="P955">
        <v>125000</v>
      </c>
      <c r="Q955" s="1">
        <v>125000</v>
      </c>
      <c r="R955">
        <v>6.0000000000000001E-3</v>
      </c>
      <c r="S955" s="2">
        <v>46158</v>
      </c>
      <c r="T955" s="2">
        <v>46263</v>
      </c>
      <c r="U955">
        <v>0</v>
      </c>
      <c r="V955">
        <v>46000</v>
      </c>
      <c r="W955">
        <v>106000</v>
      </c>
      <c r="X955">
        <v>114000</v>
      </c>
      <c r="Y955">
        <v>0</v>
      </c>
      <c r="Z955" s="8">
        <v>114000</v>
      </c>
      <c r="AA955">
        <v>66500</v>
      </c>
      <c r="AB955">
        <v>0</v>
      </c>
      <c r="AC955">
        <v>1.7142857142857142</v>
      </c>
      <c r="AD955" s="1">
        <v>32</v>
      </c>
      <c r="AE955" s="2">
        <v>46280</v>
      </c>
      <c r="AF955" s="2">
        <v>46288</v>
      </c>
      <c r="AG955" s="2">
        <v>46295</v>
      </c>
      <c r="AH955">
        <v>87000</v>
      </c>
      <c r="AI955" s="3">
        <v>0.78947368421052633</v>
      </c>
      <c r="AJ955" s="1">
        <v>41</v>
      </c>
      <c r="AK955" s="2">
        <v>46304</v>
      </c>
      <c r="AL955" s="4">
        <v>30</v>
      </c>
      <c r="AM955" s="5">
        <v>15</v>
      </c>
      <c r="AN955" s="4">
        <v>32</v>
      </c>
      <c r="AO955">
        <v>90000</v>
      </c>
      <c r="AP955" s="4">
        <v>1</v>
      </c>
      <c r="AQ955">
        <v>120000</v>
      </c>
      <c r="AR955" t="s">
        <v>1829</v>
      </c>
      <c r="AT955" s="16" t="str">
        <f>_xlfn.XLOOKUP(B955,'SWiSH Demand Forecast Sep-26'!D:D,'SWiSH Demand Forecast Sep-26'!G:G,"Not Exist")</f>
        <v>Not Exist</v>
      </c>
    </row>
    <row r="956" spans="1:46" x14ac:dyDescent="0.3">
      <c r="A956">
        <v>102700028</v>
      </c>
      <c r="B956" t="s">
        <v>2867</v>
      </c>
      <c r="C956" t="s">
        <v>10</v>
      </c>
      <c r="D956" t="s">
        <v>1613</v>
      </c>
      <c r="E956" t="s">
        <v>2458</v>
      </c>
      <c r="F956" t="s">
        <v>1840</v>
      </c>
      <c r="G956" t="s">
        <v>1616</v>
      </c>
      <c r="H956" t="s">
        <v>1865</v>
      </c>
      <c r="I956" t="s">
        <v>1618</v>
      </c>
      <c r="J956" t="s">
        <v>10</v>
      </c>
      <c r="K956">
        <v>6.25E-2</v>
      </c>
      <c r="L956">
        <v>98.25</v>
      </c>
      <c r="M956" s="1">
        <v>3</v>
      </c>
      <c r="N956">
        <v>0</v>
      </c>
      <c r="O956">
        <v>0</v>
      </c>
      <c r="P956">
        <v>1572</v>
      </c>
      <c r="Q956" s="1">
        <v>1572</v>
      </c>
      <c r="R956">
        <v>8.5</v>
      </c>
      <c r="S956" s="2">
        <v>46259</v>
      </c>
      <c r="T956" s="2">
        <v>46263</v>
      </c>
      <c r="U956">
        <v>1430</v>
      </c>
      <c r="V956">
        <v>1104</v>
      </c>
      <c r="W956">
        <v>900</v>
      </c>
      <c r="X956">
        <v>990</v>
      </c>
      <c r="Y956">
        <v>900</v>
      </c>
      <c r="Z956" s="8">
        <v>1430</v>
      </c>
      <c r="AA956">
        <v>1106</v>
      </c>
      <c r="AB956">
        <v>0.8137432188065099</v>
      </c>
      <c r="AC956">
        <v>1.2929475587703436</v>
      </c>
      <c r="AD956" s="1">
        <v>32</v>
      </c>
      <c r="AE956" s="2">
        <v>46280</v>
      </c>
      <c r="AF956" s="2">
        <v>46288</v>
      </c>
      <c r="AG956" s="2">
        <v>46295</v>
      </c>
      <c r="AH956">
        <v>660</v>
      </c>
      <c r="AI956" s="3">
        <v>0.47745358090185674</v>
      </c>
      <c r="AJ956" s="1">
        <v>69</v>
      </c>
      <c r="AK956" s="2">
        <v>46332</v>
      </c>
      <c r="AL956" s="4">
        <v>30</v>
      </c>
      <c r="AM956" s="5">
        <v>15</v>
      </c>
      <c r="AN956" s="4">
        <v>32</v>
      </c>
      <c r="AO956">
        <v>682.75862068965512</v>
      </c>
      <c r="AP956" s="4">
        <v>1</v>
      </c>
      <c r="AQ956" t="s">
        <v>1619</v>
      </c>
      <c r="AR956" t="s">
        <v>1620</v>
      </c>
      <c r="AT956" s="16" t="str">
        <f>_xlfn.XLOOKUP(B956,'SWiSH Demand Forecast Sep-26'!D:D,'SWiSH Demand Forecast Sep-26'!G:G,"Not Exist")</f>
        <v>Not Exist</v>
      </c>
    </row>
    <row r="957" spans="1:46" hidden="1" x14ac:dyDescent="0.3">
      <c r="A957">
        <v>100400182</v>
      </c>
      <c r="B957" t="s">
        <v>221</v>
      </c>
      <c r="C957" t="s">
        <v>10</v>
      </c>
      <c r="D957" t="s">
        <v>1613</v>
      </c>
      <c r="E957" t="s">
        <v>2147</v>
      </c>
      <c r="F957" t="s">
        <v>1664</v>
      </c>
      <c r="G957" t="s">
        <v>1616</v>
      </c>
      <c r="H957" t="s">
        <v>1810</v>
      </c>
      <c r="I957" t="s">
        <v>1634</v>
      </c>
      <c r="J957" t="s">
        <v>10</v>
      </c>
      <c r="K957">
        <v>9.1999999999999998E-2</v>
      </c>
      <c r="L957">
        <v>1896.12</v>
      </c>
      <c r="M957" s="1">
        <v>30</v>
      </c>
      <c r="N957">
        <v>0</v>
      </c>
      <c r="O957">
        <v>100</v>
      </c>
      <c r="P957">
        <v>20610</v>
      </c>
      <c r="Q957" s="1">
        <v>20510</v>
      </c>
      <c r="R957">
        <v>7.4999999999999997E-2</v>
      </c>
      <c r="S957" s="2">
        <v>45250</v>
      </c>
      <c r="T957" s="2">
        <v>46263</v>
      </c>
      <c r="U957">
        <v>12300</v>
      </c>
      <c r="V957">
        <v>18525</v>
      </c>
      <c r="W957">
        <v>15700</v>
      </c>
      <c r="X957">
        <v>18750</v>
      </c>
      <c r="Y957">
        <v>12300</v>
      </c>
      <c r="Z957" s="8">
        <v>18750</v>
      </c>
      <c r="AA957">
        <v>16318.75</v>
      </c>
      <c r="AB957">
        <v>0.75373420145538106</v>
      </c>
      <c r="AC957">
        <v>1.1489850631941785</v>
      </c>
      <c r="AD957" s="1">
        <v>32</v>
      </c>
      <c r="AE957" s="2">
        <v>46280</v>
      </c>
      <c r="AF957" s="2">
        <v>46288</v>
      </c>
      <c r="AG957" s="2">
        <v>46295</v>
      </c>
      <c r="AH957">
        <v>13650</v>
      </c>
      <c r="AI957" s="3">
        <v>0.75310344827586206</v>
      </c>
      <c r="AJ957" s="1">
        <v>43</v>
      </c>
      <c r="AK957" s="2">
        <v>46306</v>
      </c>
      <c r="AL957" s="4">
        <v>10</v>
      </c>
      <c r="AM957" s="5">
        <v>10</v>
      </c>
      <c r="AN957" s="4">
        <v>32</v>
      </c>
      <c r="AO957">
        <v>4706.8965517241377</v>
      </c>
      <c r="AP957" s="4">
        <v>3</v>
      </c>
      <c r="AQ957" t="s">
        <v>1619</v>
      </c>
      <c r="AR957" t="s">
        <v>1620</v>
      </c>
      <c r="AT957" s="16">
        <f>_xlfn.XLOOKUP(B957,'SWiSH Demand Forecast Sep-26'!D:D,'SWiSH Demand Forecast Sep-26'!G:G,"Not Exist")</f>
        <v>7606.5</v>
      </c>
    </row>
    <row r="958" spans="1:46" hidden="1" x14ac:dyDescent="0.3">
      <c r="A958">
        <v>101700007</v>
      </c>
      <c r="B958" t="s">
        <v>838</v>
      </c>
      <c r="C958" t="s">
        <v>136</v>
      </c>
      <c r="D958" t="s">
        <v>1613</v>
      </c>
      <c r="E958" t="s">
        <v>2868</v>
      </c>
      <c r="F958" t="s">
        <v>1833</v>
      </c>
      <c r="G958" t="s">
        <v>1616</v>
      </c>
      <c r="H958" t="s">
        <v>2221</v>
      </c>
      <c r="I958" t="s">
        <v>1626</v>
      </c>
      <c r="J958" t="s">
        <v>2869</v>
      </c>
      <c r="K958">
        <v>2.14</v>
      </c>
      <c r="L958">
        <v>288.36500000000001</v>
      </c>
      <c r="M958" s="1">
        <v>3</v>
      </c>
      <c r="N958">
        <v>0</v>
      </c>
      <c r="O958">
        <v>2.75</v>
      </c>
      <c r="P958">
        <v>134.75</v>
      </c>
      <c r="Q958" s="1">
        <v>132</v>
      </c>
      <c r="R958">
        <v>3.5</v>
      </c>
      <c r="S958" s="2">
        <v>46196</v>
      </c>
      <c r="T958" s="2">
        <v>46263</v>
      </c>
      <c r="U958">
        <v>121.83</v>
      </c>
      <c r="V958">
        <v>123.27</v>
      </c>
      <c r="W958">
        <v>90.75</v>
      </c>
      <c r="X958">
        <v>93.5</v>
      </c>
      <c r="Y958">
        <v>90.75</v>
      </c>
      <c r="Z958" s="8">
        <v>123.27</v>
      </c>
      <c r="AA958">
        <v>107.33750000000001</v>
      </c>
      <c r="AB958">
        <v>0.84546407359962727</v>
      </c>
      <c r="AC958">
        <v>1.1484336788168161</v>
      </c>
      <c r="AD958" s="1">
        <v>32</v>
      </c>
      <c r="AE958" s="2">
        <v>46280</v>
      </c>
      <c r="AF958" s="2">
        <v>46288</v>
      </c>
      <c r="AG958" s="2">
        <v>46295</v>
      </c>
      <c r="AH958">
        <v>74.25</v>
      </c>
      <c r="AI958" s="3">
        <v>0.62310655331861942</v>
      </c>
      <c r="AJ958" s="1">
        <v>51</v>
      </c>
      <c r="AK958" s="2">
        <v>46314</v>
      </c>
      <c r="AL958" s="4">
        <v>15</v>
      </c>
      <c r="AM958" s="5">
        <v>15</v>
      </c>
      <c r="AN958" s="4">
        <v>32</v>
      </c>
      <c r="AO958">
        <v>38.405172413793103</v>
      </c>
      <c r="AP958" s="4">
        <v>2</v>
      </c>
      <c r="AQ958" t="s">
        <v>1619</v>
      </c>
      <c r="AR958" t="s">
        <v>1620</v>
      </c>
      <c r="AT958" s="16">
        <f>_xlfn.XLOOKUP(B958,'SWiSH Demand Forecast Sep-26'!D:D,'SWiSH Demand Forecast Sep-26'!G:G,"Not Exist")</f>
        <v>341.06528330856901</v>
      </c>
    </row>
    <row r="959" spans="1:46" hidden="1" x14ac:dyDescent="0.3">
      <c r="A959">
        <v>105600032</v>
      </c>
      <c r="B959" t="s">
        <v>999</v>
      </c>
      <c r="C959" t="s">
        <v>10</v>
      </c>
      <c r="D959" t="s">
        <v>1613</v>
      </c>
      <c r="E959" t="s">
        <v>2111</v>
      </c>
      <c r="F959" t="s">
        <v>1631</v>
      </c>
      <c r="G959" t="s">
        <v>1616</v>
      </c>
      <c r="H959" t="s">
        <v>1679</v>
      </c>
      <c r="I959" t="s">
        <v>1634</v>
      </c>
      <c r="J959" t="s">
        <v>2145</v>
      </c>
      <c r="K959">
        <v>1.649221E-2</v>
      </c>
      <c r="L959">
        <v>824.6105</v>
      </c>
      <c r="M959" s="1">
        <v>30</v>
      </c>
      <c r="N959">
        <v>0</v>
      </c>
      <c r="O959">
        <v>0</v>
      </c>
      <c r="P959">
        <v>50000</v>
      </c>
      <c r="Q959" s="1">
        <v>50000</v>
      </c>
      <c r="R959">
        <v>16.5</v>
      </c>
      <c r="S959" s="2">
        <v>46250</v>
      </c>
      <c r="T959" s="2">
        <v>46263</v>
      </c>
      <c r="U959">
        <v>46000</v>
      </c>
      <c r="V959">
        <v>36000</v>
      </c>
      <c r="W959">
        <v>43000</v>
      </c>
      <c r="X959">
        <v>44000</v>
      </c>
      <c r="Y959">
        <v>36000</v>
      </c>
      <c r="Z959" s="8">
        <v>46000</v>
      </c>
      <c r="AA959">
        <v>42250</v>
      </c>
      <c r="AB959">
        <v>0.85207100591715978</v>
      </c>
      <c r="AC959">
        <v>1.0887573964497042</v>
      </c>
      <c r="AD959" s="1">
        <v>32</v>
      </c>
      <c r="AE959" s="2">
        <v>46280</v>
      </c>
      <c r="AF959" s="2">
        <v>46288</v>
      </c>
      <c r="AG959" s="2">
        <v>46295</v>
      </c>
      <c r="AH959">
        <v>42000</v>
      </c>
      <c r="AI959" s="3">
        <v>0.94452773613193397</v>
      </c>
      <c r="AJ959" s="1">
        <v>34</v>
      </c>
      <c r="AK959" s="2">
        <v>46297</v>
      </c>
      <c r="AL959" s="4">
        <v>30</v>
      </c>
      <c r="AM959" s="5">
        <v>15</v>
      </c>
      <c r="AN959" s="4">
        <v>32</v>
      </c>
      <c r="AO959">
        <v>43448.275862068964</v>
      </c>
      <c r="AP959" s="4">
        <v>1</v>
      </c>
      <c r="AQ959" t="s">
        <v>1619</v>
      </c>
      <c r="AR959" t="s">
        <v>1620</v>
      </c>
      <c r="AT959" s="16">
        <f>_xlfn.XLOOKUP(B959,'SWiSH Demand Forecast Sep-26'!D:D,'SWiSH Demand Forecast Sep-26'!G:G,"Not Exist")</f>
        <v>149.18</v>
      </c>
    </row>
    <row r="960" spans="1:46" x14ac:dyDescent="0.3">
      <c r="A960">
        <v>106700046</v>
      </c>
      <c r="B960" t="s">
        <v>2870</v>
      </c>
      <c r="C960" t="s">
        <v>10</v>
      </c>
      <c r="D960" t="s">
        <v>1613</v>
      </c>
      <c r="E960" t="s">
        <v>2871</v>
      </c>
      <c r="F960" t="s">
        <v>1650</v>
      </c>
      <c r="G960" t="s">
        <v>1624</v>
      </c>
      <c r="H960" t="s">
        <v>1651</v>
      </c>
      <c r="I960" t="s">
        <v>1634</v>
      </c>
      <c r="J960" t="s">
        <v>2603</v>
      </c>
      <c r="K960">
        <v>2.5000000000000001E-2</v>
      </c>
      <c r="L960">
        <v>27.5</v>
      </c>
      <c r="M960" s="1">
        <v>3</v>
      </c>
      <c r="N960">
        <v>0</v>
      </c>
      <c r="O960">
        <v>0</v>
      </c>
      <c r="P960">
        <v>1100</v>
      </c>
      <c r="Q960" s="1">
        <v>1100</v>
      </c>
      <c r="R960">
        <v>1.25</v>
      </c>
      <c r="S960" s="2">
        <v>46261</v>
      </c>
      <c r="T960" s="2">
        <v>46258</v>
      </c>
      <c r="U960">
        <v>400</v>
      </c>
      <c r="V960">
        <v>600</v>
      </c>
      <c r="W960">
        <v>850</v>
      </c>
      <c r="X960">
        <v>1000</v>
      </c>
      <c r="Y960">
        <v>400</v>
      </c>
      <c r="Z960" s="8">
        <v>1000</v>
      </c>
      <c r="AA960">
        <v>712.5</v>
      </c>
      <c r="AB960">
        <v>0.56140350877192979</v>
      </c>
      <c r="AC960">
        <v>1.4035087719298245</v>
      </c>
      <c r="AD960" s="1">
        <v>33</v>
      </c>
      <c r="AE960" s="2">
        <v>46281</v>
      </c>
      <c r="AF960" s="2">
        <v>46289</v>
      </c>
      <c r="AG960" s="2">
        <v>46296</v>
      </c>
      <c r="AH960">
        <v>950</v>
      </c>
      <c r="AI960" s="3">
        <v>0.98275862068965514</v>
      </c>
      <c r="AJ960" s="1">
        <v>33</v>
      </c>
      <c r="AK960" s="2">
        <v>46296</v>
      </c>
      <c r="AL960" s="4">
        <v>30</v>
      </c>
      <c r="AM960" s="5">
        <v>15</v>
      </c>
      <c r="AN960" s="4">
        <v>33</v>
      </c>
      <c r="AO960">
        <v>982.75862068965523</v>
      </c>
      <c r="AP960" s="4">
        <v>1</v>
      </c>
      <c r="AQ960" t="s">
        <v>1619</v>
      </c>
      <c r="AR960" t="s">
        <v>1620</v>
      </c>
      <c r="AT960" s="16" t="str">
        <f>_xlfn.XLOOKUP(B960,'SWiSH Demand Forecast Sep-26'!D:D,'SWiSH Demand Forecast Sep-26'!G:G,"Not Exist")</f>
        <v>Not Exist</v>
      </c>
    </row>
    <row r="961" spans="1:46" x14ac:dyDescent="0.3">
      <c r="A961">
        <v>106800358</v>
      </c>
      <c r="B961" t="s">
        <v>2872</v>
      </c>
      <c r="C961" t="s">
        <v>10</v>
      </c>
      <c r="D961" t="s">
        <v>1613</v>
      </c>
      <c r="E961" t="s">
        <v>1685</v>
      </c>
      <c r="F961" t="s">
        <v>1664</v>
      </c>
      <c r="G961" t="s">
        <v>1624</v>
      </c>
      <c r="H961" t="s">
        <v>1665</v>
      </c>
      <c r="I961" t="s">
        <v>1634</v>
      </c>
      <c r="J961" t="s">
        <v>10</v>
      </c>
      <c r="K961">
        <v>1.2999999999999999E-2</v>
      </c>
      <c r="L961">
        <v>130</v>
      </c>
      <c r="M961" s="1">
        <v>7</v>
      </c>
      <c r="N961">
        <v>0</v>
      </c>
      <c r="O961">
        <v>0</v>
      </c>
      <c r="P961">
        <v>10000</v>
      </c>
      <c r="Q961" s="1">
        <v>10000</v>
      </c>
      <c r="R961">
        <v>1.2999999999999999E-2</v>
      </c>
      <c r="S961" s="2">
        <v>46183</v>
      </c>
      <c r="T961" s="2">
        <v>46219</v>
      </c>
      <c r="U961">
        <v>0</v>
      </c>
      <c r="V961">
        <v>3000</v>
      </c>
      <c r="W961">
        <v>9000</v>
      </c>
      <c r="X961">
        <v>2000</v>
      </c>
      <c r="Y961">
        <v>0</v>
      </c>
      <c r="Z961" s="8">
        <v>9000</v>
      </c>
      <c r="AA961">
        <v>3500</v>
      </c>
      <c r="AB961">
        <v>0</v>
      </c>
      <c r="AC961">
        <v>2.5714285714285716</v>
      </c>
      <c r="AD961" s="1">
        <v>33</v>
      </c>
      <c r="AE961" s="2">
        <v>46281</v>
      </c>
      <c r="AF961" s="2">
        <v>46289</v>
      </c>
      <c r="AG961" s="2">
        <v>46296</v>
      </c>
      <c r="AH961">
        <v>0</v>
      </c>
      <c r="AI961" s="3">
        <v>0</v>
      </c>
      <c r="AJ961" s="1" t="s">
        <v>1635</v>
      </c>
      <c r="AK961" s="2" t="s">
        <v>1635</v>
      </c>
      <c r="AL961" s="4">
        <v>30</v>
      </c>
      <c r="AM961" s="5">
        <v>15</v>
      </c>
      <c r="AN961" s="4">
        <v>33</v>
      </c>
      <c r="AO961">
        <v>0</v>
      </c>
      <c r="AP961" s="4">
        <v>1</v>
      </c>
      <c r="AQ961">
        <v>10000</v>
      </c>
      <c r="AR961" t="s">
        <v>2215</v>
      </c>
      <c r="AT961" s="16" t="str">
        <f>_xlfn.XLOOKUP(B961,'SWiSH Demand Forecast Sep-26'!D:D,'SWiSH Demand Forecast Sep-26'!G:G,"Not Exist")</f>
        <v>Not Exist</v>
      </c>
    </row>
    <row r="962" spans="1:46" x14ac:dyDescent="0.3">
      <c r="A962">
        <v>104800005</v>
      </c>
      <c r="B962" t="s">
        <v>2873</v>
      </c>
      <c r="C962" t="s">
        <v>10</v>
      </c>
      <c r="D962" t="s">
        <v>1613</v>
      </c>
      <c r="E962" t="s">
        <v>1685</v>
      </c>
      <c r="F962" t="s">
        <v>1639</v>
      </c>
      <c r="G962" t="s">
        <v>1616</v>
      </c>
      <c r="H962" t="s">
        <v>1687</v>
      </c>
      <c r="I962" t="s">
        <v>1618</v>
      </c>
      <c r="J962" t="s">
        <v>10</v>
      </c>
      <c r="K962">
        <v>0.21875</v>
      </c>
      <c r="L962">
        <v>47.25</v>
      </c>
      <c r="M962" s="1">
        <v>3</v>
      </c>
      <c r="N962">
        <v>0</v>
      </c>
      <c r="O962">
        <v>0</v>
      </c>
      <c r="P962">
        <v>216</v>
      </c>
      <c r="Q962" s="1">
        <v>216</v>
      </c>
      <c r="R962">
        <v>6.75</v>
      </c>
      <c r="S962" s="2">
        <v>46240</v>
      </c>
      <c r="T962" s="2">
        <v>46255</v>
      </c>
      <c r="U962">
        <v>192</v>
      </c>
      <c r="V962">
        <v>96</v>
      </c>
      <c r="W962">
        <v>192</v>
      </c>
      <c r="X962">
        <v>72</v>
      </c>
      <c r="Y962">
        <v>72</v>
      </c>
      <c r="Z962" s="8">
        <v>192</v>
      </c>
      <c r="AA962">
        <v>138</v>
      </c>
      <c r="AB962">
        <v>0.52173913043478259</v>
      </c>
      <c r="AC962">
        <v>1.3913043478260869</v>
      </c>
      <c r="AD962" s="1">
        <v>33</v>
      </c>
      <c r="AE962" s="2">
        <v>46281</v>
      </c>
      <c r="AF962" s="2">
        <v>46289</v>
      </c>
      <c r="AG962" s="2">
        <v>46296</v>
      </c>
      <c r="AH962">
        <v>96</v>
      </c>
      <c r="AI962" s="3">
        <v>0.51724137931034486</v>
      </c>
      <c r="AJ962" s="1">
        <v>65</v>
      </c>
      <c r="AK962" s="2">
        <v>46328</v>
      </c>
      <c r="AL962" s="4">
        <v>30</v>
      </c>
      <c r="AM962" s="5">
        <v>15</v>
      </c>
      <c r="AN962" s="4">
        <v>33</v>
      </c>
      <c r="AO962">
        <v>99.310344827586221</v>
      </c>
      <c r="AP962" s="4">
        <v>1</v>
      </c>
      <c r="AQ962" t="s">
        <v>1619</v>
      </c>
      <c r="AR962" t="s">
        <v>1620</v>
      </c>
      <c r="AT962" s="16" t="str">
        <f>_xlfn.XLOOKUP(B962,'SWiSH Demand Forecast Sep-26'!D:D,'SWiSH Demand Forecast Sep-26'!G:G,"Not Exist")</f>
        <v>Not Exist</v>
      </c>
    </row>
    <row r="963" spans="1:46" hidden="1" x14ac:dyDescent="0.3">
      <c r="A963">
        <v>101200023</v>
      </c>
      <c r="B963" t="s">
        <v>1415</v>
      </c>
      <c r="C963" t="s">
        <v>136</v>
      </c>
      <c r="D963" t="s">
        <v>1613</v>
      </c>
      <c r="E963" t="s">
        <v>2874</v>
      </c>
      <c r="F963" t="s">
        <v>1833</v>
      </c>
      <c r="G963" t="s">
        <v>1616</v>
      </c>
      <c r="H963" t="s">
        <v>1625</v>
      </c>
      <c r="I963" t="s">
        <v>1626</v>
      </c>
      <c r="J963" t="s">
        <v>136</v>
      </c>
      <c r="K963">
        <v>6.8688654500000004</v>
      </c>
      <c r="L963">
        <v>1086.5171368810002</v>
      </c>
      <c r="M963" s="1">
        <v>3</v>
      </c>
      <c r="N963">
        <v>0</v>
      </c>
      <c r="O963">
        <v>0</v>
      </c>
      <c r="P963">
        <v>158.18</v>
      </c>
      <c r="Q963" s="1">
        <v>158.18</v>
      </c>
      <c r="R963">
        <v>6.9</v>
      </c>
      <c r="S963" s="2">
        <v>46228</v>
      </c>
      <c r="T963" s="2">
        <v>46263</v>
      </c>
      <c r="U963">
        <v>143.36999999999998</v>
      </c>
      <c r="V963">
        <v>124.54000000000002</v>
      </c>
      <c r="W963">
        <v>45.47</v>
      </c>
      <c r="X963">
        <v>96.01</v>
      </c>
      <c r="Y963">
        <v>45.47</v>
      </c>
      <c r="Z963" s="8">
        <v>143.36999999999998</v>
      </c>
      <c r="AA963">
        <v>102.3475</v>
      </c>
      <c r="AB963">
        <v>0.44427074427807228</v>
      </c>
      <c r="AC963">
        <v>1.4008158479689292</v>
      </c>
      <c r="AD963" s="1">
        <v>33</v>
      </c>
      <c r="AE963" s="2">
        <v>46281</v>
      </c>
      <c r="AF963" s="2">
        <v>46289</v>
      </c>
      <c r="AG963" s="2">
        <v>46296</v>
      </c>
      <c r="AH963">
        <v>158.63999999999999</v>
      </c>
      <c r="AI963" s="3">
        <v>1.144663073359742</v>
      </c>
      <c r="AJ963" s="1">
        <v>28</v>
      </c>
      <c r="AK963" s="2">
        <v>46291</v>
      </c>
      <c r="AL963" s="4">
        <v>15</v>
      </c>
      <c r="AM963" s="5">
        <v>15</v>
      </c>
      <c r="AN963" s="4">
        <v>28</v>
      </c>
      <c r="AO963">
        <v>82.055172413793102</v>
      </c>
      <c r="AP963" s="4">
        <v>2</v>
      </c>
      <c r="AQ963" t="s">
        <v>1619</v>
      </c>
      <c r="AR963" t="s">
        <v>1620</v>
      </c>
      <c r="AT963" s="16">
        <f>_xlfn.XLOOKUP(B963,'SWiSH Demand Forecast Sep-26'!D:D,'SWiSH Demand Forecast Sep-26'!G:G,"Not Exist")</f>
        <v>11.611958477508599</v>
      </c>
    </row>
    <row r="964" spans="1:46" hidden="1" x14ac:dyDescent="0.3">
      <c r="A964">
        <v>100400212</v>
      </c>
      <c r="B964" t="s">
        <v>246</v>
      </c>
      <c r="C964" t="s">
        <v>10</v>
      </c>
      <c r="D964" t="s">
        <v>1613</v>
      </c>
      <c r="E964" t="s">
        <v>2049</v>
      </c>
      <c r="F964" t="s">
        <v>1664</v>
      </c>
      <c r="G964" t="s">
        <v>1624</v>
      </c>
      <c r="H964" t="s">
        <v>1810</v>
      </c>
      <c r="I964" t="s">
        <v>1634</v>
      </c>
      <c r="J964" t="s">
        <v>10</v>
      </c>
      <c r="K964">
        <v>0.13800000000000001</v>
      </c>
      <c r="L964">
        <v>1046.0400000000002</v>
      </c>
      <c r="M964" s="1">
        <v>30</v>
      </c>
      <c r="N964">
        <v>0</v>
      </c>
      <c r="O964">
        <v>150</v>
      </c>
      <c r="P964">
        <v>7580</v>
      </c>
      <c r="Q964" s="1">
        <v>7430</v>
      </c>
      <c r="R964">
        <v>0.13800000000000001</v>
      </c>
      <c r="S964" s="2">
        <v>46247</v>
      </c>
      <c r="T964" s="2">
        <v>46263</v>
      </c>
      <c r="U964">
        <v>5700</v>
      </c>
      <c r="V964">
        <v>6700</v>
      </c>
      <c r="W964">
        <v>5030</v>
      </c>
      <c r="X964">
        <v>5700</v>
      </c>
      <c r="Y964">
        <v>5030</v>
      </c>
      <c r="Z964" s="8">
        <v>6700</v>
      </c>
      <c r="AA964">
        <v>5782.5</v>
      </c>
      <c r="AB964">
        <v>0.8698659749243407</v>
      </c>
      <c r="AC964">
        <v>1.1586683960224817</v>
      </c>
      <c r="AD964" s="1">
        <v>33</v>
      </c>
      <c r="AE964" s="2">
        <v>46281</v>
      </c>
      <c r="AF964" s="2">
        <v>46289</v>
      </c>
      <c r="AG964" s="2">
        <v>46296</v>
      </c>
      <c r="AH964">
        <v>5100</v>
      </c>
      <c r="AI964" s="3">
        <v>0.78744209984559954</v>
      </c>
      <c r="AJ964" s="1">
        <v>42</v>
      </c>
      <c r="AK964" s="2">
        <v>46305</v>
      </c>
      <c r="AL964" s="4">
        <v>15</v>
      </c>
      <c r="AM964" s="5">
        <v>15</v>
      </c>
      <c r="AN964" s="4">
        <v>33</v>
      </c>
      <c r="AO964">
        <v>2637.9310344827586</v>
      </c>
      <c r="AP964" s="4">
        <v>2</v>
      </c>
      <c r="AQ964">
        <v>27190</v>
      </c>
      <c r="AR964" t="s">
        <v>2202</v>
      </c>
      <c r="AT964" s="16">
        <f>_xlfn.XLOOKUP(B964,'SWiSH Demand Forecast Sep-26'!D:D,'SWiSH Demand Forecast Sep-26'!G:G,"Not Exist")</f>
        <v>6954</v>
      </c>
    </row>
    <row r="965" spans="1:46" hidden="1" x14ac:dyDescent="0.3">
      <c r="A965">
        <v>100100028</v>
      </c>
      <c r="B965" t="s">
        <v>1021</v>
      </c>
      <c r="C965" t="s">
        <v>136</v>
      </c>
      <c r="D965" t="s">
        <v>1613</v>
      </c>
      <c r="E965" t="s">
        <v>2875</v>
      </c>
      <c r="F965" t="s">
        <v>1840</v>
      </c>
      <c r="G965" t="s">
        <v>1616</v>
      </c>
      <c r="H965" t="s">
        <v>1877</v>
      </c>
      <c r="I965" t="s">
        <v>1618</v>
      </c>
      <c r="J965" t="s">
        <v>1929</v>
      </c>
      <c r="K965">
        <v>2.7136919900000001</v>
      </c>
      <c r="L965">
        <v>716.41468536000002</v>
      </c>
      <c r="M965" s="1">
        <v>3</v>
      </c>
      <c r="N965">
        <v>0</v>
      </c>
      <c r="O965">
        <v>0</v>
      </c>
      <c r="P965">
        <v>264</v>
      </c>
      <c r="Q965" s="1">
        <v>264</v>
      </c>
      <c r="R965">
        <v>30.8</v>
      </c>
      <c r="S965" s="2">
        <v>46134</v>
      </c>
      <c r="T965" s="2">
        <v>46262</v>
      </c>
      <c r="U965">
        <v>240</v>
      </c>
      <c r="V965">
        <v>144</v>
      </c>
      <c r="W965">
        <v>144</v>
      </c>
      <c r="X965">
        <v>156</v>
      </c>
      <c r="Y965">
        <v>144</v>
      </c>
      <c r="Z965" s="8">
        <v>240</v>
      </c>
      <c r="AA965">
        <v>171</v>
      </c>
      <c r="AB965">
        <v>0.84210526315789469</v>
      </c>
      <c r="AC965">
        <v>1.4035087719298245</v>
      </c>
      <c r="AD965" s="1">
        <v>33</v>
      </c>
      <c r="AE965" s="2">
        <v>46281</v>
      </c>
      <c r="AF965" s="2">
        <v>46289</v>
      </c>
      <c r="AG965" s="2">
        <v>46296</v>
      </c>
      <c r="AH965">
        <v>144</v>
      </c>
      <c r="AI965" s="3">
        <v>0.62068965517241381</v>
      </c>
      <c r="AJ965" s="1">
        <v>53</v>
      </c>
      <c r="AK965" s="2">
        <v>46316</v>
      </c>
      <c r="AL965" s="4">
        <v>30</v>
      </c>
      <c r="AM965" s="5">
        <v>15</v>
      </c>
      <c r="AN965" s="4">
        <v>33</v>
      </c>
      <c r="AO965">
        <v>148.9655172413793</v>
      </c>
      <c r="AP965" s="4">
        <v>1</v>
      </c>
      <c r="AQ965" t="s">
        <v>1619</v>
      </c>
      <c r="AR965" t="s">
        <v>1620</v>
      </c>
      <c r="AT965" s="16">
        <f>_xlfn.XLOOKUP(B965,'SWiSH Demand Forecast Sep-26'!D:D,'SWiSH Demand Forecast Sep-26'!G:G,"Not Exist")</f>
        <v>139.20195439739399</v>
      </c>
    </row>
    <row r="966" spans="1:46" hidden="1" x14ac:dyDescent="0.3">
      <c r="A966">
        <v>106800099</v>
      </c>
      <c r="B966" t="s">
        <v>130</v>
      </c>
      <c r="C966" t="s">
        <v>10</v>
      </c>
      <c r="D966" t="s">
        <v>1613</v>
      </c>
      <c r="E966" t="s">
        <v>1655</v>
      </c>
      <c r="F966" t="s">
        <v>1664</v>
      </c>
      <c r="G966" t="s">
        <v>1624</v>
      </c>
      <c r="H966" t="s">
        <v>1665</v>
      </c>
      <c r="I966" t="s">
        <v>1634</v>
      </c>
      <c r="J966" t="s">
        <v>10</v>
      </c>
      <c r="K966">
        <v>4.8821400000000001E-3</v>
      </c>
      <c r="L966">
        <v>146.46420000000001</v>
      </c>
      <c r="M966" s="1">
        <v>7</v>
      </c>
      <c r="N966">
        <v>0</v>
      </c>
      <c r="O966">
        <v>0</v>
      </c>
      <c r="P966">
        <v>30000</v>
      </c>
      <c r="Q966" s="1">
        <v>30000</v>
      </c>
      <c r="R966">
        <v>5.0000000000000001E-3</v>
      </c>
      <c r="S966" s="2">
        <v>46250</v>
      </c>
      <c r="T966" s="2">
        <v>46261</v>
      </c>
      <c r="U966">
        <v>26000</v>
      </c>
      <c r="V966">
        <v>24000</v>
      </c>
      <c r="W966">
        <v>27000</v>
      </c>
      <c r="X966">
        <v>25000</v>
      </c>
      <c r="Y966">
        <v>24000</v>
      </c>
      <c r="Z966" s="8">
        <v>27000</v>
      </c>
      <c r="AA966">
        <v>25500</v>
      </c>
      <c r="AB966">
        <v>0.94117647058823528</v>
      </c>
      <c r="AC966">
        <v>1.0588235294117647</v>
      </c>
      <c r="AD966" s="1">
        <v>33</v>
      </c>
      <c r="AE966" s="2">
        <v>46281</v>
      </c>
      <c r="AF966" s="2">
        <v>46289</v>
      </c>
      <c r="AG966" s="2">
        <v>46296</v>
      </c>
      <c r="AH966">
        <v>29000</v>
      </c>
      <c r="AI966" s="3">
        <v>1.1111111111111112</v>
      </c>
      <c r="AJ966" s="1">
        <v>30</v>
      </c>
      <c r="AK966" s="2">
        <v>46293</v>
      </c>
      <c r="AL966" s="4">
        <v>30</v>
      </c>
      <c r="AM966" s="5">
        <v>15</v>
      </c>
      <c r="AN966" s="4">
        <v>30</v>
      </c>
      <c r="AO966">
        <v>30000</v>
      </c>
      <c r="AP966" s="4">
        <v>1</v>
      </c>
      <c r="AQ966">
        <v>130000</v>
      </c>
      <c r="AR966" t="s">
        <v>1829</v>
      </c>
      <c r="AT966" s="16">
        <f>_xlfn.XLOOKUP(B966,'SWiSH Demand Forecast Sep-26'!D:D,'SWiSH Demand Forecast Sep-26'!G:G,"Not Exist")</f>
        <v>14396</v>
      </c>
    </row>
    <row r="967" spans="1:46" hidden="1" x14ac:dyDescent="0.3">
      <c r="A967">
        <v>101200022</v>
      </c>
      <c r="B967" t="s">
        <v>1230</v>
      </c>
      <c r="C967" t="s">
        <v>136</v>
      </c>
      <c r="D967" t="s">
        <v>1613</v>
      </c>
      <c r="E967" t="s">
        <v>2876</v>
      </c>
      <c r="F967" t="s">
        <v>1833</v>
      </c>
      <c r="G967" t="s">
        <v>1616</v>
      </c>
      <c r="H967" t="s">
        <v>1625</v>
      </c>
      <c r="I967" t="s">
        <v>1626</v>
      </c>
      <c r="J967" t="s">
        <v>2116</v>
      </c>
      <c r="K967">
        <v>3.0356825700000001</v>
      </c>
      <c r="L967">
        <v>399.67796716620001</v>
      </c>
      <c r="M967" s="1">
        <v>3</v>
      </c>
      <c r="N967">
        <v>0</v>
      </c>
      <c r="O967">
        <v>6.8100000000000005</v>
      </c>
      <c r="P967">
        <v>131.66</v>
      </c>
      <c r="Q967" s="1">
        <v>124.85</v>
      </c>
      <c r="R967">
        <v>56</v>
      </c>
      <c r="S967" s="2">
        <v>46207</v>
      </c>
      <c r="T967" s="2">
        <v>46262</v>
      </c>
      <c r="U967">
        <v>113.50000000000003</v>
      </c>
      <c r="V967">
        <v>81.720000000000027</v>
      </c>
      <c r="W967">
        <v>54.480000000000025</v>
      </c>
      <c r="X967">
        <v>88.53</v>
      </c>
      <c r="Y967">
        <v>54.480000000000025</v>
      </c>
      <c r="Z967" s="8">
        <v>113.50000000000003</v>
      </c>
      <c r="AA967">
        <v>84.557500000000019</v>
      </c>
      <c r="AB967">
        <v>0.644295302013423</v>
      </c>
      <c r="AC967">
        <v>1.3422818791946309</v>
      </c>
      <c r="AD967" s="1">
        <v>33</v>
      </c>
      <c r="AE967" s="2">
        <v>46281</v>
      </c>
      <c r="AF967" s="2">
        <v>46289</v>
      </c>
      <c r="AG967" s="2">
        <v>46296</v>
      </c>
      <c r="AH967">
        <v>49.940000000000012</v>
      </c>
      <c r="AI967" s="3">
        <v>0.45517241379310341</v>
      </c>
      <c r="AJ967" s="1">
        <v>72</v>
      </c>
      <c r="AK967" s="2">
        <v>46335</v>
      </c>
      <c r="AL967" s="4">
        <v>30</v>
      </c>
      <c r="AM967" s="5">
        <v>15</v>
      </c>
      <c r="AN967" s="4">
        <v>33</v>
      </c>
      <c r="AO967">
        <v>51.66206896551725</v>
      </c>
      <c r="AP967" s="4">
        <v>1</v>
      </c>
      <c r="AQ967" t="s">
        <v>1619</v>
      </c>
      <c r="AR967" t="s">
        <v>2130</v>
      </c>
      <c r="AT967" s="16">
        <f>_xlfn.XLOOKUP(B967,'SWiSH Demand Forecast Sep-26'!D:D,'SWiSH Demand Forecast Sep-26'!G:G,"Not Exist")</f>
        <v>48.295999999999999</v>
      </c>
    </row>
    <row r="968" spans="1:46" x14ac:dyDescent="0.3">
      <c r="A968">
        <v>101600091</v>
      </c>
      <c r="B968" t="s">
        <v>2877</v>
      </c>
      <c r="C968" t="s">
        <v>10</v>
      </c>
      <c r="D968" t="s">
        <v>1613</v>
      </c>
      <c r="E968" t="s">
        <v>1685</v>
      </c>
      <c r="F968" t="s">
        <v>1631</v>
      </c>
      <c r="G968" t="s">
        <v>1624</v>
      </c>
      <c r="H968" t="s">
        <v>1768</v>
      </c>
      <c r="I968" t="s">
        <v>1634</v>
      </c>
      <c r="J968" t="s">
        <v>10</v>
      </c>
      <c r="K968">
        <v>8.3820240000000004E-2</v>
      </c>
      <c r="L968">
        <v>253.47240576000002</v>
      </c>
      <c r="M968" s="1">
        <v>3</v>
      </c>
      <c r="N968">
        <v>0</v>
      </c>
      <c r="O968">
        <v>0</v>
      </c>
      <c r="P968">
        <v>3024</v>
      </c>
      <c r="Q968" s="1">
        <v>3024</v>
      </c>
      <c r="R968">
        <v>8.3330000000000001E-2</v>
      </c>
      <c r="S968" s="2">
        <v>46254</v>
      </c>
      <c r="T968" s="2">
        <v>46262</v>
      </c>
      <c r="U968">
        <v>0</v>
      </c>
      <c r="V968">
        <v>2640</v>
      </c>
      <c r="W968">
        <v>2364</v>
      </c>
      <c r="X968">
        <v>2016</v>
      </c>
      <c r="Y968">
        <v>0</v>
      </c>
      <c r="Z968" s="8">
        <v>2640</v>
      </c>
      <c r="AA968">
        <v>1755</v>
      </c>
      <c r="AB968">
        <v>0</v>
      </c>
      <c r="AC968">
        <v>1.5042735042735043</v>
      </c>
      <c r="AD968" s="1">
        <v>34</v>
      </c>
      <c r="AE968" s="2">
        <v>46282</v>
      </c>
      <c r="AF968" s="2">
        <v>46290</v>
      </c>
      <c r="AG968" s="2">
        <v>46297</v>
      </c>
      <c r="AH968">
        <v>2358</v>
      </c>
      <c r="AI968" s="3">
        <v>0.9239811912225705</v>
      </c>
      <c r="AJ968" s="1">
        <v>37</v>
      </c>
      <c r="AK968" s="2">
        <v>46300</v>
      </c>
      <c r="AL968" s="4">
        <v>30</v>
      </c>
      <c r="AM968" s="5">
        <v>15</v>
      </c>
      <c r="AN968" s="4">
        <v>34</v>
      </c>
      <c r="AO968">
        <v>2439.3103448275861</v>
      </c>
      <c r="AP968" s="4">
        <v>1</v>
      </c>
      <c r="AQ968" t="s">
        <v>1619</v>
      </c>
      <c r="AR968" t="s">
        <v>1620</v>
      </c>
      <c r="AS968" t="s">
        <v>1666</v>
      </c>
      <c r="AT968" s="16" t="str">
        <f>_xlfn.XLOOKUP(B968,'SWiSH Demand Forecast Sep-26'!D:D,'SWiSH Demand Forecast Sep-26'!G:G,"Not Exist")</f>
        <v>Not Exist</v>
      </c>
    </row>
    <row r="969" spans="1:46" x14ac:dyDescent="0.3">
      <c r="A969">
        <v>100100035</v>
      </c>
      <c r="B969" t="s">
        <v>2878</v>
      </c>
      <c r="C969" t="s">
        <v>136</v>
      </c>
      <c r="D969" t="s">
        <v>1613</v>
      </c>
      <c r="E969" t="s">
        <v>1832</v>
      </c>
      <c r="F969" t="s">
        <v>1941</v>
      </c>
      <c r="G969" t="s">
        <v>1616</v>
      </c>
      <c r="H969" t="s">
        <v>1877</v>
      </c>
      <c r="I969" t="s">
        <v>1618</v>
      </c>
      <c r="J969" t="s">
        <v>136</v>
      </c>
      <c r="K969">
        <v>2.6666699999999999</v>
      </c>
      <c r="L969">
        <v>320.00040000000001</v>
      </c>
      <c r="M969" s="1">
        <v>3</v>
      </c>
      <c r="N969">
        <v>0</v>
      </c>
      <c r="O969">
        <v>0</v>
      </c>
      <c r="P969">
        <v>120</v>
      </c>
      <c r="Q969" s="1">
        <v>120</v>
      </c>
      <c r="R969">
        <v>2.0083299999999999</v>
      </c>
      <c r="S969" s="2">
        <v>46183</v>
      </c>
      <c r="T969" s="2">
        <v>46252</v>
      </c>
      <c r="U969">
        <v>97</v>
      </c>
      <c r="V969">
        <v>105</v>
      </c>
      <c r="W969">
        <v>46.5</v>
      </c>
      <c r="X969">
        <v>6.75</v>
      </c>
      <c r="Y969">
        <v>6.75</v>
      </c>
      <c r="Z969" s="8">
        <v>105</v>
      </c>
      <c r="AA969">
        <v>63.8125</v>
      </c>
      <c r="AB969">
        <v>0.10577864838393732</v>
      </c>
      <c r="AC969">
        <v>1.6454456415279137</v>
      </c>
      <c r="AD969" s="1">
        <v>34</v>
      </c>
      <c r="AE969" s="2">
        <v>46282</v>
      </c>
      <c r="AF969" s="2">
        <v>46290</v>
      </c>
      <c r="AG969" s="2">
        <v>46297</v>
      </c>
      <c r="AH969">
        <v>18.75</v>
      </c>
      <c r="AI969" s="3">
        <v>0.18472906403940889</v>
      </c>
      <c r="AJ969" s="1">
        <v>185</v>
      </c>
      <c r="AK969" s="2">
        <v>46448</v>
      </c>
      <c r="AL969" s="4">
        <v>30</v>
      </c>
      <c r="AM969" s="5">
        <v>15</v>
      </c>
      <c r="AN969" s="4">
        <v>34</v>
      </c>
      <c r="AO969">
        <v>19.396551724137932</v>
      </c>
      <c r="AP969" s="4">
        <v>1</v>
      </c>
      <c r="AQ969" t="s">
        <v>1619</v>
      </c>
      <c r="AR969" t="s">
        <v>1620</v>
      </c>
      <c r="AT969" s="16" t="str">
        <f>_xlfn.XLOOKUP(B969,'SWiSH Demand Forecast Sep-26'!D:D,'SWiSH Demand Forecast Sep-26'!G:G,"Not Exist")</f>
        <v>Not Exist</v>
      </c>
    </row>
    <row r="970" spans="1:46" hidden="1" x14ac:dyDescent="0.3">
      <c r="A970">
        <v>106200110</v>
      </c>
      <c r="B970" t="s">
        <v>1071</v>
      </c>
      <c r="C970" t="s">
        <v>136</v>
      </c>
      <c r="D970" t="s">
        <v>1613</v>
      </c>
      <c r="E970" t="s">
        <v>2868</v>
      </c>
      <c r="F970" t="s">
        <v>1671</v>
      </c>
      <c r="G970" t="s">
        <v>1616</v>
      </c>
      <c r="H970" t="s">
        <v>1672</v>
      </c>
      <c r="I970" t="s">
        <v>1618</v>
      </c>
      <c r="J970" t="s">
        <v>2879</v>
      </c>
      <c r="K970">
        <v>1.7592592600000001</v>
      </c>
      <c r="L970">
        <v>179.86666674240001</v>
      </c>
      <c r="M970" s="1">
        <v>3</v>
      </c>
      <c r="N970">
        <v>0</v>
      </c>
      <c r="O970">
        <v>0</v>
      </c>
      <c r="P970">
        <v>102.24</v>
      </c>
      <c r="Q970" s="1">
        <v>102.24</v>
      </c>
      <c r="R970">
        <v>13</v>
      </c>
      <c r="S970" s="2">
        <v>46105</v>
      </c>
      <c r="T970" s="2">
        <v>46255</v>
      </c>
      <c r="U970">
        <v>5.04</v>
      </c>
      <c r="V970">
        <v>8.64</v>
      </c>
      <c r="W970">
        <v>87.839999999999989</v>
      </c>
      <c r="X970">
        <v>5.76</v>
      </c>
      <c r="Y970">
        <v>5.04</v>
      </c>
      <c r="Z970" s="8">
        <v>87.839999999999989</v>
      </c>
      <c r="AA970">
        <v>26.819999999999997</v>
      </c>
      <c r="AB970">
        <v>0.18791946308724836</v>
      </c>
      <c r="AC970">
        <v>3.2751677852348995</v>
      </c>
      <c r="AD970" s="1">
        <v>34</v>
      </c>
      <c r="AE970" s="2">
        <v>46282</v>
      </c>
      <c r="AF970" s="2">
        <v>46290</v>
      </c>
      <c r="AG970" s="2">
        <v>46297</v>
      </c>
      <c r="AH970">
        <v>74.16</v>
      </c>
      <c r="AI970" s="3">
        <v>0.87337478801582813</v>
      </c>
      <c r="AJ970" s="1">
        <v>39</v>
      </c>
      <c r="AK970" s="2">
        <v>46302</v>
      </c>
      <c r="AL970" s="4">
        <v>30</v>
      </c>
      <c r="AM970" s="5">
        <v>15</v>
      </c>
      <c r="AN970" s="4">
        <v>34</v>
      </c>
      <c r="AO970">
        <v>76.717241379310337</v>
      </c>
      <c r="AP970" s="4">
        <v>1</v>
      </c>
      <c r="AQ970" t="s">
        <v>1619</v>
      </c>
      <c r="AR970" t="s">
        <v>1620</v>
      </c>
      <c r="AT970" s="16">
        <f>_xlfn.XLOOKUP(B970,'SWiSH Demand Forecast Sep-26'!D:D,'SWiSH Demand Forecast Sep-26'!G:G,"Not Exist")</f>
        <v>118.194084155236</v>
      </c>
    </row>
    <row r="971" spans="1:46" x14ac:dyDescent="0.3">
      <c r="A971">
        <v>100100123</v>
      </c>
      <c r="B971" t="s">
        <v>2880</v>
      </c>
      <c r="C971" t="s">
        <v>10</v>
      </c>
      <c r="D971" t="s">
        <v>1613</v>
      </c>
      <c r="E971" t="s">
        <v>1685</v>
      </c>
      <c r="F971" t="s">
        <v>1840</v>
      </c>
      <c r="G971" t="s">
        <v>1616</v>
      </c>
      <c r="H971" t="s">
        <v>1877</v>
      </c>
      <c r="I971" t="s">
        <v>1618</v>
      </c>
      <c r="J971" t="s">
        <v>1688</v>
      </c>
      <c r="K971">
        <v>0.96000666999999995</v>
      </c>
      <c r="L971">
        <v>253.44176087999998</v>
      </c>
      <c r="M971" s="1">
        <v>3</v>
      </c>
      <c r="N971">
        <v>0</v>
      </c>
      <c r="O971">
        <v>0</v>
      </c>
      <c r="P971">
        <v>264</v>
      </c>
      <c r="Q971" s="1">
        <v>264</v>
      </c>
      <c r="R971">
        <v>11.52008</v>
      </c>
      <c r="S971" s="2">
        <v>46100</v>
      </c>
      <c r="T971" s="2">
        <v>46256</v>
      </c>
      <c r="U971">
        <v>192</v>
      </c>
      <c r="V971">
        <v>228</v>
      </c>
      <c r="W971">
        <v>12</v>
      </c>
      <c r="X971">
        <v>24</v>
      </c>
      <c r="Y971">
        <v>12</v>
      </c>
      <c r="Z971" s="8">
        <v>228</v>
      </c>
      <c r="AA971">
        <v>114</v>
      </c>
      <c r="AB971">
        <v>0.10526315789473684</v>
      </c>
      <c r="AC971">
        <v>2</v>
      </c>
      <c r="AD971" s="1">
        <v>34</v>
      </c>
      <c r="AE971" s="2">
        <v>46282</v>
      </c>
      <c r="AF971" s="2">
        <v>46290</v>
      </c>
      <c r="AG971" s="2">
        <v>46297</v>
      </c>
      <c r="AH971">
        <v>36</v>
      </c>
      <c r="AI971" s="3">
        <v>0.16333938294010888</v>
      </c>
      <c r="AJ971" s="1">
        <v>212</v>
      </c>
      <c r="AK971" s="2">
        <v>46475</v>
      </c>
      <c r="AL971" s="4">
        <v>30</v>
      </c>
      <c r="AM971" s="5">
        <v>15</v>
      </c>
      <c r="AN971" s="4">
        <v>34</v>
      </c>
      <c r="AO971">
        <v>37.241379310344826</v>
      </c>
      <c r="AP971" s="4">
        <v>1</v>
      </c>
      <c r="AQ971" t="s">
        <v>1619</v>
      </c>
      <c r="AR971" t="s">
        <v>1620</v>
      </c>
      <c r="AT971" s="16" t="str">
        <f>_xlfn.XLOOKUP(B971,'SWiSH Demand Forecast Sep-26'!D:D,'SWiSH Demand Forecast Sep-26'!G:G,"Not Exist")</f>
        <v>Not Exist</v>
      </c>
    </row>
    <row r="972" spans="1:46" hidden="1" x14ac:dyDescent="0.3">
      <c r="A972">
        <v>103100031</v>
      </c>
      <c r="B972" t="s">
        <v>416</v>
      </c>
      <c r="C972" t="s">
        <v>10</v>
      </c>
      <c r="D972" t="s">
        <v>1613</v>
      </c>
      <c r="E972" t="s">
        <v>2881</v>
      </c>
      <c r="F972" t="s">
        <v>1752</v>
      </c>
      <c r="G972" t="s">
        <v>1616</v>
      </c>
      <c r="H972" t="s">
        <v>1869</v>
      </c>
      <c r="I972" t="s">
        <v>1754</v>
      </c>
      <c r="J972" t="s">
        <v>2882</v>
      </c>
      <c r="K972">
        <v>2.458333E-2</v>
      </c>
      <c r="L972">
        <v>2194.7997024000001</v>
      </c>
      <c r="M972" s="1">
        <v>3</v>
      </c>
      <c r="N972">
        <v>0</v>
      </c>
      <c r="O972">
        <v>1440</v>
      </c>
      <c r="P972">
        <v>89280</v>
      </c>
      <c r="Q972" s="1">
        <v>87840</v>
      </c>
      <c r="R972">
        <v>35.4</v>
      </c>
      <c r="S972" s="2">
        <v>46244</v>
      </c>
      <c r="T972" s="2">
        <v>46262</v>
      </c>
      <c r="U972">
        <v>21480</v>
      </c>
      <c r="V972">
        <v>21600</v>
      </c>
      <c r="W972">
        <v>76320</v>
      </c>
      <c r="X972">
        <v>62040</v>
      </c>
      <c r="Y972">
        <v>21480</v>
      </c>
      <c r="Z972" s="8">
        <v>76320</v>
      </c>
      <c r="AA972">
        <v>45360</v>
      </c>
      <c r="AB972">
        <v>0.47354497354497355</v>
      </c>
      <c r="AC972">
        <v>1.6825396825396826</v>
      </c>
      <c r="AD972" s="1">
        <v>34</v>
      </c>
      <c r="AE972" s="2">
        <v>46282</v>
      </c>
      <c r="AF972" s="2">
        <v>46290</v>
      </c>
      <c r="AG972" s="2">
        <v>46297</v>
      </c>
      <c r="AH972">
        <v>17160</v>
      </c>
      <c r="AI972" s="3">
        <v>0.23259596616785944</v>
      </c>
      <c r="AJ972" s="1">
        <v>148</v>
      </c>
      <c r="AK972" s="2">
        <v>46411</v>
      </c>
      <c r="AL972" s="4">
        <v>30</v>
      </c>
      <c r="AM972" s="5">
        <v>15</v>
      </c>
      <c r="AN972" s="4">
        <v>34</v>
      </c>
      <c r="AO972">
        <v>17751.724137931033</v>
      </c>
      <c r="AP972" s="4">
        <v>1</v>
      </c>
      <c r="AQ972" t="s">
        <v>1619</v>
      </c>
      <c r="AR972" t="s">
        <v>1620</v>
      </c>
      <c r="AT972" s="16">
        <f>_xlfn.XLOOKUP(B972,'SWiSH Demand Forecast Sep-26'!D:D,'SWiSH Demand Forecast Sep-26'!G:G,"Not Exist")</f>
        <v>2456.64</v>
      </c>
    </row>
    <row r="973" spans="1:46" hidden="1" x14ac:dyDescent="0.3">
      <c r="A973">
        <v>106600129</v>
      </c>
      <c r="B973" t="s">
        <v>128</v>
      </c>
      <c r="C973" t="s">
        <v>10</v>
      </c>
      <c r="D973" t="s">
        <v>1613</v>
      </c>
      <c r="E973" t="s">
        <v>2883</v>
      </c>
      <c r="F973" t="s">
        <v>1664</v>
      </c>
      <c r="G973" t="s">
        <v>1624</v>
      </c>
      <c r="H973" t="s">
        <v>1723</v>
      </c>
      <c r="I973" t="s">
        <v>1634</v>
      </c>
      <c r="J973" t="s">
        <v>10</v>
      </c>
      <c r="K973">
        <v>5.3292299999999999E-3</v>
      </c>
      <c r="L973">
        <v>383.70456000000001</v>
      </c>
      <c r="M973" s="1">
        <v>15</v>
      </c>
      <c r="N973">
        <v>0</v>
      </c>
      <c r="O973">
        <v>0</v>
      </c>
      <c r="P973">
        <v>72000</v>
      </c>
      <c r="Q973" s="1">
        <v>72000</v>
      </c>
      <c r="R973">
        <v>5.4000000000000003E-3</v>
      </c>
      <c r="S973" s="2">
        <v>46250</v>
      </c>
      <c r="T973" s="2">
        <v>46262</v>
      </c>
      <c r="U973">
        <v>63500</v>
      </c>
      <c r="V973">
        <v>40000</v>
      </c>
      <c r="W973">
        <v>30000</v>
      </c>
      <c r="X973">
        <v>30000</v>
      </c>
      <c r="Y973">
        <v>30000</v>
      </c>
      <c r="Z973" s="8">
        <v>63500</v>
      </c>
      <c r="AA973">
        <v>40875</v>
      </c>
      <c r="AB973">
        <v>0.73394495412844041</v>
      </c>
      <c r="AC973">
        <v>1.5535168195718654</v>
      </c>
      <c r="AD973" s="1">
        <v>34</v>
      </c>
      <c r="AE973" s="2">
        <v>46282</v>
      </c>
      <c r="AF973" s="2">
        <v>46290</v>
      </c>
      <c r="AG973" s="2">
        <v>46297</v>
      </c>
      <c r="AH973">
        <v>45000</v>
      </c>
      <c r="AI973" s="3">
        <v>0.73309801792017382</v>
      </c>
      <c r="AJ973" s="1">
        <v>46</v>
      </c>
      <c r="AK973" s="2">
        <v>46309</v>
      </c>
      <c r="AL973" s="4">
        <v>30</v>
      </c>
      <c r="AM973" s="5">
        <v>15</v>
      </c>
      <c r="AN973" s="4">
        <v>34</v>
      </c>
      <c r="AO973">
        <v>46551.724137931029</v>
      </c>
      <c r="AP973" s="4">
        <v>1</v>
      </c>
      <c r="AQ973">
        <v>115000</v>
      </c>
      <c r="AR973" t="s">
        <v>2034</v>
      </c>
      <c r="AT973" s="16">
        <f>_xlfn.XLOOKUP(B973,'SWiSH Demand Forecast Sep-26'!D:D,'SWiSH Demand Forecast Sep-26'!G:G,"Not Exist")</f>
        <v>14678</v>
      </c>
    </row>
    <row r="974" spans="1:46" x14ac:dyDescent="0.3">
      <c r="A974">
        <v>106700015</v>
      </c>
      <c r="B974" t="s">
        <v>2884</v>
      </c>
      <c r="C974" t="s">
        <v>10</v>
      </c>
      <c r="D974" t="s">
        <v>1613</v>
      </c>
      <c r="E974" t="s">
        <v>2885</v>
      </c>
      <c r="F974" t="s">
        <v>1650</v>
      </c>
      <c r="G974" t="s">
        <v>1624</v>
      </c>
      <c r="H974" t="s">
        <v>1651</v>
      </c>
      <c r="I974" t="s">
        <v>1634</v>
      </c>
      <c r="J974" t="s">
        <v>10</v>
      </c>
      <c r="K974">
        <v>0.6</v>
      </c>
      <c r="L974">
        <v>187.79999999999998</v>
      </c>
      <c r="M974" s="1">
        <v>3</v>
      </c>
      <c r="N974">
        <v>0</v>
      </c>
      <c r="O974">
        <v>0</v>
      </c>
      <c r="P974">
        <v>313</v>
      </c>
      <c r="Q974" s="1">
        <v>313</v>
      </c>
      <c r="R974">
        <v>0.6</v>
      </c>
      <c r="S974" s="2">
        <v>46176</v>
      </c>
      <c r="T974" s="2">
        <v>46263</v>
      </c>
      <c r="U974">
        <v>105</v>
      </c>
      <c r="V974">
        <v>270</v>
      </c>
      <c r="W974">
        <v>125</v>
      </c>
      <c r="X974">
        <v>180</v>
      </c>
      <c r="Y974">
        <v>105</v>
      </c>
      <c r="Z974" s="8">
        <v>270</v>
      </c>
      <c r="AA974">
        <v>170</v>
      </c>
      <c r="AB974">
        <v>0.61764705882352944</v>
      </c>
      <c r="AC974">
        <v>1.588235294117647</v>
      </c>
      <c r="AD974" s="1">
        <v>34</v>
      </c>
      <c r="AE974" s="2">
        <v>46282</v>
      </c>
      <c r="AF974" s="2">
        <v>46290</v>
      </c>
      <c r="AG974" s="2">
        <v>46297</v>
      </c>
      <c r="AH974">
        <v>205</v>
      </c>
      <c r="AI974" s="3">
        <v>0.78544061302681989</v>
      </c>
      <c r="AJ974" s="1">
        <v>44</v>
      </c>
      <c r="AK974" s="2">
        <v>46307</v>
      </c>
      <c r="AL974" s="4">
        <v>30</v>
      </c>
      <c r="AM974" s="5">
        <v>15</v>
      </c>
      <c r="AN974" s="4">
        <v>34</v>
      </c>
      <c r="AO974">
        <v>212.06896551724137</v>
      </c>
      <c r="AP974" s="4">
        <v>1</v>
      </c>
      <c r="AQ974" t="s">
        <v>1619</v>
      </c>
      <c r="AR974" t="s">
        <v>1620</v>
      </c>
      <c r="AT974" s="16" t="str">
        <f>_xlfn.XLOOKUP(B974,'SWiSH Demand Forecast Sep-26'!D:D,'SWiSH Demand Forecast Sep-26'!G:G,"Not Exist")</f>
        <v>Not Exist</v>
      </c>
    </row>
    <row r="975" spans="1:46" hidden="1" x14ac:dyDescent="0.3">
      <c r="A975">
        <v>106200077</v>
      </c>
      <c r="B975" t="s">
        <v>1005</v>
      </c>
      <c r="C975" t="s">
        <v>136</v>
      </c>
      <c r="D975" t="s">
        <v>1613</v>
      </c>
      <c r="E975" t="s">
        <v>2886</v>
      </c>
      <c r="F975" t="s">
        <v>1671</v>
      </c>
      <c r="G975" t="s">
        <v>1616</v>
      </c>
      <c r="H975" t="s">
        <v>1672</v>
      </c>
      <c r="I975" t="s">
        <v>1618</v>
      </c>
      <c r="J975" t="s">
        <v>1942</v>
      </c>
      <c r="K975">
        <v>3.6645633100000001</v>
      </c>
      <c r="L975">
        <v>2912.2284624570002</v>
      </c>
      <c r="M975" s="1">
        <v>3</v>
      </c>
      <c r="N975">
        <v>0</v>
      </c>
      <c r="O975">
        <v>14.4</v>
      </c>
      <c r="P975">
        <v>794.7</v>
      </c>
      <c r="Q975" s="1">
        <v>780.30000000000007</v>
      </c>
      <c r="R975">
        <v>33</v>
      </c>
      <c r="S975" s="2">
        <v>46258</v>
      </c>
      <c r="T975" s="2">
        <v>46263</v>
      </c>
      <c r="U975">
        <v>681.6</v>
      </c>
      <c r="V975">
        <v>551.25</v>
      </c>
      <c r="W975">
        <v>585.00000000000023</v>
      </c>
      <c r="X975">
        <v>625.0500000000003</v>
      </c>
      <c r="Y975">
        <v>551.25</v>
      </c>
      <c r="Z975" s="8">
        <v>681.6</v>
      </c>
      <c r="AA975">
        <v>610.72500000000014</v>
      </c>
      <c r="AB975">
        <v>0.90261574358344565</v>
      </c>
      <c r="AC975">
        <v>1.1160505956035858</v>
      </c>
      <c r="AD975" s="1">
        <v>34</v>
      </c>
      <c r="AE975" s="2">
        <v>46282</v>
      </c>
      <c r="AF975" s="2">
        <v>46290</v>
      </c>
      <c r="AG975" s="2">
        <v>46297</v>
      </c>
      <c r="AH975">
        <v>540.45000000000027</v>
      </c>
      <c r="AI975" s="3">
        <v>0.82025558523555153</v>
      </c>
      <c r="AJ975" s="1">
        <v>41</v>
      </c>
      <c r="AK975" s="2">
        <v>46304</v>
      </c>
      <c r="AL975" s="4">
        <v>30</v>
      </c>
      <c r="AM975" s="5">
        <v>15</v>
      </c>
      <c r="AN975" s="4">
        <v>34</v>
      </c>
      <c r="AO975">
        <v>559.08620689655197</v>
      </c>
      <c r="AP975" s="4">
        <v>1</v>
      </c>
      <c r="AQ975">
        <v>25</v>
      </c>
      <c r="AR975" t="s">
        <v>2887</v>
      </c>
      <c r="AT975" s="16">
        <f>_xlfn.XLOOKUP(B975,'SWiSH Demand Forecast Sep-26'!D:D,'SWiSH Demand Forecast Sep-26'!G:G,"Not Exist")</f>
        <v>144.70686046511599</v>
      </c>
    </row>
    <row r="976" spans="1:46" hidden="1" x14ac:dyDescent="0.3">
      <c r="A976">
        <v>100400035</v>
      </c>
      <c r="B976" t="s">
        <v>250</v>
      </c>
      <c r="C976" t="s">
        <v>10</v>
      </c>
      <c r="D976" t="s">
        <v>1613</v>
      </c>
      <c r="E976" t="s">
        <v>1775</v>
      </c>
      <c r="F976" t="s">
        <v>1664</v>
      </c>
      <c r="G976" t="s">
        <v>1624</v>
      </c>
      <c r="H976" t="s">
        <v>1810</v>
      </c>
      <c r="I976" t="s">
        <v>1634</v>
      </c>
      <c r="J976" t="s">
        <v>10</v>
      </c>
      <c r="K976">
        <v>6.9603800000000004E-3</v>
      </c>
      <c r="L976">
        <v>141.99175200000002</v>
      </c>
      <c r="M976" s="1">
        <v>30</v>
      </c>
      <c r="N976">
        <v>0</v>
      </c>
      <c r="O976">
        <v>0</v>
      </c>
      <c r="P976">
        <v>20400</v>
      </c>
      <c r="Q976" s="1">
        <v>20400</v>
      </c>
      <c r="R976">
        <v>7.0000000000000001E-3</v>
      </c>
      <c r="S976" s="2">
        <v>46235</v>
      </c>
      <c r="T976" s="2">
        <v>46262</v>
      </c>
      <c r="U976">
        <v>17850</v>
      </c>
      <c r="V976">
        <v>12750</v>
      </c>
      <c r="W976">
        <v>5100</v>
      </c>
      <c r="X976">
        <v>5100</v>
      </c>
      <c r="Y976">
        <v>5100</v>
      </c>
      <c r="Z976" s="8">
        <v>17850</v>
      </c>
      <c r="AA976">
        <v>10200</v>
      </c>
      <c r="AB976">
        <v>0.5</v>
      </c>
      <c r="AC976">
        <v>1.75</v>
      </c>
      <c r="AD976" s="1">
        <v>34</v>
      </c>
      <c r="AE976" s="2">
        <v>46282</v>
      </c>
      <c r="AF976" s="2">
        <v>46290</v>
      </c>
      <c r="AG976" s="2">
        <v>46297</v>
      </c>
      <c r="AH976">
        <v>10200</v>
      </c>
      <c r="AI976" s="3">
        <v>0.59113300492610832</v>
      </c>
      <c r="AJ976" s="1">
        <v>58</v>
      </c>
      <c r="AK976" s="2">
        <v>46321</v>
      </c>
      <c r="AL976" s="4">
        <v>30</v>
      </c>
      <c r="AM976" s="5">
        <v>15</v>
      </c>
      <c r="AN976" s="4">
        <v>34</v>
      </c>
      <c r="AO976">
        <v>10551.724137931033</v>
      </c>
      <c r="AP976" s="4">
        <v>1</v>
      </c>
      <c r="AQ976">
        <v>139400</v>
      </c>
      <c r="AR976" t="s">
        <v>2521</v>
      </c>
      <c r="AT976" s="16">
        <f>_xlfn.XLOOKUP(B976,'SWiSH Demand Forecast Sep-26'!D:D,'SWiSH Demand Forecast Sep-26'!G:G,"Not Exist")</f>
        <v>6843</v>
      </c>
    </row>
    <row r="977" spans="1:46" hidden="1" x14ac:dyDescent="0.3">
      <c r="A977">
        <v>100100147</v>
      </c>
      <c r="B977" t="s">
        <v>1523</v>
      </c>
      <c r="C977" t="s">
        <v>136</v>
      </c>
      <c r="D977" t="s">
        <v>1613</v>
      </c>
      <c r="E977" t="s">
        <v>1732</v>
      </c>
      <c r="F977" t="s">
        <v>1941</v>
      </c>
      <c r="G977" t="s">
        <v>1616</v>
      </c>
      <c r="H977" t="s">
        <v>1877</v>
      </c>
      <c r="I977" t="s">
        <v>1618</v>
      </c>
      <c r="J977" t="s">
        <v>136</v>
      </c>
      <c r="K977">
        <v>4.40528634</v>
      </c>
      <c r="L977">
        <v>13.999999988519999</v>
      </c>
      <c r="M977" s="1">
        <v>3</v>
      </c>
      <c r="N977">
        <v>0</v>
      </c>
      <c r="O977">
        <v>0</v>
      </c>
      <c r="P977">
        <v>3.1779999999999999</v>
      </c>
      <c r="Q977" s="1">
        <v>3.1779999999999999</v>
      </c>
      <c r="R977">
        <v>2</v>
      </c>
      <c r="S977" s="2">
        <v>46263</v>
      </c>
      <c r="T977" s="2">
        <v>46263</v>
      </c>
      <c r="U977">
        <v>0.90800000000000003</v>
      </c>
      <c r="V977">
        <v>2.27</v>
      </c>
      <c r="W977">
        <v>2.27</v>
      </c>
      <c r="X977">
        <v>2.7240000000000002</v>
      </c>
      <c r="Y977">
        <v>0.90800000000000003</v>
      </c>
      <c r="Z977" s="8">
        <v>2.7240000000000002</v>
      </c>
      <c r="AA977">
        <v>2.0430000000000001</v>
      </c>
      <c r="AB977">
        <v>0.44444444444444442</v>
      </c>
      <c r="AC977">
        <v>1.3333333333333333</v>
      </c>
      <c r="AD977" s="1">
        <v>35</v>
      </c>
      <c r="AE977" s="2">
        <v>46283</v>
      </c>
      <c r="AF977" s="2">
        <v>46291</v>
      </c>
      <c r="AG977" s="2">
        <v>46298</v>
      </c>
      <c r="AH977">
        <v>3.6320000000000001</v>
      </c>
      <c r="AI977" s="3">
        <v>1.3793103448275861</v>
      </c>
      <c r="AJ977" s="1">
        <v>25</v>
      </c>
      <c r="AK977" s="2">
        <v>46288</v>
      </c>
      <c r="AL977" s="4">
        <v>30</v>
      </c>
      <c r="AM977" s="5">
        <v>15</v>
      </c>
      <c r="AN977" s="4">
        <v>25</v>
      </c>
      <c r="AO977">
        <v>3.757241379310345</v>
      </c>
      <c r="AP977" s="4">
        <v>1</v>
      </c>
      <c r="AQ977" t="s">
        <v>1619</v>
      </c>
      <c r="AR977" t="s">
        <v>1620</v>
      </c>
      <c r="AT977" s="16">
        <f>_xlfn.XLOOKUP(B977,'SWiSH Demand Forecast Sep-26'!D:D,'SWiSH Demand Forecast Sep-26'!G:G,"Not Exist")</f>
        <v>1.64584615384615</v>
      </c>
    </row>
    <row r="978" spans="1:46" x14ac:dyDescent="0.3">
      <c r="A978">
        <v>106700045</v>
      </c>
      <c r="B978" t="s">
        <v>2888</v>
      </c>
      <c r="C978" t="s">
        <v>10</v>
      </c>
      <c r="D978" t="s">
        <v>1613</v>
      </c>
      <c r="E978" t="s">
        <v>2889</v>
      </c>
      <c r="F978" t="s">
        <v>1650</v>
      </c>
      <c r="G978" t="s">
        <v>1624</v>
      </c>
      <c r="H978" t="s">
        <v>1651</v>
      </c>
      <c r="I978" t="s">
        <v>1634</v>
      </c>
      <c r="J978" t="s">
        <v>10</v>
      </c>
      <c r="K978">
        <v>2.9858490000000001E-2</v>
      </c>
      <c r="L978">
        <v>20.900943000000002</v>
      </c>
      <c r="M978" s="1">
        <v>3</v>
      </c>
      <c r="N978">
        <v>0</v>
      </c>
      <c r="O978">
        <v>0</v>
      </c>
      <c r="P978">
        <v>700</v>
      </c>
      <c r="Q978" s="1">
        <v>700</v>
      </c>
      <c r="R978">
        <v>1.5</v>
      </c>
      <c r="S978" s="2">
        <v>46259</v>
      </c>
      <c r="T978" s="2">
        <v>46253</v>
      </c>
      <c r="U978">
        <v>600</v>
      </c>
      <c r="V978">
        <v>450</v>
      </c>
      <c r="W978">
        <v>550</v>
      </c>
      <c r="X978">
        <v>200</v>
      </c>
      <c r="Y978">
        <v>200</v>
      </c>
      <c r="Z978" s="8">
        <v>600</v>
      </c>
      <c r="AA978">
        <v>450</v>
      </c>
      <c r="AB978">
        <v>0.44444444444444442</v>
      </c>
      <c r="AC978">
        <v>1.3333333333333333</v>
      </c>
      <c r="AD978" s="1">
        <v>35</v>
      </c>
      <c r="AE978" s="2">
        <v>46283</v>
      </c>
      <c r="AF978" s="2">
        <v>46291</v>
      </c>
      <c r="AG978" s="2">
        <v>46298</v>
      </c>
      <c r="AH978">
        <v>550</v>
      </c>
      <c r="AI978" s="3">
        <v>0.94827586206896552</v>
      </c>
      <c r="AJ978" s="1">
        <v>36</v>
      </c>
      <c r="AK978" s="2">
        <v>46299</v>
      </c>
      <c r="AL978" s="4">
        <v>30</v>
      </c>
      <c r="AM978" s="5">
        <v>15</v>
      </c>
      <c r="AN978" s="4">
        <v>35</v>
      </c>
      <c r="AO978">
        <v>568.9655172413793</v>
      </c>
      <c r="AP978" s="4">
        <v>1</v>
      </c>
      <c r="AQ978" t="s">
        <v>1619</v>
      </c>
      <c r="AR978" t="s">
        <v>1620</v>
      </c>
      <c r="AT978" s="16" t="str">
        <f>_xlfn.XLOOKUP(B978,'SWiSH Demand Forecast Sep-26'!D:D,'SWiSH Demand Forecast Sep-26'!G:G,"Not Exist")</f>
        <v>Not Exist</v>
      </c>
    </row>
    <row r="979" spans="1:46" hidden="1" x14ac:dyDescent="0.3">
      <c r="A979">
        <v>101600055</v>
      </c>
      <c r="B979" t="s">
        <v>738</v>
      </c>
      <c r="C979" t="s">
        <v>10</v>
      </c>
      <c r="D979" t="s">
        <v>1613</v>
      </c>
      <c r="E979" t="s">
        <v>2890</v>
      </c>
      <c r="F979" t="s">
        <v>1631</v>
      </c>
      <c r="G979" t="s">
        <v>1624</v>
      </c>
      <c r="H979" t="s">
        <v>1768</v>
      </c>
      <c r="I979" t="s">
        <v>1634</v>
      </c>
      <c r="J979" t="s">
        <v>10</v>
      </c>
      <c r="K979">
        <v>0.18149212000000001</v>
      </c>
      <c r="L979">
        <v>249.37017288000001</v>
      </c>
      <c r="M979" s="1">
        <v>7</v>
      </c>
      <c r="N979">
        <v>0</v>
      </c>
      <c r="O979">
        <v>0</v>
      </c>
      <c r="P979">
        <v>1374</v>
      </c>
      <c r="Q979" s="1">
        <v>1374</v>
      </c>
      <c r="R979">
        <v>1.1000000000000001</v>
      </c>
      <c r="S979" s="2">
        <v>46187</v>
      </c>
      <c r="T979" s="2">
        <v>46256</v>
      </c>
      <c r="U979">
        <v>518</v>
      </c>
      <c r="V979">
        <v>1158</v>
      </c>
      <c r="W979">
        <v>458</v>
      </c>
      <c r="X979">
        <v>456</v>
      </c>
      <c r="Y979">
        <v>456</v>
      </c>
      <c r="Z979" s="8">
        <v>1158</v>
      </c>
      <c r="AA979">
        <v>647.5</v>
      </c>
      <c r="AB979">
        <v>0.70424710424710424</v>
      </c>
      <c r="AC979">
        <v>1.7884169884169885</v>
      </c>
      <c r="AD979" s="1">
        <v>35</v>
      </c>
      <c r="AE979" s="2">
        <v>46283</v>
      </c>
      <c r="AF979" s="2">
        <v>46291</v>
      </c>
      <c r="AG979" s="2">
        <v>46298</v>
      </c>
      <c r="AH979">
        <v>48</v>
      </c>
      <c r="AI979" s="3">
        <v>4.2880114346971594E-2</v>
      </c>
      <c r="AJ979" s="1">
        <v>830</v>
      </c>
      <c r="AK979" s="2">
        <v>47093</v>
      </c>
      <c r="AL979" s="4">
        <v>30</v>
      </c>
      <c r="AM979" s="5">
        <v>15</v>
      </c>
      <c r="AN979" s="4">
        <v>35</v>
      </c>
      <c r="AO979">
        <v>49.655172413793103</v>
      </c>
      <c r="AP979" s="4">
        <v>1</v>
      </c>
      <c r="AQ979" t="s">
        <v>1619</v>
      </c>
      <c r="AR979" t="s">
        <v>1620</v>
      </c>
      <c r="AT979" s="16">
        <f>_xlfn.XLOOKUP(B979,'SWiSH Demand Forecast Sep-26'!D:D,'SWiSH Demand Forecast Sep-26'!G:G,"Not Exist")</f>
        <v>530</v>
      </c>
    </row>
    <row r="980" spans="1:46" hidden="1" x14ac:dyDescent="0.3">
      <c r="A980">
        <v>106200104</v>
      </c>
      <c r="B980" t="s">
        <v>1363</v>
      </c>
      <c r="C980" t="s">
        <v>240</v>
      </c>
      <c r="D980" t="s">
        <v>1613</v>
      </c>
      <c r="E980" t="s">
        <v>1832</v>
      </c>
      <c r="F980" t="s">
        <v>1671</v>
      </c>
      <c r="G980" t="s">
        <v>1616</v>
      </c>
      <c r="H980" t="s">
        <v>1672</v>
      </c>
      <c r="I980" t="s">
        <v>1618</v>
      </c>
      <c r="J980" t="s">
        <v>2525</v>
      </c>
      <c r="K980">
        <v>1.1379047600000001</v>
      </c>
      <c r="L980">
        <v>111.51466648</v>
      </c>
      <c r="M980" s="1">
        <v>3</v>
      </c>
      <c r="N980">
        <v>0</v>
      </c>
      <c r="O980">
        <v>0</v>
      </c>
      <c r="P980">
        <v>98</v>
      </c>
      <c r="Q980" s="1">
        <v>98</v>
      </c>
      <c r="R980">
        <v>5.4</v>
      </c>
      <c r="S980" s="2">
        <v>46249</v>
      </c>
      <c r="T980" s="2">
        <v>46239</v>
      </c>
      <c r="U980">
        <v>72</v>
      </c>
      <c r="V980">
        <v>36</v>
      </c>
      <c r="W980">
        <v>60</v>
      </c>
      <c r="X980">
        <v>84</v>
      </c>
      <c r="Y980">
        <v>36</v>
      </c>
      <c r="Z980" s="8">
        <v>84</v>
      </c>
      <c r="AA980">
        <v>63</v>
      </c>
      <c r="AB980">
        <v>0.5714285714285714</v>
      </c>
      <c r="AC980">
        <v>1.3333333333333333</v>
      </c>
      <c r="AD980" s="1">
        <v>35</v>
      </c>
      <c r="AE980" s="2">
        <v>46283</v>
      </c>
      <c r="AF980" s="2">
        <v>46291</v>
      </c>
      <c r="AG980" s="2">
        <v>46298</v>
      </c>
      <c r="AH980">
        <v>5</v>
      </c>
      <c r="AI980" s="3">
        <v>6.1576354679802957E-2</v>
      </c>
      <c r="AJ980" s="1">
        <v>568</v>
      </c>
      <c r="AK980" s="2">
        <v>46831</v>
      </c>
      <c r="AL980" s="4">
        <v>30</v>
      </c>
      <c r="AM980" s="5">
        <v>15</v>
      </c>
      <c r="AN980" s="4">
        <v>35</v>
      </c>
      <c r="AO980">
        <v>5.1724137931034484</v>
      </c>
      <c r="AP980" s="4">
        <v>1</v>
      </c>
      <c r="AQ980" t="s">
        <v>1619</v>
      </c>
      <c r="AR980" t="s">
        <v>1620</v>
      </c>
      <c r="AT980" s="16">
        <f>_xlfn.XLOOKUP(B980,'SWiSH Demand Forecast Sep-26'!D:D,'SWiSH Demand Forecast Sep-26'!G:G,"Not Exist")</f>
        <v>20.447571723822399</v>
      </c>
    </row>
    <row r="981" spans="1:46" x14ac:dyDescent="0.3">
      <c r="A981">
        <v>106800359</v>
      </c>
      <c r="B981" t="s">
        <v>2891</v>
      </c>
      <c r="C981" t="s">
        <v>10</v>
      </c>
      <c r="D981" t="s">
        <v>1613</v>
      </c>
      <c r="E981" t="s">
        <v>1663</v>
      </c>
      <c r="F981" t="s">
        <v>1664</v>
      </c>
      <c r="G981" t="s">
        <v>1624</v>
      </c>
      <c r="H981" t="s">
        <v>1665</v>
      </c>
      <c r="I981" t="s">
        <v>1634</v>
      </c>
      <c r="J981" t="s">
        <v>10</v>
      </c>
      <c r="K981">
        <v>4.0000000000000001E-3</v>
      </c>
      <c r="L981">
        <v>80</v>
      </c>
      <c r="M981" s="1">
        <v>7</v>
      </c>
      <c r="N981">
        <v>0</v>
      </c>
      <c r="O981">
        <v>1000</v>
      </c>
      <c r="P981">
        <v>20000</v>
      </c>
      <c r="Q981" s="1">
        <v>19000</v>
      </c>
      <c r="R981">
        <v>4.0000000000000001E-3</v>
      </c>
      <c r="S981" s="2">
        <v>46237</v>
      </c>
      <c r="T981" s="2">
        <v>46251</v>
      </c>
      <c r="U981">
        <v>0</v>
      </c>
      <c r="V981">
        <v>16000</v>
      </c>
      <c r="W981">
        <v>16000</v>
      </c>
      <c r="X981">
        <v>16000</v>
      </c>
      <c r="Y981">
        <v>0</v>
      </c>
      <c r="Z981" s="8">
        <v>16000</v>
      </c>
      <c r="AA981">
        <v>12000</v>
      </c>
      <c r="AB981">
        <v>0</v>
      </c>
      <c r="AC981">
        <v>1.3333333333333333</v>
      </c>
      <c r="AD981" s="1">
        <v>35</v>
      </c>
      <c r="AE981" s="2">
        <v>46283</v>
      </c>
      <c r="AF981" s="2">
        <v>46291</v>
      </c>
      <c r="AG981" s="2">
        <v>46298</v>
      </c>
      <c r="AH981">
        <v>8000</v>
      </c>
      <c r="AI981" s="3">
        <v>0.51724137931034475</v>
      </c>
      <c r="AJ981" s="1">
        <v>68</v>
      </c>
      <c r="AK981" s="2">
        <v>46331</v>
      </c>
      <c r="AL981" s="4">
        <v>30</v>
      </c>
      <c r="AM981" s="5">
        <v>15</v>
      </c>
      <c r="AN981" s="4">
        <v>35</v>
      </c>
      <c r="AO981">
        <v>8275.8620689655163</v>
      </c>
      <c r="AP981" s="4">
        <v>1</v>
      </c>
      <c r="AQ981">
        <v>20000</v>
      </c>
      <c r="AR981" t="s">
        <v>2768</v>
      </c>
      <c r="AT981" s="16" t="str">
        <f>_xlfn.XLOOKUP(B981,'SWiSH Demand Forecast Sep-26'!D:D,'SWiSH Demand Forecast Sep-26'!G:G,"Not Exist")</f>
        <v>Not Exist</v>
      </c>
    </row>
    <row r="982" spans="1:46" x14ac:dyDescent="0.3">
      <c r="A982">
        <v>100100122</v>
      </c>
      <c r="B982" t="s">
        <v>2892</v>
      </c>
      <c r="C982" t="s">
        <v>10</v>
      </c>
      <c r="D982" t="s">
        <v>1613</v>
      </c>
      <c r="E982" t="s">
        <v>1685</v>
      </c>
      <c r="F982" t="s">
        <v>1840</v>
      </c>
      <c r="G982" t="s">
        <v>1616</v>
      </c>
      <c r="H982" t="s">
        <v>1877</v>
      </c>
      <c r="I982" t="s">
        <v>1618</v>
      </c>
      <c r="J982" t="s">
        <v>1688</v>
      </c>
      <c r="K982">
        <v>0.875</v>
      </c>
      <c r="L982">
        <v>210</v>
      </c>
      <c r="M982" s="1">
        <v>3</v>
      </c>
      <c r="N982">
        <v>0</v>
      </c>
      <c r="O982">
        <v>0</v>
      </c>
      <c r="P982">
        <v>240</v>
      </c>
      <c r="Q982" s="1">
        <v>240</v>
      </c>
      <c r="R982">
        <v>10.5</v>
      </c>
      <c r="S982" s="2">
        <v>46181</v>
      </c>
      <c r="T982" s="2">
        <v>46261</v>
      </c>
      <c r="U982">
        <v>204</v>
      </c>
      <c r="V982">
        <v>180</v>
      </c>
      <c r="W982">
        <v>48</v>
      </c>
      <c r="X982">
        <v>84</v>
      </c>
      <c r="Y982">
        <v>48</v>
      </c>
      <c r="Z982" s="8">
        <v>204</v>
      </c>
      <c r="AA982">
        <v>129</v>
      </c>
      <c r="AB982">
        <v>0.37209302325581395</v>
      </c>
      <c r="AC982">
        <v>1.5813953488372092</v>
      </c>
      <c r="AD982" s="1">
        <v>35</v>
      </c>
      <c r="AE982" s="2">
        <v>46283</v>
      </c>
      <c r="AF982" s="2">
        <v>46291</v>
      </c>
      <c r="AG982" s="2">
        <v>46298</v>
      </c>
      <c r="AH982">
        <v>84</v>
      </c>
      <c r="AI982" s="3">
        <v>0.42596348884381341</v>
      </c>
      <c r="AJ982" s="1">
        <v>82</v>
      </c>
      <c r="AK982" s="2">
        <v>46345</v>
      </c>
      <c r="AL982" s="4">
        <v>30</v>
      </c>
      <c r="AM982" s="5">
        <v>15</v>
      </c>
      <c r="AN982" s="4">
        <v>35</v>
      </c>
      <c r="AO982">
        <v>86.896551724137936</v>
      </c>
      <c r="AP982" s="4">
        <v>1</v>
      </c>
      <c r="AQ982" t="s">
        <v>1619</v>
      </c>
      <c r="AR982" t="s">
        <v>1620</v>
      </c>
      <c r="AT982" s="16" t="str">
        <f>_xlfn.XLOOKUP(B982,'SWiSH Demand Forecast Sep-26'!D:D,'SWiSH Demand Forecast Sep-26'!G:G,"Not Exist")</f>
        <v>Not Exist</v>
      </c>
    </row>
    <row r="983" spans="1:46" hidden="1" x14ac:dyDescent="0.3">
      <c r="A983">
        <v>100400113</v>
      </c>
      <c r="B983" t="s">
        <v>458</v>
      </c>
      <c r="C983" t="s">
        <v>10</v>
      </c>
      <c r="D983" t="s">
        <v>1613</v>
      </c>
      <c r="E983" t="s">
        <v>1775</v>
      </c>
      <c r="F983" t="s">
        <v>1664</v>
      </c>
      <c r="G983" t="s">
        <v>1624</v>
      </c>
      <c r="H983" t="s">
        <v>1810</v>
      </c>
      <c r="I983" t="s">
        <v>1634</v>
      </c>
      <c r="J983" t="s">
        <v>10</v>
      </c>
      <c r="K983">
        <v>2.9000000000000001E-2</v>
      </c>
      <c r="L983">
        <v>162.4</v>
      </c>
      <c r="M983" s="1">
        <v>30</v>
      </c>
      <c r="N983">
        <v>0</v>
      </c>
      <c r="O983">
        <v>0</v>
      </c>
      <c r="P983">
        <v>5600</v>
      </c>
      <c r="Q983" s="1">
        <v>5600</v>
      </c>
      <c r="R983">
        <v>2.9000000000000001E-2</v>
      </c>
      <c r="S983" s="2">
        <v>46211</v>
      </c>
      <c r="T983" s="2">
        <v>46261</v>
      </c>
      <c r="U983">
        <v>4800</v>
      </c>
      <c r="V983">
        <v>2400</v>
      </c>
      <c r="W983">
        <v>4800</v>
      </c>
      <c r="X983">
        <v>4800</v>
      </c>
      <c r="Y983">
        <v>2400</v>
      </c>
      <c r="Z983" s="8">
        <v>4800</v>
      </c>
      <c r="AA983">
        <v>4200</v>
      </c>
      <c r="AB983">
        <v>0.5714285714285714</v>
      </c>
      <c r="AC983">
        <v>1.1428571428571428</v>
      </c>
      <c r="AD983" s="1">
        <v>35</v>
      </c>
      <c r="AE983" s="2">
        <v>46283</v>
      </c>
      <c r="AF983" s="2">
        <v>46291</v>
      </c>
      <c r="AG983" s="2">
        <v>46298</v>
      </c>
      <c r="AH983">
        <v>3600</v>
      </c>
      <c r="AI983" s="3">
        <v>0.77586206896551724</v>
      </c>
      <c r="AJ983" s="1">
        <v>45</v>
      </c>
      <c r="AK983" s="2">
        <v>46308</v>
      </c>
      <c r="AL983" s="4">
        <v>30</v>
      </c>
      <c r="AM983" s="5">
        <v>15</v>
      </c>
      <c r="AN983" s="4">
        <v>35</v>
      </c>
      <c r="AO983">
        <v>3724.1379310344828</v>
      </c>
      <c r="AP983" s="4">
        <v>1</v>
      </c>
      <c r="AQ983">
        <v>5600</v>
      </c>
      <c r="AR983" t="s">
        <v>2076</v>
      </c>
      <c r="AT983" s="16">
        <f>_xlfn.XLOOKUP(B983,'SWiSH Demand Forecast Sep-26'!D:D,'SWiSH Demand Forecast Sep-26'!G:G,"Not Exist")</f>
        <v>1960</v>
      </c>
    </row>
    <row r="984" spans="1:46" x14ac:dyDescent="0.3">
      <c r="A984">
        <v>106700036</v>
      </c>
      <c r="B984" t="s">
        <v>2893</v>
      </c>
      <c r="C984" t="s">
        <v>10</v>
      </c>
      <c r="D984" t="s">
        <v>1613</v>
      </c>
      <c r="E984" t="s">
        <v>1732</v>
      </c>
      <c r="F984" t="s">
        <v>1650</v>
      </c>
      <c r="G984" t="s">
        <v>1624</v>
      </c>
      <c r="H984" t="s">
        <v>1651</v>
      </c>
      <c r="I984" t="s">
        <v>1634</v>
      </c>
      <c r="J984" t="s">
        <v>10</v>
      </c>
      <c r="K984">
        <v>3.4609460900000002</v>
      </c>
      <c r="L984">
        <v>280.33663329000001</v>
      </c>
      <c r="M984" s="1">
        <v>3</v>
      </c>
      <c r="N984">
        <v>0</v>
      </c>
      <c r="O984">
        <v>0</v>
      </c>
      <c r="P984">
        <v>81</v>
      </c>
      <c r="Q984" s="1">
        <v>81</v>
      </c>
      <c r="R984">
        <v>3.5</v>
      </c>
      <c r="S984" s="2">
        <v>46175</v>
      </c>
      <c r="T984" s="2">
        <v>46261</v>
      </c>
      <c r="U984">
        <v>20</v>
      </c>
      <c r="V984">
        <v>69</v>
      </c>
      <c r="W984">
        <v>30</v>
      </c>
      <c r="X984">
        <v>5</v>
      </c>
      <c r="Y984">
        <v>5</v>
      </c>
      <c r="Z984" s="8">
        <v>69</v>
      </c>
      <c r="AA984">
        <v>31</v>
      </c>
      <c r="AB984">
        <v>0.16129032258064516</v>
      </c>
      <c r="AC984">
        <v>2.225806451612903</v>
      </c>
      <c r="AD984" s="1">
        <v>35</v>
      </c>
      <c r="AE984" s="2">
        <v>46283</v>
      </c>
      <c r="AF984" s="2">
        <v>46291</v>
      </c>
      <c r="AG984" s="2">
        <v>46298</v>
      </c>
      <c r="AH984">
        <v>10</v>
      </c>
      <c r="AI984" s="3">
        <v>0.14992503748125938</v>
      </c>
      <c r="AJ984" s="1">
        <v>234</v>
      </c>
      <c r="AK984" s="2">
        <v>46497</v>
      </c>
      <c r="AL984" s="4">
        <v>30</v>
      </c>
      <c r="AM984" s="5">
        <v>15</v>
      </c>
      <c r="AN984" s="4">
        <v>35</v>
      </c>
      <c r="AO984">
        <v>10.344827586206897</v>
      </c>
      <c r="AP984" s="4">
        <v>1</v>
      </c>
      <c r="AQ984" t="s">
        <v>1619</v>
      </c>
      <c r="AR984" t="s">
        <v>1620</v>
      </c>
      <c r="AT984" s="16" t="str">
        <f>_xlfn.XLOOKUP(B984,'SWiSH Demand Forecast Sep-26'!D:D,'SWiSH Demand Forecast Sep-26'!G:G,"Not Exist")</f>
        <v>Not Exist</v>
      </c>
    </row>
    <row r="985" spans="1:46" x14ac:dyDescent="0.3">
      <c r="A985">
        <v>104200052</v>
      </c>
      <c r="B985" t="s">
        <v>2894</v>
      </c>
      <c r="C985" t="s">
        <v>10</v>
      </c>
      <c r="D985" t="s">
        <v>1613</v>
      </c>
      <c r="E985" t="s">
        <v>1732</v>
      </c>
      <c r="F985" t="s">
        <v>1631</v>
      </c>
      <c r="G985" t="s">
        <v>1624</v>
      </c>
      <c r="H985" t="s">
        <v>1633</v>
      </c>
      <c r="I985" t="s">
        <v>1634</v>
      </c>
      <c r="J985" t="s">
        <v>10</v>
      </c>
      <c r="K985">
        <v>5.4642900000000001E-3</v>
      </c>
      <c r="L985">
        <v>3.2785739999999999</v>
      </c>
      <c r="M985" s="1">
        <v>3</v>
      </c>
      <c r="N985">
        <v>0</v>
      </c>
      <c r="O985">
        <v>0</v>
      </c>
      <c r="P985">
        <v>600</v>
      </c>
      <c r="Q985" s="1">
        <v>600</v>
      </c>
      <c r="R985">
        <v>0.35</v>
      </c>
      <c r="S985" s="2">
        <v>46195</v>
      </c>
      <c r="T985" s="2">
        <v>46224</v>
      </c>
      <c r="U985">
        <v>0</v>
      </c>
      <c r="V985">
        <v>500</v>
      </c>
      <c r="W985">
        <v>500</v>
      </c>
      <c r="X985">
        <v>300</v>
      </c>
      <c r="Y985">
        <v>0</v>
      </c>
      <c r="Z985" s="8">
        <v>500</v>
      </c>
      <c r="AA985">
        <v>325</v>
      </c>
      <c r="AB985">
        <v>0</v>
      </c>
      <c r="AC985">
        <v>1.5384615384615385</v>
      </c>
      <c r="AD985" s="1">
        <v>36</v>
      </c>
      <c r="AE985" s="2">
        <v>46284</v>
      </c>
      <c r="AF985" s="2">
        <v>46292</v>
      </c>
      <c r="AG985" s="2">
        <v>46299</v>
      </c>
      <c r="AH985">
        <v>0</v>
      </c>
      <c r="AI985" s="3">
        <v>0</v>
      </c>
      <c r="AJ985" s="1" t="s">
        <v>1635</v>
      </c>
      <c r="AK985" s="2" t="s">
        <v>1635</v>
      </c>
      <c r="AL985" s="4">
        <v>30</v>
      </c>
      <c r="AM985" s="5">
        <v>15</v>
      </c>
      <c r="AN985" s="4">
        <v>36</v>
      </c>
      <c r="AO985">
        <v>0</v>
      </c>
      <c r="AP985" s="4">
        <v>1</v>
      </c>
      <c r="AQ985" t="s">
        <v>1619</v>
      </c>
      <c r="AR985" t="s">
        <v>1620</v>
      </c>
      <c r="AS985" t="s">
        <v>1666</v>
      </c>
      <c r="AT985" s="16" t="str">
        <f>_xlfn.XLOOKUP(B985,'SWiSH Demand Forecast Sep-26'!D:D,'SWiSH Demand Forecast Sep-26'!G:G,"Not Exist")</f>
        <v>Not Exist</v>
      </c>
    </row>
    <row r="986" spans="1:46" hidden="1" x14ac:dyDescent="0.3">
      <c r="A986">
        <v>100100102</v>
      </c>
      <c r="B986" t="s">
        <v>1531</v>
      </c>
      <c r="C986" t="s">
        <v>136</v>
      </c>
      <c r="D986" t="s">
        <v>1613</v>
      </c>
      <c r="E986" t="s">
        <v>1677</v>
      </c>
      <c r="F986" t="s">
        <v>1615</v>
      </c>
      <c r="G986" t="s">
        <v>1616</v>
      </c>
      <c r="H986" t="s">
        <v>1877</v>
      </c>
      <c r="I986" t="s">
        <v>1618</v>
      </c>
      <c r="J986" t="s">
        <v>136</v>
      </c>
      <c r="K986">
        <v>11.222154270000001</v>
      </c>
      <c r="L986">
        <v>67.332925619999997</v>
      </c>
      <c r="M986" s="1">
        <v>3</v>
      </c>
      <c r="N986">
        <v>0</v>
      </c>
      <c r="O986">
        <v>0</v>
      </c>
      <c r="P986">
        <v>6</v>
      </c>
      <c r="Q986" s="1">
        <v>6</v>
      </c>
      <c r="R986">
        <v>12</v>
      </c>
      <c r="S986" s="2">
        <v>46097</v>
      </c>
      <c r="T986" s="2">
        <v>46221</v>
      </c>
      <c r="U986">
        <v>0</v>
      </c>
      <c r="V986">
        <v>0</v>
      </c>
      <c r="W986">
        <v>2</v>
      </c>
      <c r="X986">
        <v>5</v>
      </c>
      <c r="Y986">
        <v>0</v>
      </c>
      <c r="Z986" s="8">
        <v>5</v>
      </c>
      <c r="AA986">
        <v>1.75</v>
      </c>
      <c r="AB986">
        <v>0</v>
      </c>
      <c r="AC986">
        <v>2.8571428571428572</v>
      </c>
      <c r="AD986" s="1">
        <v>36</v>
      </c>
      <c r="AE986" s="2">
        <v>46284</v>
      </c>
      <c r="AF986" s="2">
        <v>46292</v>
      </c>
      <c r="AG986" s="2">
        <v>46299</v>
      </c>
      <c r="AH986">
        <v>0</v>
      </c>
      <c r="AI986" s="3">
        <v>0</v>
      </c>
      <c r="AJ986" s="1" t="s">
        <v>1635</v>
      </c>
      <c r="AK986" s="2" t="s">
        <v>1635</v>
      </c>
      <c r="AL986" s="4">
        <v>30</v>
      </c>
      <c r="AM986" s="5">
        <v>15</v>
      </c>
      <c r="AN986" s="4">
        <v>36</v>
      </c>
      <c r="AO986">
        <v>0</v>
      </c>
      <c r="AP986" s="4">
        <v>1</v>
      </c>
      <c r="AQ986" t="s">
        <v>1619</v>
      </c>
      <c r="AR986" t="s">
        <v>1620</v>
      </c>
      <c r="AT986" s="16">
        <f>_xlfn.XLOOKUP(B986,'SWiSH Demand Forecast Sep-26'!D:D,'SWiSH Demand Forecast Sep-26'!G:G,"Not Exist")</f>
        <v>1.323</v>
      </c>
    </row>
    <row r="987" spans="1:46" x14ac:dyDescent="0.3">
      <c r="A987">
        <v>106800256</v>
      </c>
      <c r="B987" t="s">
        <v>2895</v>
      </c>
      <c r="C987" t="s">
        <v>10</v>
      </c>
      <c r="D987" t="s">
        <v>1613</v>
      </c>
      <c r="E987" t="s">
        <v>1949</v>
      </c>
      <c r="F987" t="s">
        <v>1664</v>
      </c>
      <c r="G987" t="s">
        <v>1624</v>
      </c>
      <c r="H987" t="s">
        <v>1665</v>
      </c>
      <c r="I987" t="s">
        <v>1634</v>
      </c>
      <c r="J987" t="s">
        <v>10</v>
      </c>
      <c r="K987">
        <v>7.0000000000000001E-3</v>
      </c>
      <c r="L987">
        <v>210</v>
      </c>
      <c r="M987" s="1">
        <v>7</v>
      </c>
      <c r="N987">
        <v>0</v>
      </c>
      <c r="O987">
        <v>0</v>
      </c>
      <c r="P987">
        <v>30000</v>
      </c>
      <c r="Q987" s="1">
        <v>30000</v>
      </c>
      <c r="R987">
        <v>7.0000000000000001E-3</v>
      </c>
      <c r="S987" s="2">
        <v>46160</v>
      </c>
      <c r="T987" s="2">
        <v>46252</v>
      </c>
      <c r="U987">
        <v>19612</v>
      </c>
      <c r="V987">
        <v>25000</v>
      </c>
      <c r="W987">
        <v>17500</v>
      </c>
      <c r="X987">
        <v>17500</v>
      </c>
      <c r="Y987">
        <v>17500</v>
      </c>
      <c r="Z987" s="8">
        <v>25000</v>
      </c>
      <c r="AA987">
        <v>19903</v>
      </c>
      <c r="AB987">
        <v>0.87926443249761344</v>
      </c>
      <c r="AC987">
        <v>1.2560920464251621</v>
      </c>
      <c r="AD987" s="1">
        <v>36</v>
      </c>
      <c r="AE987" s="2">
        <v>46284</v>
      </c>
      <c r="AF987" s="2">
        <v>46292</v>
      </c>
      <c r="AG987" s="2">
        <v>46299</v>
      </c>
      <c r="AH987">
        <v>7500</v>
      </c>
      <c r="AI987" s="3">
        <v>0.31034482758620691</v>
      </c>
      <c r="AJ987" s="1">
        <v>116</v>
      </c>
      <c r="AK987" s="2">
        <v>46379</v>
      </c>
      <c r="AL987" s="4">
        <v>30</v>
      </c>
      <c r="AM987" s="5">
        <v>15</v>
      </c>
      <c r="AN987" s="4">
        <v>36</v>
      </c>
      <c r="AO987">
        <v>7758.620689655173</v>
      </c>
      <c r="AP987" s="4">
        <v>1</v>
      </c>
      <c r="AQ987">
        <v>25000</v>
      </c>
      <c r="AR987" t="s">
        <v>2215</v>
      </c>
      <c r="AT987" s="16" t="str">
        <f>_xlfn.XLOOKUP(B987,'SWiSH Demand Forecast Sep-26'!D:D,'SWiSH Demand Forecast Sep-26'!G:G,"Not Exist")</f>
        <v>Not Exist</v>
      </c>
    </row>
    <row r="988" spans="1:46" x14ac:dyDescent="0.3">
      <c r="A988">
        <v>100100133</v>
      </c>
      <c r="B988" t="s">
        <v>2896</v>
      </c>
      <c r="C988" t="s">
        <v>136</v>
      </c>
      <c r="D988" t="s">
        <v>1613</v>
      </c>
      <c r="E988" t="s">
        <v>1832</v>
      </c>
      <c r="F988" t="s">
        <v>1941</v>
      </c>
      <c r="G988" t="s">
        <v>1616</v>
      </c>
      <c r="H988" t="s">
        <v>1877</v>
      </c>
      <c r="I988" t="s">
        <v>1618</v>
      </c>
      <c r="J988" t="s">
        <v>136</v>
      </c>
      <c r="K988">
        <v>1.51</v>
      </c>
      <c r="L988">
        <v>92.11</v>
      </c>
      <c r="M988" s="1">
        <v>3</v>
      </c>
      <c r="N988">
        <v>0</v>
      </c>
      <c r="O988">
        <v>0</v>
      </c>
      <c r="P988">
        <v>61</v>
      </c>
      <c r="Q988" s="1">
        <v>61</v>
      </c>
      <c r="R988">
        <v>1.5</v>
      </c>
      <c r="S988" s="2">
        <v>46126</v>
      </c>
      <c r="T988" s="2">
        <v>46250</v>
      </c>
      <c r="U988">
        <v>50</v>
      </c>
      <c r="V988">
        <v>17</v>
      </c>
      <c r="W988">
        <v>37</v>
      </c>
      <c r="X988">
        <v>9</v>
      </c>
      <c r="Y988">
        <v>9</v>
      </c>
      <c r="Z988" s="8">
        <v>50</v>
      </c>
      <c r="AA988">
        <v>28.25</v>
      </c>
      <c r="AB988">
        <v>0.31858407079646017</v>
      </c>
      <c r="AC988">
        <v>1.7699115044247788</v>
      </c>
      <c r="AD988" s="1">
        <v>36</v>
      </c>
      <c r="AE988" s="2">
        <v>46284</v>
      </c>
      <c r="AF988" s="2">
        <v>46292</v>
      </c>
      <c r="AG988" s="2">
        <v>46299</v>
      </c>
      <c r="AH988">
        <v>6</v>
      </c>
      <c r="AI988" s="3">
        <v>0.12413793103448276</v>
      </c>
      <c r="AJ988" s="1">
        <v>294</v>
      </c>
      <c r="AK988" s="2">
        <v>46557</v>
      </c>
      <c r="AL988" s="4">
        <v>30</v>
      </c>
      <c r="AM988" s="5">
        <v>15</v>
      </c>
      <c r="AN988" s="4">
        <v>36</v>
      </c>
      <c r="AO988">
        <v>6.2068965517241379</v>
      </c>
      <c r="AP988" s="4">
        <v>1</v>
      </c>
      <c r="AQ988" t="s">
        <v>1619</v>
      </c>
      <c r="AR988" t="s">
        <v>1620</v>
      </c>
      <c r="AT988" s="16" t="str">
        <f>_xlfn.XLOOKUP(B988,'SWiSH Demand Forecast Sep-26'!D:D,'SWiSH Demand Forecast Sep-26'!G:G,"Not Exist")</f>
        <v>Not Exist</v>
      </c>
    </row>
    <row r="989" spans="1:46" hidden="1" x14ac:dyDescent="0.3">
      <c r="A989">
        <v>101300029</v>
      </c>
      <c r="B989" t="s">
        <v>1190</v>
      </c>
      <c r="C989" t="s">
        <v>136</v>
      </c>
      <c r="D989" t="s">
        <v>1613</v>
      </c>
      <c r="E989" t="s">
        <v>2868</v>
      </c>
      <c r="F989" t="s">
        <v>1752</v>
      </c>
      <c r="G989" t="s">
        <v>1616</v>
      </c>
      <c r="H989" t="s">
        <v>1980</v>
      </c>
      <c r="I989" t="s">
        <v>1754</v>
      </c>
      <c r="J989" t="s">
        <v>136</v>
      </c>
      <c r="K989">
        <v>6.5</v>
      </c>
      <c r="L989">
        <v>1794</v>
      </c>
      <c r="M989" s="1">
        <v>3</v>
      </c>
      <c r="N989">
        <v>0</v>
      </c>
      <c r="O989">
        <v>0</v>
      </c>
      <c r="P989">
        <v>276</v>
      </c>
      <c r="Q989" s="1">
        <v>276</v>
      </c>
      <c r="R989">
        <v>2.4500000000000002</v>
      </c>
      <c r="S989" s="2">
        <v>46240</v>
      </c>
      <c r="T989" s="2">
        <v>46259</v>
      </c>
      <c r="U989">
        <v>228</v>
      </c>
      <c r="V989">
        <v>180</v>
      </c>
      <c r="W989">
        <v>144</v>
      </c>
      <c r="X989">
        <v>216</v>
      </c>
      <c r="Y989">
        <v>144</v>
      </c>
      <c r="Z989" s="8">
        <v>228</v>
      </c>
      <c r="AA989">
        <v>192</v>
      </c>
      <c r="AB989">
        <v>0.75</v>
      </c>
      <c r="AC989">
        <v>1.1875</v>
      </c>
      <c r="AD989" s="1">
        <v>36</v>
      </c>
      <c r="AE989" s="2">
        <v>46284</v>
      </c>
      <c r="AF989" s="2">
        <v>46292</v>
      </c>
      <c r="AG989" s="2">
        <v>46299</v>
      </c>
      <c r="AH989">
        <v>204</v>
      </c>
      <c r="AI989" s="3">
        <v>0.92558983666061712</v>
      </c>
      <c r="AJ989" s="1">
        <v>39</v>
      </c>
      <c r="AK989" s="2">
        <v>46302</v>
      </c>
      <c r="AL989" s="4">
        <v>30</v>
      </c>
      <c r="AM989" s="5">
        <v>15</v>
      </c>
      <c r="AN989" s="4">
        <v>36</v>
      </c>
      <c r="AO989">
        <v>211.0344827586207</v>
      </c>
      <c r="AP989" s="4">
        <v>1</v>
      </c>
      <c r="AQ989" t="s">
        <v>1619</v>
      </c>
      <c r="AR989" t="s">
        <v>1620</v>
      </c>
      <c r="AT989" s="16">
        <f>_xlfn.XLOOKUP(B989,'SWiSH Demand Forecast Sep-26'!D:D,'SWiSH Demand Forecast Sep-26'!G:G,"Not Exist")</f>
        <v>60.317999999999898</v>
      </c>
    </row>
    <row r="990" spans="1:46" x14ac:dyDescent="0.3">
      <c r="A990">
        <v>106300020</v>
      </c>
      <c r="B990" t="s">
        <v>2897</v>
      </c>
      <c r="C990" t="s">
        <v>136</v>
      </c>
      <c r="D990" t="s">
        <v>1613</v>
      </c>
      <c r="E990" t="s">
        <v>1832</v>
      </c>
      <c r="F990" t="s">
        <v>1615</v>
      </c>
      <c r="G990" t="s">
        <v>1616</v>
      </c>
      <c r="H990" t="s">
        <v>1860</v>
      </c>
      <c r="I990" t="s">
        <v>1618</v>
      </c>
      <c r="J990" t="s">
        <v>136</v>
      </c>
      <c r="K990">
        <v>0.55000000000000004</v>
      </c>
      <c r="L990">
        <v>8.8000000000000007</v>
      </c>
      <c r="M990" s="1">
        <v>3</v>
      </c>
      <c r="N990">
        <v>0</v>
      </c>
      <c r="O990">
        <v>0</v>
      </c>
      <c r="P990">
        <v>16</v>
      </c>
      <c r="Q990" s="1">
        <v>16</v>
      </c>
      <c r="R990">
        <v>0.55000000000000004</v>
      </c>
      <c r="S990" s="2">
        <v>46237</v>
      </c>
      <c r="T990" s="2">
        <v>46260</v>
      </c>
      <c r="U990">
        <v>10</v>
      </c>
      <c r="V990">
        <v>6</v>
      </c>
      <c r="W990">
        <v>10</v>
      </c>
      <c r="X990">
        <v>13</v>
      </c>
      <c r="Y990">
        <v>6</v>
      </c>
      <c r="Z990" s="8">
        <v>13</v>
      </c>
      <c r="AA990">
        <v>9.75</v>
      </c>
      <c r="AB990">
        <v>0.61538461538461542</v>
      </c>
      <c r="AC990">
        <v>1.3333333333333333</v>
      </c>
      <c r="AD990" s="1">
        <v>36</v>
      </c>
      <c r="AE990" s="2">
        <v>46284</v>
      </c>
      <c r="AF990" s="2">
        <v>46292</v>
      </c>
      <c r="AG990" s="2">
        <v>46299</v>
      </c>
      <c r="AH990">
        <v>7</v>
      </c>
      <c r="AI990" s="3">
        <v>0.55702917771883287</v>
      </c>
      <c r="AJ990" s="1">
        <v>66</v>
      </c>
      <c r="AK990" s="2">
        <v>46329</v>
      </c>
      <c r="AL990" s="4">
        <v>30</v>
      </c>
      <c r="AM990" s="5">
        <v>15</v>
      </c>
      <c r="AN990" s="4">
        <v>36</v>
      </c>
      <c r="AO990">
        <v>7.2413793103448274</v>
      </c>
      <c r="AP990" s="4">
        <v>1</v>
      </c>
      <c r="AQ990" t="s">
        <v>1619</v>
      </c>
      <c r="AR990" t="s">
        <v>1620</v>
      </c>
      <c r="AT990" s="16" t="str">
        <f>_xlfn.XLOOKUP(B990,'SWiSH Demand Forecast Sep-26'!D:D,'SWiSH Demand Forecast Sep-26'!G:G,"Not Exist")</f>
        <v>Not Exist</v>
      </c>
    </row>
    <row r="991" spans="1:46" x14ac:dyDescent="0.3">
      <c r="A991">
        <v>105300039</v>
      </c>
      <c r="B991" t="s">
        <v>2898</v>
      </c>
      <c r="C991" t="s">
        <v>10</v>
      </c>
      <c r="D991" t="s">
        <v>1613</v>
      </c>
      <c r="E991" t="s">
        <v>2899</v>
      </c>
      <c r="F991" t="s">
        <v>1631</v>
      </c>
      <c r="G991" t="s">
        <v>1616</v>
      </c>
      <c r="H991" t="s">
        <v>1978</v>
      </c>
      <c r="I991" t="s">
        <v>1634</v>
      </c>
      <c r="J991" t="s">
        <v>2412</v>
      </c>
      <c r="K991">
        <v>0.01</v>
      </c>
      <c r="L991">
        <v>90</v>
      </c>
      <c r="M991" s="1">
        <v>30</v>
      </c>
      <c r="N991">
        <v>0</v>
      </c>
      <c r="O991">
        <v>0</v>
      </c>
      <c r="P991">
        <v>9000</v>
      </c>
      <c r="Q991" s="1">
        <v>9000</v>
      </c>
      <c r="R991">
        <v>5</v>
      </c>
      <c r="S991" s="2">
        <v>46218</v>
      </c>
      <c r="T991" s="2">
        <v>46263</v>
      </c>
      <c r="U991">
        <v>3500</v>
      </c>
      <c r="V991">
        <v>6000</v>
      </c>
      <c r="W991">
        <v>7500</v>
      </c>
      <c r="X991">
        <v>6000</v>
      </c>
      <c r="Y991">
        <v>3500</v>
      </c>
      <c r="Z991" s="8">
        <v>7500</v>
      </c>
      <c r="AA991">
        <v>5750</v>
      </c>
      <c r="AB991">
        <v>0.60869565217391308</v>
      </c>
      <c r="AC991">
        <v>1.3043478260869565</v>
      </c>
      <c r="AD991" s="1">
        <v>36</v>
      </c>
      <c r="AE991" s="2">
        <v>46284</v>
      </c>
      <c r="AF991" s="2">
        <v>46292</v>
      </c>
      <c r="AG991" s="2">
        <v>46299</v>
      </c>
      <c r="AH991">
        <v>4500</v>
      </c>
      <c r="AI991" s="3">
        <v>0.62068965517241381</v>
      </c>
      <c r="AJ991" s="1">
        <v>58</v>
      </c>
      <c r="AK991" s="2">
        <v>46321</v>
      </c>
      <c r="AL991" s="4">
        <v>15</v>
      </c>
      <c r="AM991" s="5">
        <v>15</v>
      </c>
      <c r="AN991" s="4">
        <v>36</v>
      </c>
      <c r="AO991">
        <v>2327.5862068965516</v>
      </c>
      <c r="AP991" s="4">
        <v>2</v>
      </c>
      <c r="AQ991" t="s">
        <v>1619</v>
      </c>
      <c r="AR991" t="s">
        <v>1620</v>
      </c>
      <c r="AT991" s="16" t="str">
        <f>_xlfn.XLOOKUP(B991,'SWiSH Demand Forecast Sep-26'!D:D,'SWiSH Demand Forecast Sep-26'!G:G,"Not Exist")</f>
        <v>Not Exist</v>
      </c>
    </row>
    <row r="992" spans="1:46" hidden="1" x14ac:dyDescent="0.3">
      <c r="A992">
        <v>101600002</v>
      </c>
      <c r="B992" t="s">
        <v>83</v>
      </c>
      <c r="C992" t="s">
        <v>10</v>
      </c>
      <c r="D992" t="s">
        <v>1613</v>
      </c>
      <c r="E992" t="s">
        <v>2900</v>
      </c>
      <c r="F992" t="s">
        <v>1631</v>
      </c>
      <c r="G992" t="s">
        <v>1624</v>
      </c>
      <c r="H992" t="s">
        <v>1768</v>
      </c>
      <c r="I992" t="s">
        <v>1634</v>
      </c>
      <c r="J992" t="s">
        <v>2113</v>
      </c>
      <c r="K992">
        <v>6.0000000000000001E-3</v>
      </c>
      <c r="L992">
        <v>483</v>
      </c>
      <c r="M992" s="1">
        <v>3</v>
      </c>
      <c r="N992">
        <v>0</v>
      </c>
      <c r="O992">
        <v>1000</v>
      </c>
      <c r="P992">
        <v>80500</v>
      </c>
      <c r="Q992" s="1">
        <v>79500</v>
      </c>
      <c r="R992">
        <v>7.25</v>
      </c>
      <c r="S992" s="2">
        <v>46239</v>
      </c>
      <c r="T992" s="2">
        <v>46263</v>
      </c>
      <c r="U992">
        <v>54700</v>
      </c>
      <c r="V992">
        <v>64800</v>
      </c>
      <c r="W992">
        <v>50000</v>
      </c>
      <c r="X992">
        <v>55800</v>
      </c>
      <c r="Y992">
        <v>50000</v>
      </c>
      <c r="Z992" s="8">
        <v>64800</v>
      </c>
      <c r="AA992">
        <v>56325</v>
      </c>
      <c r="AB992">
        <v>0.88770528184642694</v>
      </c>
      <c r="AC992">
        <v>1.1504660452729694</v>
      </c>
      <c r="AD992" s="1">
        <v>36</v>
      </c>
      <c r="AE992" s="2">
        <v>46284</v>
      </c>
      <c r="AF992" s="2">
        <v>46292</v>
      </c>
      <c r="AG992" s="2">
        <v>46299</v>
      </c>
      <c r="AH992">
        <v>16000</v>
      </c>
      <c r="AI992" s="3">
        <v>0.25542784163473814</v>
      </c>
      <c r="AJ992" s="1">
        <v>144</v>
      </c>
      <c r="AK992" s="2">
        <v>46407</v>
      </c>
      <c r="AL992" s="4">
        <v>15</v>
      </c>
      <c r="AM992" s="5">
        <v>15</v>
      </c>
      <c r="AN992" s="4">
        <v>36</v>
      </c>
      <c r="AO992">
        <v>8275.8620689655163</v>
      </c>
      <c r="AP992" s="4">
        <v>2</v>
      </c>
      <c r="AQ992" t="s">
        <v>1619</v>
      </c>
      <c r="AR992" t="s">
        <v>1620</v>
      </c>
      <c r="AT992" s="16">
        <f>_xlfn.XLOOKUP(B992,'SWiSH Demand Forecast Sep-26'!D:D,'SWiSH Demand Forecast Sep-26'!G:G,"Not Exist")</f>
        <v>26869</v>
      </c>
    </row>
    <row r="993" spans="1:46" hidden="1" x14ac:dyDescent="0.3">
      <c r="A993">
        <v>106200085</v>
      </c>
      <c r="B993" t="s">
        <v>1260</v>
      </c>
      <c r="C993" t="s">
        <v>240</v>
      </c>
      <c r="D993" t="s">
        <v>1613</v>
      </c>
      <c r="E993" t="s">
        <v>1832</v>
      </c>
      <c r="F993" t="s">
        <v>1671</v>
      </c>
      <c r="G993" t="s">
        <v>1616</v>
      </c>
      <c r="H993" t="s">
        <v>1672</v>
      </c>
      <c r="I993" t="s">
        <v>1618</v>
      </c>
      <c r="J993" t="s">
        <v>1743</v>
      </c>
      <c r="K993">
        <v>1.4</v>
      </c>
      <c r="L993">
        <v>280</v>
      </c>
      <c r="M993" s="1">
        <v>3</v>
      </c>
      <c r="N993">
        <v>0</v>
      </c>
      <c r="O993">
        <v>0</v>
      </c>
      <c r="P993">
        <v>200</v>
      </c>
      <c r="Q993" s="1">
        <v>200</v>
      </c>
      <c r="R993">
        <v>7</v>
      </c>
      <c r="S993" s="2">
        <v>46251</v>
      </c>
      <c r="T993" s="2">
        <v>46262</v>
      </c>
      <c r="U993">
        <v>145</v>
      </c>
      <c r="V993">
        <v>165</v>
      </c>
      <c r="W993">
        <v>165</v>
      </c>
      <c r="X993">
        <v>150</v>
      </c>
      <c r="Y993">
        <v>145</v>
      </c>
      <c r="Z993" s="8">
        <v>165</v>
      </c>
      <c r="AA993">
        <v>156.25</v>
      </c>
      <c r="AB993">
        <v>0.92800000000000005</v>
      </c>
      <c r="AC993">
        <v>1.056</v>
      </c>
      <c r="AD993" s="1">
        <v>36</v>
      </c>
      <c r="AE993" s="2">
        <v>46284</v>
      </c>
      <c r="AF993" s="2">
        <v>46292</v>
      </c>
      <c r="AG993" s="2">
        <v>46299</v>
      </c>
      <c r="AH993">
        <v>160</v>
      </c>
      <c r="AI993" s="3">
        <v>1.0031347962382446</v>
      </c>
      <c r="AJ993" s="1">
        <v>36</v>
      </c>
      <c r="AK993" s="2">
        <v>46299</v>
      </c>
      <c r="AL993" s="4">
        <v>30</v>
      </c>
      <c r="AM993" s="5">
        <v>15</v>
      </c>
      <c r="AN993" s="4">
        <v>36</v>
      </c>
      <c r="AO993">
        <v>165.51724137931038</v>
      </c>
      <c r="AP993" s="4">
        <v>1</v>
      </c>
      <c r="AQ993" t="s">
        <v>1619</v>
      </c>
      <c r="AR993" t="s">
        <v>1620</v>
      </c>
      <c r="AT993" s="16">
        <f>_xlfn.XLOOKUP(B993,'SWiSH Demand Forecast Sep-26'!D:D,'SWiSH Demand Forecast Sep-26'!G:G,"Not Exist")</f>
        <v>39.820475912361097</v>
      </c>
    </row>
    <row r="994" spans="1:46" x14ac:dyDescent="0.3">
      <c r="A994">
        <v>101400008</v>
      </c>
      <c r="B994" t="s">
        <v>2901</v>
      </c>
      <c r="C994" t="s">
        <v>240</v>
      </c>
      <c r="D994" t="s">
        <v>1613</v>
      </c>
      <c r="E994" t="s">
        <v>1643</v>
      </c>
      <c r="F994" t="s">
        <v>1644</v>
      </c>
      <c r="G994" t="s">
        <v>1624</v>
      </c>
      <c r="H994" t="s">
        <v>1693</v>
      </c>
      <c r="I994" t="s">
        <v>1634</v>
      </c>
      <c r="J994" t="s">
        <v>2902</v>
      </c>
      <c r="K994">
        <v>0.30525935999999998</v>
      </c>
      <c r="L994">
        <v>5.7694019039999995</v>
      </c>
      <c r="M994" s="1">
        <v>3</v>
      </c>
      <c r="N994">
        <v>0</v>
      </c>
      <c r="O994">
        <v>0</v>
      </c>
      <c r="P994">
        <v>18.899999999999999</v>
      </c>
      <c r="Q994" s="1">
        <v>18.899999999999999</v>
      </c>
      <c r="R994">
        <v>8.5</v>
      </c>
      <c r="S994" s="2">
        <v>46083</v>
      </c>
      <c r="T994" s="2">
        <v>46250</v>
      </c>
      <c r="U994">
        <v>7.56</v>
      </c>
      <c r="V994">
        <v>0</v>
      </c>
      <c r="W994">
        <v>15.12</v>
      </c>
      <c r="X994">
        <v>3.78</v>
      </c>
      <c r="Y994">
        <v>0</v>
      </c>
      <c r="Z994" s="8">
        <v>15.12</v>
      </c>
      <c r="AA994">
        <v>6.6150000000000002</v>
      </c>
      <c r="AB994">
        <v>0</v>
      </c>
      <c r="AC994">
        <v>2.2857142857142856</v>
      </c>
      <c r="AD994" s="1">
        <v>37</v>
      </c>
      <c r="AE994" s="2">
        <v>46285</v>
      </c>
      <c r="AF994" s="2">
        <v>46293</v>
      </c>
      <c r="AG994" s="2">
        <v>46300</v>
      </c>
      <c r="AH994">
        <v>3.78</v>
      </c>
      <c r="AI994" s="3">
        <v>0.25862068965517238</v>
      </c>
      <c r="AJ994" s="1">
        <v>145</v>
      </c>
      <c r="AK994" s="2">
        <v>46408</v>
      </c>
      <c r="AL994" s="4">
        <v>30</v>
      </c>
      <c r="AM994" s="5">
        <v>15</v>
      </c>
      <c r="AN994" s="4">
        <v>37</v>
      </c>
      <c r="AO994">
        <v>3.9103448275862065</v>
      </c>
      <c r="AP994" s="4">
        <v>1</v>
      </c>
      <c r="AQ994" t="s">
        <v>1619</v>
      </c>
      <c r="AR994" t="s">
        <v>1620</v>
      </c>
      <c r="AT994" s="16" t="str">
        <f>_xlfn.XLOOKUP(B994,'SWiSH Demand Forecast Sep-26'!D:D,'SWiSH Demand Forecast Sep-26'!G:G,"Not Exist")</f>
        <v>Not Exist</v>
      </c>
    </row>
    <row r="995" spans="1:46" x14ac:dyDescent="0.3">
      <c r="A995">
        <v>106700011</v>
      </c>
      <c r="B995" t="s">
        <v>2903</v>
      </c>
      <c r="C995" t="s">
        <v>10</v>
      </c>
      <c r="D995" t="s">
        <v>1613</v>
      </c>
      <c r="E995" t="s">
        <v>2904</v>
      </c>
      <c r="F995" t="s">
        <v>1650</v>
      </c>
      <c r="G995" t="s">
        <v>1624</v>
      </c>
      <c r="H995" t="s">
        <v>1651</v>
      </c>
      <c r="I995" t="s">
        <v>1634</v>
      </c>
      <c r="J995" t="s">
        <v>10</v>
      </c>
      <c r="K995">
        <v>9.5</v>
      </c>
      <c r="L995">
        <v>47.5</v>
      </c>
      <c r="M995" s="1">
        <v>3</v>
      </c>
      <c r="N995">
        <v>0</v>
      </c>
      <c r="O995">
        <v>0</v>
      </c>
      <c r="P995">
        <v>5</v>
      </c>
      <c r="Q995" s="1">
        <v>5</v>
      </c>
      <c r="R995">
        <v>9.5</v>
      </c>
      <c r="S995" s="2">
        <v>46254</v>
      </c>
      <c r="T995" s="2">
        <v>46251</v>
      </c>
      <c r="U995">
        <v>0</v>
      </c>
      <c r="V995">
        <v>4</v>
      </c>
      <c r="W995">
        <v>2</v>
      </c>
      <c r="X995">
        <v>2</v>
      </c>
      <c r="Y995">
        <v>0</v>
      </c>
      <c r="Z995" s="8">
        <v>4</v>
      </c>
      <c r="AA995">
        <v>2</v>
      </c>
      <c r="AB995">
        <v>0</v>
      </c>
      <c r="AC995">
        <v>2</v>
      </c>
      <c r="AD995" s="1">
        <v>37</v>
      </c>
      <c r="AE995" s="2">
        <v>46285</v>
      </c>
      <c r="AF995" s="2">
        <v>46293</v>
      </c>
      <c r="AG995" s="2">
        <v>46300</v>
      </c>
      <c r="AH995">
        <v>5</v>
      </c>
      <c r="AI995" s="3">
        <v>1.2931034482758621</v>
      </c>
      <c r="AJ995" s="1">
        <v>29</v>
      </c>
      <c r="AK995" s="2">
        <v>46292</v>
      </c>
      <c r="AL995" s="4">
        <v>30</v>
      </c>
      <c r="AM995" s="5">
        <v>15</v>
      </c>
      <c r="AN995" s="4">
        <v>29</v>
      </c>
      <c r="AO995">
        <v>5.1724137931034484</v>
      </c>
      <c r="AP995" s="4">
        <v>1</v>
      </c>
      <c r="AQ995" t="s">
        <v>1619</v>
      </c>
      <c r="AR995" t="s">
        <v>1620</v>
      </c>
      <c r="AT995" s="16" t="str">
        <f>_xlfn.XLOOKUP(B995,'SWiSH Demand Forecast Sep-26'!D:D,'SWiSH Demand Forecast Sep-26'!G:G,"Not Exist")</f>
        <v>Not Exist</v>
      </c>
    </row>
    <row r="996" spans="1:46" x14ac:dyDescent="0.3">
      <c r="A996">
        <v>102500022</v>
      </c>
      <c r="B996" t="s">
        <v>2905</v>
      </c>
      <c r="C996" t="s">
        <v>136</v>
      </c>
      <c r="D996" t="s">
        <v>1613</v>
      </c>
      <c r="E996" t="s">
        <v>2351</v>
      </c>
      <c r="F996" t="s">
        <v>1927</v>
      </c>
      <c r="G996" t="s">
        <v>1616</v>
      </c>
      <c r="H996" t="s">
        <v>1928</v>
      </c>
      <c r="I996" t="s">
        <v>1618</v>
      </c>
      <c r="J996" t="s">
        <v>1997</v>
      </c>
      <c r="K996">
        <v>1.95</v>
      </c>
      <c r="L996">
        <v>838.5</v>
      </c>
      <c r="M996" s="1">
        <v>3</v>
      </c>
      <c r="N996">
        <v>0</v>
      </c>
      <c r="O996">
        <v>0</v>
      </c>
      <c r="P996">
        <v>430</v>
      </c>
      <c r="Q996" s="1">
        <v>430</v>
      </c>
      <c r="R996">
        <v>17</v>
      </c>
      <c r="S996" s="2">
        <v>46224</v>
      </c>
      <c r="T996" s="2">
        <v>46254</v>
      </c>
      <c r="U996">
        <v>340</v>
      </c>
      <c r="V996">
        <v>30</v>
      </c>
      <c r="W996">
        <v>130</v>
      </c>
      <c r="X996">
        <v>10</v>
      </c>
      <c r="Y996">
        <v>10</v>
      </c>
      <c r="Z996" s="8">
        <v>340</v>
      </c>
      <c r="AA996">
        <v>127.5</v>
      </c>
      <c r="AB996">
        <v>7.8431372549019607E-2</v>
      </c>
      <c r="AC996">
        <v>2.6666666666666665</v>
      </c>
      <c r="AD996" s="1">
        <v>37</v>
      </c>
      <c r="AE996" s="2">
        <v>46285</v>
      </c>
      <c r="AF996" s="2">
        <v>46293</v>
      </c>
      <c r="AG996" s="2">
        <v>46300</v>
      </c>
      <c r="AH996">
        <v>30</v>
      </c>
      <c r="AI996" s="3">
        <v>9.1277890466531439E-2</v>
      </c>
      <c r="AJ996" s="1">
        <v>415</v>
      </c>
      <c r="AK996" s="2">
        <v>46678</v>
      </c>
      <c r="AL996" s="4">
        <v>30</v>
      </c>
      <c r="AM996" s="5">
        <v>15</v>
      </c>
      <c r="AN996" s="4">
        <v>37</v>
      </c>
      <c r="AO996">
        <v>31.03448275862069</v>
      </c>
      <c r="AP996" s="4">
        <v>1</v>
      </c>
      <c r="AQ996" t="s">
        <v>1619</v>
      </c>
      <c r="AR996" t="s">
        <v>1620</v>
      </c>
      <c r="AT996" s="16" t="str">
        <f>_xlfn.XLOOKUP(B996,'SWiSH Demand Forecast Sep-26'!D:D,'SWiSH Demand Forecast Sep-26'!G:G,"Not Exist")</f>
        <v>Not Exist</v>
      </c>
    </row>
    <row r="997" spans="1:46" hidden="1" x14ac:dyDescent="0.3">
      <c r="A997">
        <v>100100081</v>
      </c>
      <c r="B997" t="s">
        <v>1339</v>
      </c>
      <c r="C997" t="s">
        <v>136</v>
      </c>
      <c r="D997" t="s">
        <v>1613</v>
      </c>
      <c r="E997" t="s">
        <v>2834</v>
      </c>
      <c r="F997" t="s">
        <v>1941</v>
      </c>
      <c r="G997" t="s">
        <v>1616</v>
      </c>
      <c r="H997" t="s">
        <v>1877</v>
      </c>
      <c r="I997" t="s">
        <v>1618</v>
      </c>
      <c r="J997" t="s">
        <v>2067</v>
      </c>
      <c r="K997">
        <v>1.2</v>
      </c>
      <c r="L997">
        <v>150</v>
      </c>
      <c r="M997" s="1">
        <v>3</v>
      </c>
      <c r="N997">
        <v>0</v>
      </c>
      <c r="O997">
        <v>0</v>
      </c>
      <c r="P997">
        <v>125</v>
      </c>
      <c r="Q997" s="1">
        <v>125</v>
      </c>
      <c r="R997">
        <v>30</v>
      </c>
      <c r="S997" s="2">
        <v>46167</v>
      </c>
      <c r="T997" s="2">
        <v>46261</v>
      </c>
      <c r="U997">
        <v>100</v>
      </c>
      <c r="V997">
        <v>25</v>
      </c>
      <c r="W997">
        <v>100</v>
      </c>
      <c r="X997">
        <v>50</v>
      </c>
      <c r="Y997">
        <v>25</v>
      </c>
      <c r="Z997" s="8">
        <v>100</v>
      </c>
      <c r="AA997">
        <v>68.75</v>
      </c>
      <c r="AB997">
        <v>0.36363636363636365</v>
      </c>
      <c r="AC997">
        <v>1.4545454545454546</v>
      </c>
      <c r="AD997" s="1">
        <v>37</v>
      </c>
      <c r="AE997" s="2">
        <v>46285</v>
      </c>
      <c r="AF997" s="2">
        <v>46293</v>
      </c>
      <c r="AG997" s="2">
        <v>46300</v>
      </c>
      <c r="AH997">
        <v>50</v>
      </c>
      <c r="AI997" s="3">
        <v>0.51724137931034486</v>
      </c>
      <c r="AJ997" s="1">
        <v>72</v>
      </c>
      <c r="AK997" s="2">
        <v>46335</v>
      </c>
      <c r="AL997" s="4">
        <v>30</v>
      </c>
      <c r="AM997" s="5">
        <v>15</v>
      </c>
      <c r="AN997" s="4">
        <v>37</v>
      </c>
      <c r="AO997">
        <v>51.724137931034484</v>
      </c>
      <c r="AP997" s="4">
        <v>1</v>
      </c>
      <c r="AQ997" t="s">
        <v>1619</v>
      </c>
      <c r="AR997" t="s">
        <v>1620</v>
      </c>
      <c r="AT997" s="16">
        <f>_xlfn.XLOOKUP(B997,'SWiSH Demand Forecast Sep-26'!D:D,'SWiSH Demand Forecast Sep-26'!G:G,"Not Exist")</f>
        <v>24.865527</v>
      </c>
    </row>
    <row r="998" spans="1:46" x14ac:dyDescent="0.3">
      <c r="A998">
        <v>107400042</v>
      </c>
      <c r="B998" t="s">
        <v>2906</v>
      </c>
      <c r="C998" t="s">
        <v>10</v>
      </c>
      <c r="D998" t="s">
        <v>1613</v>
      </c>
      <c r="E998" t="s">
        <v>1655</v>
      </c>
      <c r="F998" t="s">
        <v>1631</v>
      </c>
      <c r="G998" t="s">
        <v>1624</v>
      </c>
      <c r="H998" t="s">
        <v>2016</v>
      </c>
      <c r="I998" t="s">
        <v>1634</v>
      </c>
      <c r="J998" t="s">
        <v>10</v>
      </c>
      <c r="K998">
        <v>2.7E-2</v>
      </c>
      <c r="L998">
        <v>67.5</v>
      </c>
      <c r="M998" s="1">
        <v>15</v>
      </c>
      <c r="N998">
        <v>0</v>
      </c>
      <c r="O998">
        <v>0</v>
      </c>
      <c r="P998">
        <v>2500</v>
      </c>
      <c r="Q998" s="1">
        <v>2500</v>
      </c>
      <c r="R998">
        <v>2.7E-2</v>
      </c>
      <c r="S998" s="2">
        <v>46160</v>
      </c>
      <c r="T998" s="2">
        <v>46254</v>
      </c>
      <c r="U998">
        <v>2000</v>
      </c>
      <c r="V998">
        <v>1000</v>
      </c>
      <c r="W998">
        <v>2000</v>
      </c>
      <c r="X998">
        <v>500</v>
      </c>
      <c r="Y998">
        <v>500</v>
      </c>
      <c r="Z998" s="8">
        <v>2000</v>
      </c>
      <c r="AA998">
        <v>1375</v>
      </c>
      <c r="AB998">
        <v>0.36363636363636365</v>
      </c>
      <c r="AC998">
        <v>1.4545454545454546</v>
      </c>
      <c r="AD998" s="1">
        <v>37</v>
      </c>
      <c r="AE998" s="2">
        <v>46285</v>
      </c>
      <c r="AF998" s="2">
        <v>46293</v>
      </c>
      <c r="AG998" s="2">
        <v>46300</v>
      </c>
      <c r="AH998">
        <v>1000</v>
      </c>
      <c r="AI998" s="3">
        <v>0.51724137931034475</v>
      </c>
      <c r="AJ998" s="1">
        <v>72</v>
      </c>
      <c r="AK998" s="2">
        <v>46335</v>
      </c>
      <c r="AL998" s="4">
        <v>30</v>
      </c>
      <c r="AM998" s="5">
        <v>15</v>
      </c>
      <c r="AN998" s="4">
        <v>37</v>
      </c>
      <c r="AO998">
        <v>1034.4827586206895</v>
      </c>
      <c r="AP998" s="4">
        <v>1</v>
      </c>
      <c r="AQ998" t="s">
        <v>1619</v>
      </c>
      <c r="AR998" t="s">
        <v>1620</v>
      </c>
      <c r="AT998" s="16" t="str">
        <f>_xlfn.XLOOKUP(B998,'SWiSH Demand Forecast Sep-26'!D:D,'SWiSH Demand Forecast Sep-26'!G:G,"Not Exist")</f>
        <v>Not Exist</v>
      </c>
    </row>
    <row r="999" spans="1:46" hidden="1" x14ac:dyDescent="0.3">
      <c r="A999">
        <v>100400168</v>
      </c>
      <c r="B999" t="s">
        <v>353</v>
      </c>
      <c r="C999" t="s">
        <v>10</v>
      </c>
      <c r="D999" t="s">
        <v>1613</v>
      </c>
      <c r="E999" t="s">
        <v>2147</v>
      </c>
      <c r="F999" t="s">
        <v>1664</v>
      </c>
      <c r="G999" t="s">
        <v>1624</v>
      </c>
      <c r="H999" t="s">
        <v>1810</v>
      </c>
      <c r="I999" t="s">
        <v>1634</v>
      </c>
      <c r="J999" t="s">
        <v>10</v>
      </c>
      <c r="K999">
        <v>6.5007499999999996E-3</v>
      </c>
      <c r="L999">
        <v>156.018</v>
      </c>
      <c r="M999" s="1">
        <v>30</v>
      </c>
      <c r="N999">
        <v>0</v>
      </c>
      <c r="O999">
        <v>0</v>
      </c>
      <c r="P999">
        <v>24000</v>
      </c>
      <c r="Q999" s="1">
        <v>24000</v>
      </c>
      <c r="R999">
        <v>8.5000000000000006E-3</v>
      </c>
      <c r="S999" s="2">
        <v>46254</v>
      </c>
      <c r="T999" s="2">
        <v>46261</v>
      </c>
      <c r="U999">
        <v>13000</v>
      </c>
      <c r="V999">
        <v>19000</v>
      </c>
      <c r="W999">
        <v>17000</v>
      </c>
      <c r="X999">
        <v>14000</v>
      </c>
      <c r="Y999">
        <v>13000</v>
      </c>
      <c r="Z999" s="8">
        <v>19000</v>
      </c>
      <c r="AA999">
        <v>15750</v>
      </c>
      <c r="AB999">
        <v>0.82539682539682535</v>
      </c>
      <c r="AC999">
        <v>1.2063492063492063</v>
      </c>
      <c r="AD999" s="1">
        <v>37</v>
      </c>
      <c r="AE999" s="2">
        <v>46285</v>
      </c>
      <c r="AF999" s="2">
        <v>46293</v>
      </c>
      <c r="AG999" s="2">
        <v>46300</v>
      </c>
      <c r="AH999">
        <v>13000</v>
      </c>
      <c r="AI999" s="3">
        <v>0.7078039927404719</v>
      </c>
      <c r="AJ999" s="1">
        <v>53</v>
      </c>
      <c r="AK999" s="2">
        <v>46316</v>
      </c>
      <c r="AL999" s="4">
        <v>30</v>
      </c>
      <c r="AM999" s="5">
        <v>15</v>
      </c>
      <c r="AN999" s="4">
        <v>37</v>
      </c>
      <c r="AO999">
        <v>13448.275862068966</v>
      </c>
      <c r="AP999" s="4">
        <v>1</v>
      </c>
      <c r="AQ999">
        <v>22000</v>
      </c>
      <c r="AR999" t="s">
        <v>2148</v>
      </c>
      <c r="AT999" s="16">
        <f>_xlfn.XLOOKUP(B999,'SWiSH Demand Forecast Sep-26'!D:D,'SWiSH Demand Forecast Sep-26'!G:G,"Not Exist")</f>
        <v>3548</v>
      </c>
    </row>
    <row r="1000" spans="1:46" hidden="1" x14ac:dyDescent="0.3">
      <c r="A1000">
        <v>106600089</v>
      </c>
      <c r="B1000" t="s">
        <v>71</v>
      </c>
      <c r="C1000" t="s">
        <v>10</v>
      </c>
      <c r="D1000" t="s">
        <v>1613</v>
      </c>
      <c r="E1000" t="s">
        <v>1655</v>
      </c>
      <c r="F1000" t="s">
        <v>1664</v>
      </c>
      <c r="G1000" t="s">
        <v>1624</v>
      </c>
      <c r="H1000" t="s">
        <v>1723</v>
      </c>
      <c r="I1000" t="s">
        <v>1634</v>
      </c>
      <c r="J1000" t="s">
        <v>10</v>
      </c>
      <c r="K1000">
        <v>9.0003600000000007E-3</v>
      </c>
      <c r="L1000">
        <v>216.00864000000001</v>
      </c>
      <c r="M1000" s="1">
        <v>15</v>
      </c>
      <c r="N1000">
        <v>0</v>
      </c>
      <c r="O1000">
        <v>0</v>
      </c>
      <c r="P1000">
        <v>24000</v>
      </c>
      <c r="Q1000" s="1">
        <v>24000</v>
      </c>
      <c r="R1000">
        <v>8.9999999999999993E-3</v>
      </c>
      <c r="S1000" s="2">
        <v>46246</v>
      </c>
      <c r="T1000" s="2">
        <v>46261</v>
      </c>
      <c r="U1000">
        <v>19000</v>
      </c>
      <c r="V1000">
        <v>10500</v>
      </c>
      <c r="W1000">
        <v>14000</v>
      </c>
      <c r="X1000">
        <v>9000</v>
      </c>
      <c r="Y1000">
        <v>9000</v>
      </c>
      <c r="Z1000" s="8">
        <v>19000</v>
      </c>
      <c r="AA1000">
        <v>13125</v>
      </c>
      <c r="AB1000">
        <v>0.68571428571428572</v>
      </c>
      <c r="AC1000">
        <v>1.4476190476190476</v>
      </c>
      <c r="AD1000" s="1">
        <v>37</v>
      </c>
      <c r="AE1000" s="2">
        <v>46285</v>
      </c>
      <c r="AF1000" s="2">
        <v>46293</v>
      </c>
      <c r="AG1000" s="2">
        <v>46300</v>
      </c>
      <c r="AH1000">
        <v>9000</v>
      </c>
      <c r="AI1000" s="3">
        <v>0.49001814882032668</v>
      </c>
      <c r="AJ1000" s="1">
        <v>77</v>
      </c>
      <c r="AK1000" s="2">
        <v>46340</v>
      </c>
      <c r="AL1000" s="4">
        <v>30</v>
      </c>
      <c r="AM1000" s="5">
        <v>15</v>
      </c>
      <c r="AN1000" s="4">
        <v>37</v>
      </c>
      <c r="AO1000">
        <v>9310.3448275862065</v>
      </c>
      <c r="AP1000" s="4">
        <v>1</v>
      </c>
      <c r="AQ1000">
        <v>20000</v>
      </c>
      <c r="AR1000" t="s">
        <v>2215</v>
      </c>
      <c r="AT1000" s="16">
        <f>_xlfn.XLOOKUP(B1000,'SWiSH Demand Forecast Sep-26'!D:D,'SWiSH Demand Forecast Sep-26'!G:G,"Not Exist")</f>
        <v>30238</v>
      </c>
    </row>
    <row r="1001" spans="1:46" hidden="1" x14ac:dyDescent="0.3">
      <c r="A1001">
        <v>105200076</v>
      </c>
      <c r="B1001" t="s">
        <v>604</v>
      </c>
      <c r="C1001" t="s">
        <v>10</v>
      </c>
      <c r="D1001" t="s">
        <v>1613</v>
      </c>
      <c r="E1001" t="s">
        <v>1701</v>
      </c>
      <c r="F1001" t="s">
        <v>1664</v>
      </c>
      <c r="G1001" t="s">
        <v>1624</v>
      </c>
      <c r="H1001" t="s">
        <v>1779</v>
      </c>
      <c r="I1001" t="s">
        <v>1634</v>
      </c>
      <c r="J1001" t="s">
        <v>10</v>
      </c>
      <c r="K1001">
        <v>1.852204E-2</v>
      </c>
      <c r="L1001">
        <v>744.58600799999999</v>
      </c>
      <c r="M1001" s="1">
        <v>30</v>
      </c>
      <c r="N1001">
        <v>0</v>
      </c>
      <c r="O1001">
        <v>600</v>
      </c>
      <c r="P1001">
        <v>40200</v>
      </c>
      <c r="Q1001" s="1">
        <v>39600</v>
      </c>
      <c r="R1001">
        <v>0.02</v>
      </c>
      <c r="S1001" s="2">
        <v>46225</v>
      </c>
      <c r="T1001" s="2">
        <v>46263</v>
      </c>
      <c r="U1001">
        <v>32100</v>
      </c>
      <c r="V1001">
        <v>30900</v>
      </c>
      <c r="W1001">
        <v>25500</v>
      </c>
      <c r="X1001">
        <v>27900</v>
      </c>
      <c r="Y1001">
        <v>25500</v>
      </c>
      <c r="Z1001" s="8">
        <v>32100</v>
      </c>
      <c r="AA1001">
        <v>29100</v>
      </c>
      <c r="AB1001">
        <v>0.87628865979381443</v>
      </c>
      <c r="AC1001">
        <v>1.1030927835051547</v>
      </c>
      <c r="AD1001" s="1">
        <v>37</v>
      </c>
      <c r="AE1001" s="2">
        <v>46285</v>
      </c>
      <c r="AF1001" s="2">
        <v>46293</v>
      </c>
      <c r="AG1001" s="2">
        <v>46300</v>
      </c>
      <c r="AH1001">
        <v>23700</v>
      </c>
      <c r="AI1001" s="3">
        <v>0.76377699000966803</v>
      </c>
      <c r="AJ1001" s="1">
        <v>48</v>
      </c>
      <c r="AK1001" s="2">
        <v>46311</v>
      </c>
      <c r="AL1001" s="4">
        <v>15</v>
      </c>
      <c r="AM1001" s="5">
        <v>15</v>
      </c>
      <c r="AN1001" s="4">
        <v>37</v>
      </c>
      <c r="AO1001">
        <v>12258.620689655172</v>
      </c>
      <c r="AP1001" s="4">
        <v>2</v>
      </c>
      <c r="AQ1001">
        <v>129900</v>
      </c>
      <c r="AR1001" t="s">
        <v>2032</v>
      </c>
      <c r="AT1001" s="16">
        <f>_xlfn.XLOOKUP(B1001,'SWiSH Demand Forecast Sep-26'!D:D,'SWiSH Demand Forecast Sep-26'!G:G,"Not Exist")</f>
        <v>996</v>
      </c>
    </row>
    <row r="1002" spans="1:46" x14ac:dyDescent="0.3">
      <c r="A1002">
        <v>106800221</v>
      </c>
      <c r="B1002" t="s">
        <v>2907</v>
      </c>
      <c r="C1002" t="s">
        <v>10</v>
      </c>
      <c r="D1002" t="s">
        <v>1613</v>
      </c>
      <c r="E1002" t="s">
        <v>1926</v>
      </c>
      <c r="F1002" t="s">
        <v>1664</v>
      </c>
      <c r="G1002" t="s">
        <v>1624</v>
      </c>
      <c r="H1002" t="s">
        <v>1665</v>
      </c>
      <c r="I1002" t="s">
        <v>1634</v>
      </c>
      <c r="J1002" t="s">
        <v>10</v>
      </c>
      <c r="K1002">
        <v>4.9930599999999997E-3</v>
      </c>
      <c r="L1002">
        <v>339.52807999999999</v>
      </c>
      <c r="M1002" s="1">
        <v>7</v>
      </c>
      <c r="N1002">
        <v>0</v>
      </c>
      <c r="O1002">
        <v>0</v>
      </c>
      <c r="P1002">
        <v>68000</v>
      </c>
      <c r="Q1002" s="1">
        <v>68000</v>
      </c>
      <c r="R1002">
        <v>5.0000000000000001E-3</v>
      </c>
      <c r="S1002" s="2">
        <v>46250</v>
      </c>
      <c r="T1002" s="2">
        <v>46263</v>
      </c>
      <c r="U1002">
        <v>51000</v>
      </c>
      <c r="V1002">
        <v>55000</v>
      </c>
      <c r="W1002">
        <v>49000</v>
      </c>
      <c r="X1002">
        <v>45000</v>
      </c>
      <c r="Y1002">
        <v>45000</v>
      </c>
      <c r="Z1002" s="8">
        <v>55000</v>
      </c>
      <c r="AA1002">
        <v>50000</v>
      </c>
      <c r="AB1002">
        <v>0.9</v>
      </c>
      <c r="AC1002">
        <v>1.1000000000000001</v>
      </c>
      <c r="AD1002" s="1">
        <v>37</v>
      </c>
      <c r="AE1002" s="2">
        <v>46285</v>
      </c>
      <c r="AF1002" s="2">
        <v>46293</v>
      </c>
      <c r="AG1002" s="2">
        <v>46300</v>
      </c>
      <c r="AH1002">
        <v>50000</v>
      </c>
      <c r="AI1002" s="3">
        <v>0.94043887147335425</v>
      </c>
      <c r="AJ1002" s="1">
        <v>39</v>
      </c>
      <c r="AK1002" s="2">
        <v>46302</v>
      </c>
      <c r="AL1002" s="4">
        <v>30</v>
      </c>
      <c r="AM1002" s="5">
        <v>15</v>
      </c>
      <c r="AN1002" s="4">
        <v>37</v>
      </c>
      <c r="AO1002">
        <v>51724.137931034486</v>
      </c>
      <c r="AP1002" s="4">
        <v>1</v>
      </c>
      <c r="AQ1002">
        <v>110000</v>
      </c>
      <c r="AR1002" t="s">
        <v>1829</v>
      </c>
      <c r="AT1002" s="16" t="str">
        <f>_xlfn.XLOOKUP(B1002,'SWiSH Demand Forecast Sep-26'!D:D,'SWiSH Demand Forecast Sep-26'!G:G,"Not Exist")</f>
        <v>Not Exist</v>
      </c>
    </row>
    <row r="1003" spans="1:46" hidden="1" x14ac:dyDescent="0.3">
      <c r="A1003">
        <v>106800318</v>
      </c>
      <c r="B1003" t="s">
        <v>548</v>
      </c>
      <c r="C1003" t="s">
        <v>10</v>
      </c>
      <c r="D1003" t="s">
        <v>1613</v>
      </c>
      <c r="E1003" t="s">
        <v>1701</v>
      </c>
      <c r="F1003" t="s">
        <v>1664</v>
      </c>
      <c r="G1003" t="s">
        <v>1624</v>
      </c>
      <c r="H1003" t="s">
        <v>1665</v>
      </c>
      <c r="I1003" t="s">
        <v>1634</v>
      </c>
      <c r="J1003" t="s">
        <v>10</v>
      </c>
      <c r="K1003">
        <v>4.7606799999999998E-3</v>
      </c>
      <c r="L1003">
        <v>23.8034</v>
      </c>
      <c r="M1003" s="1">
        <v>7</v>
      </c>
      <c r="N1003">
        <v>0</v>
      </c>
      <c r="O1003">
        <v>0</v>
      </c>
      <c r="P1003">
        <v>5000</v>
      </c>
      <c r="Q1003" s="1">
        <v>5000</v>
      </c>
      <c r="R1003">
        <v>5.0000000000000001E-3</v>
      </c>
      <c r="S1003" s="2">
        <v>46247</v>
      </c>
      <c r="T1003" s="2">
        <v>46261</v>
      </c>
      <c r="U1003">
        <v>1000</v>
      </c>
      <c r="V1003">
        <v>1000</v>
      </c>
      <c r="W1003">
        <v>2000</v>
      </c>
      <c r="X1003">
        <v>4000</v>
      </c>
      <c r="Y1003">
        <v>1000</v>
      </c>
      <c r="Z1003" s="8">
        <v>4000</v>
      </c>
      <c r="AA1003">
        <v>2000</v>
      </c>
      <c r="AB1003">
        <v>0.5</v>
      </c>
      <c r="AC1003">
        <v>2</v>
      </c>
      <c r="AD1003" s="1">
        <v>37</v>
      </c>
      <c r="AE1003" s="2">
        <v>46285</v>
      </c>
      <c r="AF1003" s="2">
        <v>46293</v>
      </c>
      <c r="AG1003" s="2">
        <v>46300</v>
      </c>
      <c r="AH1003">
        <v>2000</v>
      </c>
      <c r="AI1003" s="3">
        <v>0.51724137931034475</v>
      </c>
      <c r="AJ1003" s="1">
        <v>72</v>
      </c>
      <c r="AK1003" s="2">
        <v>46335</v>
      </c>
      <c r="AL1003" s="4">
        <v>30</v>
      </c>
      <c r="AM1003" s="5">
        <v>15</v>
      </c>
      <c r="AN1003" s="4">
        <v>37</v>
      </c>
      <c r="AO1003">
        <v>2068.9655172413791</v>
      </c>
      <c r="AP1003" s="4">
        <v>1</v>
      </c>
      <c r="AQ1003">
        <v>65000</v>
      </c>
      <c r="AR1003" t="s">
        <v>1829</v>
      </c>
      <c r="AT1003" s="16">
        <f>_xlfn.XLOOKUP(B1003,'SWiSH Demand Forecast Sep-26'!D:D,'SWiSH Demand Forecast Sep-26'!G:G,"Not Exist")</f>
        <v>1259</v>
      </c>
    </row>
    <row r="1004" spans="1:46" hidden="1" x14ac:dyDescent="0.3">
      <c r="A1004">
        <v>106300019</v>
      </c>
      <c r="B1004" t="s">
        <v>1482</v>
      </c>
      <c r="C1004" t="s">
        <v>136</v>
      </c>
      <c r="D1004" t="s">
        <v>1613</v>
      </c>
      <c r="E1004" t="s">
        <v>1832</v>
      </c>
      <c r="F1004" t="s">
        <v>1615</v>
      </c>
      <c r="G1004" t="s">
        <v>1616</v>
      </c>
      <c r="H1004" t="s">
        <v>1860</v>
      </c>
      <c r="I1004" t="s">
        <v>1618</v>
      </c>
      <c r="J1004" t="s">
        <v>2461</v>
      </c>
      <c r="K1004">
        <v>3</v>
      </c>
      <c r="L1004">
        <v>300</v>
      </c>
      <c r="M1004" s="1">
        <v>3</v>
      </c>
      <c r="N1004">
        <v>0</v>
      </c>
      <c r="O1004">
        <v>0</v>
      </c>
      <c r="P1004">
        <v>100</v>
      </c>
      <c r="Q1004" s="1">
        <v>100</v>
      </c>
      <c r="R1004">
        <v>60</v>
      </c>
      <c r="S1004" s="2">
        <v>46135</v>
      </c>
      <c r="T1004" s="2">
        <v>46263</v>
      </c>
      <c r="U1004">
        <v>20</v>
      </c>
      <c r="V1004">
        <v>80</v>
      </c>
      <c r="W1004">
        <v>60</v>
      </c>
      <c r="X1004">
        <v>60</v>
      </c>
      <c r="Y1004">
        <v>20</v>
      </c>
      <c r="Z1004" s="8">
        <v>80</v>
      </c>
      <c r="AA1004">
        <v>55</v>
      </c>
      <c r="AB1004">
        <v>0.36363636363636365</v>
      </c>
      <c r="AC1004">
        <v>1.4545454545454546</v>
      </c>
      <c r="AD1004" s="1">
        <v>37</v>
      </c>
      <c r="AE1004" s="2">
        <v>46285</v>
      </c>
      <c r="AF1004" s="2">
        <v>46293</v>
      </c>
      <c r="AG1004" s="2">
        <v>46300</v>
      </c>
      <c r="AH1004">
        <v>80</v>
      </c>
      <c r="AI1004" s="3">
        <v>1.0344827586206897</v>
      </c>
      <c r="AJ1004" s="1">
        <v>36</v>
      </c>
      <c r="AK1004" s="2">
        <v>46299</v>
      </c>
      <c r="AL1004" s="4">
        <v>30</v>
      </c>
      <c r="AM1004" s="5">
        <v>15</v>
      </c>
      <c r="AN1004" s="4">
        <v>36</v>
      </c>
      <c r="AO1004">
        <v>82.758620689655174</v>
      </c>
      <c r="AP1004" s="4">
        <v>1</v>
      </c>
      <c r="AQ1004" t="s">
        <v>1619</v>
      </c>
      <c r="AR1004" t="s">
        <v>1620</v>
      </c>
      <c r="AT1004" s="16">
        <f>_xlfn.XLOOKUP(B1004,'SWiSH Demand Forecast Sep-26'!D:D,'SWiSH Demand Forecast Sep-26'!G:G,"Not Exist")</f>
        <v>4.5715322394318001</v>
      </c>
    </row>
    <row r="1005" spans="1:46" x14ac:dyDescent="0.3">
      <c r="A1005">
        <v>101200052</v>
      </c>
      <c r="B1005" t="s">
        <v>2908</v>
      </c>
      <c r="C1005" t="s">
        <v>136</v>
      </c>
      <c r="D1005" t="s">
        <v>1613</v>
      </c>
      <c r="E1005" t="s">
        <v>2177</v>
      </c>
      <c r="F1005" t="s">
        <v>1833</v>
      </c>
      <c r="G1005" t="s">
        <v>1616</v>
      </c>
      <c r="H1005" t="s">
        <v>1625</v>
      </c>
      <c r="I1005" t="s">
        <v>1626</v>
      </c>
      <c r="J1005" t="s">
        <v>136</v>
      </c>
      <c r="K1005">
        <v>3.0326956799999998</v>
      </c>
      <c r="L1005">
        <v>738.15206312063992</v>
      </c>
      <c r="M1005" s="1">
        <v>3</v>
      </c>
      <c r="N1005">
        <v>0</v>
      </c>
      <c r="O1005">
        <v>0</v>
      </c>
      <c r="P1005">
        <v>243.398</v>
      </c>
      <c r="Q1005" s="1">
        <v>243.398</v>
      </c>
      <c r="R1005">
        <v>29.472000000000001</v>
      </c>
      <c r="S1005" s="2">
        <v>46090</v>
      </c>
      <c r="T1005" s="2">
        <v>46260</v>
      </c>
      <c r="U1005">
        <v>165.12</v>
      </c>
      <c r="V1005">
        <v>145.72</v>
      </c>
      <c r="W1005">
        <v>95.34</v>
      </c>
      <c r="X1005">
        <v>188.06</v>
      </c>
      <c r="Y1005">
        <v>95.34</v>
      </c>
      <c r="Z1005" s="8">
        <v>188.06</v>
      </c>
      <c r="AA1005">
        <v>148.56</v>
      </c>
      <c r="AB1005">
        <v>0.64176090468497582</v>
      </c>
      <c r="AC1005">
        <v>1.2658858373721056</v>
      </c>
      <c r="AD1005" s="1">
        <v>38</v>
      </c>
      <c r="AE1005" s="2">
        <v>46286</v>
      </c>
      <c r="AF1005" s="2">
        <v>46294</v>
      </c>
      <c r="AG1005" s="2">
        <v>46301</v>
      </c>
      <c r="AH1005">
        <v>81.72</v>
      </c>
      <c r="AI1005" s="3">
        <v>0.44952638006212248</v>
      </c>
      <c r="AJ1005" s="1">
        <v>86</v>
      </c>
      <c r="AK1005" s="2">
        <v>46349</v>
      </c>
      <c r="AL1005" s="4">
        <v>15</v>
      </c>
      <c r="AM1005" s="5">
        <v>15</v>
      </c>
      <c r="AN1005" s="4">
        <v>38</v>
      </c>
      <c r="AO1005">
        <v>42.268965517241377</v>
      </c>
      <c r="AP1005" s="4">
        <v>2</v>
      </c>
      <c r="AQ1005" t="s">
        <v>1619</v>
      </c>
      <c r="AR1005" t="s">
        <v>1620</v>
      </c>
      <c r="AT1005" s="16" t="str">
        <f>_xlfn.XLOOKUP(B1005,'SWiSH Demand Forecast Sep-26'!D:D,'SWiSH Demand Forecast Sep-26'!G:G,"Not Exist")</f>
        <v>Not Exist</v>
      </c>
    </row>
    <row r="1006" spans="1:46" hidden="1" x14ac:dyDescent="0.3">
      <c r="A1006">
        <v>103100006</v>
      </c>
      <c r="B1006" t="s">
        <v>930</v>
      </c>
      <c r="C1006" t="s">
        <v>10</v>
      </c>
      <c r="D1006" t="s">
        <v>1613</v>
      </c>
      <c r="E1006" t="s">
        <v>2587</v>
      </c>
      <c r="F1006" t="s">
        <v>1752</v>
      </c>
      <c r="G1006" t="s">
        <v>1616</v>
      </c>
      <c r="H1006" t="s">
        <v>1869</v>
      </c>
      <c r="I1006" t="s">
        <v>1754</v>
      </c>
      <c r="J1006" t="s">
        <v>10</v>
      </c>
      <c r="K1006">
        <v>0.12896825000000001</v>
      </c>
      <c r="L1006">
        <v>43.333331999999999</v>
      </c>
      <c r="M1006" s="1">
        <v>3</v>
      </c>
      <c r="N1006">
        <v>0</v>
      </c>
      <c r="O1006">
        <v>0</v>
      </c>
      <c r="P1006">
        <v>336</v>
      </c>
      <c r="Q1006" s="1">
        <v>336</v>
      </c>
      <c r="R1006">
        <v>11</v>
      </c>
      <c r="S1006" s="2">
        <v>46225</v>
      </c>
      <c r="T1006" s="2">
        <v>46247</v>
      </c>
      <c r="U1006">
        <v>264</v>
      </c>
      <c r="V1006">
        <v>168</v>
      </c>
      <c r="W1006">
        <v>168</v>
      </c>
      <c r="X1006">
        <v>168</v>
      </c>
      <c r="Y1006">
        <v>168</v>
      </c>
      <c r="Z1006" s="8">
        <v>264</v>
      </c>
      <c r="AA1006">
        <v>192</v>
      </c>
      <c r="AB1006">
        <v>0.875</v>
      </c>
      <c r="AC1006">
        <v>1.375</v>
      </c>
      <c r="AD1006" s="1">
        <v>38</v>
      </c>
      <c r="AE1006" s="2">
        <v>46286</v>
      </c>
      <c r="AF1006" s="2">
        <v>46294</v>
      </c>
      <c r="AG1006" s="2">
        <v>46301</v>
      </c>
      <c r="AH1006">
        <v>84</v>
      </c>
      <c r="AI1006" s="3">
        <v>0.32915360501567398</v>
      </c>
      <c r="AJ1006" s="1">
        <v>116</v>
      </c>
      <c r="AK1006" s="2">
        <v>46379</v>
      </c>
      <c r="AL1006" s="4">
        <v>30</v>
      </c>
      <c r="AM1006" s="5">
        <v>15</v>
      </c>
      <c r="AN1006" s="4">
        <v>38</v>
      </c>
      <c r="AO1006">
        <v>86.896551724137936</v>
      </c>
      <c r="AP1006" s="4">
        <v>1</v>
      </c>
      <c r="AQ1006" t="s">
        <v>1619</v>
      </c>
      <c r="AR1006" t="s">
        <v>1620</v>
      </c>
      <c r="AT1006" s="16">
        <f>_xlfn.XLOOKUP(B1006,'SWiSH Demand Forecast Sep-26'!D:D,'SWiSH Demand Forecast Sep-26'!G:G,"Not Exist")</f>
        <v>214</v>
      </c>
    </row>
    <row r="1007" spans="1:46" hidden="1" x14ac:dyDescent="0.3">
      <c r="A1007">
        <v>106600111</v>
      </c>
      <c r="B1007" t="s">
        <v>212</v>
      </c>
      <c r="C1007" t="s">
        <v>10</v>
      </c>
      <c r="D1007" t="s">
        <v>1613</v>
      </c>
      <c r="E1007" t="s">
        <v>1638</v>
      </c>
      <c r="F1007" t="s">
        <v>1664</v>
      </c>
      <c r="G1007" t="s">
        <v>1624</v>
      </c>
      <c r="H1007" t="s">
        <v>1723</v>
      </c>
      <c r="I1007" t="s">
        <v>1634</v>
      </c>
      <c r="J1007" t="s">
        <v>10</v>
      </c>
      <c r="K1007">
        <v>0.01</v>
      </c>
      <c r="L1007">
        <v>130</v>
      </c>
      <c r="M1007" s="1">
        <v>15</v>
      </c>
      <c r="N1007">
        <v>0</v>
      </c>
      <c r="O1007">
        <v>0</v>
      </c>
      <c r="P1007">
        <v>13000</v>
      </c>
      <c r="Q1007" s="1">
        <v>13000</v>
      </c>
      <c r="R1007">
        <v>0.01</v>
      </c>
      <c r="S1007" s="2">
        <v>46217</v>
      </c>
      <c r="T1007" s="2">
        <v>46262</v>
      </c>
      <c r="U1007">
        <v>8300</v>
      </c>
      <c r="V1007">
        <v>9150</v>
      </c>
      <c r="W1007">
        <v>0</v>
      </c>
      <c r="X1007">
        <v>10250</v>
      </c>
      <c r="Y1007">
        <v>0</v>
      </c>
      <c r="Z1007" s="8">
        <v>10250</v>
      </c>
      <c r="AA1007">
        <v>6925</v>
      </c>
      <c r="AB1007">
        <v>0</v>
      </c>
      <c r="AC1007">
        <v>1.4801444043321299</v>
      </c>
      <c r="AD1007" s="1">
        <v>38</v>
      </c>
      <c r="AE1007" s="2">
        <v>46286</v>
      </c>
      <c r="AF1007" s="2">
        <v>46294</v>
      </c>
      <c r="AG1007" s="2">
        <v>46301</v>
      </c>
      <c r="AH1007">
        <v>8400</v>
      </c>
      <c r="AI1007" s="3">
        <v>0.84777123633305307</v>
      </c>
      <c r="AJ1007" s="1">
        <v>44</v>
      </c>
      <c r="AK1007" s="2">
        <v>46307</v>
      </c>
      <c r="AL1007" s="4">
        <v>30</v>
      </c>
      <c r="AM1007" s="5">
        <v>15</v>
      </c>
      <c r="AN1007" s="4">
        <v>38</v>
      </c>
      <c r="AO1007">
        <v>8689.6551724137935</v>
      </c>
      <c r="AP1007" s="4">
        <v>1</v>
      </c>
      <c r="AQ1007">
        <v>70000</v>
      </c>
      <c r="AR1007" t="s">
        <v>2076</v>
      </c>
      <c r="AT1007" s="16">
        <f>_xlfn.XLOOKUP(B1007,'SWiSH Demand Forecast Sep-26'!D:D,'SWiSH Demand Forecast Sep-26'!G:G,"Not Exist")</f>
        <v>7986</v>
      </c>
    </row>
    <row r="1008" spans="1:46" x14ac:dyDescent="0.3">
      <c r="A1008">
        <v>104900016</v>
      </c>
      <c r="B1008" t="s">
        <v>2909</v>
      </c>
      <c r="C1008" t="s">
        <v>10</v>
      </c>
      <c r="D1008" t="s">
        <v>1613</v>
      </c>
      <c r="E1008" t="s">
        <v>1926</v>
      </c>
      <c r="F1008" t="s">
        <v>1664</v>
      </c>
      <c r="G1008" t="s">
        <v>1624</v>
      </c>
      <c r="H1008" t="s">
        <v>1759</v>
      </c>
      <c r="I1008" t="s">
        <v>1634</v>
      </c>
      <c r="J1008" t="s">
        <v>10</v>
      </c>
      <c r="K1008">
        <v>2.15E-3</v>
      </c>
      <c r="L1008">
        <v>154.80000000000001</v>
      </c>
      <c r="M1008" s="1">
        <v>15</v>
      </c>
      <c r="N1008">
        <v>0</v>
      </c>
      <c r="O1008">
        <v>0</v>
      </c>
      <c r="P1008">
        <v>72000</v>
      </c>
      <c r="Q1008" s="1">
        <v>72000</v>
      </c>
      <c r="R1008">
        <v>7.5</v>
      </c>
      <c r="S1008" s="2">
        <v>46214</v>
      </c>
      <c r="T1008" s="2">
        <v>46263</v>
      </c>
      <c r="U1008">
        <v>52000</v>
      </c>
      <c r="V1008">
        <v>56000</v>
      </c>
      <c r="W1008">
        <v>48000</v>
      </c>
      <c r="X1008">
        <v>48000</v>
      </c>
      <c r="Y1008">
        <v>48000</v>
      </c>
      <c r="Z1008" s="8">
        <v>56000</v>
      </c>
      <c r="AA1008">
        <v>51000</v>
      </c>
      <c r="AB1008">
        <v>0.94117647058823528</v>
      </c>
      <c r="AC1008">
        <v>1.0980392156862746</v>
      </c>
      <c r="AD1008" s="1">
        <v>38</v>
      </c>
      <c r="AE1008" s="2">
        <v>46286</v>
      </c>
      <c r="AF1008" s="2">
        <v>46294</v>
      </c>
      <c r="AG1008" s="2">
        <v>46301</v>
      </c>
      <c r="AH1008">
        <v>44000</v>
      </c>
      <c r="AI1008" s="3">
        <v>0.81280788177339902</v>
      </c>
      <c r="AJ1008" s="1">
        <v>47</v>
      </c>
      <c r="AK1008" s="2">
        <v>46310</v>
      </c>
      <c r="AL1008" s="4">
        <v>30</v>
      </c>
      <c r="AM1008" s="5">
        <v>15</v>
      </c>
      <c r="AN1008" s="4">
        <v>38</v>
      </c>
      <c r="AO1008">
        <v>45517.241379310348</v>
      </c>
      <c r="AP1008" s="4">
        <v>1</v>
      </c>
      <c r="AQ1008">
        <v>35</v>
      </c>
      <c r="AR1008" t="s">
        <v>2028</v>
      </c>
      <c r="AT1008" s="16" t="str">
        <f>_xlfn.XLOOKUP(B1008,'SWiSH Demand Forecast Sep-26'!D:D,'SWiSH Demand Forecast Sep-26'!G:G,"Not Exist")</f>
        <v>Not Exist</v>
      </c>
    </row>
    <row r="1009" spans="1:46" x14ac:dyDescent="0.3">
      <c r="A1009">
        <v>105200069</v>
      </c>
      <c r="B1009" t="s">
        <v>2910</v>
      </c>
      <c r="C1009" t="s">
        <v>10</v>
      </c>
      <c r="D1009" t="s">
        <v>1613</v>
      </c>
      <c r="E1009" t="s">
        <v>2911</v>
      </c>
      <c r="F1009" t="s">
        <v>1664</v>
      </c>
      <c r="G1009" t="s">
        <v>1624</v>
      </c>
      <c r="H1009" t="s">
        <v>1779</v>
      </c>
      <c r="I1009" t="s">
        <v>1634</v>
      </c>
      <c r="J1009" t="s">
        <v>10</v>
      </c>
      <c r="K1009">
        <v>2.7E-2</v>
      </c>
      <c r="L1009">
        <v>2215.35</v>
      </c>
      <c r="M1009" s="1">
        <v>30</v>
      </c>
      <c r="N1009">
        <v>0</v>
      </c>
      <c r="O1009">
        <v>700</v>
      </c>
      <c r="P1009">
        <v>82050</v>
      </c>
      <c r="Q1009" s="1">
        <v>81350</v>
      </c>
      <c r="R1009">
        <v>2.7E-2</v>
      </c>
      <c r="S1009" s="2">
        <v>46250</v>
      </c>
      <c r="T1009" s="2">
        <v>46263</v>
      </c>
      <c r="U1009">
        <v>63600</v>
      </c>
      <c r="V1009">
        <v>59700</v>
      </c>
      <c r="W1009">
        <v>59400</v>
      </c>
      <c r="X1009">
        <v>56350</v>
      </c>
      <c r="Y1009">
        <v>56350</v>
      </c>
      <c r="Z1009" s="8">
        <v>63600</v>
      </c>
      <c r="AA1009">
        <v>59762.5</v>
      </c>
      <c r="AB1009">
        <v>0.94289897510980969</v>
      </c>
      <c r="AC1009">
        <v>1.0642125078435474</v>
      </c>
      <c r="AD1009" s="1">
        <v>38</v>
      </c>
      <c r="AE1009" s="2">
        <v>46286</v>
      </c>
      <c r="AF1009" s="2">
        <v>46294</v>
      </c>
      <c r="AG1009" s="2">
        <v>46301</v>
      </c>
      <c r="AH1009">
        <v>48500</v>
      </c>
      <c r="AI1009" s="3">
        <v>0.78887443070917374</v>
      </c>
      <c r="AJ1009" s="1">
        <v>48</v>
      </c>
      <c r="AK1009" s="2">
        <v>46311</v>
      </c>
      <c r="AL1009" s="4">
        <v>15</v>
      </c>
      <c r="AM1009" s="5">
        <v>15</v>
      </c>
      <c r="AN1009" s="4">
        <v>38</v>
      </c>
      <c r="AO1009">
        <v>25086.206896551725</v>
      </c>
      <c r="AP1009" s="4">
        <v>2</v>
      </c>
      <c r="AQ1009">
        <v>115881</v>
      </c>
      <c r="AR1009" t="s">
        <v>2912</v>
      </c>
      <c r="AT1009" s="16" t="str">
        <f>_xlfn.XLOOKUP(B1009,'SWiSH Demand Forecast Sep-26'!D:D,'SWiSH Demand Forecast Sep-26'!G:G,"Not Exist")</f>
        <v>Not Exist</v>
      </c>
    </row>
    <row r="1010" spans="1:46" hidden="1" x14ac:dyDescent="0.3">
      <c r="A1010">
        <v>101600090</v>
      </c>
      <c r="B1010" t="s">
        <v>122</v>
      </c>
      <c r="C1010" t="s">
        <v>10</v>
      </c>
      <c r="D1010" t="s">
        <v>1613</v>
      </c>
      <c r="E1010" t="s">
        <v>1796</v>
      </c>
      <c r="F1010" t="s">
        <v>1664</v>
      </c>
      <c r="G1010" t="s">
        <v>1624</v>
      </c>
      <c r="H1010" t="s">
        <v>1768</v>
      </c>
      <c r="I1010" t="s">
        <v>1634</v>
      </c>
      <c r="J1010" t="s">
        <v>10</v>
      </c>
      <c r="K1010">
        <v>0.01</v>
      </c>
      <c r="L1010">
        <v>184</v>
      </c>
      <c r="M1010" s="1">
        <v>15</v>
      </c>
      <c r="N1010">
        <v>0</v>
      </c>
      <c r="O1010">
        <v>0</v>
      </c>
      <c r="P1010">
        <v>18400</v>
      </c>
      <c r="Q1010" s="1">
        <v>18400</v>
      </c>
      <c r="R1010">
        <v>0.01</v>
      </c>
      <c r="S1010" s="2">
        <v>46244</v>
      </c>
      <c r="T1010" s="2">
        <v>46263</v>
      </c>
      <c r="U1010">
        <v>8000</v>
      </c>
      <c r="V1010">
        <v>14400</v>
      </c>
      <c r="W1010">
        <v>11600</v>
      </c>
      <c r="X1010">
        <v>10400</v>
      </c>
      <c r="Y1010">
        <v>8000</v>
      </c>
      <c r="Z1010" s="8">
        <v>14400</v>
      </c>
      <c r="AA1010">
        <v>11100</v>
      </c>
      <c r="AB1010">
        <v>0.72072072072072069</v>
      </c>
      <c r="AC1010">
        <v>1.2972972972972974</v>
      </c>
      <c r="AD1010" s="1">
        <v>38</v>
      </c>
      <c r="AE1010" s="2">
        <v>46286</v>
      </c>
      <c r="AF1010" s="2">
        <v>46294</v>
      </c>
      <c r="AG1010" s="2">
        <v>46301</v>
      </c>
      <c r="AH1010">
        <v>21200</v>
      </c>
      <c r="AI1010" s="3">
        <v>1.5229885057471264</v>
      </c>
      <c r="AJ1010" s="1">
        <v>25</v>
      </c>
      <c r="AK1010" s="2">
        <v>46288</v>
      </c>
      <c r="AL1010" s="4">
        <v>30</v>
      </c>
      <c r="AM1010" s="5">
        <v>15</v>
      </c>
      <c r="AN1010" s="4">
        <v>25</v>
      </c>
      <c r="AO1010">
        <v>21931.03448275862</v>
      </c>
      <c r="AP1010" s="4">
        <v>1</v>
      </c>
      <c r="AQ1010">
        <v>15000</v>
      </c>
      <c r="AR1010" t="s">
        <v>2076</v>
      </c>
      <c r="AS1010" t="s">
        <v>1666</v>
      </c>
      <c r="AT1010" s="16">
        <f>_xlfn.XLOOKUP(B1010,'SWiSH Demand Forecast Sep-26'!D:D,'SWiSH Demand Forecast Sep-26'!G:G,"Not Exist")</f>
        <v>15537</v>
      </c>
    </row>
    <row r="1011" spans="1:46" hidden="1" x14ac:dyDescent="0.3">
      <c r="A1011">
        <v>106800349</v>
      </c>
      <c r="B1011" t="s">
        <v>273</v>
      </c>
      <c r="C1011" t="s">
        <v>10</v>
      </c>
      <c r="D1011" t="s">
        <v>1613</v>
      </c>
      <c r="E1011" t="s">
        <v>1638</v>
      </c>
      <c r="F1011" t="s">
        <v>1664</v>
      </c>
      <c r="G1011" t="s">
        <v>1624</v>
      </c>
      <c r="H1011" t="s">
        <v>1665</v>
      </c>
      <c r="I1011" t="s">
        <v>1634</v>
      </c>
      <c r="J1011" t="s">
        <v>10</v>
      </c>
      <c r="K1011">
        <v>3.0000000000000001E-3</v>
      </c>
      <c r="L1011">
        <v>163.5</v>
      </c>
      <c r="M1011" s="1">
        <v>7</v>
      </c>
      <c r="N1011">
        <v>0</v>
      </c>
      <c r="O1011">
        <v>0</v>
      </c>
      <c r="P1011">
        <v>54500</v>
      </c>
      <c r="Q1011" s="1">
        <v>54500</v>
      </c>
      <c r="R1011">
        <v>3.0000000000000001E-3</v>
      </c>
      <c r="S1011" s="2">
        <v>46257</v>
      </c>
      <c r="T1011" s="2">
        <v>46256</v>
      </c>
      <c r="U1011">
        <v>0</v>
      </c>
      <c r="V1011">
        <v>41752.5</v>
      </c>
      <c r="W1011">
        <v>13500</v>
      </c>
      <c r="X1011">
        <v>2500</v>
      </c>
      <c r="Y1011">
        <v>0</v>
      </c>
      <c r="Z1011" s="8">
        <v>41752.5</v>
      </c>
      <c r="AA1011">
        <v>14438.125</v>
      </c>
      <c r="AB1011">
        <v>0</v>
      </c>
      <c r="AC1011">
        <v>2.8918228648110471</v>
      </c>
      <c r="AD1011" s="1">
        <v>39</v>
      </c>
      <c r="AE1011" s="2">
        <v>46287</v>
      </c>
      <c r="AF1011" s="2">
        <v>46295</v>
      </c>
      <c r="AG1011" s="2">
        <v>46302</v>
      </c>
      <c r="AH1011">
        <v>32500</v>
      </c>
      <c r="AI1011" s="3">
        <v>0.80523776193455276</v>
      </c>
      <c r="AJ1011" s="1">
        <v>48</v>
      </c>
      <c r="AK1011" s="2">
        <v>46311</v>
      </c>
      <c r="AL1011" s="4">
        <v>30</v>
      </c>
      <c r="AM1011" s="5">
        <v>15</v>
      </c>
      <c r="AN1011" s="4">
        <v>39</v>
      </c>
      <c r="AO1011">
        <v>33620.689655172413</v>
      </c>
      <c r="AP1011" s="4">
        <v>1</v>
      </c>
      <c r="AQ1011" t="s">
        <v>1619</v>
      </c>
      <c r="AR1011" t="s">
        <v>2215</v>
      </c>
      <c r="AS1011" t="s">
        <v>1666</v>
      </c>
      <c r="AT1011" s="16">
        <f>_xlfn.XLOOKUP(B1011,'SWiSH Demand Forecast Sep-26'!D:D,'SWiSH Demand Forecast Sep-26'!G:G,"Not Exist")</f>
        <v>5741</v>
      </c>
    </row>
    <row r="1012" spans="1:46" hidden="1" x14ac:dyDescent="0.3">
      <c r="A1012">
        <v>101800021</v>
      </c>
      <c r="B1012" t="s">
        <v>93</v>
      </c>
      <c r="C1012" t="s">
        <v>10</v>
      </c>
      <c r="D1012" t="s">
        <v>1613</v>
      </c>
      <c r="E1012" t="s">
        <v>1663</v>
      </c>
      <c r="F1012" t="s">
        <v>1664</v>
      </c>
      <c r="G1012" t="s">
        <v>1624</v>
      </c>
      <c r="H1012" t="s">
        <v>2144</v>
      </c>
      <c r="I1012" t="s">
        <v>1634</v>
      </c>
      <c r="J1012" t="s">
        <v>2287</v>
      </c>
      <c r="K1012">
        <v>3.6880839999999998E-2</v>
      </c>
      <c r="L1012">
        <v>1069.5443599999999</v>
      </c>
      <c r="M1012" s="1">
        <v>15</v>
      </c>
      <c r="N1012">
        <v>0</v>
      </c>
      <c r="O1012">
        <v>0</v>
      </c>
      <c r="P1012">
        <v>29000</v>
      </c>
      <c r="Q1012" s="1">
        <v>29000</v>
      </c>
      <c r="R1012">
        <v>9.25</v>
      </c>
      <c r="S1012" s="2">
        <v>46219</v>
      </c>
      <c r="T1012" s="2">
        <v>46263</v>
      </c>
      <c r="U1012">
        <v>17250</v>
      </c>
      <c r="V1012">
        <v>22250</v>
      </c>
      <c r="W1012">
        <v>19250</v>
      </c>
      <c r="X1012">
        <v>21250</v>
      </c>
      <c r="Y1012">
        <v>17250</v>
      </c>
      <c r="Z1012" s="8">
        <v>22250</v>
      </c>
      <c r="AA1012">
        <v>20000</v>
      </c>
      <c r="AB1012">
        <v>0.86250000000000004</v>
      </c>
      <c r="AC1012">
        <v>1.1125</v>
      </c>
      <c r="AD1012" s="1">
        <v>39</v>
      </c>
      <c r="AE1012" s="2">
        <v>46287</v>
      </c>
      <c r="AF1012" s="2">
        <v>46295</v>
      </c>
      <c r="AG1012" s="2">
        <v>46302</v>
      </c>
      <c r="AH1012">
        <v>17500</v>
      </c>
      <c r="AI1012" s="3">
        <v>0.8136381247578458</v>
      </c>
      <c r="AJ1012" s="1">
        <v>48</v>
      </c>
      <c r="AK1012" s="2">
        <v>46311</v>
      </c>
      <c r="AL1012" s="4">
        <v>15</v>
      </c>
      <c r="AM1012" s="5">
        <v>15</v>
      </c>
      <c r="AN1012" s="4">
        <v>39</v>
      </c>
      <c r="AO1012">
        <v>9051.7241379310344</v>
      </c>
      <c r="AP1012" s="4">
        <v>2</v>
      </c>
      <c r="AQ1012">
        <v>90</v>
      </c>
      <c r="AR1012" t="s">
        <v>2028</v>
      </c>
      <c r="AT1012" s="16">
        <f>_xlfn.XLOOKUP(B1012,'SWiSH Demand Forecast Sep-26'!D:D,'SWiSH Demand Forecast Sep-26'!G:G,"Not Exist")</f>
        <v>21189</v>
      </c>
    </row>
    <row r="1013" spans="1:46" hidden="1" x14ac:dyDescent="0.3">
      <c r="A1013">
        <v>106300005</v>
      </c>
      <c r="B1013" t="s">
        <v>1118</v>
      </c>
      <c r="C1013" t="s">
        <v>136</v>
      </c>
      <c r="D1013" t="s">
        <v>1613</v>
      </c>
      <c r="E1013" t="s">
        <v>1732</v>
      </c>
      <c r="F1013" t="s">
        <v>1927</v>
      </c>
      <c r="G1013" t="s">
        <v>1616</v>
      </c>
      <c r="H1013" t="s">
        <v>1860</v>
      </c>
      <c r="I1013" t="s">
        <v>1618</v>
      </c>
      <c r="J1013" t="s">
        <v>136</v>
      </c>
      <c r="K1013">
        <v>0.625</v>
      </c>
      <c r="L1013">
        <v>312.5</v>
      </c>
      <c r="M1013" s="1">
        <v>3</v>
      </c>
      <c r="N1013">
        <v>0</v>
      </c>
      <c r="O1013">
        <v>0</v>
      </c>
      <c r="P1013">
        <v>500</v>
      </c>
      <c r="Q1013" s="1">
        <v>500</v>
      </c>
      <c r="R1013">
        <v>0.625</v>
      </c>
      <c r="S1013" s="2">
        <v>45774</v>
      </c>
      <c r="T1013" s="2">
        <v>46263</v>
      </c>
      <c r="U1013">
        <v>380</v>
      </c>
      <c r="V1013">
        <v>380</v>
      </c>
      <c r="W1013">
        <v>300</v>
      </c>
      <c r="X1013">
        <v>300</v>
      </c>
      <c r="Y1013">
        <v>300</v>
      </c>
      <c r="Z1013" s="8">
        <v>380</v>
      </c>
      <c r="AA1013">
        <v>340</v>
      </c>
      <c r="AB1013">
        <v>0.88235294117647056</v>
      </c>
      <c r="AC1013">
        <v>1.1176470588235294</v>
      </c>
      <c r="AD1013" s="1">
        <v>39</v>
      </c>
      <c r="AE1013" s="2">
        <v>46287</v>
      </c>
      <c r="AF1013" s="2">
        <v>46295</v>
      </c>
      <c r="AG1013" s="2">
        <v>46302</v>
      </c>
      <c r="AH1013">
        <v>300</v>
      </c>
      <c r="AI1013" s="3">
        <v>0.81669691470054451</v>
      </c>
      <c r="AJ1013" s="1">
        <v>48</v>
      </c>
      <c r="AK1013" s="2">
        <v>46311</v>
      </c>
      <c r="AL1013" s="4">
        <v>15</v>
      </c>
      <c r="AM1013" s="5">
        <v>15</v>
      </c>
      <c r="AN1013" s="4">
        <v>39</v>
      </c>
      <c r="AO1013">
        <v>155.17241379310346</v>
      </c>
      <c r="AP1013" s="4">
        <v>2</v>
      </c>
      <c r="AQ1013" t="s">
        <v>1619</v>
      </c>
      <c r="AR1013" t="s">
        <v>1620</v>
      </c>
      <c r="AT1013" s="16">
        <f>_xlfn.XLOOKUP(B1013,'SWiSH Demand Forecast Sep-26'!D:D,'SWiSH Demand Forecast Sep-26'!G:G,"Not Exist")</f>
        <v>97.047362110311695</v>
      </c>
    </row>
    <row r="1014" spans="1:46" x14ac:dyDescent="0.3">
      <c r="A1014">
        <v>106700113</v>
      </c>
      <c r="B1014" t="s">
        <v>2913</v>
      </c>
      <c r="C1014" t="s">
        <v>10</v>
      </c>
      <c r="D1014" t="s">
        <v>1613</v>
      </c>
      <c r="E1014" t="s">
        <v>2914</v>
      </c>
      <c r="F1014" t="s">
        <v>1650</v>
      </c>
      <c r="G1014" t="s">
        <v>1624</v>
      </c>
      <c r="H1014" t="s">
        <v>1651</v>
      </c>
      <c r="I1014" t="s">
        <v>1634</v>
      </c>
      <c r="J1014" t="s">
        <v>10</v>
      </c>
      <c r="K1014">
        <v>0.75</v>
      </c>
      <c r="L1014">
        <v>30.75</v>
      </c>
      <c r="M1014" s="1">
        <v>3</v>
      </c>
      <c r="N1014">
        <v>0</v>
      </c>
      <c r="O1014">
        <v>0</v>
      </c>
      <c r="P1014">
        <v>41</v>
      </c>
      <c r="Q1014" s="1">
        <v>41</v>
      </c>
      <c r="R1014">
        <v>0.75</v>
      </c>
      <c r="S1014" s="2">
        <v>46198</v>
      </c>
      <c r="T1014" s="2">
        <v>46261</v>
      </c>
      <c r="U1014">
        <v>31</v>
      </c>
      <c r="V1014">
        <v>16</v>
      </c>
      <c r="W1014">
        <v>27</v>
      </c>
      <c r="X1014">
        <v>16</v>
      </c>
      <c r="Y1014">
        <v>16</v>
      </c>
      <c r="Z1014" s="8">
        <v>31</v>
      </c>
      <c r="AA1014">
        <v>22.5</v>
      </c>
      <c r="AB1014">
        <v>0.71111111111111114</v>
      </c>
      <c r="AC1014">
        <v>1.3777777777777778</v>
      </c>
      <c r="AD1014" s="1">
        <v>39</v>
      </c>
      <c r="AE1014" s="2">
        <v>46287</v>
      </c>
      <c r="AF1014" s="2">
        <v>46295</v>
      </c>
      <c r="AG1014" s="2">
        <v>46302</v>
      </c>
      <c r="AH1014">
        <v>16</v>
      </c>
      <c r="AI1014" s="3">
        <v>0.53392658509454949</v>
      </c>
      <c r="AJ1014" s="1">
        <v>74</v>
      </c>
      <c r="AK1014" s="2">
        <v>46337</v>
      </c>
      <c r="AL1014" s="4">
        <v>30</v>
      </c>
      <c r="AM1014" s="5">
        <v>15</v>
      </c>
      <c r="AN1014" s="4">
        <v>39</v>
      </c>
      <c r="AO1014">
        <v>16.551724137931036</v>
      </c>
      <c r="AP1014" s="4">
        <v>1</v>
      </c>
      <c r="AQ1014" t="s">
        <v>1619</v>
      </c>
      <c r="AR1014" t="s">
        <v>1620</v>
      </c>
      <c r="AT1014" s="16" t="str">
        <f>_xlfn.XLOOKUP(B1014,'SWiSH Demand Forecast Sep-26'!D:D,'SWiSH Demand Forecast Sep-26'!G:G,"Not Exist")</f>
        <v>Not Exist</v>
      </c>
    </row>
    <row r="1015" spans="1:46" hidden="1" x14ac:dyDescent="0.3">
      <c r="A1015">
        <v>106800097</v>
      </c>
      <c r="B1015" t="s">
        <v>86</v>
      </c>
      <c r="C1015" t="s">
        <v>10</v>
      </c>
      <c r="D1015" t="s">
        <v>1613</v>
      </c>
      <c r="E1015" t="s">
        <v>1655</v>
      </c>
      <c r="F1015" t="s">
        <v>1664</v>
      </c>
      <c r="G1015" t="s">
        <v>1624</v>
      </c>
      <c r="H1015" t="s">
        <v>1665</v>
      </c>
      <c r="I1015" t="s">
        <v>1634</v>
      </c>
      <c r="J1015" t="s">
        <v>10</v>
      </c>
      <c r="K1015">
        <v>4.9952699999999996E-3</v>
      </c>
      <c r="L1015">
        <v>169.83918</v>
      </c>
      <c r="M1015" s="1">
        <v>7</v>
      </c>
      <c r="N1015">
        <v>0</v>
      </c>
      <c r="O1015">
        <v>0</v>
      </c>
      <c r="P1015">
        <v>34000</v>
      </c>
      <c r="Q1015" s="1">
        <v>34000</v>
      </c>
      <c r="R1015">
        <v>5.0000000000000001E-3</v>
      </c>
      <c r="S1015" s="2">
        <v>46244</v>
      </c>
      <c r="T1015" s="2">
        <v>46263</v>
      </c>
      <c r="U1015">
        <v>22000</v>
      </c>
      <c r="V1015">
        <v>25000</v>
      </c>
      <c r="W1015">
        <v>21000</v>
      </c>
      <c r="X1015">
        <v>26000</v>
      </c>
      <c r="Y1015">
        <v>21000</v>
      </c>
      <c r="Z1015" s="8">
        <v>26000</v>
      </c>
      <c r="AA1015">
        <v>23500</v>
      </c>
      <c r="AB1015">
        <v>0.8936170212765957</v>
      </c>
      <c r="AC1015">
        <v>1.1063829787234043</v>
      </c>
      <c r="AD1015" s="1">
        <v>39</v>
      </c>
      <c r="AE1015" s="2">
        <v>46287</v>
      </c>
      <c r="AF1015" s="2">
        <v>46295</v>
      </c>
      <c r="AG1015" s="2">
        <v>46302</v>
      </c>
      <c r="AH1015">
        <v>27000</v>
      </c>
      <c r="AI1015" s="3">
        <v>1.0742705570291777</v>
      </c>
      <c r="AJ1015" s="1">
        <v>36</v>
      </c>
      <c r="AK1015" s="2">
        <v>46299</v>
      </c>
      <c r="AL1015" s="4">
        <v>30</v>
      </c>
      <c r="AM1015" s="5">
        <v>15</v>
      </c>
      <c r="AN1015" s="4">
        <v>36</v>
      </c>
      <c r="AO1015">
        <v>27931.03448275862</v>
      </c>
      <c r="AP1015" s="4">
        <v>1</v>
      </c>
      <c r="AQ1015">
        <v>145000</v>
      </c>
      <c r="AR1015" t="s">
        <v>1829</v>
      </c>
      <c r="AT1015" s="16">
        <f>_xlfn.XLOOKUP(B1015,'SWiSH Demand Forecast Sep-26'!D:D,'SWiSH Demand Forecast Sep-26'!G:G,"Not Exist")</f>
        <v>25209</v>
      </c>
    </row>
    <row r="1016" spans="1:46" x14ac:dyDescent="0.3">
      <c r="A1016">
        <v>104200065</v>
      </c>
      <c r="B1016" t="s">
        <v>2915</v>
      </c>
      <c r="C1016" t="s">
        <v>10</v>
      </c>
      <c r="D1016" t="s">
        <v>1613</v>
      </c>
      <c r="E1016" t="s">
        <v>2916</v>
      </c>
      <c r="F1016" t="s">
        <v>1631</v>
      </c>
      <c r="G1016" t="s">
        <v>1624</v>
      </c>
      <c r="H1016" t="s">
        <v>1633</v>
      </c>
      <c r="I1016" t="s">
        <v>1634</v>
      </c>
      <c r="J1016" t="s">
        <v>10</v>
      </c>
      <c r="K1016">
        <v>6.1177000000000002E-3</v>
      </c>
      <c r="L1016">
        <v>277.74358000000001</v>
      </c>
      <c r="M1016" s="1">
        <v>3</v>
      </c>
      <c r="N1016">
        <v>0</v>
      </c>
      <c r="O1016">
        <v>300</v>
      </c>
      <c r="P1016">
        <v>45400</v>
      </c>
      <c r="Q1016" s="1">
        <v>45100</v>
      </c>
      <c r="R1016">
        <v>12.25</v>
      </c>
      <c r="S1016" s="2">
        <v>46256</v>
      </c>
      <c r="T1016" s="2">
        <v>46263</v>
      </c>
      <c r="U1016">
        <v>32500</v>
      </c>
      <c r="V1016">
        <v>28900</v>
      </c>
      <c r="W1016">
        <v>24400</v>
      </c>
      <c r="X1016">
        <v>34300</v>
      </c>
      <c r="Y1016">
        <v>24400</v>
      </c>
      <c r="Z1016" s="8">
        <v>34300</v>
      </c>
      <c r="AA1016">
        <v>30025</v>
      </c>
      <c r="AB1016">
        <v>0.81265611990008324</v>
      </c>
      <c r="AC1016">
        <v>1.1423813488759367</v>
      </c>
      <c r="AD1016" s="1">
        <v>39</v>
      </c>
      <c r="AE1016" s="2">
        <v>46287</v>
      </c>
      <c r="AF1016" s="2">
        <v>46295</v>
      </c>
      <c r="AG1016" s="2">
        <v>46302</v>
      </c>
      <c r="AH1016">
        <v>20500</v>
      </c>
      <c r="AI1016" s="3">
        <v>0.61827686739720522</v>
      </c>
      <c r="AJ1016" s="1">
        <v>63</v>
      </c>
      <c r="AK1016" s="2">
        <v>46326</v>
      </c>
      <c r="AL1016" s="4">
        <v>30</v>
      </c>
      <c r="AM1016" s="5">
        <v>15</v>
      </c>
      <c r="AN1016" s="4">
        <v>39</v>
      </c>
      <c r="AO1016">
        <v>21206.896551724138</v>
      </c>
      <c r="AP1016" s="4">
        <v>1</v>
      </c>
      <c r="AQ1016" t="s">
        <v>1619</v>
      </c>
      <c r="AR1016" t="s">
        <v>1620</v>
      </c>
      <c r="AT1016" s="16" t="str">
        <f>_xlfn.XLOOKUP(B1016,'SWiSH Demand Forecast Sep-26'!D:D,'SWiSH Demand Forecast Sep-26'!G:G,"Not Exist")</f>
        <v>Not Exist</v>
      </c>
    </row>
    <row r="1017" spans="1:46" x14ac:dyDescent="0.3">
      <c r="A1017">
        <v>106200028</v>
      </c>
      <c r="B1017" t="s">
        <v>2917</v>
      </c>
      <c r="C1017" t="s">
        <v>240</v>
      </c>
      <c r="D1017" t="s">
        <v>1613</v>
      </c>
      <c r="E1017" t="s">
        <v>1832</v>
      </c>
      <c r="F1017" t="s">
        <v>1671</v>
      </c>
      <c r="G1017" t="s">
        <v>1616</v>
      </c>
      <c r="H1017" t="s">
        <v>1672</v>
      </c>
      <c r="I1017" t="s">
        <v>1618</v>
      </c>
      <c r="J1017" t="s">
        <v>2525</v>
      </c>
      <c r="K1017">
        <v>4</v>
      </c>
      <c r="L1017">
        <v>216</v>
      </c>
      <c r="M1017" s="1">
        <v>3</v>
      </c>
      <c r="N1017">
        <v>0</v>
      </c>
      <c r="O1017">
        <v>0</v>
      </c>
      <c r="P1017">
        <v>54</v>
      </c>
      <c r="Q1017" s="1">
        <v>54</v>
      </c>
      <c r="R1017">
        <v>4.5</v>
      </c>
      <c r="S1017" s="2">
        <v>46225</v>
      </c>
      <c r="T1017" s="2">
        <v>46262</v>
      </c>
      <c r="U1017">
        <v>26</v>
      </c>
      <c r="V1017">
        <v>21.799999999999997</v>
      </c>
      <c r="W1017">
        <v>31.236000000000001</v>
      </c>
      <c r="X1017">
        <v>40.716999999999999</v>
      </c>
      <c r="Y1017">
        <v>21.799999999999997</v>
      </c>
      <c r="Z1017" s="8">
        <v>40.716999999999999</v>
      </c>
      <c r="AA1017">
        <v>29.93825</v>
      </c>
      <c r="AB1017">
        <v>0.72816547393384712</v>
      </c>
      <c r="AC1017">
        <v>1.3600327340442411</v>
      </c>
      <c r="AD1017" s="1">
        <v>39</v>
      </c>
      <c r="AE1017" s="2">
        <v>46287</v>
      </c>
      <c r="AF1017" s="2">
        <v>46295</v>
      </c>
      <c r="AG1017" s="2">
        <v>46302</v>
      </c>
      <c r="AH1017">
        <v>27</v>
      </c>
      <c r="AI1017" s="3">
        <v>0.68597967637003265</v>
      </c>
      <c r="AJ1017" s="1">
        <v>58</v>
      </c>
      <c r="AK1017" s="2">
        <v>46321</v>
      </c>
      <c r="AL1017" s="4">
        <v>30</v>
      </c>
      <c r="AM1017" s="5">
        <v>15</v>
      </c>
      <c r="AN1017" s="4">
        <v>39</v>
      </c>
      <c r="AO1017">
        <v>27.931034482758619</v>
      </c>
      <c r="AP1017" s="4">
        <v>1</v>
      </c>
      <c r="AQ1017" t="s">
        <v>1619</v>
      </c>
      <c r="AR1017" t="s">
        <v>1620</v>
      </c>
      <c r="AT1017" s="16" t="str">
        <f>_xlfn.XLOOKUP(B1017,'SWiSH Demand Forecast Sep-26'!D:D,'SWiSH Demand Forecast Sep-26'!G:G,"Not Exist")</f>
        <v>Not Exist</v>
      </c>
    </row>
    <row r="1018" spans="1:46" x14ac:dyDescent="0.3">
      <c r="A1018">
        <v>105700010</v>
      </c>
      <c r="B1018" t="s">
        <v>2918</v>
      </c>
      <c r="C1018" t="s">
        <v>10</v>
      </c>
      <c r="D1018" t="s">
        <v>1613</v>
      </c>
      <c r="E1018" t="s">
        <v>1796</v>
      </c>
      <c r="F1018" t="s">
        <v>1631</v>
      </c>
      <c r="G1018" t="s">
        <v>1624</v>
      </c>
      <c r="H1018" t="s">
        <v>2574</v>
      </c>
      <c r="I1018" t="s">
        <v>1634</v>
      </c>
      <c r="J1018" t="s">
        <v>2919</v>
      </c>
      <c r="K1018">
        <v>0.05</v>
      </c>
      <c r="L1018">
        <v>96</v>
      </c>
      <c r="M1018" s="1">
        <v>7</v>
      </c>
      <c r="N1018">
        <v>0</v>
      </c>
      <c r="O1018">
        <v>0</v>
      </c>
      <c r="P1018">
        <v>1920</v>
      </c>
      <c r="Q1018" s="1">
        <v>1920</v>
      </c>
      <c r="R1018">
        <v>24</v>
      </c>
      <c r="S1018" s="2">
        <v>46258</v>
      </c>
      <c r="T1018" s="2">
        <v>46257</v>
      </c>
      <c r="U1018">
        <v>960</v>
      </c>
      <c r="V1018">
        <v>1440</v>
      </c>
      <c r="W1018">
        <v>1440</v>
      </c>
      <c r="X1018">
        <v>1440</v>
      </c>
      <c r="Y1018">
        <v>960</v>
      </c>
      <c r="Z1018" s="8">
        <v>1440</v>
      </c>
      <c r="AA1018">
        <v>1320</v>
      </c>
      <c r="AB1018">
        <v>0.72727272727272729</v>
      </c>
      <c r="AC1018">
        <v>1.0909090909090908</v>
      </c>
      <c r="AD1018" s="1">
        <v>40</v>
      </c>
      <c r="AE1018" s="2">
        <v>46288</v>
      </c>
      <c r="AF1018" s="2">
        <v>46296</v>
      </c>
      <c r="AG1018" s="2">
        <v>46303</v>
      </c>
      <c r="AH1018">
        <v>1920</v>
      </c>
      <c r="AI1018" s="3">
        <v>1.3793103448275863</v>
      </c>
      <c r="AJ1018" s="1">
        <v>29</v>
      </c>
      <c r="AK1018" s="2">
        <v>46292</v>
      </c>
      <c r="AL1018" s="4">
        <v>30</v>
      </c>
      <c r="AM1018" s="5">
        <v>15</v>
      </c>
      <c r="AN1018" s="4">
        <v>29</v>
      </c>
      <c r="AO1018">
        <v>1986.2068965517242</v>
      </c>
      <c r="AP1018" s="4">
        <v>1</v>
      </c>
      <c r="AQ1018">
        <v>1</v>
      </c>
      <c r="AR1018" t="s">
        <v>2051</v>
      </c>
      <c r="AT1018" s="16" t="str">
        <f>_xlfn.XLOOKUP(B1018,'SWiSH Demand Forecast Sep-26'!D:D,'SWiSH Demand Forecast Sep-26'!G:G,"Not Exist")</f>
        <v>Not Exist</v>
      </c>
    </row>
    <row r="1019" spans="1:46" x14ac:dyDescent="0.3">
      <c r="A1019">
        <v>106200018</v>
      </c>
      <c r="B1019" t="s">
        <v>2920</v>
      </c>
      <c r="C1019" t="s">
        <v>136</v>
      </c>
      <c r="D1019" t="s">
        <v>1613</v>
      </c>
      <c r="E1019" t="s">
        <v>1732</v>
      </c>
      <c r="F1019" t="s">
        <v>1671</v>
      </c>
      <c r="G1019" t="s">
        <v>1616</v>
      </c>
      <c r="H1019" t="s">
        <v>1672</v>
      </c>
      <c r="I1019" t="s">
        <v>1618</v>
      </c>
      <c r="J1019" t="s">
        <v>2921</v>
      </c>
      <c r="K1019">
        <v>1.9673616599999999</v>
      </c>
      <c r="L1019">
        <v>264.41340710399999</v>
      </c>
      <c r="M1019" s="1">
        <v>3</v>
      </c>
      <c r="N1019">
        <v>0</v>
      </c>
      <c r="O1019">
        <v>0</v>
      </c>
      <c r="P1019">
        <v>134.4</v>
      </c>
      <c r="Q1019" s="1">
        <v>134.4</v>
      </c>
      <c r="R1019">
        <v>33</v>
      </c>
      <c r="S1019" s="2">
        <v>46135</v>
      </c>
      <c r="T1019" s="2">
        <v>46231</v>
      </c>
      <c r="U1019">
        <v>84</v>
      </c>
      <c r="V1019">
        <v>67.2</v>
      </c>
      <c r="W1019">
        <v>100.80000000000001</v>
      </c>
      <c r="X1019">
        <v>67.2</v>
      </c>
      <c r="Y1019">
        <v>67.2</v>
      </c>
      <c r="Z1019" s="8">
        <v>100.80000000000001</v>
      </c>
      <c r="AA1019">
        <v>79.8</v>
      </c>
      <c r="AB1019">
        <v>0.8421052631578948</v>
      </c>
      <c r="AC1019">
        <v>1.2631578947368423</v>
      </c>
      <c r="AD1019" s="1">
        <v>40</v>
      </c>
      <c r="AE1019" s="2">
        <v>46288</v>
      </c>
      <c r="AF1019" s="2">
        <v>46296</v>
      </c>
      <c r="AG1019" s="2">
        <v>46303</v>
      </c>
      <c r="AH1019">
        <v>0</v>
      </c>
      <c r="AI1019" s="3">
        <v>0</v>
      </c>
      <c r="AJ1019" s="1" t="s">
        <v>1635</v>
      </c>
      <c r="AK1019" s="2" t="s">
        <v>1635</v>
      </c>
      <c r="AL1019" s="4">
        <v>30</v>
      </c>
      <c r="AM1019" s="5">
        <v>15</v>
      </c>
      <c r="AN1019" s="4">
        <v>40</v>
      </c>
      <c r="AO1019">
        <v>0</v>
      </c>
      <c r="AP1019" s="4">
        <v>1</v>
      </c>
      <c r="AQ1019" t="s">
        <v>1619</v>
      </c>
      <c r="AR1019" t="s">
        <v>1620</v>
      </c>
      <c r="AT1019" s="16" t="str">
        <f>_xlfn.XLOOKUP(B1019,'SWiSH Demand Forecast Sep-26'!D:D,'SWiSH Demand Forecast Sep-26'!G:G,"Not Exist")</f>
        <v>Not Exist</v>
      </c>
    </row>
    <row r="1020" spans="1:46" hidden="1" x14ac:dyDescent="0.3">
      <c r="A1020">
        <v>100400002</v>
      </c>
      <c r="B1020" t="s">
        <v>319</v>
      </c>
      <c r="C1020" t="s">
        <v>10</v>
      </c>
      <c r="D1020" t="s">
        <v>1613</v>
      </c>
      <c r="E1020" t="s">
        <v>1775</v>
      </c>
      <c r="F1020" t="s">
        <v>1664</v>
      </c>
      <c r="G1020" t="s">
        <v>1624</v>
      </c>
      <c r="H1020" t="s">
        <v>1810</v>
      </c>
      <c r="I1020" t="s">
        <v>1634</v>
      </c>
      <c r="J1020" t="s">
        <v>10</v>
      </c>
      <c r="K1020">
        <v>1.0990979999999999E-2</v>
      </c>
      <c r="L1020">
        <v>131.89175999999998</v>
      </c>
      <c r="M1020" s="1">
        <v>30</v>
      </c>
      <c r="N1020">
        <v>0</v>
      </c>
      <c r="O1020">
        <v>0</v>
      </c>
      <c r="P1020">
        <v>12000</v>
      </c>
      <c r="Q1020" s="1">
        <v>12000</v>
      </c>
      <c r="R1020">
        <v>1.0999999999999999E-2</v>
      </c>
      <c r="S1020" s="2">
        <v>46235</v>
      </c>
      <c r="T1020" s="2">
        <v>46258</v>
      </c>
      <c r="U1020">
        <v>8800</v>
      </c>
      <c r="V1020">
        <v>5600</v>
      </c>
      <c r="W1020">
        <v>5600</v>
      </c>
      <c r="X1020">
        <v>6400</v>
      </c>
      <c r="Y1020">
        <v>5600</v>
      </c>
      <c r="Z1020" s="8">
        <v>8800</v>
      </c>
      <c r="AA1020">
        <v>6600</v>
      </c>
      <c r="AB1020">
        <v>0.84848484848484851</v>
      </c>
      <c r="AC1020">
        <v>1.3333333333333333</v>
      </c>
      <c r="AD1020" s="1">
        <v>40</v>
      </c>
      <c r="AE1020" s="2">
        <v>46288</v>
      </c>
      <c r="AF1020" s="2">
        <v>46296</v>
      </c>
      <c r="AG1020" s="2">
        <v>46303</v>
      </c>
      <c r="AH1020">
        <v>5600</v>
      </c>
      <c r="AI1020" s="3">
        <v>0.65830721003134796</v>
      </c>
      <c r="AJ1020" s="1">
        <v>62</v>
      </c>
      <c r="AK1020" s="2">
        <v>46325</v>
      </c>
      <c r="AL1020" s="4">
        <v>30</v>
      </c>
      <c r="AM1020" s="5">
        <v>15</v>
      </c>
      <c r="AN1020" s="4">
        <v>40</v>
      </c>
      <c r="AO1020">
        <v>5793.1034482758623</v>
      </c>
      <c r="AP1020" s="4">
        <v>1</v>
      </c>
      <c r="AQ1020">
        <v>23000</v>
      </c>
      <c r="AR1020" t="s">
        <v>2521</v>
      </c>
      <c r="AT1020" s="16">
        <f>_xlfn.XLOOKUP(B1020,'SWiSH Demand Forecast Sep-26'!D:D,'SWiSH Demand Forecast Sep-26'!G:G,"Not Exist")</f>
        <v>4360.2</v>
      </c>
    </row>
    <row r="1021" spans="1:46" x14ac:dyDescent="0.3">
      <c r="A1021">
        <v>101100026</v>
      </c>
      <c r="B1021" t="s">
        <v>2922</v>
      </c>
      <c r="C1021" t="s">
        <v>10</v>
      </c>
      <c r="D1021" t="s">
        <v>1613</v>
      </c>
      <c r="E1021" t="s">
        <v>1815</v>
      </c>
      <c r="F1021" t="s">
        <v>1650</v>
      </c>
      <c r="G1021" t="s">
        <v>1624</v>
      </c>
      <c r="H1021" t="s">
        <v>1953</v>
      </c>
      <c r="I1021" t="s">
        <v>1634</v>
      </c>
      <c r="J1021" t="s">
        <v>10</v>
      </c>
      <c r="K1021">
        <v>4.7</v>
      </c>
      <c r="L1021">
        <v>18.8</v>
      </c>
      <c r="M1021" s="1">
        <v>3</v>
      </c>
      <c r="N1021">
        <v>0</v>
      </c>
      <c r="O1021">
        <v>0</v>
      </c>
      <c r="P1021">
        <v>4</v>
      </c>
      <c r="Q1021" s="1">
        <v>4</v>
      </c>
      <c r="R1021">
        <v>4.7</v>
      </c>
      <c r="S1021" s="2">
        <v>46194</v>
      </c>
      <c r="T1021" s="2">
        <v>46256</v>
      </c>
      <c r="U1021">
        <v>3</v>
      </c>
      <c r="V1021">
        <v>2</v>
      </c>
      <c r="W1021">
        <v>3</v>
      </c>
      <c r="X1021">
        <v>0</v>
      </c>
      <c r="Y1021">
        <v>0</v>
      </c>
      <c r="Z1021" s="8">
        <v>3</v>
      </c>
      <c r="AA1021">
        <v>2</v>
      </c>
      <c r="AB1021">
        <v>0</v>
      </c>
      <c r="AC1021">
        <v>1.5</v>
      </c>
      <c r="AD1021" s="1">
        <v>40</v>
      </c>
      <c r="AE1021" s="2">
        <v>46288</v>
      </c>
      <c r="AF1021" s="2">
        <v>46296</v>
      </c>
      <c r="AG1021" s="2">
        <v>46303</v>
      </c>
      <c r="AH1021">
        <v>2</v>
      </c>
      <c r="AI1021" s="3">
        <v>0.68965517241379315</v>
      </c>
      <c r="AJ1021" s="1">
        <v>58</v>
      </c>
      <c r="AK1021" s="2">
        <v>46321</v>
      </c>
      <c r="AL1021" s="4">
        <v>30</v>
      </c>
      <c r="AM1021" s="5">
        <v>15</v>
      </c>
      <c r="AN1021" s="4">
        <v>40</v>
      </c>
      <c r="AO1021">
        <v>2.0689655172413794</v>
      </c>
      <c r="AP1021" s="4">
        <v>1</v>
      </c>
      <c r="AQ1021" t="s">
        <v>1619</v>
      </c>
      <c r="AR1021" t="s">
        <v>2626</v>
      </c>
      <c r="AT1021" s="16" t="str">
        <f>_xlfn.XLOOKUP(B1021,'SWiSH Demand Forecast Sep-26'!D:D,'SWiSH Demand Forecast Sep-26'!G:G,"Not Exist")</f>
        <v>Not Exist</v>
      </c>
    </row>
    <row r="1022" spans="1:46" x14ac:dyDescent="0.3">
      <c r="A1022">
        <v>104200032</v>
      </c>
      <c r="B1022" t="s">
        <v>2923</v>
      </c>
      <c r="C1022" t="s">
        <v>10</v>
      </c>
      <c r="D1022" t="s">
        <v>1613</v>
      </c>
      <c r="E1022" t="s">
        <v>2924</v>
      </c>
      <c r="F1022" t="s">
        <v>1644</v>
      </c>
      <c r="G1022" t="s">
        <v>1624</v>
      </c>
      <c r="H1022" t="s">
        <v>1633</v>
      </c>
      <c r="I1022" t="s">
        <v>1634</v>
      </c>
      <c r="J1022" t="s">
        <v>2925</v>
      </c>
      <c r="K1022">
        <v>8.6805560000000004E-2</v>
      </c>
      <c r="L1022">
        <v>25.000001279999999</v>
      </c>
      <c r="M1022" s="1">
        <v>3</v>
      </c>
      <c r="N1022">
        <v>0</v>
      </c>
      <c r="O1022">
        <v>0</v>
      </c>
      <c r="P1022">
        <v>288</v>
      </c>
      <c r="Q1022" s="1">
        <v>288</v>
      </c>
      <c r="R1022">
        <v>6.25</v>
      </c>
      <c r="S1022" s="2">
        <v>46128</v>
      </c>
      <c r="T1022" s="2">
        <v>46258</v>
      </c>
      <c r="U1022">
        <v>144</v>
      </c>
      <c r="V1022">
        <v>216</v>
      </c>
      <c r="W1022">
        <v>144</v>
      </c>
      <c r="X1022">
        <v>0</v>
      </c>
      <c r="Y1022">
        <v>0</v>
      </c>
      <c r="Z1022" s="8">
        <v>216</v>
      </c>
      <c r="AA1022">
        <v>126</v>
      </c>
      <c r="AB1022">
        <v>0</v>
      </c>
      <c r="AC1022">
        <v>1.7142857142857142</v>
      </c>
      <c r="AD1022" s="1">
        <v>40</v>
      </c>
      <c r="AE1022" s="2">
        <v>46288</v>
      </c>
      <c r="AF1022" s="2">
        <v>46296</v>
      </c>
      <c r="AG1022" s="2">
        <v>46303</v>
      </c>
      <c r="AH1022">
        <v>72</v>
      </c>
      <c r="AI1022" s="3">
        <v>0.34482758620689652</v>
      </c>
      <c r="AJ1022" s="1">
        <v>116</v>
      </c>
      <c r="AK1022" s="2">
        <v>46379</v>
      </c>
      <c r="AL1022" s="4">
        <v>30</v>
      </c>
      <c r="AM1022" s="5">
        <v>15</v>
      </c>
      <c r="AN1022" s="4">
        <v>40</v>
      </c>
      <c r="AO1022">
        <v>74.482758620689651</v>
      </c>
      <c r="AP1022" s="4">
        <v>1</v>
      </c>
      <c r="AQ1022" t="s">
        <v>1619</v>
      </c>
      <c r="AR1022" t="s">
        <v>1620</v>
      </c>
      <c r="AT1022" s="16" t="str">
        <f>_xlfn.XLOOKUP(B1022,'SWiSH Demand Forecast Sep-26'!D:D,'SWiSH Demand Forecast Sep-26'!G:G,"Not Exist")</f>
        <v>Not Exist</v>
      </c>
    </row>
    <row r="1023" spans="1:46" x14ac:dyDescent="0.3">
      <c r="A1023">
        <v>106300077</v>
      </c>
      <c r="B1023" t="s">
        <v>2926</v>
      </c>
      <c r="C1023" t="s">
        <v>136</v>
      </c>
      <c r="D1023" t="s">
        <v>1613</v>
      </c>
      <c r="E1023" t="s">
        <v>1832</v>
      </c>
      <c r="F1023" t="s">
        <v>1615</v>
      </c>
      <c r="G1023" t="s">
        <v>1616</v>
      </c>
      <c r="H1023" t="s">
        <v>1860</v>
      </c>
      <c r="I1023" t="s">
        <v>1618</v>
      </c>
      <c r="J1023" t="s">
        <v>136</v>
      </c>
      <c r="K1023">
        <v>1.79545</v>
      </c>
      <c r="L1023">
        <v>71.817999999999998</v>
      </c>
      <c r="M1023" s="1">
        <v>3</v>
      </c>
      <c r="N1023">
        <v>0</v>
      </c>
      <c r="O1023">
        <v>0</v>
      </c>
      <c r="P1023">
        <v>40</v>
      </c>
      <c r="Q1023" s="1">
        <v>40</v>
      </c>
      <c r="R1023">
        <v>2</v>
      </c>
      <c r="S1023" s="2">
        <v>46210</v>
      </c>
      <c r="T1023" s="2">
        <v>46201</v>
      </c>
      <c r="U1023">
        <v>7</v>
      </c>
      <c r="V1023">
        <v>13</v>
      </c>
      <c r="W1023">
        <v>30</v>
      </c>
      <c r="X1023">
        <v>0</v>
      </c>
      <c r="Y1023">
        <v>0</v>
      </c>
      <c r="Z1023" s="8">
        <v>30</v>
      </c>
      <c r="AA1023">
        <v>12.5</v>
      </c>
      <c r="AB1023">
        <v>0</v>
      </c>
      <c r="AC1023">
        <v>2.4</v>
      </c>
      <c r="AD1023" s="1">
        <v>40</v>
      </c>
      <c r="AE1023" s="2">
        <v>46288</v>
      </c>
      <c r="AF1023" s="2">
        <v>46296</v>
      </c>
      <c r="AG1023" s="2">
        <v>46303</v>
      </c>
      <c r="AH1023">
        <v>0</v>
      </c>
      <c r="AI1023" s="3">
        <v>0</v>
      </c>
      <c r="AJ1023" s="1" t="s">
        <v>1635</v>
      </c>
      <c r="AK1023" s="2" t="s">
        <v>1635</v>
      </c>
      <c r="AL1023" s="4">
        <v>30</v>
      </c>
      <c r="AM1023" s="5">
        <v>15</v>
      </c>
      <c r="AN1023" s="4">
        <v>40</v>
      </c>
      <c r="AO1023">
        <v>0</v>
      </c>
      <c r="AP1023" s="4">
        <v>1</v>
      </c>
      <c r="AQ1023" t="s">
        <v>1619</v>
      </c>
      <c r="AR1023" t="s">
        <v>1620</v>
      </c>
      <c r="AT1023" s="16" t="str">
        <f>_xlfn.XLOOKUP(B1023,'SWiSH Demand Forecast Sep-26'!D:D,'SWiSH Demand Forecast Sep-26'!G:G,"Not Exist")</f>
        <v>Not Exist</v>
      </c>
    </row>
    <row r="1024" spans="1:46" hidden="1" x14ac:dyDescent="0.3">
      <c r="A1024">
        <v>103700030</v>
      </c>
      <c r="B1024" t="s">
        <v>1235</v>
      </c>
      <c r="C1024" t="s">
        <v>136</v>
      </c>
      <c r="D1024" t="s">
        <v>1613</v>
      </c>
      <c r="E1024" t="s">
        <v>2927</v>
      </c>
      <c r="F1024" t="s">
        <v>1615</v>
      </c>
      <c r="G1024" t="s">
        <v>1616</v>
      </c>
      <c r="H1024" t="s">
        <v>1617</v>
      </c>
      <c r="I1024" t="s">
        <v>1618</v>
      </c>
      <c r="J1024" t="s">
        <v>2384</v>
      </c>
      <c r="K1024">
        <v>2.802</v>
      </c>
      <c r="L1024">
        <v>537.98400000000004</v>
      </c>
      <c r="M1024" s="1">
        <v>3</v>
      </c>
      <c r="N1024">
        <v>0</v>
      </c>
      <c r="O1024">
        <v>0</v>
      </c>
      <c r="P1024">
        <v>192</v>
      </c>
      <c r="Q1024" s="1">
        <v>192</v>
      </c>
      <c r="R1024">
        <v>16.75</v>
      </c>
      <c r="S1024" s="2">
        <v>46198</v>
      </c>
      <c r="T1024" s="2">
        <v>46257</v>
      </c>
      <c r="U1024">
        <v>126</v>
      </c>
      <c r="V1024">
        <v>126</v>
      </c>
      <c r="W1024">
        <v>114</v>
      </c>
      <c r="X1024">
        <v>144</v>
      </c>
      <c r="Y1024">
        <v>114</v>
      </c>
      <c r="Z1024" s="8">
        <v>144</v>
      </c>
      <c r="AA1024">
        <v>127.5</v>
      </c>
      <c r="AB1024">
        <v>0.89411764705882357</v>
      </c>
      <c r="AC1024">
        <v>1.1294117647058823</v>
      </c>
      <c r="AD1024" s="1">
        <v>40</v>
      </c>
      <c r="AE1024" s="2">
        <v>46288</v>
      </c>
      <c r="AF1024" s="2">
        <v>46296</v>
      </c>
      <c r="AG1024" s="2">
        <v>46303</v>
      </c>
      <c r="AH1024">
        <v>126</v>
      </c>
      <c r="AI1024" s="3">
        <v>0.90517241379310343</v>
      </c>
      <c r="AJ1024" s="1">
        <v>44</v>
      </c>
      <c r="AK1024" s="2">
        <v>46307</v>
      </c>
      <c r="AL1024" s="4">
        <v>30</v>
      </c>
      <c r="AM1024" s="5">
        <v>15</v>
      </c>
      <c r="AN1024" s="4">
        <v>40</v>
      </c>
      <c r="AO1024">
        <v>130.34482758620689</v>
      </c>
      <c r="AP1024" s="4">
        <v>1</v>
      </c>
      <c r="AQ1024" t="s">
        <v>1619</v>
      </c>
      <c r="AR1024" t="s">
        <v>1620</v>
      </c>
      <c r="AT1024" s="16">
        <f>_xlfn.XLOOKUP(B1024,'SWiSH Demand Forecast Sep-26'!D:D,'SWiSH Demand Forecast Sep-26'!G:G,"Not Exist")</f>
        <v>47.270251872021703</v>
      </c>
    </row>
    <row r="1025" spans="1:46" hidden="1" x14ac:dyDescent="0.3">
      <c r="A1025">
        <v>100100013</v>
      </c>
      <c r="B1025" t="s">
        <v>1004</v>
      </c>
      <c r="C1025" t="s">
        <v>136</v>
      </c>
      <c r="D1025" t="s">
        <v>1613</v>
      </c>
      <c r="E1025" t="s">
        <v>2928</v>
      </c>
      <c r="F1025" t="s">
        <v>1941</v>
      </c>
      <c r="G1025" t="s">
        <v>1616</v>
      </c>
      <c r="H1025" t="s">
        <v>1877</v>
      </c>
      <c r="I1025" t="s">
        <v>1618</v>
      </c>
      <c r="J1025" t="s">
        <v>2929</v>
      </c>
      <c r="K1025">
        <v>1.15638738</v>
      </c>
      <c r="L1025">
        <v>636.013059</v>
      </c>
      <c r="M1025" s="1">
        <v>3</v>
      </c>
      <c r="N1025">
        <v>0</v>
      </c>
      <c r="O1025">
        <v>0</v>
      </c>
      <c r="P1025">
        <v>550</v>
      </c>
      <c r="Q1025" s="1">
        <v>550</v>
      </c>
      <c r="R1025">
        <v>15.950329999999999</v>
      </c>
      <c r="S1025" s="2">
        <v>46240</v>
      </c>
      <c r="T1025" s="2">
        <v>46263</v>
      </c>
      <c r="U1025">
        <v>305</v>
      </c>
      <c r="V1025">
        <v>385</v>
      </c>
      <c r="W1025">
        <v>405</v>
      </c>
      <c r="X1025">
        <v>360</v>
      </c>
      <c r="Y1025">
        <v>305</v>
      </c>
      <c r="Z1025" s="8">
        <v>405</v>
      </c>
      <c r="AA1025">
        <v>363.75</v>
      </c>
      <c r="AB1025">
        <v>0.83848797250859108</v>
      </c>
      <c r="AC1025">
        <v>1.1134020618556701</v>
      </c>
      <c r="AD1025" s="1">
        <v>40</v>
      </c>
      <c r="AE1025" s="2">
        <v>46288</v>
      </c>
      <c r="AF1025" s="2">
        <v>46296</v>
      </c>
      <c r="AG1025" s="2">
        <v>46303</v>
      </c>
      <c r="AH1025">
        <v>265</v>
      </c>
      <c r="AI1025" s="3">
        <v>0.6768837803320561</v>
      </c>
      <c r="AJ1025" s="1">
        <v>60</v>
      </c>
      <c r="AK1025" s="2">
        <v>46323</v>
      </c>
      <c r="AL1025" s="4">
        <v>30</v>
      </c>
      <c r="AM1025" s="5">
        <v>15</v>
      </c>
      <c r="AN1025" s="4">
        <v>40</v>
      </c>
      <c r="AO1025">
        <v>274.13793103448273</v>
      </c>
      <c r="AP1025" s="4">
        <v>1</v>
      </c>
      <c r="AQ1025" t="s">
        <v>1619</v>
      </c>
      <c r="AR1025" t="s">
        <v>2302</v>
      </c>
      <c r="AT1025" s="16">
        <f>_xlfn.XLOOKUP(B1025,'SWiSH Demand Forecast Sep-26'!D:D,'SWiSH Demand Forecast Sep-26'!G:G,"Not Exist")</f>
        <v>145.08854307259699</v>
      </c>
    </row>
    <row r="1026" spans="1:46" hidden="1" x14ac:dyDescent="0.3">
      <c r="A1026">
        <v>100400019</v>
      </c>
      <c r="B1026" t="s">
        <v>182</v>
      </c>
      <c r="C1026" t="s">
        <v>10</v>
      </c>
      <c r="D1026" t="s">
        <v>1613</v>
      </c>
      <c r="E1026" t="s">
        <v>2930</v>
      </c>
      <c r="F1026" t="s">
        <v>1664</v>
      </c>
      <c r="G1026" t="s">
        <v>1624</v>
      </c>
      <c r="H1026" t="s">
        <v>1810</v>
      </c>
      <c r="I1026" t="s">
        <v>1634</v>
      </c>
      <c r="J1026" t="s">
        <v>10</v>
      </c>
      <c r="K1026">
        <v>0.05</v>
      </c>
      <c r="L1026">
        <v>1150</v>
      </c>
      <c r="M1026" s="1">
        <v>30</v>
      </c>
      <c r="N1026">
        <v>0</v>
      </c>
      <c r="O1026">
        <v>100</v>
      </c>
      <c r="P1026">
        <v>23000</v>
      </c>
      <c r="Q1026" s="1">
        <v>22900</v>
      </c>
      <c r="R1026">
        <v>0.05</v>
      </c>
      <c r="S1026" s="2">
        <v>46237</v>
      </c>
      <c r="T1026" s="2">
        <v>46263</v>
      </c>
      <c r="U1026">
        <v>16800</v>
      </c>
      <c r="V1026">
        <v>15100</v>
      </c>
      <c r="W1026">
        <v>12700</v>
      </c>
      <c r="X1026">
        <v>11000</v>
      </c>
      <c r="Y1026">
        <v>11000</v>
      </c>
      <c r="Z1026" s="8">
        <v>16800</v>
      </c>
      <c r="AA1026">
        <v>13900</v>
      </c>
      <c r="AB1026">
        <v>0.79136690647482011</v>
      </c>
      <c r="AC1026">
        <v>1.2086330935251799</v>
      </c>
      <c r="AD1026" s="1">
        <v>40</v>
      </c>
      <c r="AE1026" s="2">
        <v>46288</v>
      </c>
      <c r="AF1026" s="2">
        <v>46296</v>
      </c>
      <c r="AG1026" s="2">
        <v>46303</v>
      </c>
      <c r="AH1026">
        <v>9800</v>
      </c>
      <c r="AI1026" s="3">
        <v>0.60344827586206895</v>
      </c>
      <c r="AJ1026" s="1">
        <v>67</v>
      </c>
      <c r="AK1026" s="2">
        <v>46330</v>
      </c>
      <c r="AL1026" s="4">
        <v>10</v>
      </c>
      <c r="AM1026" s="5">
        <v>10</v>
      </c>
      <c r="AN1026" s="4">
        <v>40</v>
      </c>
      <c r="AO1026">
        <v>3379.3103448275861</v>
      </c>
      <c r="AP1026" s="4">
        <v>3</v>
      </c>
      <c r="AQ1026">
        <v>25000</v>
      </c>
      <c r="AR1026" t="s">
        <v>2076</v>
      </c>
      <c r="AT1026" s="16">
        <f>_xlfn.XLOOKUP(B1026,'SWiSH Demand Forecast Sep-26'!D:D,'SWiSH Demand Forecast Sep-26'!G:G,"Not Exist")</f>
        <v>9614</v>
      </c>
    </row>
    <row r="1027" spans="1:46" hidden="1" x14ac:dyDescent="0.3">
      <c r="A1027">
        <v>106200094</v>
      </c>
      <c r="B1027" t="s">
        <v>1148</v>
      </c>
      <c r="C1027" t="s">
        <v>240</v>
      </c>
      <c r="D1027" t="s">
        <v>1613</v>
      </c>
      <c r="E1027" t="s">
        <v>1663</v>
      </c>
      <c r="F1027" t="s">
        <v>1671</v>
      </c>
      <c r="G1027" t="s">
        <v>1616</v>
      </c>
      <c r="H1027" t="s">
        <v>1672</v>
      </c>
      <c r="I1027" t="s">
        <v>1618</v>
      </c>
      <c r="J1027" t="s">
        <v>2931</v>
      </c>
      <c r="K1027">
        <v>5.1635944699999996</v>
      </c>
      <c r="L1027">
        <v>640.28571427999998</v>
      </c>
      <c r="M1027" s="1">
        <v>3</v>
      </c>
      <c r="N1027">
        <v>0</v>
      </c>
      <c r="O1027">
        <v>4</v>
      </c>
      <c r="P1027">
        <v>124</v>
      </c>
      <c r="Q1027" s="1">
        <v>120</v>
      </c>
      <c r="R1027">
        <v>21</v>
      </c>
      <c r="S1027" s="2">
        <v>46246</v>
      </c>
      <c r="T1027" s="2">
        <v>46262</v>
      </c>
      <c r="U1027">
        <v>52</v>
      </c>
      <c r="V1027">
        <v>76</v>
      </c>
      <c r="W1027">
        <v>88</v>
      </c>
      <c r="X1027">
        <v>60</v>
      </c>
      <c r="Y1027">
        <v>52</v>
      </c>
      <c r="Z1027" s="8">
        <v>88</v>
      </c>
      <c r="AA1027">
        <v>69</v>
      </c>
      <c r="AB1027">
        <v>0.75362318840579712</v>
      </c>
      <c r="AC1027">
        <v>1.2753623188405796</v>
      </c>
      <c r="AD1027" s="1">
        <v>40</v>
      </c>
      <c r="AE1027" s="2">
        <v>46288</v>
      </c>
      <c r="AF1027" s="2">
        <v>46296</v>
      </c>
      <c r="AG1027" s="2">
        <v>46303</v>
      </c>
      <c r="AH1027">
        <v>72</v>
      </c>
      <c r="AI1027" s="3">
        <v>0.84639498432601878</v>
      </c>
      <c r="AJ1027" s="1">
        <v>48</v>
      </c>
      <c r="AK1027" s="2">
        <v>46311</v>
      </c>
      <c r="AL1027" s="4">
        <v>30</v>
      </c>
      <c r="AM1027" s="5">
        <v>15</v>
      </c>
      <c r="AN1027" s="4">
        <v>40</v>
      </c>
      <c r="AO1027">
        <v>74.482758620689651</v>
      </c>
      <c r="AP1027" s="4">
        <v>1</v>
      </c>
      <c r="AQ1027" t="s">
        <v>1619</v>
      </c>
      <c r="AR1027" t="s">
        <v>1620</v>
      </c>
      <c r="AT1027" s="16">
        <f>_xlfn.XLOOKUP(B1027,'SWiSH Demand Forecast Sep-26'!D:D,'SWiSH Demand Forecast Sep-26'!G:G,"Not Exist")</f>
        <v>83.94</v>
      </c>
    </row>
    <row r="1028" spans="1:46" x14ac:dyDescent="0.3">
      <c r="A1028">
        <v>104200044</v>
      </c>
      <c r="B1028" t="s">
        <v>2932</v>
      </c>
      <c r="C1028" t="s">
        <v>10</v>
      </c>
      <c r="D1028" t="s">
        <v>1613</v>
      </c>
      <c r="E1028" t="s">
        <v>1655</v>
      </c>
      <c r="F1028" t="s">
        <v>1631</v>
      </c>
      <c r="G1028" t="s">
        <v>1624</v>
      </c>
      <c r="H1028" t="s">
        <v>1633</v>
      </c>
      <c r="I1028" t="s">
        <v>1634</v>
      </c>
      <c r="J1028" t="s">
        <v>2933</v>
      </c>
      <c r="K1028">
        <v>1.5933333300000001</v>
      </c>
      <c r="L1028">
        <v>38.239999920000002</v>
      </c>
      <c r="M1028" s="1">
        <v>3</v>
      </c>
      <c r="N1028">
        <v>0</v>
      </c>
      <c r="O1028">
        <v>0</v>
      </c>
      <c r="P1028">
        <v>24</v>
      </c>
      <c r="Q1028" s="1">
        <v>24</v>
      </c>
      <c r="R1028">
        <v>9.56</v>
      </c>
      <c r="S1028" s="2">
        <v>46258</v>
      </c>
      <c r="T1028" s="2">
        <v>46261</v>
      </c>
      <c r="U1028">
        <v>0</v>
      </c>
      <c r="V1028">
        <v>18</v>
      </c>
      <c r="W1028">
        <v>6</v>
      </c>
      <c r="X1028">
        <v>12</v>
      </c>
      <c r="Y1028">
        <v>0</v>
      </c>
      <c r="Z1028" s="8">
        <v>18</v>
      </c>
      <c r="AA1028">
        <v>9</v>
      </c>
      <c r="AB1028">
        <v>0</v>
      </c>
      <c r="AC1028">
        <v>2</v>
      </c>
      <c r="AD1028" s="1">
        <v>40</v>
      </c>
      <c r="AE1028" s="2">
        <v>46288</v>
      </c>
      <c r="AF1028" s="2">
        <v>46296</v>
      </c>
      <c r="AG1028" s="2">
        <v>46303</v>
      </c>
      <c r="AH1028">
        <v>24</v>
      </c>
      <c r="AI1028" s="3">
        <v>1.3793103448275863</v>
      </c>
      <c r="AJ1028" s="1">
        <v>29</v>
      </c>
      <c r="AK1028" s="2">
        <v>46292</v>
      </c>
      <c r="AL1028" s="4">
        <v>30</v>
      </c>
      <c r="AM1028" s="5">
        <v>15</v>
      </c>
      <c r="AN1028" s="4">
        <v>29</v>
      </c>
      <c r="AO1028">
        <v>24.827586206896555</v>
      </c>
      <c r="AP1028" s="4">
        <v>1</v>
      </c>
      <c r="AQ1028" t="s">
        <v>1619</v>
      </c>
      <c r="AR1028" t="s">
        <v>1620</v>
      </c>
      <c r="AT1028" s="16" t="str">
        <f>_xlfn.XLOOKUP(B1028,'SWiSH Demand Forecast Sep-26'!D:D,'SWiSH Demand Forecast Sep-26'!G:G,"Not Exist")</f>
        <v>Not Exist</v>
      </c>
    </row>
    <row r="1029" spans="1:46" x14ac:dyDescent="0.3">
      <c r="A1029">
        <v>106700072</v>
      </c>
      <c r="B1029" t="s">
        <v>2934</v>
      </c>
      <c r="C1029" t="s">
        <v>10</v>
      </c>
      <c r="D1029" t="s">
        <v>1613</v>
      </c>
      <c r="E1029" t="s">
        <v>1643</v>
      </c>
      <c r="F1029" t="s">
        <v>1650</v>
      </c>
      <c r="G1029" t="s">
        <v>1624</v>
      </c>
      <c r="H1029" t="s">
        <v>1651</v>
      </c>
      <c r="I1029" t="s">
        <v>1634</v>
      </c>
      <c r="J1029" t="s">
        <v>10</v>
      </c>
      <c r="K1029">
        <v>6.25E-2</v>
      </c>
      <c r="L1029">
        <v>9.125</v>
      </c>
      <c r="M1029" s="1">
        <v>3</v>
      </c>
      <c r="N1029">
        <v>0</v>
      </c>
      <c r="O1029">
        <v>96</v>
      </c>
      <c r="P1029">
        <v>146</v>
      </c>
      <c r="Q1029" s="1">
        <v>50</v>
      </c>
      <c r="R1029">
        <v>0.625</v>
      </c>
      <c r="S1029" s="2">
        <v>46261</v>
      </c>
      <c r="T1029" s="2">
        <v>46259</v>
      </c>
      <c r="U1029">
        <v>0</v>
      </c>
      <c r="V1029">
        <v>36</v>
      </c>
      <c r="W1029">
        <v>0</v>
      </c>
      <c r="X1029">
        <v>0</v>
      </c>
      <c r="Y1029">
        <v>0</v>
      </c>
      <c r="Z1029" s="8">
        <v>36</v>
      </c>
      <c r="AA1029">
        <v>9</v>
      </c>
      <c r="AB1029">
        <v>0</v>
      </c>
      <c r="AC1029">
        <v>4</v>
      </c>
      <c r="AD1029" s="1">
        <v>41</v>
      </c>
      <c r="AE1029" s="2">
        <v>46289</v>
      </c>
      <c r="AF1029" s="2">
        <v>46297</v>
      </c>
      <c r="AG1029" s="2">
        <v>46304</v>
      </c>
      <c r="AH1029">
        <v>0</v>
      </c>
      <c r="AI1029" s="3">
        <v>0</v>
      </c>
      <c r="AJ1029" s="1" t="s">
        <v>1635</v>
      </c>
      <c r="AK1029" s="2" t="s">
        <v>1635</v>
      </c>
      <c r="AL1029" s="4">
        <v>30</v>
      </c>
      <c r="AM1029" s="5">
        <v>15</v>
      </c>
      <c r="AN1029" s="4">
        <v>41</v>
      </c>
      <c r="AO1029">
        <v>0</v>
      </c>
      <c r="AP1029" s="4">
        <v>1</v>
      </c>
      <c r="AQ1029" t="s">
        <v>1619</v>
      </c>
      <c r="AR1029" t="s">
        <v>1620</v>
      </c>
      <c r="AT1029" s="16" t="str">
        <f>_xlfn.XLOOKUP(B1029,'SWiSH Demand Forecast Sep-26'!D:D,'SWiSH Demand Forecast Sep-26'!G:G,"Not Exist")</f>
        <v>Not Exist</v>
      </c>
    </row>
    <row r="1030" spans="1:46" hidden="1" x14ac:dyDescent="0.3">
      <c r="A1030">
        <v>100300001</v>
      </c>
      <c r="B1030" t="s">
        <v>926</v>
      </c>
      <c r="C1030" t="s">
        <v>136</v>
      </c>
      <c r="D1030" t="s">
        <v>1629</v>
      </c>
      <c r="E1030" t="s">
        <v>1677</v>
      </c>
      <c r="F1030" t="s">
        <v>1752</v>
      </c>
      <c r="G1030" t="s">
        <v>1616</v>
      </c>
      <c r="H1030" t="s">
        <v>2018</v>
      </c>
      <c r="I1030" t="s">
        <v>1754</v>
      </c>
      <c r="J1030" t="s">
        <v>136</v>
      </c>
      <c r="K1030">
        <v>3.5</v>
      </c>
      <c r="L1030">
        <v>1505</v>
      </c>
      <c r="M1030" s="1">
        <v>3</v>
      </c>
      <c r="N1030">
        <v>0</v>
      </c>
      <c r="O1030">
        <v>0</v>
      </c>
      <c r="P1030">
        <v>430</v>
      </c>
      <c r="Q1030" s="1">
        <v>430</v>
      </c>
      <c r="R1030">
        <v>3.5</v>
      </c>
      <c r="S1030" s="2">
        <v>46114</v>
      </c>
      <c r="T1030" s="2">
        <v>46262</v>
      </c>
      <c r="U1030">
        <v>220</v>
      </c>
      <c r="V1030">
        <v>310</v>
      </c>
      <c r="W1030">
        <v>260</v>
      </c>
      <c r="X1030">
        <v>200</v>
      </c>
      <c r="Y1030">
        <v>200</v>
      </c>
      <c r="Z1030" s="8">
        <v>310</v>
      </c>
      <c r="AA1030">
        <v>247.5</v>
      </c>
      <c r="AB1030">
        <v>0.80808080808080807</v>
      </c>
      <c r="AC1030">
        <v>1.2525252525252526</v>
      </c>
      <c r="AD1030" s="1">
        <v>41</v>
      </c>
      <c r="AE1030" s="2">
        <v>46289</v>
      </c>
      <c r="AF1030" s="2">
        <v>46297</v>
      </c>
      <c r="AG1030" s="2">
        <v>46304</v>
      </c>
      <c r="AH1030">
        <v>190</v>
      </c>
      <c r="AI1030" s="3">
        <v>0.63403781979977758</v>
      </c>
      <c r="AJ1030" s="1">
        <v>65</v>
      </c>
      <c r="AK1030" s="2">
        <v>46328</v>
      </c>
      <c r="AL1030" s="4" t="s">
        <v>1636</v>
      </c>
      <c r="AM1030" s="5" t="s">
        <v>1636</v>
      </c>
      <c r="AN1030" s="4">
        <v>41</v>
      </c>
      <c r="AO1030" t="s">
        <v>1635</v>
      </c>
      <c r="AP1030" s="4" t="s">
        <v>1636</v>
      </c>
      <c r="AQ1030" t="s">
        <v>1619</v>
      </c>
      <c r="AR1030" t="s">
        <v>1620</v>
      </c>
      <c r="AT1030" s="16">
        <f>_xlfn.XLOOKUP(B1030,'SWiSH Demand Forecast Sep-26'!D:D,'SWiSH Demand Forecast Sep-26'!G:G,"Not Exist")</f>
        <v>217.43499999999901</v>
      </c>
    </row>
    <row r="1031" spans="1:46" hidden="1" x14ac:dyDescent="0.3">
      <c r="A1031">
        <v>100200004</v>
      </c>
      <c r="B1031" t="s">
        <v>193</v>
      </c>
      <c r="C1031" t="s">
        <v>136</v>
      </c>
      <c r="D1031" t="s">
        <v>1613</v>
      </c>
      <c r="E1031" t="s">
        <v>1732</v>
      </c>
      <c r="F1031" t="s">
        <v>1752</v>
      </c>
      <c r="G1031" t="s">
        <v>1624</v>
      </c>
      <c r="H1031" t="s">
        <v>1988</v>
      </c>
      <c r="I1031" t="s">
        <v>1754</v>
      </c>
      <c r="J1031" t="s">
        <v>136</v>
      </c>
      <c r="K1031">
        <v>3.93335561</v>
      </c>
      <c r="L1031">
        <v>69710.586141137304</v>
      </c>
      <c r="M1031" s="1">
        <v>3</v>
      </c>
      <c r="N1031">
        <v>0</v>
      </c>
      <c r="O1031">
        <v>0</v>
      </c>
      <c r="P1031">
        <v>17722.93</v>
      </c>
      <c r="Q1031" s="1">
        <v>17722.93</v>
      </c>
      <c r="R1031">
        <v>4.55</v>
      </c>
      <c r="S1031" s="2">
        <v>46212</v>
      </c>
      <c r="T1031" s="2">
        <v>46263</v>
      </c>
      <c r="U1031">
        <v>3131.3960000000002</v>
      </c>
      <c r="V1031">
        <v>4139.9110000000001</v>
      </c>
      <c r="W1031">
        <v>12786.119000000002</v>
      </c>
      <c r="X1031">
        <v>8263.9500000000007</v>
      </c>
      <c r="Y1031">
        <v>3131.3960000000002</v>
      </c>
      <c r="Z1031" s="8">
        <v>12786.119000000002</v>
      </c>
      <c r="AA1031">
        <v>7080.344000000001</v>
      </c>
      <c r="AB1031">
        <v>0.44226608198697687</v>
      </c>
      <c r="AC1031">
        <v>1.8058612688875004</v>
      </c>
      <c r="AD1031" s="1">
        <v>41</v>
      </c>
      <c r="AE1031" s="2">
        <v>46289</v>
      </c>
      <c r="AF1031" s="2">
        <v>46297</v>
      </c>
      <c r="AG1031" s="2">
        <v>46304</v>
      </c>
      <c r="AH1031">
        <v>2292.0600000000004</v>
      </c>
      <c r="AI1031" s="3">
        <v>0.1854430223685653</v>
      </c>
      <c r="AJ1031" s="1">
        <v>224</v>
      </c>
      <c r="AK1031" s="2">
        <v>46487</v>
      </c>
      <c r="AL1031" s="4">
        <v>7</v>
      </c>
      <c r="AM1031" s="5">
        <v>7</v>
      </c>
      <c r="AN1031" s="4">
        <v>41</v>
      </c>
      <c r="AO1031">
        <v>553.2558620689656</v>
      </c>
      <c r="AP1031" s="4">
        <v>5</v>
      </c>
      <c r="AQ1031" t="s">
        <v>1619</v>
      </c>
      <c r="AR1031" t="s">
        <v>1620</v>
      </c>
      <c r="AT1031" s="16">
        <f>_xlfn.XLOOKUP(B1031,'SWiSH Demand Forecast Sep-26'!D:D,'SWiSH Demand Forecast Sep-26'!G:G,"Not Exist")</f>
        <v>9039.7473605535197</v>
      </c>
    </row>
    <row r="1032" spans="1:46" x14ac:dyDescent="0.3">
      <c r="A1032">
        <v>105200071</v>
      </c>
      <c r="B1032" t="s">
        <v>2935</v>
      </c>
      <c r="C1032" t="s">
        <v>10</v>
      </c>
      <c r="D1032" t="s">
        <v>1613</v>
      </c>
      <c r="E1032" t="s">
        <v>2201</v>
      </c>
      <c r="F1032" t="s">
        <v>1664</v>
      </c>
      <c r="G1032" t="s">
        <v>1624</v>
      </c>
      <c r="H1032" t="s">
        <v>1779</v>
      </c>
      <c r="I1032" t="s">
        <v>1634</v>
      </c>
      <c r="J1032" t="s">
        <v>10</v>
      </c>
      <c r="K1032">
        <v>1.9E-2</v>
      </c>
      <c r="L1032">
        <v>1385.1</v>
      </c>
      <c r="M1032" s="1">
        <v>30</v>
      </c>
      <c r="N1032">
        <v>0</v>
      </c>
      <c r="O1032">
        <v>600</v>
      </c>
      <c r="P1032">
        <v>72900</v>
      </c>
      <c r="Q1032" s="1">
        <v>72300</v>
      </c>
      <c r="R1032">
        <v>1.9E-2</v>
      </c>
      <c r="S1032" s="2">
        <v>46250</v>
      </c>
      <c r="T1032" s="2">
        <v>46263</v>
      </c>
      <c r="U1032">
        <v>45440</v>
      </c>
      <c r="V1032">
        <v>52200</v>
      </c>
      <c r="W1032">
        <v>44100</v>
      </c>
      <c r="X1032">
        <v>46200</v>
      </c>
      <c r="Y1032">
        <v>44100</v>
      </c>
      <c r="Z1032" s="8">
        <v>52200</v>
      </c>
      <c r="AA1032">
        <v>46985</v>
      </c>
      <c r="AB1032">
        <v>0.93859742471001384</v>
      </c>
      <c r="AC1032">
        <v>1.1109928700649143</v>
      </c>
      <c r="AD1032" s="1">
        <v>41</v>
      </c>
      <c r="AE1032" s="2">
        <v>46289</v>
      </c>
      <c r="AF1032" s="2">
        <v>46297</v>
      </c>
      <c r="AG1032" s="2">
        <v>46304</v>
      </c>
      <c r="AH1032">
        <v>39300</v>
      </c>
      <c r="AI1032" s="3">
        <v>0.7788347205707491</v>
      </c>
      <c r="AJ1032" s="1">
        <v>53</v>
      </c>
      <c r="AK1032" s="2">
        <v>46316</v>
      </c>
      <c r="AL1032" s="4">
        <v>15</v>
      </c>
      <c r="AM1032" s="5">
        <v>15</v>
      </c>
      <c r="AN1032" s="4">
        <v>41</v>
      </c>
      <c r="AO1032">
        <v>20327.586206896551</v>
      </c>
      <c r="AP1032" s="4">
        <v>2</v>
      </c>
      <c r="AQ1032">
        <v>179600</v>
      </c>
      <c r="AR1032" t="s">
        <v>2032</v>
      </c>
      <c r="AT1032" s="16" t="str">
        <f>_xlfn.XLOOKUP(B1032,'SWiSH Demand Forecast Sep-26'!D:D,'SWiSH Demand Forecast Sep-26'!G:G,"Not Exist")</f>
        <v>Not Exist</v>
      </c>
    </row>
    <row r="1033" spans="1:46" hidden="1" x14ac:dyDescent="0.3">
      <c r="A1033">
        <v>106600132</v>
      </c>
      <c r="B1033" t="s">
        <v>537</v>
      </c>
      <c r="C1033" t="s">
        <v>10</v>
      </c>
      <c r="D1033" t="s">
        <v>1613</v>
      </c>
      <c r="E1033" t="s">
        <v>1701</v>
      </c>
      <c r="F1033" t="s">
        <v>1664</v>
      </c>
      <c r="G1033" t="s">
        <v>1624</v>
      </c>
      <c r="H1033" t="s">
        <v>1723</v>
      </c>
      <c r="I1033" t="s">
        <v>1634</v>
      </c>
      <c r="J1033" t="s">
        <v>10</v>
      </c>
      <c r="K1033">
        <v>2.5000000000000001E-2</v>
      </c>
      <c r="L1033">
        <v>68.75</v>
      </c>
      <c r="M1033" s="1">
        <v>15</v>
      </c>
      <c r="N1033">
        <v>0</v>
      </c>
      <c r="O1033">
        <v>0</v>
      </c>
      <c r="P1033">
        <v>2750</v>
      </c>
      <c r="Q1033" s="1">
        <v>2750</v>
      </c>
      <c r="R1033">
        <v>2.5000000000000001E-2</v>
      </c>
      <c r="S1033" s="2">
        <v>46181</v>
      </c>
      <c r="T1033" s="2">
        <v>46261</v>
      </c>
      <c r="U1033">
        <v>2000</v>
      </c>
      <c r="V1033">
        <v>1250</v>
      </c>
      <c r="W1033">
        <v>1500</v>
      </c>
      <c r="X1033">
        <v>750</v>
      </c>
      <c r="Y1033">
        <v>750</v>
      </c>
      <c r="Z1033" s="8">
        <v>2000</v>
      </c>
      <c r="AA1033">
        <v>1375</v>
      </c>
      <c r="AB1033">
        <v>0.54545454545454541</v>
      </c>
      <c r="AC1033">
        <v>1.4545454545454546</v>
      </c>
      <c r="AD1033" s="1">
        <v>41</v>
      </c>
      <c r="AE1033" s="2">
        <v>46289</v>
      </c>
      <c r="AF1033" s="2">
        <v>46297</v>
      </c>
      <c r="AG1033" s="2">
        <v>46304</v>
      </c>
      <c r="AH1033">
        <v>1250</v>
      </c>
      <c r="AI1033" s="3">
        <v>0.64655172413793105</v>
      </c>
      <c r="AJ1033" s="1">
        <v>63</v>
      </c>
      <c r="AK1033" s="2">
        <v>46326</v>
      </c>
      <c r="AL1033" s="4">
        <v>30</v>
      </c>
      <c r="AM1033" s="5">
        <v>15</v>
      </c>
      <c r="AN1033" s="4">
        <v>41</v>
      </c>
      <c r="AO1033">
        <v>1293.1034482758623</v>
      </c>
      <c r="AP1033" s="4">
        <v>1</v>
      </c>
      <c r="AQ1033">
        <v>2500</v>
      </c>
      <c r="AR1033" t="s">
        <v>2215</v>
      </c>
      <c r="AT1033" s="16">
        <f>_xlfn.XLOOKUP(B1033,'SWiSH Demand Forecast Sep-26'!D:D,'SWiSH Demand Forecast Sep-26'!G:G,"Not Exist")</f>
        <v>1323</v>
      </c>
    </row>
    <row r="1034" spans="1:46" x14ac:dyDescent="0.3">
      <c r="A1034">
        <v>106600074</v>
      </c>
      <c r="B1034" t="s">
        <v>2936</v>
      </c>
      <c r="C1034" t="s">
        <v>10</v>
      </c>
      <c r="D1034" t="s">
        <v>1613</v>
      </c>
      <c r="E1034" t="s">
        <v>1685</v>
      </c>
      <c r="F1034" t="s">
        <v>1664</v>
      </c>
      <c r="G1034" t="s">
        <v>1624</v>
      </c>
      <c r="H1034" t="s">
        <v>1723</v>
      </c>
      <c r="I1034" t="s">
        <v>1634</v>
      </c>
      <c r="J1034" t="s">
        <v>10</v>
      </c>
      <c r="K1034">
        <v>8.0599999999999995E-3</v>
      </c>
      <c r="L1034">
        <v>185.38</v>
      </c>
      <c r="M1034" s="1">
        <v>15</v>
      </c>
      <c r="N1034">
        <v>0</v>
      </c>
      <c r="O1034">
        <v>1000</v>
      </c>
      <c r="P1034">
        <v>23000</v>
      </c>
      <c r="Q1034" s="1">
        <v>22000</v>
      </c>
      <c r="R1034">
        <v>7.0000000000000001E-3</v>
      </c>
      <c r="S1034" s="2">
        <v>46243</v>
      </c>
      <c r="T1034" s="2">
        <v>46261</v>
      </c>
      <c r="U1034">
        <v>15000</v>
      </c>
      <c r="V1034">
        <v>16000</v>
      </c>
      <c r="W1034">
        <v>10000</v>
      </c>
      <c r="X1034">
        <v>13000</v>
      </c>
      <c r="Y1034">
        <v>10000</v>
      </c>
      <c r="Z1034" s="8">
        <v>16000</v>
      </c>
      <c r="AA1034">
        <v>13500</v>
      </c>
      <c r="AB1034">
        <v>0.7407407407407407</v>
      </c>
      <c r="AC1034">
        <v>1.1851851851851851</v>
      </c>
      <c r="AD1034" s="1">
        <v>41</v>
      </c>
      <c r="AE1034" s="2">
        <v>46289</v>
      </c>
      <c r="AF1034" s="2">
        <v>46297</v>
      </c>
      <c r="AG1034" s="2">
        <v>46304</v>
      </c>
      <c r="AH1034">
        <v>8000</v>
      </c>
      <c r="AI1034" s="3">
        <v>0.51724137931034475</v>
      </c>
      <c r="AJ1034" s="1">
        <v>79</v>
      </c>
      <c r="AK1034" s="2">
        <v>46342</v>
      </c>
      <c r="AL1034" s="4">
        <v>30</v>
      </c>
      <c r="AM1034" s="5">
        <v>15</v>
      </c>
      <c r="AN1034" s="4">
        <v>41</v>
      </c>
      <c r="AO1034">
        <v>8275.8620689655163</v>
      </c>
      <c r="AP1034" s="4">
        <v>1</v>
      </c>
      <c r="AQ1034">
        <v>20000</v>
      </c>
      <c r="AR1034" t="s">
        <v>2215</v>
      </c>
      <c r="AT1034" s="16" t="str">
        <f>_xlfn.XLOOKUP(B1034,'SWiSH Demand Forecast Sep-26'!D:D,'SWiSH Demand Forecast Sep-26'!G:G,"Not Exist")</f>
        <v>Not Exist</v>
      </c>
    </row>
    <row r="1035" spans="1:46" hidden="1" x14ac:dyDescent="0.3">
      <c r="A1035">
        <v>100400124</v>
      </c>
      <c r="B1035" t="s">
        <v>1311</v>
      </c>
      <c r="C1035" t="s">
        <v>10</v>
      </c>
      <c r="D1035" t="s">
        <v>1613</v>
      </c>
      <c r="E1035" t="s">
        <v>1655</v>
      </c>
      <c r="F1035" t="s">
        <v>1664</v>
      </c>
      <c r="G1035" t="s">
        <v>1624</v>
      </c>
      <c r="H1035" t="s">
        <v>1810</v>
      </c>
      <c r="I1035" t="s">
        <v>1634</v>
      </c>
      <c r="J1035" t="s">
        <v>10</v>
      </c>
      <c r="K1035">
        <v>0.32</v>
      </c>
      <c r="L1035">
        <v>64</v>
      </c>
      <c r="M1035" s="1">
        <v>30</v>
      </c>
      <c r="N1035">
        <v>0</v>
      </c>
      <c r="O1035">
        <v>0</v>
      </c>
      <c r="P1035">
        <v>200</v>
      </c>
      <c r="Q1035" s="1">
        <v>200</v>
      </c>
      <c r="R1035">
        <v>0.32</v>
      </c>
      <c r="S1035" s="2">
        <v>45873</v>
      </c>
      <c r="T1035" s="2">
        <v>46253</v>
      </c>
      <c r="U1035">
        <v>140</v>
      </c>
      <c r="V1035">
        <v>40</v>
      </c>
      <c r="W1035">
        <v>80</v>
      </c>
      <c r="X1035">
        <v>60</v>
      </c>
      <c r="Y1035">
        <v>40</v>
      </c>
      <c r="Z1035" s="8">
        <v>140</v>
      </c>
      <c r="AA1035">
        <v>80</v>
      </c>
      <c r="AB1035">
        <v>0.5</v>
      </c>
      <c r="AC1035">
        <v>1.75</v>
      </c>
      <c r="AD1035" s="1">
        <v>42</v>
      </c>
      <c r="AE1035" s="2">
        <v>46290</v>
      </c>
      <c r="AF1035" s="2">
        <v>46298</v>
      </c>
      <c r="AG1035" s="2">
        <v>46305</v>
      </c>
      <c r="AH1035">
        <v>40</v>
      </c>
      <c r="AI1035" s="3">
        <v>0.29556650246305421</v>
      </c>
      <c r="AJ1035" s="1">
        <v>145</v>
      </c>
      <c r="AK1035" s="2">
        <v>46408</v>
      </c>
      <c r="AL1035" s="4">
        <v>30</v>
      </c>
      <c r="AM1035" s="5">
        <v>15</v>
      </c>
      <c r="AN1035" s="4">
        <v>42</v>
      </c>
      <c r="AO1035">
        <v>41.379310344827587</v>
      </c>
      <c r="AP1035" s="4">
        <v>1</v>
      </c>
      <c r="AQ1035">
        <v>6000</v>
      </c>
      <c r="AR1035" t="s">
        <v>2202</v>
      </c>
      <c r="AT1035" s="16">
        <f>_xlfn.XLOOKUP(B1035,'SWiSH Demand Forecast Sep-26'!D:D,'SWiSH Demand Forecast Sep-26'!G:G,"Not Exist")</f>
        <v>30</v>
      </c>
    </row>
    <row r="1036" spans="1:46" hidden="1" x14ac:dyDescent="0.3">
      <c r="A1036">
        <v>106600085</v>
      </c>
      <c r="B1036" t="s">
        <v>127</v>
      </c>
      <c r="C1036" t="s">
        <v>10</v>
      </c>
      <c r="D1036" t="s">
        <v>1613</v>
      </c>
      <c r="E1036" t="s">
        <v>1926</v>
      </c>
      <c r="F1036" t="s">
        <v>1664</v>
      </c>
      <c r="G1036" t="s">
        <v>1624</v>
      </c>
      <c r="H1036" t="s">
        <v>1723</v>
      </c>
      <c r="I1036" t="s">
        <v>1634</v>
      </c>
      <c r="J1036" t="s">
        <v>10</v>
      </c>
      <c r="K1036">
        <v>5.4000000000000003E-3</v>
      </c>
      <c r="L1036">
        <v>189</v>
      </c>
      <c r="M1036" s="1">
        <v>15</v>
      </c>
      <c r="N1036">
        <v>0</v>
      </c>
      <c r="O1036">
        <v>0</v>
      </c>
      <c r="P1036">
        <v>35000</v>
      </c>
      <c r="Q1036" s="1">
        <v>35000</v>
      </c>
      <c r="R1036">
        <v>5.4000000000000003E-3</v>
      </c>
      <c r="S1036" s="2">
        <v>46251</v>
      </c>
      <c r="T1036" s="2">
        <v>46254</v>
      </c>
      <c r="U1036">
        <v>15000</v>
      </c>
      <c r="V1036">
        <v>25000</v>
      </c>
      <c r="W1036">
        <v>10000</v>
      </c>
      <c r="X1036">
        <v>0</v>
      </c>
      <c r="Y1036">
        <v>0</v>
      </c>
      <c r="Z1036" s="8">
        <v>25000</v>
      </c>
      <c r="AA1036">
        <v>12500</v>
      </c>
      <c r="AB1036">
        <v>0</v>
      </c>
      <c r="AC1036">
        <v>2</v>
      </c>
      <c r="AD1036" s="1">
        <v>42</v>
      </c>
      <c r="AE1036" s="2">
        <v>46290</v>
      </c>
      <c r="AF1036" s="2">
        <v>46298</v>
      </c>
      <c r="AG1036" s="2">
        <v>46305</v>
      </c>
      <c r="AH1036">
        <v>18000</v>
      </c>
      <c r="AI1036" s="3">
        <v>0.74482758620689649</v>
      </c>
      <c r="AJ1036" s="1">
        <v>56</v>
      </c>
      <c r="AK1036" s="2">
        <v>46319</v>
      </c>
      <c r="AL1036" s="4">
        <v>30</v>
      </c>
      <c r="AM1036" s="5">
        <v>15</v>
      </c>
      <c r="AN1036" s="4">
        <v>42</v>
      </c>
      <c r="AO1036">
        <v>18620.689655172413</v>
      </c>
      <c r="AP1036" s="4">
        <v>1</v>
      </c>
      <c r="AQ1036">
        <v>75000</v>
      </c>
      <c r="AR1036" t="s">
        <v>2034</v>
      </c>
      <c r="AT1036" s="16">
        <f>_xlfn.XLOOKUP(B1036,'SWiSH Demand Forecast Sep-26'!D:D,'SWiSH Demand Forecast Sep-26'!G:G,"Not Exist")</f>
        <v>14717</v>
      </c>
    </row>
    <row r="1037" spans="1:46" hidden="1" x14ac:dyDescent="0.3">
      <c r="A1037">
        <v>100400203</v>
      </c>
      <c r="B1037" t="s">
        <v>440</v>
      </c>
      <c r="C1037" t="s">
        <v>10</v>
      </c>
      <c r="D1037" t="s">
        <v>1613</v>
      </c>
      <c r="E1037" t="s">
        <v>1638</v>
      </c>
      <c r="F1037" t="s">
        <v>1664</v>
      </c>
      <c r="G1037" t="s">
        <v>1624</v>
      </c>
      <c r="H1037" t="s">
        <v>1810</v>
      </c>
      <c r="I1037" t="s">
        <v>1634</v>
      </c>
      <c r="J1037" t="s">
        <v>10</v>
      </c>
      <c r="K1037">
        <v>1.4500000000000001E-2</v>
      </c>
      <c r="L1037">
        <v>462.55</v>
      </c>
      <c r="M1037" s="1">
        <v>30</v>
      </c>
      <c r="N1037">
        <v>0</v>
      </c>
      <c r="O1037">
        <v>0</v>
      </c>
      <c r="P1037">
        <v>31900</v>
      </c>
      <c r="Q1037" s="1">
        <v>31900</v>
      </c>
      <c r="R1037">
        <v>1.4500000000000001E-2</v>
      </c>
      <c r="S1037" s="2">
        <v>46235</v>
      </c>
      <c r="T1037" s="2">
        <v>46259</v>
      </c>
      <c r="U1037">
        <v>22550</v>
      </c>
      <c r="V1037">
        <v>11550</v>
      </c>
      <c r="W1037">
        <v>8800</v>
      </c>
      <c r="X1037">
        <v>4400</v>
      </c>
      <c r="Y1037">
        <v>4400</v>
      </c>
      <c r="Z1037" s="8">
        <v>22550</v>
      </c>
      <c r="AA1037">
        <v>11825</v>
      </c>
      <c r="AB1037">
        <v>0.37209302325581395</v>
      </c>
      <c r="AC1037">
        <v>1.9069767441860466</v>
      </c>
      <c r="AD1037" s="1">
        <v>42</v>
      </c>
      <c r="AE1037" s="2">
        <v>46290</v>
      </c>
      <c r="AF1037" s="2">
        <v>46298</v>
      </c>
      <c r="AG1037" s="2">
        <v>46305</v>
      </c>
      <c r="AH1037">
        <v>3850</v>
      </c>
      <c r="AI1037" s="3">
        <v>0.17661900756938603</v>
      </c>
      <c r="AJ1037" s="1">
        <v>240</v>
      </c>
      <c r="AK1037" s="2">
        <v>46503</v>
      </c>
      <c r="AL1037" s="4">
        <v>30</v>
      </c>
      <c r="AM1037" s="5">
        <v>15</v>
      </c>
      <c r="AN1037" s="4">
        <v>42</v>
      </c>
      <c r="AO1037">
        <v>3982.7586206896549</v>
      </c>
      <c r="AP1037" s="4">
        <v>1</v>
      </c>
      <c r="AQ1037">
        <v>185400</v>
      </c>
      <c r="AR1037" t="s">
        <v>2521</v>
      </c>
      <c r="AT1037" s="16">
        <f>_xlfn.XLOOKUP(B1037,'SWiSH Demand Forecast Sep-26'!D:D,'SWiSH Demand Forecast Sep-26'!G:G,"Not Exist")</f>
        <v>2170</v>
      </c>
    </row>
    <row r="1038" spans="1:46" x14ac:dyDescent="0.3">
      <c r="A1038">
        <v>106800038</v>
      </c>
      <c r="B1038" t="s">
        <v>2937</v>
      </c>
      <c r="C1038" t="s">
        <v>10</v>
      </c>
      <c r="D1038" t="s">
        <v>1613</v>
      </c>
      <c r="E1038" t="s">
        <v>1685</v>
      </c>
      <c r="F1038" t="s">
        <v>1664</v>
      </c>
      <c r="G1038" t="s">
        <v>1624</v>
      </c>
      <c r="H1038" t="s">
        <v>1665</v>
      </c>
      <c r="I1038" t="s">
        <v>1634</v>
      </c>
      <c r="J1038" t="s">
        <v>10</v>
      </c>
      <c r="K1038">
        <v>3.0000000000000001E-3</v>
      </c>
      <c r="L1038">
        <v>337.5</v>
      </c>
      <c r="M1038" s="1">
        <v>7</v>
      </c>
      <c r="N1038">
        <v>0</v>
      </c>
      <c r="O1038">
        <v>0</v>
      </c>
      <c r="P1038">
        <v>112500</v>
      </c>
      <c r="Q1038" s="1">
        <v>112500</v>
      </c>
      <c r="R1038">
        <v>3.0000000000000001E-3</v>
      </c>
      <c r="S1038" s="2">
        <v>46243</v>
      </c>
      <c r="T1038" s="2">
        <v>46257</v>
      </c>
      <c r="U1038">
        <v>77500</v>
      </c>
      <c r="V1038">
        <v>80000</v>
      </c>
      <c r="W1038">
        <v>57500</v>
      </c>
      <c r="X1038">
        <v>52500</v>
      </c>
      <c r="Y1038">
        <v>52500</v>
      </c>
      <c r="Z1038" s="8">
        <v>80000</v>
      </c>
      <c r="AA1038">
        <v>66875</v>
      </c>
      <c r="AB1038">
        <v>0.78504672897196259</v>
      </c>
      <c r="AC1038">
        <v>1.1962616822429906</v>
      </c>
      <c r="AD1038" s="1">
        <v>42</v>
      </c>
      <c r="AE1038" s="2">
        <v>46290</v>
      </c>
      <c r="AF1038" s="2">
        <v>46298</v>
      </c>
      <c r="AG1038" s="2">
        <v>46305</v>
      </c>
      <c r="AH1038">
        <v>42500</v>
      </c>
      <c r="AI1038" s="3">
        <v>0.54956896551724144</v>
      </c>
      <c r="AJ1038" s="1">
        <v>76</v>
      </c>
      <c r="AK1038" s="2">
        <v>46339</v>
      </c>
      <c r="AL1038" s="4">
        <v>30</v>
      </c>
      <c r="AM1038" s="5">
        <v>15</v>
      </c>
      <c r="AN1038" s="4">
        <v>42</v>
      </c>
      <c r="AO1038">
        <v>43965.517241379312</v>
      </c>
      <c r="AP1038" s="4">
        <v>1</v>
      </c>
      <c r="AQ1038">
        <v>85000</v>
      </c>
      <c r="AR1038" t="s">
        <v>2215</v>
      </c>
      <c r="AT1038" s="16" t="str">
        <f>_xlfn.XLOOKUP(B1038,'SWiSH Demand Forecast Sep-26'!D:D,'SWiSH Demand Forecast Sep-26'!G:G,"Not Exist")</f>
        <v>Not Exist</v>
      </c>
    </row>
    <row r="1039" spans="1:46" x14ac:dyDescent="0.3">
      <c r="A1039">
        <v>106800352</v>
      </c>
      <c r="B1039" t="s">
        <v>2938</v>
      </c>
      <c r="C1039" t="s">
        <v>10</v>
      </c>
      <c r="D1039" t="s">
        <v>1613</v>
      </c>
      <c r="E1039" t="s">
        <v>1685</v>
      </c>
      <c r="F1039" t="s">
        <v>1664</v>
      </c>
      <c r="G1039" t="s">
        <v>1624</v>
      </c>
      <c r="H1039" t="s">
        <v>1665</v>
      </c>
      <c r="I1039" t="s">
        <v>1634</v>
      </c>
      <c r="J1039" t="s">
        <v>10</v>
      </c>
      <c r="K1039">
        <v>6.0000000000000001E-3</v>
      </c>
      <c r="L1039">
        <v>120</v>
      </c>
      <c r="M1039" s="1">
        <v>7</v>
      </c>
      <c r="N1039">
        <v>0</v>
      </c>
      <c r="O1039">
        <v>0</v>
      </c>
      <c r="P1039">
        <v>20000</v>
      </c>
      <c r="Q1039" s="1">
        <v>20000</v>
      </c>
      <c r="R1039">
        <v>6.0000000000000001E-3</v>
      </c>
      <c r="S1039" s="2">
        <v>46243</v>
      </c>
      <c r="T1039" s="2">
        <v>46257</v>
      </c>
      <c r="U1039">
        <v>0</v>
      </c>
      <c r="V1039">
        <v>14000</v>
      </c>
      <c r="W1039">
        <v>14000</v>
      </c>
      <c r="X1039">
        <v>12000</v>
      </c>
      <c r="Y1039">
        <v>0</v>
      </c>
      <c r="Z1039" s="8">
        <v>14000</v>
      </c>
      <c r="AA1039">
        <v>10000</v>
      </c>
      <c r="AB1039">
        <v>0</v>
      </c>
      <c r="AC1039">
        <v>1.4</v>
      </c>
      <c r="AD1039" s="1">
        <v>42</v>
      </c>
      <c r="AE1039" s="2">
        <v>46290</v>
      </c>
      <c r="AF1039" s="2">
        <v>46298</v>
      </c>
      <c r="AG1039" s="2">
        <v>46305</v>
      </c>
      <c r="AH1039">
        <v>15000</v>
      </c>
      <c r="AI1039" s="3">
        <v>1.1083743842364531</v>
      </c>
      <c r="AJ1039" s="1">
        <v>38</v>
      </c>
      <c r="AK1039" s="2">
        <v>46301</v>
      </c>
      <c r="AL1039" s="4">
        <v>30</v>
      </c>
      <c r="AM1039" s="5">
        <v>15</v>
      </c>
      <c r="AN1039" s="4">
        <v>38</v>
      </c>
      <c r="AO1039">
        <v>15517.241379310342</v>
      </c>
      <c r="AP1039" s="4">
        <v>1</v>
      </c>
      <c r="AQ1039">
        <v>15000</v>
      </c>
      <c r="AR1039" t="s">
        <v>2215</v>
      </c>
      <c r="AS1039" t="s">
        <v>1666</v>
      </c>
      <c r="AT1039" s="16" t="str">
        <f>_xlfn.XLOOKUP(B1039,'SWiSH Demand Forecast Sep-26'!D:D,'SWiSH Demand Forecast Sep-26'!G:G,"Not Exist")</f>
        <v>Not Exist</v>
      </c>
    </row>
    <row r="1040" spans="1:46" x14ac:dyDescent="0.3">
      <c r="A1040">
        <v>101400024</v>
      </c>
      <c r="B1040" t="s">
        <v>2939</v>
      </c>
      <c r="C1040" t="s">
        <v>10</v>
      </c>
      <c r="D1040" t="s">
        <v>1613</v>
      </c>
      <c r="E1040" t="s">
        <v>2940</v>
      </c>
      <c r="F1040" t="s">
        <v>1644</v>
      </c>
      <c r="G1040" t="s">
        <v>1624</v>
      </c>
      <c r="H1040" t="s">
        <v>1693</v>
      </c>
      <c r="I1040" t="s">
        <v>1634</v>
      </c>
      <c r="J1040" t="s">
        <v>10</v>
      </c>
      <c r="K1040">
        <v>0.54166667000000002</v>
      </c>
      <c r="L1040">
        <v>68.250000420000006</v>
      </c>
      <c r="M1040" s="1">
        <v>3</v>
      </c>
      <c r="N1040">
        <v>0</v>
      </c>
      <c r="O1040">
        <v>0</v>
      </c>
      <c r="P1040">
        <v>126</v>
      </c>
      <c r="Q1040" s="1">
        <v>126</v>
      </c>
      <c r="R1040">
        <v>6.5</v>
      </c>
      <c r="S1040" s="2">
        <v>46258</v>
      </c>
      <c r="T1040" s="2">
        <v>46262</v>
      </c>
      <c r="U1040">
        <v>15</v>
      </c>
      <c r="V1040">
        <v>89</v>
      </c>
      <c r="W1040">
        <v>66</v>
      </c>
      <c r="X1040">
        <v>56</v>
      </c>
      <c r="Y1040">
        <v>15</v>
      </c>
      <c r="Z1040" s="8">
        <v>89</v>
      </c>
      <c r="AA1040">
        <v>56.5</v>
      </c>
      <c r="AB1040">
        <v>0.26548672566371684</v>
      </c>
      <c r="AC1040">
        <v>1.5752212389380531</v>
      </c>
      <c r="AD1040" s="1">
        <v>42</v>
      </c>
      <c r="AE1040" s="2">
        <v>46290</v>
      </c>
      <c r="AF1040" s="2">
        <v>46298</v>
      </c>
      <c r="AG1040" s="2">
        <v>46305</v>
      </c>
      <c r="AH1040">
        <v>53</v>
      </c>
      <c r="AI1040" s="3">
        <v>0.61604029445951181</v>
      </c>
      <c r="AJ1040" s="1">
        <v>68</v>
      </c>
      <c r="AK1040" s="2">
        <v>46331</v>
      </c>
      <c r="AL1040" s="4">
        <v>30</v>
      </c>
      <c r="AM1040" s="5">
        <v>15</v>
      </c>
      <c r="AN1040" s="4">
        <v>42</v>
      </c>
      <c r="AO1040">
        <v>54.827586206896548</v>
      </c>
      <c r="AP1040" s="4">
        <v>1</v>
      </c>
      <c r="AQ1040" t="s">
        <v>1619</v>
      </c>
      <c r="AR1040" t="s">
        <v>1620</v>
      </c>
      <c r="AT1040" s="16" t="str">
        <f>_xlfn.XLOOKUP(B1040,'SWiSH Demand Forecast Sep-26'!D:D,'SWiSH Demand Forecast Sep-26'!G:G,"Not Exist")</f>
        <v>Not Exist</v>
      </c>
    </row>
    <row r="1041" spans="1:46" hidden="1" x14ac:dyDescent="0.3">
      <c r="A1041">
        <v>100300019</v>
      </c>
      <c r="B1041" t="s">
        <v>1182</v>
      </c>
      <c r="C1041" t="s">
        <v>136</v>
      </c>
      <c r="D1041" t="s">
        <v>1613</v>
      </c>
      <c r="E1041" t="s">
        <v>2177</v>
      </c>
      <c r="F1041" t="s">
        <v>1752</v>
      </c>
      <c r="G1041" t="s">
        <v>1616</v>
      </c>
      <c r="H1041" t="s">
        <v>2018</v>
      </c>
      <c r="I1041" t="s">
        <v>1754</v>
      </c>
      <c r="J1041" t="s">
        <v>1942</v>
      </c>
      <c r="K1041">
        <v>3.9891304299999999</v>
      </c>
      <c r="L1041">
        <v>638.26086880000003</v>
      </c>
      <c r="M1041" s="1">
        <v>3</v>
      </c>
      <c r="N1041">
        <v>0</v>
      </c>
      <c r="O1041">
        <v>0</v>
      </c>
      <c r="P1041">
        <v>160</v>
      </c>
      <c r="Q1041" s="1">
        <v>160</v>
      </c>
      <c r="R1041">
        <v>38</v>
      </c>
      <c r="S1041" s="2">
        <v>45894</v>
      </c>
      <c r="T1041" s="2">
        <v>46261</v>
      </c>
      <c r="U1041">
        <v>16</v>
      </c>
      <c r="V1041">
        <v>112</v>
      </c>
      <c r="W1041">
        <v>0</v>
      </c>
      <c r="X1041">
        <v>96</v>
      </c>
      <c r="Y1041">
        <v>0</v>
      </c>
      <c r="Z1041" s="8">
        <v>112</v>
      </c>
      <c r="AA1041">
        <v>56</v>
      </c>
      <c r="AB1041">
        <v>0</v>
      </c>
      <c r="AC1041">
        <v>2</v>
      </c>
      <c r="AD1041" s="1">
        <v>42</v>
      </c>
      <c r="AE1041" s="2">
        <v>46290</v>
      </c>
      <c r="AF1041" s="2">
        <v>46298</v>
      </c>
      <c r="AG1041" s="2">
        <v>46305</v>
      </c>
      <c r="AH1041">
        <v>112</v>
      </c>
      <c r="AI1041" s="3">
        <v>1.0344827586206897</v>
      </c>
      <c r="AJ1041" s="1">
        <v>41</v>
      </c>
      <c r="AK1041" s="2">
        <v>46304</v>
      </c>
      <c r="AL1041" s="4">
        <v>15</v>
      </c>
      <c r="AM1041" s="5">
        <v>15</v>
      </c>
      <c r="AN1041" s="4">
        <v>41</v>
      </c>
      <c r="AO1041">
        <v>57.931034482758626</v>
      </c>
      <c r="AP1041" s="4">
        <v>2</v>
      </c>
      <c r="AQ1041" t="s">
        <v>1619</v>
      </c>
      <c r="AR1041" t="s">
        <v>2941</v>
      </c>
      <c r="AT1041" s="16">
        <f>_xlfn.XLOOKUP(B1041,'SWiSH Demand Forecast Sep-26'!D:D,'SWiSH Demand Forecast Sep-26'!G:G,"Not Exist")</f>
        <v>64.530551415797305</v>
      </c>
    </row>
    <row r="1042" spans="1:46" x14ac:dyDescent="0.3">
      <c r="A1042">
        <v>106800123</v>
      </c>
      <c r="B1042" t="s">
        <v>2942</v>
      </c>
      <c r="C1042" t="s">
        <v>10</v>
      </c>
      <c r="D1042" t="s">
        <v>1613</v>
      </c>
      <c r="E1042" t="s">
        <v>1745</v>
      </c>
      <c r="F1042" t="s">
        <v>1664</v>
      </c>
      <c r="G1042" t="s">
        <v>1624</v>
      </c>
      <c r="H1042" t="s">
        <v>1665</v>
      </c>
      <c r="I1042" t="s">
        <v>1634</v>
      </c>
      <c r="J1042" t="s">
        <v>10</v>
      </c>
      <c r="K1042">
        <v>4.9057900000000002E-3</v>
      </c>
      <c r="L1042">
        <v>181.51423</v>
      </c>
      <c r="M1042" s="1">
        <v>7</v>
      </c>
      <c r="N1042">
        <v>0</v>
      </c>
      <c r="O1042">
        <v>0</v>
      </c>
      <c r="P1042">
        <v>37000</v>
      </c>
      <c r="Q1042" s="1">
        <v>37000</v>
      </c>
      <c r="R1042">
        <v>5.0000000000000001E-3</v>
      </c>
      <c r="S1042" s="2">
        <v>46188</v>
      </c>
      <c r="T1042" s="2">
        <v>46261</v>
      </c>
      <c r="U1042">
        <v>26000</v>
      </c>
      <c r="V1042">
        <v>18000</v>
      </c>
      <c r="W1042">
        <v>22000</v>
      </c>
      <c r="X1042">
        <v>22000</v>
      </c>
      <c r="Y1042">
        <v>18000</v>
      </c>
      <c r="Z1042" s="8">
        <v>26000</v>
      </c>
      <c r="AA1042">
        <v>22000</v>
      </c>
      <c r="AB1042">
        <v>0.81818181818181823</v>
      </c>
      <c r="AC1042">
        <v>1.1818181818181819</v>
      </c>
      <c r="AD1042" s="1">
        <v>42</v>
      </c>
      <c r="AE1042" s="2">
        <v>46290</v>
      </c>
      <c r="AF1042" s="2">
        <v>46298</v>
      </c>
      <c r="AG1042" s="2">
        <v>46305</v>
      </c>
      <c r="AH1042">
        <v>20000</v>
      </c>
      <c r="AI1042" s="3">
        <v>0.79575596816976124</v>
      </c>
      <c r="AJ1042" s="1">
        <v>53</v>
      </c>
      <c r="AK1042" s="2">
        <v>46316</v>
      </c>
      <c r="AL1042" s="4">
        <v>30</v>
      </c>
      <c r="AM1042" s="5">
        <v>15</v>
      </c>
      <c r="AN1042" s="4">
        <v>42</v>
      </c>
      <c r="AO1042">
        <v>20689.655172413793</v>
      </c>
      <c r="AP1042" s="4">
        <v>1</v>
      </c>
      <c r="AQ1042">
        <v>130000</v>
      </c>
      <c r="AR1042" t="s">
        <v>1829</v>
      </c>
      <c r="AT1042" s="16" t="str">
        <f>_xlfn.XLOOKUP(B1042,'SWiSH Demand Forecast Sep-26'!D:D,'SWiSH Demand Forecast Sep-26'!G:G,"Not Exist")</f>
        <v>Not Exist</v>
      </c>
    </row>
    <row r="1043" spans="1:46" hidden="1" x14ac:dyDescent="0.3">
      <c r="A1043">
        <v>100100164</v>
      </c>
      <c r="B1043" t="s">
        <v>1525</v>
      </c>
      <c r="C1043" t="s">
        <v>136</v>
      </c>
      <c r="D1043" t="s">
        <v>1613</v>
      </c>
      <c r="E1043" t="s">
        <v>1796</v>
      </c>
      <c r="F1043" t="s">
        <v>1615</v>
      </c>
      <c r="G1043" t="s">
        <v>1616</v>
      </c>
      <c r="H1043" t="s">
        <v>1877</v>
      </c>
      <c r="I1043" t="s">
        <v>1618</v>
      </c>
      <c r="J1043" t="s">
        <v>136</v>
      </c>
      <c r="K1043">
        <v>1.23606555</v>
      </c>
      <c r="L1043">
        <v>38.194425494999997</v>
      </c>
      <c r="M1043" s="1">
        <v>3</v>
      </c>
      <c r="N1043">
        <v>0</v>
      </c>
      <c r="O1043">
        <v>0</v>
      </c>
      <c r="P1043">
        <v>30.9</v>
      </c>
      <c r="Q1043" s="1">
        <v>30.9</v>
      </c>
      <c r="R1043">
        <v>0.37082999999999999</v>
      </c>
      <c r="S1043" s="2">
        <v>46154</v>
      </c>
      <c r="T1043" s="2">
        <v>46263</v>
      </c>
      <c r="U1043">
        <v>1.8</v>
      </c>
      <c r="V1043">
        <v>20.8</v>
      </c>
      <c r="W1043">
        <v>0</v>
      </c>
      <c r="X1043">
        <v>21.6</v>
      </c>
      <c r="Y1043">
        <v>0</v>
      </c>
      <c r="Z1043" s="8">
        <v>21.6</v>
      </c>
      <c r="AA1043">
        <v>11.05</v>
      </c>
      <c r="AB1043">
        <v>0</v>
      </c>
      <c r="AC1043">
        <v>1.9547511312217194</v>
      </c>
      <c r="AD1043" s="1">
        <v>42</v>
      </c>
      <c r="AE1043" s="2">
        <v>46290</v>
      </c>
      <c r="AF1043" s="2">
        <v>46298</v>
      </c>
      <c r="AG1043" s="2">
        <v>46305</v>
      </c>
      <c r="AH1043">
        <v>12.299999999999999</v>
      </c>
      <c r="AI1043" s="3">
        <v>0.58908045977011492</v>
      </c>
      <c r="AJ1043" s="1">
        <v>72</v>
      </c>
      <c r="AK1043" s="2">
        <v>46335</v>
      </c>
      <c r="AL1043" s="4">
        <v>30</v>
      </c>
      <c r="AM1043" s="5">
        <v>15</v>
      </c>
      <c r="AN1043" s="4">
        <v>42</v>
      </c>
      <c r="AO1043">
        <v>12.724137931034482</v>
      </c>
      <c r="AP1043" s="4">
        <v>1</v>
      </c>
      <c r="AQ1043" t="s">
        <v>1619</v>
      </c>
      <c r="AR1043" t="s">
        <v>1620</v>
      </c>
      <c r="AS1043" t="s">
        <v>1666</v>
      </c>
      <c r="AT1043" s="16">
        <f>_xlfn.XLOOKUP(B1043,'SWiSH Demand Forecast Sep-26'!D:D,'SWiSH Demand Forecast Sep-26'!G:G,"Not Exist")</f>
        <v>1.57076923076923</v>
      </c>
    </row>
    <row r="1044" spans="1:46" hidden="1" x14ac:dyDescent="0.3">
      <c r="A1044">
        <v>106800139</v>
      </c>
      <c r="B1044" t="s">
        <v>234</v>
      </c>
      <c r="C1044" t="s">
        <v>10</v>
      </c>
      <c r="D1044" t="s">
        <v>1613</v>
      </c>
      <c r="E1044" t="s">
        <v>1638</v>
      </c>
      <c r="F1044" t="s">
        <v>1664</v>
      </c>
      <c r="G1044" t="s">
        <v>1624</v>
      </c>
      <c r="H1044" t="s">
        <v>1665</v>
      </c>
      <c r="I1044" t="s">
        <v>1634</v>
      </c>
      <c r="J1044" t="s">
        <v>10</v>
      </c>
      <c r="K1044">
        <v>4.6329099999999996E-3</v>
      </c>
      <c r="L1044">
        <v>138.98729999999998</v>
      </c>
      <c r="M1044" s="1">
        <v>15</v>
      </c>
      <c r="N1044">
        <v>0</v>
      </c>
      <c r="O1044">
        <v>0</v>
      </c>
      <c r="P1044">
        <v>30000</v>
      </c>
      <c r="Q1044" s="1">
        <v>30000</v>
      </c>
      <c r="R1044">
        <v>5.0000000000000001E-3</v>
      </c>
      <c r="S1044" s="2">
        <v>46188</v>
      </c>
      <c r="T1044" s="2">
        <v>46263</v>
      </c>
      <c r="U1044">
        <v>21000</v>
      </c>
      <c r="V1044">
        <v>11000</v>
      </c>
      <c r="W1044">
        <v>13000</v>
      </c>
      <c r="X1044">
        <v>16000</v>
      </c>
      <c r="Y1044">
        <v>11000</v>
      </c>
      <c r="Z1044" s="8">
        <v>21000</v>
      </c>
      <c r="AA1044">
        <v>15250</v>
      </c>
      <c r="AB1044">
        <v>0.72131147540983609</v>
      </c>
      <c r="AC1044">
        <v>1.3770491803278688</v>
      </c>
      <c r="AD1044" s="1">
        <v>42</v>
      </c>
      <c r="AE1044" s="2">
        <v>46290</v>
      </c>
      <c r="AF1044" s="2">
        <v>46298</v>
      </c>
      <c r="AG1044" s="2">
        <v>46305</v>
      </c>
      <c r="AH1044">
        <v>22000</v>
      </c>
      <c r="AI1044" s="3">
        <v>1.083743842364532</v>
      </c>
      <c r="AJ1044" s="1">
        <v>39</v>
      </c>
      <c r="AK1044" s="2">
        <v>46302</v>
      </c>
      <c r="AL1044" s="4">
        <v>30</v>
      </c>
      <c r="AM1044" s="5">
        <v>15</v>
      </c>
      <c r="AN1044" s="4">
        <v>39</v>
      </c>
      <c r="AO1044">
        <v>22758.620689655174</v>
      </c>
      <c r="AP1044" s="4">
        <v>1</v>
      </c>
      <c r="AQ1044">
        <v>30000</v>
      </c>
      <c r="AR1044" t="s">
        <v>1829</v>
      </c>
      <c r="AT1044" s="16">
        <f>_xlfn.XLOOKUP(B1044,'SWiSH Demand Forecast Sep-26'!D:D,'SWiSH Demand Forecast Sep-26'!G:G,"Not Exist")</f>
        <v>7414</v>
      </c>
    </row>
    <row r="1045" spans="1:46" hidden="1" x14ac:dyDescent="0.3">
      <c r="A1045">
        <v>105900060</v>
      </c>
      <c r="B1045" t="s">
        <v>40</v>
      </c>
      <c r="C1045" t="s">
        <v>10</v>
      </c>
      <c r="D1045" t="s">
        <v>1613</v>
      </c>
      <c r="E1045" t="s">
        <v>1732</v>
      </c>
      <c r="F1045" t="s">
        <v>1631</v>
      </c>
      <c r="G1045" t="s">
        <v>1616</v>
      </c>
      <c r="H1045" t="s">
        <v>1729</v>
      </c>
      <c r="I1045" t="s">
        <v>1634</v>
      </c>
      <c r="J1045" t="s">
        <v>2943</v>
      </c>
      <c r="K1045">
        <v>7.561E-3</v>
      </c>
      <c r="L1045">
        <v>2699.277</v>
      </c>
      <c r="M1045" s="1">
        <v>90</v>
      </c>
      <c r="N1045">
        <v>0</v>
      </c>
      <c r="O1045">
        <v>0</v>
      </c>
      <c r="P1045">
        <v>357000</v>
      </c>
      <c r="Q1045" s="1">
        <v>357000</v>
      </c>
      <c r="R1045">
        <v>8.1738400000000002</v>
      </c>
      <c r="S1045" s="2">
        <v>46245</v>
      </c>
      <c r="T1045" s="2">
        <v>46263</v>
      </c>
      <c r="U1045">
        <v>228500</v>
      </c>
      <c r="V1045">
        <v>251500</v>
      </c>
      <c r="W1045">
        <v>246000</v>
      </c>
      <c r="X1045">
        <v>231000</v>
      </c>
      <c r="Y1045">
        <v>228500</v>
      </c>
      <c r="Z1045" s="8">
        <v>251500</v>
      </c>
      <c r="AA1045">
        <v>239250</v>
      </c>
      <c r="AB1045">
        <v>0.95506792058516199</v>
      </c>
      <c r="AC1045">
        <v>1.0512016718913271</v>
      </c>
      <c r="AD1045" s="1">
        <v>42</v>
      </c>
      <c r="AE1045" s="2">
        <v>46290</v>
      </c>
      <c r="AF1045" s="2">
        <v>46298</v>
      </c>
      <c r="AG1045" s="2">
        <v>46305</v>
      </c>
      <c r="AH1045">
        <v>237000</v>
      </c>
      <c r="AI1045" s="3">
        <v>0.97484061150339341</v>
      </c>
      <c r="AJ1045" s="1">
        <v>43</v>
      </c>
      <c r="AK1045" s="2">
        <v>46306</v>
      </c>
      <c r="AL1045" s="4">
        <v>120</v>
      </c>
      <c r="AM1045" s="5">
        <v>100</v>
      </c>
      <c r="AN1045" s="4">
        <v>42</v>
      </c>
      <c r="AO1045">
        <v>980689.65517241391</v>
      </c>
      <c r="AP1045" s="4">
        <v>1</v>
      </c>
      <c r="AQ1045">
        <v>432</v>
      </c>
      <c r="AR1045" t="s">
        <v>2944</v>
      </c>
      <c r="AT1045" s="16">
        <f>_xlfn.XLOOKUP(B1045,'SWiSH Demand Forecast Sep-26'!D:D,'SWiSH Demand Forecast Sep-26'!G:G,"Not Exist")</f>
        <v>59852</v>
      </c>
    </row>
    <row r="1046" spans="1:46" hidden="1" x14ac:dyDescent="0.3">
      <c r="A1046">
        <v>103700075</v>
      </c>
      <c r="B1046" t="s">
        <v>1568</v>
      </c>
      <c r="C1046" t="s">
        <v>136</v>
      </c>
      <c r="D1046" t="s">
        <v>1613</v>
      </c>
      <c r="E1046" t="s">
        <v>1732</v>
      </c>
      <c r="F1046" t="s">
        <v>1615</v>
      </c>
      <c r="G1046" t="s">
        <v>1616</v>
      </c>
      <c r="H1046" t="s">
        <v>1617</v>
      </c>
      <c r="I1046" t="s">
        <v>1618</v>
      </c>
      <c r="J1046" t="s">
        <v>136</v>
      </c>
      <c r="K1046">
        <v>3.74143465</v>
      </c>
      <c r="L1046">
        <v>37.414346500000001</v>
      </c>
      <c r="M1046" s="1">
        <v>3</v>
      </c>
      <c r="N1046">
        <v>0</v>
      </c>
      <c r="O1046">
        <v>0</v>
      </c>
      <c r="P1046">
        <v>10</v>
      </c>
      <c r="Q1046" s="1">
        <v>10</v>
      </c>
      <c r="R1046">
        <v>3.75</v>
      </c>
      <c r="S1046" s="2">
        <v>46179</v>
      </c>
      <c r="T1046" s="2">
        <v>46262</v>
      </c>
      <c r="U1046">
        <v>1</v>
      </c>
      <c r="V1046">
        <v>2</v>
      </c>
      <c r="W1046">
        <v>0</v>
      </c>
      <c r="X1046">
        <v>7</v>
      </c>
      <c r="Y1046">
        <v>0</v>
      </c>
      <c r="Z1046" s="8">
        <v>7</v>
      </c>
      <c r="AA1046">
        <v>2.5</v>
      </c>
      <c r="AB1046">
        <v>0</v>
      </c>
      <c r="AC1046">
        <v>2.8</v>
      </c>
      <c r="AD1046" s="1">
        <v>42</v>
      </c>
      <c r="AE1046" s="2">
        <v>46290</v>
      </c>
      <c r="AF1046" s="2">
        <v>46298</v>
      </c>
      <c r="AG1046" s="2">
        <v>46305</v>
      </c>
      <c r="AH1046">
        <v>2</v>
      </c>
      <c r="AI1046" s="3">
        <v>0.29556650246305421</v>
      </c>
      <c r="AJ1046" s="1">
        <v>145</v>
      </c>
      <c r="AK1046" s="2">
        <v>46408</v>
      </c>
      <c r="AL1046" s="4">
        <v>30</v>
      </c>
      <c r="AM1046" s="5">
        <v>15</v>
      </c>
      <c r="AN1046" s="4">
        <v>42</v>
      </c>
      <c r="AO1046">
        <v>2.0689655172413794</v>
      </c>
      <c r="AP1046" s="4">
        <v>1</v>
      </c>
      <c r="AQ1046" t="s">
        <v>1619</v>
      </c>
      <c r="AR1046" t="s">
        <v>1620</v>
      </c>
      <c r="AT1046" s="16">
        <f>_xlfn.XLOOKUP(B1046,'SWiSH Demand Forecast Sep-26'!D:D,'SWiSH Demand Forecast Sep-26'!G:G,"Not Exist")</f>
        <v>1.76767676767676E-2</v>
      </c>
    </row>
    <row r="1047" spans="1:46" hidden="1" x14ac:dyDescent="0.3">
      <c r="A1047">
        <v>105900059</v>
      </c>
      <c r="B1047" t="s">
        <v>472</v>
      </c>
      <c r="C1047" t="s">
        <v>10</v>
      </c>
      <c r="D1047" t="s">
        <v>1613</v>
      </c>
      <c r="E1047" t="s">
        <v>1732</v>
      </c>
      <c r="F1047" t="s">
        <v>1664</v>
      </c>
      <c r="G1047" t="s">
        <v>1616</v>
      </c>
      <c r="H1047" t="s">
        <v>1729</v>
      </c>
      <c r="I1047" t="s">
        <v>1634</v>
      </c>
      <c r="J1047" t="s">
        <v>1733</v>
      </c>
      <c r="K1047">
        <v>5.4799999999999996E-3</v>
      </c>
      <c r="L1047">
        <v>74.527999999999992</v>
      </c>
      <c r="M1047" s="1">
        <v>90</v>
      </c>
      <c r="N1047">
        <v>0</v>
      </c>
      <c r="O1047">
        <v>0</v>
      </c>
      <c r="P1047">
        <v>13600</v>
      </c>
      <c r="Q1047" s="1">
        <v>13600</v>
      </c>
      <c r="R1047">
        <v>5.4799999999999996E-3</v>
      </c>
      <c r="S1047" s="2">
        <v>46214</v>
      </c>
      <c r="T1047" s="2">
        <v>46213</v>
      </c>
      <c r="U1047">
        <v>0</v>
      </c>
      <c r="V1047">
        <v>5000</v>
      </c>
      <c r="W1047">
        <v>1000</v>
      </c>
      <c r="X1047">
        <v>9400</v>
      </c>
      <c r="Y1047">
        <v>0</v>
      </c>
      <c r="Z1047" s="8">
        <v>9400</v>
      </c>
      <c r="AA1047">
        <v>3850</v>
      </c>
      <c r="AB1047">
        <v>0</v>
      </c>
      <c r="AC1047">
        <v>2.4415584415584415</v>
      </c>
      <c r="AD1047" s="1">
        <v>43</v>
      </c>
      <c r="AE1047" s="2">
        <v>46291</v>
      </c>
      <c r="AF1047" s="2">
        <v>46299</v>
      </c>
      <c r="AG1047" s="2">
        <v>46306</v>
      </c>
      <c r="AH1047">
        <v>0</v>
      </c>
      <c r="AI1047" s="3">
        <v>0</v>
      </c>
      <c r="AJ1047" s="1" t="s">
        <v>1635</v>
      </c>
      <c r="AK1047" s="2" t="s">
        <v>1635</v>
      </c>
      <c r="AL1047" s="4">
        <v>120</v>
      </c>
      <c r="AM1047" s="5">
        <v>100</v>
      </c>
      <c r="AN1047" s="4">
        <v>43</v>
      </c>
      <c r="AO1047">
        <v>0</v>
      </c>
      <c r="AP1047" s="4">
        <v>1</v>
      </c>
      <c r="AQ1047" t="s">
        <v>1619</v>
      </c>
      <c r="AR1047" t="s">
        <v>1620</v>
      </c>
      <c r="AT1047" s="16">
        <f>_xlfn.XLOOKUP(B1047,'SWiSH Demand Forecast Sep-26'!D:D,'SWiSH Demand Forecast Sep-26'!G:G,"Not Exist")</f>
        <v>1772</v>
      </c>
    </row>
    <row r="1048" spans="1:46" x14ac:dyDescent="0.3">
      <c r="A1048">
        <v>106800093</v>
      </c>
      <c r="B1048" t="s">
        <v>2945</v>
      </c>
      <c r="C1048" t="s">
        <v>10</v>
      </c>
      <c r="D1048" t="s">
        <v>1613</v>
      </c>
      <c r="E1048" t="s">
        <v>1655</v>
      </c>
      <c r="F1048" t="s">
        <v>1664</v>
      </c>
      <c r="G1048" t="s">
        <v>1624</v>
      </c>
      <c r="H1048" t="s">
        <v>1665</v>
      </c>
      <c r="I1048" t="s">
        <v>1634</v>
      </c>
      <c r="J1048" t="s">
        <v>10</v>
      </c>
      <c r="K1048">
        <v>5.0000000000000001E-3</v>
      </c>
      <c r="L1048">
        <v>80</v>
      </c>
      <c r="M1048" s="1">
        <v>7</v>
      </c>
      <c r="N1048">
        <v>0</v>
      </c>
      <c r="O1048">
        <v>0</v>
      </c>
      <c r="P1048">
        <v>16000</v>
      </c>
      <c r="Q1048" s="1">
        <v>16000</v>
      </c>
      <c r="R1048">
        <v>5.0000000000000001E-3</v>
      </c>
      <c r="S1048" s="2">
        <v>46167</v>
      </c>
      <c r="T1048" s="2">
        <v>46254</v>
      </c>
      <c r="U1048">
        <v>11000</v>
      </c>
      <c r="V1048">
        <v>9000</v>
      </c>
      <c r="W1048">
        <v>9000</v>
      </c>
      <c r="X1048">
        <v>9000</v>
      </c>
      <c r="Y1048">
        <v>9000</v>
      </c>
      <c r="Z1048" s="8">
        <v>11000</v>
      </c>
      <c r="AA1048">
        <v>9500</v>
      </c>
      <c r="AB1048">
        <v>0.94736842105263153</v>
      </c>
      <c r="AC1048">
        <v>1.1578947368421053</v>
      </c>
      <c r="AD1048" s="1">
        <v>43</v>
      </c>
      <c r="AE1048" s="2">
        <v>46291</v>
      </c>
      <c r="AF1048" s="2">
        <v>46299</v>
      </c>
      <c r="AG1048" s="2">
        <v>46306</v>
      </c>
      <c r="AH1048">
        <v>12000</v>
      </c>
      <c r="AI1048" s="3">
        <v>1.128526645768025</v>
      </c>
      <c r="AJ1048" s="1">
        <v>38</v>
      </c>
      <c r="AK1048" s="2">
        <v>46301</v>
      </c>
      <c r="AL1048" s="4">
        <v>30</v>
      </c>
      <c r="AM1048" s="5">
        <v>15</v>
      </c>
      <c r="AN1048" s="4">
        <v>38</v>
      </c>
      <c r="AO1048">
        <v>12413.793103448275</v>
      </c>
      <c r="AP1048" s="4">
        <v>1</v>
      </c>
      <c r="AQ1048">
        <v>105000</v>
      </c>
      <c r="AR1048" t="s">
        <v>1829</v>
      </c>
      <c r="AT1048" s="16" t="str">
        <f>_xlfn.XLOOKUP(B1048,'SWiSH Demand Forecast Sep-26'!D:D,'SWiSH Demand Forecast Sep-26'!G:G,"Not Exist")</f>
        <v>Not Exist</v>
      </c>
    </row>
    <row r="1049" spans="1:46" hidden="1" x14ac:dyDescent="0.3">
      <c r="A1049">
        <v>103400002</v>
      </c>
      <c r="B1049" t="s">
        <v>1049</v>
      </c>
      <c r="C1049" t="s">
        <v>136</v>
      </c>
      <c r="D1049" t="s">
        <v>1613</v>
      </c>
      <c r="E1049" t="s">
        <v>1832</v>
      </c>
      <c r="F1049" t="s">
        <v>1752</v>
      </c>
      <c r="G1049" t="s">
        <v>1616</v>
      </c>
      <c r="H1049" t="s">
        <v>1931</v>
      </c>
      <c r="I1049" t="s">
        <v>1754</v>
      </c>
      <c r="J1049" t="s">
        <v>2946</v>
      </c>
      <c r="K1049">
        <v>1.3725490199999999</v>
      </c>
      <c r="L1049">
        <v>1165.29411798</v>
      </c>
      <c r="M1049" s="1">
        <v>3</v>
      </c>
      <c r="N1049">
        <v>0</v>
      </c>
      <c r="O1049">
        <v>0</v>
      </c>
      <c r="P1049">
        <v>849</v>
      </c>
      <c r="Q1049" s="1">
        <v>849</v>
      </c>
      <c r="R1049">
        <v>14</v>
      </c>
      <c r="S1049" s="2">
        <v>46240</v>
      </c>
      <c r="T1049" s="2">
        <v>46263</v>
      </c>
      <c r="U1049">
        <v>584.99999999999989</v>
      </c>
      <c r="V1049">
        <v>569.4</v>
      </c>
      <c r="W1049">
        <v>397.7999999999999</v>
      </c>
      <c r="X1049">
        <v>457.19999999999987</v>
      </c>
      <c r="Y1049">
        <v>397.7999999999999</v>
      </c>
      <c r="Z1049" s="8">
        <v>584.99999999999989</v>
      </c>
      <c r="AA1049">
        <v>502.34999999999991</v>
      </c>
      <c r="AB1049">
        <v>0.79187817258883242</v>
      </c>
      <c r="AC1049">
        <v>1.1645267243953419</v>
      </c>
      <c r="AD1049" s="1">
        <v>43</v>
      </c>
      <c r="AE1049" s="2">
        <v>46291</v>
      </c>
      <c r="AF1049" s="2">
        <v>46299</v>
      </c>
      <c r="AG1049" s="2">
        <v>46306</v>
      </c>
      <c r="AH1049">
        <v>324</v>
      </c>
      <c r="AI1049" s="3">
        <v>0.57294429708222816</v>
      </c>
      <c r="AJ1049" s="1">
        <v>75</v>
      </c>
      <c r="AK1049" s="2">
        <v>46338</v>
      </c>
      <c r="AL1049" s="4">
        <v>15</v>
      </c>
      <c r="AM1049" s="5">
        <v>15</v>
      </c>
      <c r="AN1049" s="4">
        <v>43</v>
      </c>
      <c r="AO1049">
        <v>167.58620689655172</v>
      </c>
      <c r="AP1049" s="4">
        <v>2</v>
      </c>
      <c r="AQ1049" t="s">
        <v>1619</v>
      </c>
      <c r="AR1049" t="s">
        <v>1620</v>
      </c>
      <c r="AT1049" s="16">
        <f>_xlfn.XLOOKUP(B1049,'SWiSH Demand Forecast Sep-26'!D:D,'SWiSH Demand Forecast Sep-26'!G:G,"Not Exist")</f>
        <v>127.833333333333</v>
      </c>
    </row>
    <row r="1050" spans="1:46" x14ac:dyDescent="0.3">
      <c r="A1050">
        <v>106800163</v>
      </c>
      <c r="B1050" t="s">
        <v>2947</v>
      </c>
      <c r="C1050" t="s">
        <v>10</v>
      </c>
      <c r="D1050" t="s">
        <v>1613</v>
      </c>
      <c r="E1050" t="s">
        <v>1638</v>
      </c>
      <c r="F1050" t="s">
        <v>1664</v>
      </c>
      <c r="G1050" t="s">
        <v>1624</v>
      </c>
      <c r="H1050" t="s">
        <v>1665</v>
      </c>
      <c r="I1050" t="s">
        <v>1634</v>
      </c>
      <c r="J1050" t="s">
        <v>10</v>
      </c>
      <c r="K1050">
        <v>2.65E-3</v>
      </c>
      <c r="L1050">
        <v>1415.1</v>
      </c>
      <c r="M1050" s="1">
        <v>7</v>
      </c>
      <c r="N1050">
        <v>0</v>
      </c>
      <c r="O1050">
        <v>0</v>
      </c>
      <c r="P1050">
        <v>534000</v>
      </c>
      <c r="Q1050" s="1">
        <v>534000</v>
      </c>
      <c r="R1050">
        <v>2.5999999999999999E-3</v>
      </c>
      <c r="S1050" s="2">
        <v>46212</v>
      </c>
      <c r="T1050" s="2">
        <v>46263</v>
      </c>
      <c r="U1050">
        <v>372500</v>
      </c>
      <c r="V1050">
        <v>332500</v>
      </c>
      <c r="W1050">
        <v>224000</v>
      </c>
      <c r="X1050">
        <v>288000</v>
      </c>
      <c r="Y1050">
        <v>224000</v>
      </c>
      <c r="Z1050" s="8">
        <v>372500</v>
      </c>
      <c r="AA1050">
        <v>304250</v>
      </c>
      <c r="AB1050">
        <v>0.73623664749383733</v>
      </c>
      <c r="AC1050">
        <v>1.2243221035332785</v>
      </c>
      <c r="AD1050" s="1">
        <v>43</v>
      </c>
      <c r="AE1050" s="2">
        <v>46291</v>
      </c>
      <c r="AF1050" s="2">
        <v>46299</v>
      </c>
      <c r="AG1050" s="2">
        <v>46306</v>
      </c>
      <c r="AH1050">
        <v>271000</v>
      </c>
      <c r="AI1050" s="3">
        <v>0.7526035639898172</v>
      </c>
      <c r="AJ1050" s="1">
        <v>57</v>
      </c>
      <c r="AK1050" s="2">
        <v>46320</v>
      </c>
      <c r="AL1050" s="4">
        <v>30</v>
      </c>
      <c r="AM1050" s="5">
        <v>15</v>
      </c>
      <c r="AN1050" s="4">
        <v>43</v>
      </c>
      <c r="AO1050">
        <v>280344.8275862069</v>
      </c>
      <c r="AP1050" s="4">
        <v>1</v>
      </c>
      <c r="AQ1050">
        <v>1792000</v>
      </c>
      <c r="AR1050" t="s">
        <v>2768</v>
      </c>
      <c r="AT1050" s="16" t="str">
        <f>_xlfn.XLOOKUP(B1050,'SWiSH Demand Forecast Sep-26'!D:D,'SWiSH Demand Forecast Sep-26'!G:G,"Not Exist")</f>
        <v>Not Exist</v>
      </c>
    </row>
    <row r="1051" spans="1:46" x14ac:dyDescent="0.3">
      <c r="A1051">
        <v>105600030</v>
      </c>
      <c r="B1051" t="s">
        <v>2948</v>
      </c>
      <c r="C1051" t="s">
        <v>136</v>
      </c>
      <c r="D1051" t="s">
        <v>1613</v>
      </c>
      <c r="E1051" t="s">
        <v>2147</v>
      </c>
      <c r="F1051" t="s">
        <v>1664</v>
      </c>
      <c r="G1051" t="s">
        <v>1624</v>
      </c>
      <c r="H1051" t="s">
        <v>1679</v>
      </c>
      <c r="I1051" t="s">
        <v>1634</v>
      </c>
      <c r="J1051" t="s">
        <v>136</v>
      </c>
      <c r="K1051">
        <v>0.4831107</v>
      </c>
      <c r="L1051">
        <v>444.46184399999999</v>
      </c>
      <c r="M1051" s="1">
        <v>30</v>
      </c>
      <c r="N1051">
        <v>0</v>
      </c>
      <c r="O1051">
        <v>0</v>
      </c>
      <c r="P1051">
        <v>920</v>
      </c>
      <c r="Q1051" s="1">
        <v>920</v>
      </c>
      <c r="R1051">
        <v>0.45</v>
      </c>
      <c r="S1051" s="2">
        <v>46173</v>
      </c>
      <c r="T1051" s="2">
        <v>46263</v>
      </c>
      <c r="U1051">
        <v>581.35</v>
      </c>
      <c r="V1051">
        <v>640</v>
      </c>
      <c r="W1051">
        <v>460</v>
      </c>
      <c r="X1051">
        <v>440</v>
      </c>
      <c r="Y1051">
        <v>440</v>
      </c>
      <c r="Z1051" s="8">
        <v>640</v>
      </c>
      <c r="AA1051">
        <v>530.33749999999998</v>
      </c>
      <c r="AB1051">
        <v>0.82966035779102931</v>
      </c>
      <c r="AC1051">
        <v>1.2067787022414973</v>
      </c>
      <c r="AD1051" s="1">
        <v>43</v>
      </c>
      <c r="AE1051" s="2">
        <v>46291</v>
      </c>
      <c r="AF1051" s="2">
        <v>46299</v>
      </c>
      <c r="AG1051" s="2">
        <v>46306</v>
      </c>
      <c r="AH1051">
        <v>490</v>
      </c>
      <c r="AI1051" s="3">
        <v>0.79202586206896552</v>
      </c>
      <c r="AJ1051" s="1">
        <v>54</v>
      </c>
      <c r="AK1051" s="2">
        <v>46317</v>
      </c>
      <c r="AL1051" s="4">
        <v>15</v>
      </c>
      <c r="AM1051" s="5">
        <v>15</v>
      </c>
      <c r="AN1051" s="4">
        <v>43</v>
      </c>
      <c r="AO1051">
        <v>253.44827586206895</v>
      </c>
      <c r="AP1051" s="4">
        <v>2</v>
      </c>
      <c r="AQ1051">
        <v>2595</v>
      </c>
      <c r="AR1051" t="s">
        <v>2591</v>
      </c>
      <c r="AT1051" s="16" t="str">
        <f>_xlfn.XLOOKUP(B1051,'SWiSH Demand Forecast Sep-26'!D:D,'SWiSH Demand Forecast Sep-26'!G:G,"Not Exist")</f>
        <v>Not Exist</v>
      </c>
    </row>
    <row r="1052" spans="1:46" x14ac:dyDescent="0.3">
      <c r="A1052">
        <v>104200045</v>
      </c>
      <c r="B1052" t="s">
        <v>2949</v>
      </c>
      <c r="C1052" t="s">
        <v>10</v>
      </c>
      <c r="D1052" t="s">
        <v>1613</v>
      </c>
      <c r="E1052" t="s">
        <v>1677</v>
      </c>
      <c r="F1052" t="s">
        <v>1631</v>
      </c>
      <c r="G1052" t="s">
        <v>1624</v>
      </c>
      <c r="H1052" t="s">
        <v>1633</v>
      </c>
      <c r="I1052" t="s">
        <v>1634</v>
      </c>
      <c r="J1052" t="s">
        <v>2145</v>
      </c>
      <c r="K1052">
        <v>2.5703699999999999E-2</v>
      </c>
      <c r="L1052">
        <v>411.25919999999996</v>
      </c>
      <c r="M1052" s="1">
        <v>3</v>
      </c>
      <c r="N1052">
        <v>0</v>
      </c>
      <c r="O1052">
        <v>0</v>
      </c>
      <c r="P1052">
        <v>16000</v>
      </c>
      <c r="Q1052" s="1">
        <v>16000</v>
      </c>
      <c r="R1052">
        <v>24.5</v>
      </c>
      <c r="S1052" s="2">
        <v>46228</v>
      </c>
      <c r="T1052" s="2">
        <v>46263</v>
      </c>
      <c r="U1052">
        <v>4000</v>
      </c>
      <c r="V1052">
        <v>5000</v>
      </c>
      <c r="W1052">
        <v>11000</v>
      </c>
      <c r="X1052">
        <v>9000</v>
      </c>
      <c r="Y1052">
        <v>4000</v>
      </c>
      <c r="Z1052" s="8">
        <v>11000</v>
      </c>
      <c r="AA1052">
        <v>7250</v>
      </c>
      <c r="AB1052">
        <v>0.55172413793103448</v>
      </c>
      <c r="AC1052">
        <v>1.5172413793103448</v>
      </c>
      <c r="AD1052" s="1">
        <v>43</v>
      </c>
      <c r="AE1052" s="2">
        <v>46291</v>
      </c>
      <c r="AF1052" s="2">
        <v>46299</v>
      </c>
      <c r="AG1052" s="2">
        <v>46306</v>
      </c>
      <c r="AH1052">
        <v>9000</v>
      </c>
      <c r="AI1052" s="3">
        <v>0.84639498432601878</v>
      </c>
      <c r="AJ1052" s="1">
        <v>51</v>
      </c>
      <c r="AK1052" s="2">
        <v>46314</v>
      </c>
      <c r="AL1052" s="4">
        <v>30</v>
      </c>
      <c r="AM1052" s="5">
        <v>15</v>
      </c>
      <c r="AN1052" s="4">
        <v>43</v>
      </c>
      <c r="AO1052">
        <v>9310.3448275862065</v>
      </c>
      <c r="AP1052" s="4">
        <v>1</v>
      </c>
      <c r="AQ1052" t="s">
        <v>1619</v>
      </c>
      <c r="AR1052" t="s">
        <v>1620</v>
      </c>
      <c r="AT1052" s="16" t="str">
        <f>_xlfn.XLOOKUP(B1052,'SWiSH Demand Forecast Sep-26'!D:D,'SWiSH Demand Forecast Sep-26'!G:G,"Not Exist")</f>
        <v>Not Exist</v>
      </c>
    </row>
    <row r="1053" spans="1:46" hidden="1" x14ac:dyDescent="0.3">
      <c r="A1053">
        <v>105900027</v>
      </c>
      <c r="B1053" t="s">
        <v>347</v>
      </c>
      <c r="C1053" t="s">
        <v>10</v>
      </c>
      <c r="D1053" t="s">
        <v>1613</v>
      </c>
      <c r="E1053" t="s">
        <v>1732</v>
      </c>
      <c r="F1053" t="s">
        <v>1664</v>
      </c>
      <c r="G1053" t="s">
        <v>1616</v>
      </c>
      <c r="H1053" t="s">
        <v>1729</v>
      </c>
      <c r="I1053" t="s">
        <v>1634</v>
      </c>
      <c r="J1053" t="s">
        <v>1733</v>
      </c>
      <c r="K1053">
        <v>3.7708500000000001E-3</v>
      </c>
      <c r="L1053">
        <v>30.920970000000001</v>
      </c>
      <c r="M1053" s="1">
        <v>90</v>
      </c>
      <c r="N1053">
        <v>0</v>
      </c>
      <c r="O1053">
        <v>0</v>
      </c>
      <c r="P1053">
        <v>8200</v>
      </c>
      <c r="Q1053" s="1">
        <v>8200</v>
      </c>
      <c r="R1053">
        <v>3.78</v>
      </c>
      <c r="S1053" s="2">
        <v>46132</v>
      </c>
      <c r="T1053" s="2">
        <v>46263</v>
      </c>
      <c r="U1053">
        <v>2000</v>
      </c>
      <c r="V1053">
        <v>4000</v>
      </c>
      <c r="W1053">
        <v>5700</v>
      </c>
      <c r="X1053">
        <v>0</v>
      </c>
      <c r="Y1053">
        <v>0</v>
      </c>
      <c r="Z1053" s="8">
        <v>5700</v>
      </c>
      <c r="AA1053">
        <v>2925</v>
      </c>
      <c r="AB1053">
        <v>0</v>
      </c>
      <c r="AC1053">
        <v>1.9487179487179487</v>
      </c>
      <c r="AD1053" s="1">
        <v>43</v>
      </c>
      <c r="AE1053" s="2">
        <v>46291</v>
      </c>
      <c r="AF1053" s="2">
        <v>46299</v>
      </c>
      <c r="AG1053" s="2">
        <v>46306</v>
      </c>
      <c r="AH1053">
        <v>7100</v>
      </c>
      <c r="AI1053" s="3">
        <v>1.2885662431941924</v>
      </c>
      <c r="AJ1053" s="1">
        <v>33</v>
      </c>
      <c r="AK1053" s="2">
        <v>46296</v>
      </c>
      <c r="AL1053" s="4">
        <v>120</v>
      </c>
      <c r="AM1053" s="5">
        <v>100</v>
      </c>
      <c r="AN1053" s="4">
        <v>33</v>
      </c>
      <c r="AO1053">
        <v>29379.310344827587</v>
      </c>
      <c r="AP1053" s="4">
        <v>1</v>
      </c>
      <c r="AQ1053" t="s">
        <v>1619</v>
      </c>
      <c r="AR1053" t="s">
        <v>1620</v>
      </c>
      <c r="AT1053" s="16">
        <f>_xlfn.XLOOKUP(B1053,'SWiSH Demand Forecast Sep-26'!D:D,'SWiSH Demand Forecast Sep-26'!G:G,"Not Exist")</f>
        <v>3641</v>
      </c>
    </row>
    <row r="1054" spans="1:46" hidden="1" x14ac:dyDescent="0.3">
      <c r="A1054">
        <v>103700137</v>
      </c>
      <c r="B1054" t="s">
        <v>1566</v>
      </c>
      <c r="C1054" t="s">
        <v>136</v>
      </c>
      <c r="D1054" t="s">
        <v>1613</v>
      </c>
      <c r="E1054" t="s">
        <v>1732</v>
      </c>
      <c r="F1054" t="s">
        <v>1671</v>
      </c>
      <c r="G1054" t="s">
        <v>1616</v>
      </c>
      <c r="H1054" t="s">
        <v>1617</v>
      </c>
      <c r="I1054" t="s">
        <v>1618</v>
      </c>
      <c r="J1054" t="s">
        <v>136</v>
      </c>
      <c r="K1054">
        <v>3.75</v>
      </c>
      <c r="L1054">
        <v>48.75</v>
      </c>
      <c r="M1054" s="1">
        <v>3</v>
      </c>
      <c r="N1054">
        <v>0</v>
      </c>
      <c r="O1054">
        <v>0</v>
      </c>
      <c r="P1054">
        <v>13</v>
      </c>
      <c r="Q1054" s="1">
        <v>13</v>
      </c>
      <c r="R1054">
        <v>3.75</v>
      </c>
      <c r="S1054" s="2">
        <v>46156</v>
      </c>
      <c r="T1054" s="2">
        <v>46262</v>
      </c>
      <c r="U1054">
        <v>0</v>
      </c>
      <c r="V1054">
        <v>1</v>
      </c>
      <c r="W1054">
        <v>3</v>
      </c>
      <c r="X1054">
        <v>9</v>
      </c>
      <c r="Y1054">
        <v>0</v>
      </c>
      <c r="Z1054" s="8">
        <v>9</v>
      </c>
      <c r="AA1054">
        <v>3.25</v>
      </c>
      <c r="AB1054">
        <v>0</v>
      </c>
      <c r="AC1054">
        <v>2.7692307692307692</v>
      </c>
      <c r="AD1054" s="1">
        <v>43</v>
      </c>
      <c r="AE1054" s="2">
        <v>46291</v>
      </c>
      <c r="AF1054" s="2">
        <v>46299</v>
      </c>
      <c r="AG1054" s="2">
        <v>46306</v>
      </c>
      <c r="AH1054">
        <v>3</v>
      </c>
      <c r="AI1054" s="3">
        <v>0.34482758620689657</v>
      </c>
      <c r="AJ1054" s="1">
        <v>125</v>
      </c>
      <c r="AK1054" s="2">
        <v>46388</v>
      </c>
      <c r="AL1054" s="4">
        <v>30</v>
      </c>
      <c r="AM1054" s="5">
        <v>15</v>
      </c>
      <c r="AN1054" s="4">
        <v>43</v>
      </c>
      <c r="AO1054">
        <v>3.1034482758620694</v>
      </c>
      <c r="AP1054" s="4">
        <v>1</v>
      </c>
      <c r="AQ1054" t="s">
        <v>1619</v>
      </c>
      <c r="AR1054" t="s">
        <v>1620</v>
      </c>
      <c r="AT1054" s="16">
        <f>_xlfn.XLOOKUP(B1054,'SWiSH Demand Forecast Sep-26'!D:D,'SWiSH Demand Forecast Sep-26'!G:G,"Not Exist")</f>
        <v>2.52525252525252E-2</v>
      </c>
    </row>
    <row r="1055" spans="1:46" x14ac:dyDescent="0.3">
      <c r="A1055">
        <v>106700048</v>
      </c>
      <c r="B1055" t="s">
        <v>2950</v>
      </c>
      <c r="C1055" t="s">
        <v>10</v>
      </c>
      <c r="D1055" t="s">
        <v>1613</v>
      </c>
      <c r="E1055" t="s">
        <v>2951</v>
      </c>
      <c r="F1055" t="s">
        <v>1650</v>
      </c>
      <c r="G1055" t="s">
        <v>1624</v>
      </c>
      <c r="H1055" t="s">
        <v>1651</v>
      </c>
      <c r="I1055" t="s">
        <v>1634</v>
      </c>
      <c r="J1055" t="s">
        <v>10</v>
      </c>
      <c r="K1055">
        <v>7.4999999999999997E-3</v>
      </c>
      <c r="L1055">
        <v>112.875</v>
      </c>
      <c r="M1055" s="1">
        <v>3</v>
      </c>
      <c r="N1055">
        <v>0</v>
      </c>
      <c r="O1055">
        <v>0</v>
      </c>
      <c r="P1055">
        <v>15050</v>
      </c>
      <c r="Q1055" s="1">
        <v>15050</v>
      </c>
      <c r="R1055">
        <v>3.75</v>
      </c>
      <c r="S1055" s="2">
        <v>46259</v>
      </c>
      <c r="T1055" s="2">
        <v>46263</v>
      </c>
      <c r="U1055">
        <v>4150</v>
      </c>
      <c r="V1055">
        <v>3800</v>
      </c>
      <c r="W1055">
        <v>3400</v>
      </c>
      <c r="X1055">
        <v>10250</v>
      </c>
      <c r="Y1055">
        <v>3400</v>
      </c>
      <c r="Z1055" s="8">
        <v>10250</v>
      </c>
      <c r="AA1055">
        <v>5400</v>
      </c>
      <c r="AB1055">
        <v>0.62962962962962965</v>
      </c>
      <c r="AC1055">
        <v>1.8981481481481481</v>
      </c>
      <c r="AD1055" s="1">
        <v>44</v>
      </c>
      <c r="AE1055" s="2">
        <v>46292</v>
      </c>
      <c r="AF1055" s="2">
        <v>46300</v>
      </c>
      <c r="AG1055" s="2">
        <v>46307</v>
      </c>
      <c r="AH1055">
        <v>3700</v>
      </c>
      <c r="AI1055" s="3">
        <v>0.37342304457527331</v>
      </c>
      <c r="AJ1055" s="1">
        <v>117</v>
      </c>
      <c r="AK1055" s="2">
        <v>46380</v>
      </c>
      <c r="AL1055" s="4">
        <v>30</v>
      </c>
      <c r="AM1055" s="5">
        <v>15</v>
      </c>
      <c r="AN1055" s="4">
        <v>44</v>
      </c>
      <c r="AO1055">
        <v>3827.5862068965516</v>
      </c>
      <c r="AP1055" s="4">
        <v>1</v>
      </c>
      <c r="AQ1055" t="s">
        <v>1619</v>
      </c>
      <c r="AR1055" t="s">
        <v>2335</v>
      </c>
      <c r="AT1055" s="16" t="str">
        <f>_xlfn.XLOOKUP(B1055,'SWiSH Demand Forecast Sep-26'!D:D,'SWiSH Demand Forecast Sep-26'!G:G,"Not Exist")</f>
        <v>Not Exist</v>
      </c>
    </row>
    <row r="1056" spans="1:46" hidden="1" x14ac:dyDescent="0.3">
      <c r="A1056">
        <v>106800206</v>
      </c>
      <c r="B1056" t="s">
        <v>483</v>
      </c>
      <c r="C1056" t="s">
        <v>10</v>
      </c>
      <c r="D1056" t="s">
        <v>1613</v>
      </c>
      <c r="E1056" t="s">
        <v>1745</v>
      </c>
      <c r="F1056" t="s">
        <v>1664</v>
      </c>
      <c r="G1056" t="s">
        <v>1624</v>
      </c>
      <c r="H1056" t="s">
        <v>1665</v>
      </c>
      <c r="I1056" t="s">
        <v>1634</v>
      </c>
      <c r="J1056" t="s">
        <v>10</v>
      </c>
      <c r="K1056">
        <v>4.5935500000000001E-3</v>
      </c>
      <c r="L1056">
        <v>101.0581</v>
      </c>
      <c r="M1056" s="1">
        <v>7</v>
      </c>
      <c r="N1056">
        <v>0</v>
      </c>
      <c r="O1056">
        <v>0</v>
      </c>
      <c r="P1056">
        <v>22000</v>
      </c>
      <c r="Q1056" s="1">
        <v>22000</v>
      </c>
      <c r="R1056">
        <v>5.0000000000000001E-3</v>
      </c>
      <c r="S1056" s="2">
        <v>46250</v>
      </c>
      <c r="T1056" s="2">
        <v>46259</v>
      </c>
      <c r="U1056">
        <v>1000</v>
      </c>
      <c r="V1056">
        <v>11000</v>
      </c>
      <c r="W1056">
        <v>15000</v>
      </c>
      <c r="X1056">
        <v>7000</v>
      </c>
      <c r="Y1056">
        <v>1000</v>
      </c>
      <c r="Z1056" s="8">
        <v>15000</v>
      </c>
      <c r="AA1056">
        <v>8500</v>
      </c>
      <c r="AB1056">
        <v>0.11764705882352941</v>
      </c>
      <c r="AC1056">
        <v>1.7647058823529411</v>
      </c>
      <c r="AD1056" s="1">
        <v>44</v>
      </c>
      <c r="AE1056" s="2">
        <v>46292</v>
      </c>
      <c r="AF1056" s="2">
        <v>46300</v>
      </c>
      <c r="AG1056" s="2">
        <v>46307</v>
      </c>
      <c r="AH1056">
        <v>15000</v>
      </c>
      <c r="AI1056" s="3">
        <v>1.0344827586206897</v>
      </c>
      <c r="AJ1056" s="1">
        <v>42</v>
      </c>
      <c r="AK1056" s="2">
        <v>46305</v>
      </c>
      <c r="AL1056" s="4">
        <v>30</v>
      </c>
      <c r="AM1056" s="5">
        <v>15</v>
      </c>
      <c r="AN1056" s="4">
        <v>42</v>
      </c>
      <c r="AO1056">
        <v>15517.241379310346</v>
      </c>
      <c r="AP1056" s="4">
        <v>1</v>
      </c>
      <c r="AQ1056">
        <v>55000</v>
      </c>
      <c r="AR1056" t="s">
        <v>1829</v>
      </c>
      <c r="AT1056" s="16">
        <f>_xlfn.XLOOKUP(B1056,'SWiSH Demand Forecast Sep-26'!D:D,'SWiSH Demand Forecast Sep-26'!G:G,"Not Exist")</f>
        <v>1690</v>
      </c>
    </row>
    <row r="1057" spans="1:46" x14ac:dyDescent="0.3">
      <c r="A1057">
        <v>100400044</v>
      </c>
      <c r="B1057" t="s">
        <v>2952</v>
      </c>
      <c r="C1057" t="s">
        <v>10</v>
      </c>
      <c r="D1057" t="s">
        <v>1613</v>
      </c>
      <c r="E1057" t="s">
        <v>1638</v>
      </c>
      <c r="F1057" t="s">
        <v>1664</v>
      </c>
      <c r="G1057" t="s">
        <v>1624</v>
      </c>
      <c r="H1057" t="s">
        <v>1810</v>
      </c>
      <c r="I1057" t="s">
        <v>1634</v>
      </c>
      <c r="J1057" t="s">
        <v>10</v>
      </c>
      <c r="K1057">
        <v>5.7136819999999998E-2</v>
      </c>
      <c r="L1057">
        <v>559.94083599999999</v>
      </c>
      <c r="M1057" s="1">
        <v>30</v>
      </c>
      <c r="N1057">
        <v>0</v>
      </c>
      <c r="O1057">
        <v>0</v>
      </c>
      <c r="P1057">
        <v>9800</v>
      </c>
      <c r="Q1057" s="1">
        <v>9800</v>
      </c>
      <c r="R1057">
        <v>6.4000000000000001E-2</v>
      </c>
      <c r="S1057" s="2">
        <v>46239</v>
      </c>
      <c r="T1057" s="2">
        <v>46263</v>
      </c>
      <c r="U1057">
        <v>6000</v>
      </c>
      <c r="V1057">
        <v>5250</v>
      </c>
      <c r="W1057">
        <v>6650</v>
      </c>
      <c r="X1057">
        <v>4000</v>
      </c>
      <c r="Y1057">
        <v>4000</v>
      </c>
      <c r="Z1057" s="8">
        <v>6650</v>
      </c>
      <c r="AA1057">
        <v>5475</v>
      </c>
      <c r="AB1057">
        <v>0.73059360730593603</v>
      </c>
      <c r="AC1057">
        <v>1.2146118721461188</v>
      </c>
      <c r="AD1057" s="1">
        <v>44</v>
      </c>
      <c r="AE1057" s="2">
        <v>46292</v>
      </c>
      <c r="AF1057" s="2">
        <v>46300</v>
      </c>
      <c r="AG1057" s="2">
        <v>46307</v>
      </c>
      <c r="AH1057">
        <v>4200</v>
      </c>
      <c r="AI1057" s="3">
        <v>0.65335753176043565</v>
      </c>
      <c r="AJ1057" s="1">
        <v>67</v>
      </c>
      <c r="AK1057" s="2">
        <v>46330</v>
      </c>
      <c r="AL1057" s="4">
        <v>30</v>
      </c>
      <c r="AM1057" s="5">
        <v>15</v>
      </c>
      <c r="AN1057" s="4">
        <v>44</v>
      </c>
      <c r="AO1057">
        <v>4344.8275862068967</v>
      </c>
      <c r="AP1057" s="4">
        <v>1</v>
      </c>
      <c r="AQ1057">
        <v>23100</v>
      </c>
      <c r="AR1057" t="s">
        <v>2285</v>
      </c>
      <c r="AT1057" s="16" t="str">
        <f>_xlfn.XLOOKUP(B1057,'SWiSH Demand Forecast Sep-26'!D:D,'SWiSH Demand Forecast Sep-26'!G:G,"Not Exist")</f>
        <v>Not Exist</v>
      </c>
    </row>
    <row r="1058" spans="1:46" hidden="1" x14ac:dyDescent="0.3">
      <c r="A1058">
        <v>106800073</v>
      </c>
      <c r="B1058" t="s">
        <v>899</v>
      </c>
      <c r="C1058" t="s">
        <v>10</v>
      </c>
      <c r="D1058" t="s">
        <v>1613</v>
      </c>
      <c r="E1058" t="s">
        <v>1655</v>
      </c>
      <c r="F1058" t="s">
        <v>1664</v>
      </c>
      <c r="G1058" t="s">
        <v>1624</v>
      </c>
      <c r="H1058" t="s">
        <v>1665</v>
      </c>
      <c r="I1058" t="s">
        <v>1634</v>
      </c>
      <c r="J1058" t="s">
        <v>10</v>
      </c>
      <c r="K1058">
        <v>4.58933E-3</v>
      </c>
      <c r="L1058">
        <v>1009.6526</v>
      </c>
      <c r="M1058" s="1">
        <v>7</v>
      </c>
      <c r="N1058">
        <v>0</v>
      </c>
      <c r="O1058">
        <v>2000</v>
      </c>
      <c r="P1058">
        <v>220000</v>
      </c>
      <c r="Q1058" s="1">
        <v>218000</v>
      </c>
      <c r="R1058">
        <v>4.4000000000000003E-3</v>
      </c>
      <c r="S1058" s="2">
        <v>46259</v>
      </c>
      <c r="T1058" s="2">
        <v>46263</v>
      </c>
      <c r="U1058">
        <v>112000</v>
      </c>
      <c r="V1058">
        <v>146000</v>
      </c>
      <c r="W1058">
        <v>116000</v>
      </c>
      <c r="X1058">
        <v>128000</v>
      </c>
      <c r="Y1058">
        <v>112000</v>
      </c>
      <c r="Z1058" s="8">
        <v>146000</v>
      </c>
      <c r="AA1058">
        <v>125500</v>
      </c>
      <c r="AB1058">
        <v>0.89243027888446214</v>
      </c>
      <c r="AC1058">
        <v>1.1633466135458168</v>
      </c>
      <c r="AD1058" s="1">
        <v>44</v>
      </c>
      <c r="AE1058" s="2">
        <v>46292</v>
      </c>
      <c r="AF1058" s="2">
        <v>46300</v>
      </c>
      <c r="AG1058" s="2">
        <v>46307</v>
      </c>
      <c r="AH1058">
        <v>122000</v>
      </c>
      <c r="AI1058" s="3">
        <v>0.86443079829948033</v>
      </c>
      <c r="AJ1058" s="1">
        <v>51</v>
      </c>
      <c r="AK1058" s="2">
        <v>46314</v>
      </c>
      <c r="AL1058" s="4">
        <v>30</v>
      </c>
      <c r="AM1058" s="5">
        <v>15</v>
      </c>
      <c r="AN1058" s="4">
        <v>44</v>
      </c>
      <c r="AO1058">
        <v>126206.89655172413</v>
      </c>
      <c r="AP1058" s="4">
        <v>1</v>
      </c>
      <c r="AQ1058">
        <v>632000</v>
      </c>
      <c r="AR1058" t="s">
        <v>2953</v>
      </c>
      <c r="AT1058" s="16">
        <f>_xlfn.XLOOKUP(B1058,'SWiSH Demand Forecast Sep-26'!D:D,'SWiSH Demand Forecast Sep-26'!G:G,"Not Exist")</f>
        <v>242</v>
      </c>
    </row>
    <row r="1059" spans="1:46" hidden="1" x14ac:dyDescent="0.3">
      <c r="A1059">
        <v>101300030</v>
      </c>
      <c r="B1059" t="s">
        <v>805</v>
      </c>
      <c r="C1059" t="s">
        <v>136</v>
      </c>
      <c r="D1059" t="s">
        <v>1613</v>
      </c>
      <c r="E1059" t="s">
        <v>1775</v>
      </c>
      <c r="F1059" t="s">
        <v>1752</v>
      </c>
      <c r="G1059" t="s">
        <v>1616</v>
      </c>
      <c r="H1059" t="s">
        <v>1980</v>
      </c>
      <c r="I1059" t="s">
        <v>1754</v>
      </c>
      <c r="J1059" t="s">
        <v>2869</v>
      </c>
      <c r="K1059">
        <v>2.2000000000000002</v>
      </c>
      <c r="L1059">
        <v>2032.8000000000002</v>
      </c>
      <c r="M1059" s="1">
        <v>3</v>
      </c>
      <c r="N1059">
        <v>0</v>
      </c>
      <c r="O1059">
        <v>7</v>
      </c>
      <c r="P1059">
        <v>924</v>
      </c>
      <c r="Q1059" s="1">
        <v>917</v>
      </c>
      <c r="R1059">
        <v>14</v>
      </c>
      <c r="S1059" s="2">
        <v>45770</v>
      </c>
      <c r="T1059" s="2">
        <v>46263</v>
      </c>
      <c r="U1059">
        <v>616</v>
      </c>
      <c r="V1059">
        <v>462</v>
      </c>
      <c r="W1059">
        <v>406</v>
      </c>
      <c r="X1059">
        <v>315</v>
      </c>
      <c r="Y1059">
        <v>315</v>
      </c>
      <c r="Z1059" s="8">
        <v>616</v>
      </c>
      <c r="AA1059">
        <v>449.75</v>
      </c>
      <c r="AB1059">
        <v>0.70038910505836571</v>
      </c>
      <c r="AC1059">
        <v>1.3696498054474708</v>
      </c>
      <c r="AD1059" s="1">
        <v>44</v>
      </c>
      <c r="AE1059" s="2">
        <v>46292</v>
      </c>
      <c r="AF1059" s="2">
        <v>46300</v>
      </c>
      <c r="AG1059" s="2">
        <v>46307</v>
      </c>
      <c r="AH1059">
        <v>259</v>
      </c>
      <c r="AI1059" s="3">
        <v>0.4349529780564263</v>
      </c>
      <c r="AJ1059" s="1">
        <v>102</v>
      </c>
      <c r="AK1059" s="2">
        <v>46365</v>
      </c>
      <c r="AL1059" s="4">
        <v>30</v>
      </c>
      <c r="AM1059" s="5">
        <v>15</v>
      </c>
      <c r="AN1059" s="4">
        <v>44</v>
      </c>
      <c r="AO1059">
        <v>267.93103448275861</v>
      </c>
      <c r="AP1059" s="4">
        <v>1</v>
      </c>
      <c r="AQ1059" t="s">
        <v>1619</v>
      </c>
      <c r="AR1059" t="s">
        <v>1620</v>
      </c>
      <c r="AT1059" s="16">
        <f>_xlfn.XLOOKUP(B1059,'SWiSH Demand Forecast Sep-26'!D:D,'SWiSH Demand Forecast Sep-26'!G:G,"Not Exist")</f>
        <v>386.70600000000002</v>
      </c>
    </row>
    <row r="1060" spans="1:46" x14ac:dyDescent="0.3">
      <c r="A1060">
        <v>101600059</v>
      </c>
      <c r="B1060" t="s">
        <v>2954</v>
      </c>
      <c r="C1060" t="s">
        <v>10</v>
      </c>
      <c r="D1060" t="s">
        <v>1613</v>
      </c>
      <c r="E1060" t="s">
        <v>1655</v>
      </c>
      <c r="F1060" t="s">
        <v>1631</v>
      </c>
      <c r="G1060" t="s">
        <v>1624</v>
      </c>
      <c r="H1060" t="s">
        <v>1768</v>
      </c>
      <c r="I1060" t="s">
        <v>1634</v>
      </c>
      <c r="J1060" t="e">
        <v>#N/A</v>
      </c>
      <c r="K1060">
        <v>3.4833330000000003E-2</v>
      </c>
      <c r="L1060">
        <v>52.249995000000006</v>
      </c>
      <c r="M1060" s="1">
        <v>7</v>
      </c>
      <c r="N1060">
        <v>0</v>
      </c>
      <c r="O1060">
        <v>0</v>
      </c>
      <c r="P1060">
        <v>1500</v>
      </c>
      <c r="Q1060" s="1">
        <v>1500</v>
      </c>
      <c r="R1060">
        <v>17.5</v>
      </c>
      <c r="S1060" s="2">
        <v>46228</v>
      </c>
      <c r="T1060" s="2">
        <v>46222</v>
      </c>
      <c r="U1060">
        <v>1000</v>
      </c>
      <c r="V1060">
        <v>1000</v>
      </c>
      <c r="W1060">
        <v>0</v>
      </c>
      <c r="X1060">
        <v>500</v>
      </c>
      <c r="Y1060">
        <v>0</v>
      </c>
      <c r="Z1060" s="8">
        <v>1000</v>
      </c>
      <c r="AA1060">
        <v>625</v>
      </c>
      <c r="AB1060">
        <v>0</v>
      </c>
      <c r="AC1060">
        <v>1.6</v>
      </c>
      <c r="AD1060" s="1">
        <v>45</v>
      </c>
      <c r="AE1060" s="2">
        <v>46293</v>
      </c>
      <c r="AF1060" s="2">
        <v>46301</v>
      </c>
      <c r="AG1060" s="2">
        <v>46308</v>
      </c>
      <c r="AH1060">
        <v>0</v>
      </c>
      <c r="AI1060" s="3">
        <v>0</v>
      </c>
      <c r="AJ1060" s="1" t="s">
        <v>1635</v>
      </c>
      <c r="AK1060" s="2" t="s">
        <v>1635</v>
      </c>
      <c r="AL1060" s="4">
        <v>30</v>
      </c>
      <c r="AM1060" s="5">
        <v>15</v>
      </c>
      <c r="AN1060" s="4">
        <v>45</v>
      </c>
      <c r="AO1060">
        <v>0</v>
      </c>
      <c r="AP1060" s="4">
        <v>1</v>
      </c>
      <c r="AQ1060" t="s">
        <v>1619</v>
      </c>
      <c r="AR1060" t="s">
        <v>1620</v>
      </c>
      <c r="AT1060" s="16" t="str">
        <f>_xlfn.XLOOKUP(B1060,'SWiSH Demand Forecast Sep-26'!D:D,'SWiSH Demand Forecast Sep-26'!G:G,"Not Exist")</f>
        <v>Not Exist</v>
      </c>
    </row>
    <row r="1061" spans="1:46" x14ac:dyDescent="0.3">
      <c r="A1061">
        <v>106700065</v>
      </c>
      <c r="B1061" t="s">
        <v>2955</v>
      </c>
      <c r="C1061" t="s">
        <v>10</v>
      </c>
      <c r="D1061" t="s">
        <v>1613</v>
      </c>
      <c r="E1061" t="s">
        <v>1643</v>
      </c>
      <c r="F1061" t="s">
        <v>1650</v>
      </c>
      <c r="G1061" t="s">
        <v>1624</v>
      </c>
      <c r="H1061" t="s">
        <v>1651</v>
      </c>
      <c r="I1061" t="s">
        <v>1634</v>
      </c>
      <c r="J1061" t="s">
        <v>2412</v>
      </c>
      <c r="K1061">
        <v>1.8928569999999999E-2</v>
      </c>
      <c r="L1061">
        <v>56.785709999999995</v>
      </c>
      <c r="M1061" s="1">
        <v>3</v>
      </c>
      <c r="N1061">
        <v>0</v>
      </c>
      <c r="O1061">
        <v>0</v>
      </c>
      <c r="P1061">
        <v>3000</v>
      </c>
      <c r="Q1061" s="1">
        <v>3000</v>
      </c>
      <c r="R1061">
        <v>10</v>
      </c>
      <c r="S1061" s="2">
        <v>46215</v>
      </c>
      <c r="T1061" s="2">
        <v>46237</v>
      </c>
      <c r="U1061">
        <v>1500</v>
      </c>
      <c r="V1061">
        <v>500</v>
      </c>
      <c r="W1061">
        <v>2000</v>
      </c>
      <c r="X1061">
        <v>0</v>
      </c>
      <c r="Y1061">
        <v>0</v>
      </c>
      <c r="Z1061" s="8">
        <v>2000</v>
      </c>
      <c r="AA1061">
        <v>1000</v>
      </c>
      <c r="AB1061">
        <v>0</v>
      </c>
      <c r="AC1061">
        <v>2</v>
      </c>
      <c r="AD1061" s="1">
        <v>45</v>
      </c>
      <c r="AE1061" s="2">
        <v>46293</v>
      </c>
      <c r="AF1061" s="2">
        <v>46301</v>
      </c>
      <c r="AG1061" s="2">
        <v>46308</v>
      </c>
      <c r="AH1061">
        <v>500</v>
      </c>
      <c r="AI1061" s="3">
        <v>0.25862068965517238</v>
      </c>
      <c r="AJ1061" s="1">
        <v>174</v>
      </c>
      <c r="AK1061" s="2">
        <v>46437</v>
      </c>
      <c r="AL1061" s="4">
        <v>30</v>
      </c>
      <c r="AM1061" s="5">
        <v>15</v>
      </c>
      <c r="AN1061" s="4">
        <v>45</v>
      </c>
      <c r="AO1061">
        <v>517.24137931034477</v>
      </c>
      <c r="AP1061" s="4">
        <v>1</v>
      </c>
      <c r="AQ1061" t="s">
        <v>1619</v>
      </c>
      <c r="AR1061" t="s">
        <v>1620</v>
      </c>
      <c r="AT1061" s="16" t="str">
        <f>_xlfn.XLOOKUP(B1061,'SWiSH Demand Forecast Sep-26'!D:D,'SWiSH Demand Forecast Sep-26'!G:G,"Not Exist")</f>
        <v>Not Exist</v>
      </c>
    </row>
    <row r="1062" spans="1:46" x14ac:dyDescent="0.3">
      <c r="A1062">
        <v>101400039</v>
      </c>
      <c r="B1062" t="s">
        <v>2956</v>
      </c>
      <c r="C1062" t="s">
        <v>136</v>
      </c>
      <c r="D1062" t="s">
        <v>1613</v>
      </c>
      <c r="E1062" t="s">
        <v>2957</v>
      </c>
      <c r="F1062" t="s">
        <v>1644</v>
      </c>
      <c r="G1062" t="s">
        <v>1624</v>
      </c>
      <c r="H1062" t="s">
        <v>1693</v>
      </c>
      <c r="I1062" t="s">
        <v>1634</v>
      </c>
      <c r="J1062" t="s">
        <v>2169</v>
      </c>
      <c r="K1062">
        <v>2.75805488</v>
      </c>
      <c r="L1062">
        <v>165.48329279999999</v>
      </c>
      <c r="M1062" s="1">
        <v>3</v>
      </c>
      <c r="N1062">
        <v>0</v>
      </c>
      <c r="O1062">
        <v>0</v>
      </c>
      <c r="P1062">
        <v>60</v>
      </c>
      <c r="Q1062" s="1">
        <v>60</v>
      </c>
      <c r="R1062">
        <v>28</v>
      </c>
      <c r="S1062" s="2">
        <v>46048</v>
      </c>
      <c r="T1062" s="2">
        <v>46251</v>
      </c>
      <c r="U1062">
        <v>0</v>
      </c>
      <c r="V1062">
        <v>40</v>
      </c>
      <c r="W1062">
        <v>10</v>
      </c>
      <c r="X1062">
        <v>20</v>
      </c>
      <c r="Y1062">
        <v>0</v>
      </c>
      <c r="Z1062" s="8">
        <v>40</v>
      </c>
      <c r="AA1062">
        <v>17.5</v>
      </c>
      <c r="AB1062">
        <v>0</v>
      </c>
      <c r="AC1062">
        <v>2.2857142857142856</v>
      </c>
      <c r="AD1062" s="1">
        <v>45</v>
      </c>
      <c r="AE1062" s="2">
        <v>46293</v>
      </c>
      <c r="AF1062" s="2">
        <v>46301</v>
      </c>
      <c r="AG1062" s="2">
        <v>46308</v>
      </c>
      <c r="AH1062">
        <v>10</v>
      </c>
      <c r="AI1062" s="3">
        <v>0.25862068965517243</v>
      </c>
      <c r="AJ1062" s="1">
        <v>174</v>
      </c>
      <c r="AK1062" s="2">
        <v>46437</v>
      </c>
      <c r="AL1062" s="4">
        <v>30</v>
      </c>
      <c r="AM1062" s="5">
        <v>15</v>
      </c>
      <c r="AN1062" s="4">
        <v>45</v>
      </c>
      <c r="AO1062">
        <v>10.344827586206897</v>
      </c>
      <c r="AP1062" s="4">
        <v>1</v>
      </c>
      <c r="AQ1062" t="s">
        <v>1619</v>
      </c>
      <c r="AR1062" t="s">
        <v>1620</v>
      </c>
      <c r="AT1062" s="16" t="str">
        <f>_xlfn.XLOOKUP(B1062,'SWiSH Demand Forecast Sep-26'!D:D,'SWiSH Demand Forecast Sep-26'!G:G,"Not Exist")</f>
        <v>Not Exist</v>
      </c>
    </row>
    <row r="1063" spans="1:46" x14ac:dyDescent="0.3">
      <c r="A1063">
        <v>101400054</v>
      </c>
      <c r="B1063" t="s">
        <v>2958</v>
      </c>
      <c r="C1063" t="s">
        <v>240</v>
      </c>
      <c r="D1063" t="s">
        <v>1613</v>
      </c>
      <c r="E1063" t="s">
        <v>1638</v>
      </c>
      <c r="F1063" t="s">
        <v>1644</v>
      </c>
      <c r="G1063" t="s">
        <v>1624</v>
      </c>
      <c r="H1063" t="s">
        <v>1693</v>
      </c>
      <c r="I1063" t="s">
        <v>1634</v>
      </c>
      <c r="J1063" t="s">
        <v>2959</v>
      </c>
      <c r="K1063">
        <v>5.1388888899999996</v>
      </c>
      <c r="L1063">
        <v>18.500000004</v>
      </c>
      <c r="M1063" s="1">
        <v>3</v>
      </c>
      <c r="N1063">
        <v>0</v>
      </c>
      <c r="O1063">
        <v>0</v>
      </c>
      <c r="P1063">
        <v>3.6</v>
      </c>
      <c r="Q1063" s="1">
        <v>3.6</v>
      </c>
      <c r="R1063">
        <v>17</v>
      </c>
      <c r="S1063" s="2">
        <v>46249</v>
      </c>
      <c r="T1063" s="2">
        <v>46256</v>
      </c>
      <c r="U1063">
        <v>2.4</v>
      </c>
      <c r="V1063">
        <v>1.2</v>
      </c>
      <c r="W1063">
        <v>1.7999999999999998</v>
      </c>
      <c r="X1063">
        <v>1.7999999999999998</v>
      </c>
      <c r="Y1063">
        <v>1.2</v>
      </c>
      <c r="Z1063" s="8">
        <v>2.4</v>
      </c>
      <c r="AA1063">
        <v>1.7999999999999998</v>
      </c>
      <c r="AB1063">
        <v>0.66666666666666674</v>
      </c>
      <c r="AC1063">
        <v>1.3333333333333335</v>
      </c>
      <c r="AD1063" s="1">
        <v>45</v>
      </c>
      <c r="AE1063" s="2">
        <v>46293</v>
      </c>
      <c r="AF1063" s="2">
        <v>46301</v>
      </c>
      <c r="AG1063" s="2">
        <v>46308</v>
      </c>
      <c r="AH1063">
        <v>7.2</v>
      </c>
      <c r="AI1063" s="3">
        <v>3.103448275862069</v>
      </c>
      <c r="AJ1063" s="1">
        <v>14</v>
      </c>
      <c r="AK1063" s="2">
        <v>46277</v>
      </c>
      <c r="AL1063" s="4">
        <v>30</v>
      </c>
      <c r="AM1063" s="5">
        <v>15</v>
      </c>
      <c r="AN1063" s="4">
        <v>14</v>
      </c>
      <c r="AO1063">
        <v>7.4482758620689653</v>
      </c>
      <c r="AP1063" s="4">
        <v>1</v>
      </c>
      <c r="AQ1063">
        <v>2</v>
      </c>
      <c r="AR1063" t="s">
        <v>2960</v>
      </c>
      <c r="AT1063" s="16" t="str">
        <f>_xlfn.XLOOKUP(B1063,'SWiSH Demand Forecast Sep-26'!D:D,'SWiSH Demand Forecast Sep-26'!G:G,"Not Exist")</f>
        <v>Not Exist</v>
      </c>
    </row>
    <row r="1064" spans="1:46" x14ac:dyDescent="0.3">
      <c r="A1064">
        <v>106800160</v>
      </c>
      <c r="B1064" t="s">
        <v>2961</v>
      </c>
      <c r="C1064" t="s">
        <v>10</v>
      </c>
      <c r="D1064" t="s">
        <v>1613</v>
      </c>
      <c r="E1064" t="s">
        <v>1732</v>
      </c>
      <c r="F1064" t="s">
        <v>1664</v>
      </c>
      <c r="G1064" t="s">
        <v>1616</v>
      </c>
      <c r="H1064" t="s">
        <v>1665</v>
      </c>
      <c r="I1064" t="s">
        <v>1634</v>
      </c>
      <c r="J1064" t="s">
        <v>10</v>
      </c>
      <c r="K1064">
        <v>5.0000000000000001E-3</v>
      </c>
      <c r="L1064">
        <v>75</v>
      </c>
      <c r="M1064" s="1">
        <v>7</v>
      </c>
      <c r="N1064">
        <v>0</v>
      </c>
      <c r="O1064">
        <v>0</v>
      </c>
      <c r="P1064">
        <v>15000</v>
      </c>
      <c r="Q1064" s="1">
        <v>15000</v>
      </c>
      <c r="R1064">
        <v>5.0000000000000001E-3</v>
      </c>
      <c r="S1064" s="2">
        <v>46211</v>
      </c>
      <c r="T1064" s="2">
        <v>46183</v>
      </c>
      <c r="U1064">
        <v>10000</v>
      </c>
      <c r="V1064">
        <v>0</v>
      </c>
      <c r="W1064">
        <v>5000</v>
      </c>
      <c r="X1064">
        <v>0</v>
      </c>
      <c r="Y1064">
        <v>0</v>
      </c>
      <c r="Z1064" s="8">
        <v>10000</v>
      </c>
      <c r="AA1064">
        <v>3750</v>
      </c>
      <c r="AB1064">
        <v>0</v>
      </c>
      <c r="AC1064">
        <v>2.6666666666666665</v>
      </c>
      <c r="AD1064" s="1">
        <v>45</v>
      </c>
      <c r="AE1064" s="2">
        <v>46293</v>
      </c>
      <c r="AF1064" s="2">
        <v>46301</v>
      </c>
      <c r="AG1064" s="2">
        <v>46308</v>
      </c>
      <c r="AH1064">
        <v>0</v>
      </c>
      <c r="AI1064" s="3">
        <v>0</v>
      </c>
      <c r="AJ1064" s="1" t="s">
        <v>1635</v>
      </c>
      <c r="AK1064" s="2" t="s">
        <v>1635</v>
      </c>
      <c r="AL1064" s="4">
        <v>30</v>
      </c>
      <c r="AM1064" s="5">
        <v>15</v>
      </c>
      <c r="AN1064" s="4">
        <v>45</v>
      </c>
      <c r="AO1064">
        <v>0</v>
      </c>
      <c r="AP1064" s="4">
        <v>1</v>
      </c>
      <c r="AQ1064">
        <v>10000</v>
      </c>
      <c r="AR1064" t="s">
        <v>2076</v>
      </c>
      <c r="AT1064" s="16" t="str">
        <f>_xlfn.XLOOKUP(B1064,'SWiSH Demand Forecast Sep-26'!D:D,'SWiSH Demand Forecast Sep-26'!G:G,"Not Exist")</f>
        <v>Not Exist</v>
      </c>
    </row>
    <row r="1065" spans="1:46" x14ac:dyDescent="0.3">
      <c r="A1065">
        <v>106600002</v>
      </c>
      <c r="B1065" t="s">
        <v>2962</v>
      </c>
      <c r="C1065" t="s">
        <v>10</v>
      </c>
      <c r="D1065" t="s">
        <v>1613</v>
      </c>
      <c r="E1065" t="s">
        <v>2587</v>
      </c>
      <c r="F1065" t="s">
        <v>1664</v>
      </c>
      <c r="G1065" t="s">
        <v>1624</v>
      </c>
      <c r="H1065" t="s">
        <v>1723</v>
      </c>
      <c r="I1065" t="s">
        <v>1634</v>
      </c>
      <c r="J1065" t="s">
        <v>10</v>
      </c>
      <c r="K1065">
        <v>0.02</v>
      </c>
      <c r="L1065">
        <v>15</v>
      </c>
      <c r="M1065" s="1">
        <v>15</v>
      </c>
      <c r="N1065">
        <v>0</v>
      </c>
      <c r="O1065">
        <v>0</v>
      </c>
      <c r="P1065">
        <v>750</v>
      </c>
      <c r="Q1065" s="1">
        <v>750</v>
      </c>
      <c r="R1065">
        <v>0.02</v>
      </c>
      <c r="S1065" s="2">
        <v>45978</v>
      </c>
      <c r="T1065" s="2">
        <v>46188</v>
      </c>
      <c r="U1065">
        <v>0</v>
      </c>
      <c r="V1065">
        <v>0</v>
      </c>
      <c r="W1065">
        <v>500</v>
      </c>
      <c r="X1065">
        <v>0</v>
      </c>
      <c r="Y1065">
        <v>0</v>
      </c>
      <c r="Z1065" s="8">
        <v>500</v>
      </c>
      <c r="AA1065">
        <v>125</v>
      </c>
      <c r="AB1065">
        <v>0</v>
      </c>
      <c r="AC1065">
        <v>4</v>
      </c>
      <c r="AD1065" s="1">
        <v>45</v>
      </c>
      <c r="AE1065" s="2">
        <v>46293</v>
      </c>
      <c r="AF1065" s="2">
        <v>46301</v>
      </c>
      <c r="AG1065" s="2">
        <v>46308</v>
      </c>
      <c r="AH1065">
        <v>0</v>
      </c>
      <c r="AI1065" s="3">
        <v>0</v>
      </c>
      <c r="AJ1065" s="1" t="s">
        <v>1635</v>
      </c>
      <c r="AK1065" s="2" t="s">
        <v>1635</v>
      </c>
      <c r="AL1065" s="4">
        <v>30</v>
      </c>
      <c r="AM1065" s="5">
        <v>15</v>
      </c>
      <c r="AN1065" s="4">
        <v>45</v>
      </c>
      <c r="AO1065">
        <v>0</v>
      </c>
      <c r="AP1065" s="4">
        <v>1</v>
      </c>
      <c r="AQ1065">
        <v>1000</v>
      </c>
      <c r="AR1065" t="s">
        <v>2076</v>
      </c>
      <c r="AT1065" s="16" t="str">
        <f>_xlfn.XLOOKUP(B1065,'SWiSH Demand Forecast Sep-26'!D:D,'SWiSH Demand Forecast Sep-26'!G:G,"Not Exist")</f>
        <v>Not Exist</v>
      </c>
    </row>
    <row r="1066" spans="1:46" x14ac:dyDescent="0.3">
      <c r="A1066">
        <v>105300042</v>
      </c>
      <c r="B1066" t="s">
        <v>2963</v>
      </c>
      <c r="C1066" t="s">
        <v>10</v>
      </c>
      <c r="D1066" t="s">
        <v>1613</v>
      </c>
      <c r="E1066" t="s">
        <v>1638</v>
      </c>
      <c r="F1066" t="s">
        <v>1664</v>
      </c>
      <c r="G1066" t="s">
        <v>1624</v>
      </c>
      <c r="H1066" t="s">
        <v>1978</v>
      </c>
      <c r="I1066" t="s">
        <v>1634</v>
      </c>
      <c r="J1066" t="s">
        <v>2113</v>
      </c>
      <c r="K1066">
        <v>4.2000000000000003E-2</v>
      </c>
      <c r="L1066">
        <v>378</v>
      </c>
      <c r="M1066" s="1">
        <v>30</v>
      </c>
      <c r="N1066">
        <v>0</v>
      </c>
      <c r="O1066">
        <v>0</v>
      </c>
      <c r="P1066">
        <v>9000</v>
      </c>
      <c r="Q1066" s="1">
        <v>9000</v>
      </c>
      <c r="R1066">
        <v>4.2000000000000003E-2</v>
      </c>
      <c r="S1066" s="2">
        <v>46229</v>
      </c>
      <c r="T1066" s="2">
        <v>46254</v>
      </c>
      <c r="U1066">
        <v>5000</v>
      </c>
      <c r="V1066">
        <v>2000</v>
      </c>
      <c r="W1066">
        <v>1000</v>
      </c>
      <c r="X1066">
        <v>6000</v>
      </c>
      <c r="Y1066">
        <v>1000</v>
      </c>
      <c r="Z1066" s="8">
        <v>6000</v>
      </c>
      <c r="AA1066">
        <v>3500</v>
      </c>
      <c r="AB1066">
        <v>0.2857142857142857</v>
      </c>
      <c r="AC1066">
        <v>1.7142857142857142</v>
      </c>
      <c r="AD1066" s="1">
        <v>45</v>
      </c>
      <c r="AE1066" s="2">
        <v>46293</v>
      </c>
      <c r="AF1066" s="2">
        <v>46301</v>
      </c>
      <c r="AG1066" s="2">
        <v>46308</v>
      </c>
      <c r="AH1066">
        <v>5000</v>
      </c>
      <c r="AI1066" s="3">
        <v>0.86206896551724144</v>
      </c>
      <c r="AJ1066" s="1">
        <v>52</v>
      </c>
      <c r="AK1066" s="2">
        <v>46315</v>
      </c>
      <c r="AL1066" s="4">
        <v>30</v>
      </c>
      <c r="AM1066" s="5">
        <v>15</v>
      </c>
      <c r="AN1066" s="4">
        <v>45</v>
      </c>
      <c r="AO1066">
        <v>5172.4137931034484</v>
      </c>
      <c r="AP1066" s="4">
        <v>1</v>
      </c>
      <c r="AQ1066" t="s">
        <v>1619</v>
      </c>
      <c r="AR1066" t="s">
        <v>1620</v>
      </c>
      <c r="AT1066" s="16" t="str">
        <f>_xlfn.XLOOKUP(B1066,'SWiSH Demand Forecast Sep-26'!D:D,'SWiSH Demand Forecast Sep-26'!G:G,"Not Exist")</f>
        <v>Not Exist</v>
      </c>
    </row>
    <row r="1067" spans="1:46" hidden="1" x14ac:dyDescent="0.3">
      <c r="A1067">
        <v>106800134</v>
      </c>
      <c r="B1067" t="s">
        <v>232</v>
      </c>
      <c r="C1067" t="s">
        <v>10</v>
      </c>
      <c r="D1067" t="s">
        <v>1613</v>
      </c>
      <c r="E1067" t="s">
        <v>1638</v>
      </c>
      <c r="F1067" t="s">
        <v>1664</v>
      </c>
      <c r="G1067" t="s">
        <v>1624</v>
      </c>
      <c r="H1067" t="s">
        <v>1665</v>
      </c>
      <c r="I1067" t="s">
        <v>1634</v>
      </c>
      <c r="J1067" t="s">
        <v>10</v>
      </c>
      <c r="K1067">
        <v>0.01</v>
      </c>
      <c r="L1067">
        <v>225</v>
      </c>
      <c r="M1067" s="1">
        <v>7</v>
      </c>
      <c r="N1067">
        <v>0</v>
      </c>
      <c r="O1067">
        <v>0</v>
      </c>
      <c r="P1067">
        <v>22500</v>
      </c>
      <c r="Q1067" s="1">
        <v>22500</v>
      </c>
      <c r="R1067">
        <v>0.01</v>
      </c>
      <c r="S1067" s="2">
        <v>46243</v>
      </c>
      <c r="T1067" s="2">
        <v>46256</v>
      </c>
      <c r="U1067">
        <v>7500</v>
      </c>
      <c r="V1067">
        <v>12500</v>
      </c>
      <c r="W1067">
        <v>15000</v>
      </c>
      <c r="X1067">
        <v>12500</v>
      </c>
      <c r="Y1067">
        <v>7500</v>
      </c>
      <c r="Z1067" s="8">
        <v>15000</v>
      </c>
      <c r="AA1067">
        <v>11875</v>
      </c>
      <c r="AB1067">
        <v>0.63157894736842102</v>
      </c>
      <c r="AC1067">
        <v>1.263157894736842</v>
      </c>
      <c r="AD1067" s="1">
        <v>45</v>
      </c>
      <c r="AE1067" s="2">
        <v>46293</v>
      </c>
      <c r="AF1067" s="2">
        <v>46301</v>
      </c>
      <c r="AG1067" s="2">
        <v>46308</v>
      </c>
      <c r="AH1067">
        <v>10000</v>
      </c>
      <c r="AI1067" s="3">
        <v>0.68965517241379315</v>
      </c>
      <c r="AJ1067" s="1">
        <v>65</v>
      </c>
      <c r="AK1067" s="2">
        <v>46328</v>
      </c>
      <c r="AL1067" s="4">
        <v>30</v>
      </c>
      <c r="AM1067" s="5">
        <v>15</v>
      </c>
      <c r="AN1067" s="4">
        <v>45</v>
      </c>
      <c r="AO1067">
        <v>10344.827586206897</v>
      </c>
      <c r="AP1067" s="4">
        <v>1</v>
      </c>
      <c r="AQ1067">
        <v>15000</v>
      </c>
      <c r="AR1067" t="s">
        <v>2215</v>
      </c>
      <c r="AT1067" s="16">
        <f>_xlfn.XLOOKUP(B1067,'SWiSH Demand Forecast Sep-26'!D:D,'SWiSH Demand Forecast Sep-26'!G:G,"Not Exist")</f>
        <v>7451</v>
      </c>
    </row>
    <row r="1068" spans="1:46" x14ac:dyDescent="0.3">
      <c r="A1068">
        <v>106800328</v>
      </c>
      <c r="B1068" t="s">
        <v>2964</v>
      </c>
      <c r="C1068" t="s">
        <v>10</v>
      </c>
      <c r="D1068" t="s">
        <v>1613</v>
      </c>
      <c r="E1068" t="s">
        <v>2075</v>
      </c>
      <c r="F1068" t="s">
        <v>1664</v>
      </c>
      <c r="G1068" t="s">
        <v>1624</v>
      </c>
      <c r="H1068" t="s">
        <v>1665</v>
      </c>
      <c r="I1068" t="s">
        <v>1634</v>
      </c>
      <c r="J1068" t="s">
        <v>10</v>
      </c>
      <c r="K1068">
        <v>3</v>
      </c>
      <c r="L1068">
        <v>27</v>
      </c>
      <c r="M1068" s="1">
        <v>7</v>
      </c>
      <c r="N1068">
        <v>0</v>
      </c>
      <c r="O1068">
        <v>0</v>
      </c>
      <c r="P1068">
        <v>9</v>
      </c>
      <c r="Q1068" s="1">
        <v>9</v>
      </c>
      <c r="R1068">
        <v>3</v>
      </c>
      <c r="S1068" s="2">
        <v>45773</v>
      </c>
      <c r="T1068" s="2">
        <v>46254</v>
      </c>
      <c r="U1068">
        <v>6</v>
      </c>
      <c r="V1068">
        <v>3</v>
      </c>
      <c r="W1068">
        <v>3</v>
      </c>
      <c r="X1068">
        <v>2</v>
      </c>
      <c r="Y1068">
        <v>2</v>
      </c>
      <c r="Z1068" s="8">
        <v>6</v>
      </c>
      <c r="AA1068">
        <v>3.5</v>
      </c>
      <c r="AB1068">
        <v>0.5714285714285714</v>
      </c>
      <c r="AC1068">
        <v>1.7142857142857142</v>
      </c>
      <c r="AD1068" s="1">
        <v>45</v>
      </c>
      <c r="AE1068" s="2">
        <v>46293</v>
      </c>
      <c r="AF1068" s="2">
        <v>46301</v>
      </c>
      <c r="AG1068" s="2">
        <v>46308</v>
      </c>
      <c r="AH1068">
        <v>5</v>
      </c>
      <c r="AI1068" s="3">
        <v>0.86206896551724144</v>
      </c>
      <c r="AJ1068" s="1">
        <v>52</v>
      </c>
      <c r="AK1068" s="2">
        <v>46315</v>
      </c>
      <c r="AL1068" s="4">
        <v>30</v>
      </c>
      <c r="AM1068" s="5">
        <v>15</v>
      </c>
      <c r="AN1068" s="4">
        <v>45</v>
      </c>
      <c r="AO1068">
        <v>5.1724137931034484</v>
      </c>
      <c r="AP1068" s="4">
        <v>1</v>
      </c>
      <c r="AQ1068" t="s">
        <v>1619</v>
      </c>
      <c r="AR1068" t="s">
        <v>1620</v>
      </c>
      <c r="AT1068" s="16" t="str">
        <f>_xlfn.XLOOKUP(B1068,'SWiSH Demand Forecast Sep-26'!D:D,'SWiSH Demand Forecast Sep-26'!G:G,"Not Exist")</f>
        <v>Not Exist</v>
      </c>
    </row>
    <row r="1069" spans="1:46" x14ac:dyDescent="0.3">
      <c r="A1069">
        <v>105700002</v>
      </c>
      <c r="B1069" t="s">
        <v>2965</v>
      </c>
      <c r="C1069" t="s">
        <v>10</v>
      </c>
      <c r="D1069" t="s">
        <v>1613</v>
      </c>
      <c r="E1069" t="s">
        <v>1832</v>
      </c>
      <c r="F1069" t="s">
        <v>1631</v>
      </c>
      <c r="G1069" t="s">
        <v>1624</v>
      </c>
      <c r="H1069" t="s">
        <v>2574</v>
      </c>
      <c r="I1069" t="s">
        <v>1634</v>
      </c>
      <c r="J1069" t="s">
        <v>10</v>
      </c>
      <c r="K1069">
        <v>1.6750000000000001E-2</v>
      </c>
      <c r="L1069">
        <v>50.25</v>
      </c>
      <c r="M1069" s="1">
        <v>7</v>
      </c>
      <c r="N1069">
        <v>0</v>
      </c>
      <c r="O1069">
        <v>0</v>
      </c>
      <c r="P1069">
        <v>3000</v>
      </c>
      <c r="Q1069" s="1">
        <v>3000</v>
      </c>
      <c r="R1069">
        <v>16.75</v>
      </c>
      <c r="S1069" s="2">
        <v>46126</v>
      </c>
      <c r="T1069" s="2">
        <v>46258</v>
      </c>
      <c r="U1069">
        <v>2000</v>
      </c>
      <c r="V1069">
        <v>2000</v>
      </c>
      <c r="W1069">
        <v>2000</v>
      </c>
      <c r="X1069">
        <v>2000</v>
      </c>
      <c r="Y1069">
        <v>2000</v>
      </c>
      <c r="Z1069" s="8">
        <v>2000</v>
      </c>
      <c r="AA1069">
        <v>2000</v>
      </c>
      <c r="AB1069">
        <v>1</v>
      </c>
      <c r="AC1069">
        <v>1</v>
      </c>
      <c r="AD1069" s="1">
        <v>45</v>
      </c>
      <c r="AE1069" s="2">
        <v>46293</v>
      </c>
      <c r="AF1069" s="2">
        <v>46301</v>
      </c>
      <c r="AG1069" s="2">
        <v>46308</v>
      </c>
      <c r="AH1069">
        <v>1000</v>
      </c>
      <c r="AI1069" s="3">
        <v>0.51724137931034475</v>
      </c>
      <c r="AJ1069" s="1">
        <v>87</v>
      </c>
      <c r="AK1069" s="2">
        <v>46350</v>
      </c>
      <c r="AL1069" s="4">
        <v>30</v>
      </c>
      <c r="AM1069" s="5">
        <v>15</v>
      </c>
      <c r="AN1069" s="4">
        <v>45</v>
      </c>
      <c r="AO1069">
        <v>1034.4827586206895</v>
      </c>
      <c r="AP1069" s="4">
        <v>1</v>
      </c>
      <c r="AQ1069" t="s">
        <v>1619</v>
      </c>
      <c r="AR1069" t="s">
        <v>1620</v>
      </c>
      <c r="AT1069" s="16" t="str">
        <f>_xlfn.XLOOKUP(B1069,'SWiSH Demand Forecast Sep-26'!D:D,'SWiSH Demand Forecast Sep-26'!G:G,"Not Exist")</f>
        <v>Not Exist</v>
      </c>
    </row>
    <row r="1070" spans="1:46" hidden="1" x14ac:dyDescent="0.3">
      <c r="A1070">
        <v>106200069</v>
      </c>
      <c r="B1070" t="s">
        <v>1008</v>
      </c>
      <c r="C1070" t="s">
        <v>240</v>
      </c>
      <c r="D1070" t="s">
        <v>1613</v>
      </c>
      <c r="E1070" t="s">
        <v>2161</v>
      </c>
      <c r="F1070" t="s">
        <v>1671</v>
      </c>
      <c r="G1070" t="s">
        <v>1616</v>
      </c>
      <c r="H1070" t="s">
        <v>1672</v>
      </c>
      <c r="I1070" t="s">
        <v>1618</v>
      </c>
      <c r="J1070" t="s">
        <v>1874</v>
      </c>
      <c r="K1070">
        <v>7.1627848399999996</v>
      </c>
      <c r="L1070">
        <v>4419.4382462799995</v>
      </c>
      <c r="M1070" s="1">
        <v>3</v>
      </c>
      <c r="N1070">
        <v>0</v>
      </c>
      <c r="O1070">
        <v>0</v>
      </c>
      <c r="P1070">
        <v>617</v>
      </c>
      <c r="Q1070" s="1">
        <v>617</v>
      </c>
      <c r="R1070">
        <v>87</v>
      </c>
      <c r="S1070" s="2">
        <v>46246</v>
      </c>
      <c r="T1070" s="2">
        <v>46263</v>
      </c>
      <c r="U1070">
        <v>318</v>
      </c>
      <c r="V1070">
        <v>312</v>
      </c>
      <c r="W1070">
        <v>233.358</v>
      </c>
      <c r="X1070">
        <v>410</v>
      </c>
      <c r="Y1070">
        <v>233.358</v>
      </c>
      <c r="Z1070" s="8">
        <v>410</v>
      </c>
      <c r="AA1070">
        <v>318.33949999999999</v>
      </c>
      <c r="AB1070">
        <v>0.7330475797065712</v>
      </c>
      <c r="AC1070">
        <v>1.2879331656926019</v>
      </c>
      <c r="AD1070" s="1">
        <v>45</v>
      </c>
      <c r="AE1070" s="2">
        <v>46293</v>
      </c>
      <c r="AF1070" s="2">
        <v>46301</v>
      </c>
      <c r="AG1070" s="2">
        <v>46308</v>
      </c>
      <c r="AH1070">
        <v>353</v>
      </c>
      <c r="AI1070" s="3">
        <v>0.89066442388561817</v>
      </c>
      <c r="AJ1070" s="1">
        <v>50</v>
      </c>
      <c r="AK1070" s="2">
        <v>46313</v>
      </c>
      <c r="AL1070" s="4">
        <v>15</v>
      </c>
      <c r="AM1070" s="5">
        <v>15</v>
      </c>
      <c r="AN1070" s="4">
        <v>45</v>
      </c>
      <c r="AO1070">
        <v>182.58620689655172</v>
      </c>
      <c r="AP1070" s="4">
        <v>2</v>
      </c>
      <c r="AQ1070" t="s">
        <v>1619</v>
      </c>
      <c r="AR1070" t="s">
        <v>1620</v>
      </c>
      <c r="AT1070" s="16">
        <f>_xlfn.XLOOKUP(B1070,'SWiSH Demand Forecast Sep-26'!D:D,'SWiSH Demand Forecast Sep-26'!G:G,"Not Exist")</f>
        <v>143.185447058823</v>
      </c>
    </row>
    <row r="1071" spans="1:46" x14ac:dyDescent="0.3">
      <c r="A1071">
        <v>104900015</v>
      </c>
      <c r="B1071" t="s">
        <v>2966</v>
      </c>
      <c r="C1071" t="s">
        <v>10</v>
      </c>
      <c r="D1071" t="s">
        <v>1613</v>
      </c>
      <c r="E1071" t="s">
        <v>1775</v>
      </c>
      <c r="F1071" t="s">
        <v>1664</v>
      </c>
      <c r="G1071" t="s">
        <v>1624</v>
      </c>
      <c r="H1071" t="s">
        <v>1759</v>
      </c>
      <c r="I1071" t="s">
        <v>1634</v>
      </c>
      <c r="J1071" t="s">
        <v>2233</v>
      </c>
      <c r="K1071">
        <v>2.7482100000000001E-3</v>
      </c>
      <c r="L1071">
        <v>346.27446000000003</v>
      </c>
      <c r="M1071" s="1">
        <v>15</v>
      </c>
      <c r="N1071">
        <v>0</v>
      </c>
      <c r="O1071">
        <v>2000</v>
      </c>
      <c r="P1071">
        <v>126000</v>
      </c>
      <c r="Q1071" s="1">
        <v>124000</v>
      </c>
      <c r="R1071">
        <v>5.5</v>
      </c>
      <c r="S1071" s="2">
        <v>46216</v>
      </c>
      <c r="T1071" s="2">
        <v>46263</v>
      </c>
      <c r="U1071">
        <v>82000</v>
      </c>
      <c r="V1071">
        <v>74000</v>
      </c>
      <c r="W1071">
        <v>62000</v>
      </c>
      <c r="X1071">
        <v>68000</v>
      </c>
      <c r="Y1071">
        <v>62000</v>
      </c>
      <c r="Z1071" s="8">
        <v>82000</v>
      </c>
      <c r="AA1071">
        <v>71500</v>
      </c>
      <c r="AB1071">
        <v>0.86713286713286708</v>
      </c>
      <c r="AC1071">
        <v>1.1468531468531469</v>
      </c>
      <c r="AD1071" s="1">
        <v>45</v>
      </c>
      <c r="AE1071" s="2">
        <v>46293</v>
      </c>
      <c r="AF1071" s="2">
        <v>46301</v>
      </c>
      <c r="AG1071" s="2">
        <v>46308</v>
      </c>
      <c r="AH1071">
        <v>54000</v>
      </c>
      <c r="AI1071" s="3">
        <v>0.68124474348191755</v>
      </c>
      <c r="AJ1071" s="1">
        <v>66</v>
      </c>
      <c r="AK1071" s="2">
        <v>46329</v>
      </c>
      <c r="AL1071" s="4">
        <v>30</v>
      </c>
      <c r="AM1071" s="5">
        <v>15</v>
      </c>
      <c r="AN1071" s="4">
        <v>45</v>
      </c>
      <c r="AO1071">
        <v>55862.068965517239</v>
      </c>
      <c r="AP1071" s="4">
        <v>1</v>
      </c>
      <c r="AQ1071" t="s">
        <v>1619</v>
      </c>
      <c r="AR1071" t="s">
        <v>1620</v>
      </c>
      <c r="AT1071" s="16" t="str">
        <f>_xlfn.XLOOKUP(B1071,'SWiSH Demand Forecast Sep-26'!D:D,'SWiSH Demand Forecast Sep-26'!G:G,"Not Exist")</f>
        <v>Not Exist</v>
      </c>
    </row>
    <row r="1072" spans="1:46" hidden="1" x14ac:dyDescent="0.3">
      <c r="A1072">
        <v>106200060</v>
      </c>
      <c r="B1072" t="s">
        <v>885</v>
      </c>
      <c r="C1072" t="s">
        <v>136</v>
      </c>
      <c r="D1072" t="s">
        <v>1613</v>
      </c>
      <c r="E1072" t="s">
        <v>2967</v>
      </c>
      <c r="F1072" t="s">
        <v>1671</v>
      </c>
      <c r="G1072" t="s">
        <v>1616</v>
      </c>
      <c r="H1072" t="s">
        <v>1672</v>
      </c>
      <c r="I1072" t="s">
        <v>1618</v>
      </c>
      <c r="J1072" t="s">
        <v>2968</v>
      </c>
      <c r="K1072">
        <v>1.5808830599999999</v>
      </c>
      <c r="L1072">
        <v>2241.6131349269999</v>
      </c>
      <c r="M1072" s="1">
        <v>3</v>
      </c>
      <c r="N1072">
        <v>0</v>
      </c>
      <c r="O1072">
        <v>9</v>
      </c>
      <c r="P1072">
        <v>1417.95</v>
      </c>
      <c r="Q1072" s="1">
        <v>1408.95</v>
      </c>
      <c r="R1072">
        <v>17</v>
      </c>
      <c r="S1072" s="2">
        <v>45997</v>
      </c>
      <c r="T1072" s="2">
        <v>46263</v>
      </c>
      <c r="U1072">
        <v>735.84999999999968</v>
      </c>
      <c r="V1072">
        <v>910.79999999999927</v>
      </c>
      <c r="W1072">
        <v>763.19999999999982</v>
      </c>
      <c r="X1072">
        <v>931.59999999999968</v>
      </c>
      <c r="Y1072">
        <v>735.84999999999968</v>
      </c>
      <c r="Z1072" s="8">
        <v>931.59999999999968</v>
      </c>
      <c r="AA1072">
        <v>835.3624999999995</v>
      </c>
      <c r="AB1072">
        <v>0.8808750692064824</v>
      </c>
      <c r="AC1072">
        <v>1.1152044770982661</v>
      </c>
      <c r="AD1072" s="1">
        <v>45</v>
      </c>
      <c r="AE1072" s="2">
        <v>46293</v>
      </c>
      <c r="AF1072" s="2">
        <v>46301</v>
      </c>
      <c r="AG1072" s="2">
        <v>46308</v>
      </c>
      <c r="AH1072">
        <v>1067.3999999999994</v>
      </c>
      <c r="AI1072" s="3">
        <v>1.1852800521164919</v>
      </c>
      <c r="AJ1072" s="1">
        <v>38</v>
      </c>
      <c r="AK1072" s="2">
        <v>46301</v>
      </c>
      <c r="AL1072" s="4">
        <v>8</v>
      </c>
      <c r="AM1072" s="5">
        <v>5</v>
      </c>
      <c r="AN1072" s="4">
        <v>38</v>
      </c>
      <c r="AO1072">
        <v>294.45517241379292</v>
      </c>
      <c r="AP1072" s="4">
        <v>4</v>
      </c>
      <c r="AQ1072" t="s">
        <v>1619</v>
      </c>
      <c r="AR1072" t="s">
        <v>1620</v>
      </c>
      <c r="AT1072" s="16">
        <f>_xlfn.XLOOKUP(B1072,'SWiSH Demand Forecast Sep-26'!D:D,'SWiSH Demand Forecast Sep-26'!G:G,"Not Exist")</f>
        <v>259.12676329098298</v>
      </c>
    </row>
    <row r="1073" spans="1:46" x14ac:dyDescent="0.3">
      <c r="A1073">
        <v>105600026</v>
      </c>
      <c r="B1073" t="s">
        <v>2969</v>
      </c>
      <c r="C1073" t="s">
        <v>10</v>
      </c>
      <c r="D1073" t="s">
        <v>1613</v>
      </c>
      <c r="E1073" t="s">
        <v>1663</v>
      </c>
      <c r="F1073" t="s">
        <v>1664</v>
      </c>
      <c r="G1073" t="s">
        <v>1624</v>
      </c>
      <c r="H1073" t="s">
        <v>1679</v>
      </c>
      <c r="I1073" t="s">
        <v>1634</v>
      </c>
      <c r="J1073" t="s">
        <v>10</v>
      </c>
      <c r="K1073">
        <v>0.45</v>
      </c>
      <c r="L1073">
        <v>150.30000000000001</v>
      </c>
      <c r="M1073" s="1">
        <v>15</v>
      </c>
      <c r="N1073">
        <v>0</v>
      </c>
      <c r="O1073">
        <v>0</v>
      </c>
      <c r="P1073">
        <v>334</v>
      </c>
      <c r="Q1073" s="1">
        <v>334</v>
      </c>
      <c r="R1073">
        <v>0.48</v>
      </c>
      <c r="S1073" s="2">
        <v>46167</v>
      </c>
      <c r="T1073" s="2">
        <v>46263</v>
      </c>
      <c r="U1073">
        <v>0</v>
      </c>
      <c r="V1073">
        <v>20</v>
      </c>
      <c r="W1073">
        <v>180</v>
      </c>
      <c r="X1073">
        <v>220</v>
      </c>
      <c r="Y1073">
        <v>0</v>
      </c>
      <c r="Z1073" s="8">
        <v>220</v>
      </c>
      <c r="AA1073">
        <v>105</v>
      </c>
      <c r="AB1073">
        <v>0</v>
      </c>
      <c r="AC1073">
        <v>2.0952380952380953</v>
      </c>
      <c r="AD1073" s="1">
        <v>45</v>
      </c>
      <c r="AE1073" s="2">
        <v>46293</v>
      </c>
      <c r="AF1073" s="2">
        <v>46301</v>
      </c>
      <c r="AG1073" s="2">
        <v>46308</v>
      </c>
      <c r="AH1073">
        <v>280</v>
      </c>
      <c r="AI1073" s="3">
        <v>1.3166144200626959</v>
      </c>
      <c r="AJ1073" s="1">
        <v>34</v>
      </c>
      <c r="AK1073" s="2">
        <v>46297</v>
      </c>
      <c r="AL1073" s="4">
        <v>30</v>
      </c>
      <c r="AM1073" s="5">
        <v>15</v>
      </c>
      <c r="AN1073" s="4">
        <v>34</v>
      </c>
      <c r="AO1073">
        <v>289.65517241379308</v>
      </c>
      <c r="AP1073" s="4">
        <v>1</v>
      </c>
      <c r="AQ1073">
        <v>1000</v>
      </c>
      <c r="AR1073" t="s">
        <v>2860</v>
      </c>
      <c r="AS1073" t="s">
        <v>1666</v>
      </c>
      <c r="AT1073" s="16" t="str">
        <f>_xlfn.XLOOKUP(B1073,'SWiSH Demand Forecast Sep-26'!D:D,'SWiSH Demand Forecast Sep-26'!G:G,"Not Exist")</f>
        <v>Not Exist</v>
      </c>
    </row>
    <row r="1074" spans="1:46" hidden="1" x14ac:dyDescent="0.3">
      <c r="A1074">
        <v>100400200</v>
      </c>
      <c r="B1074" t="s">
        <v>105</v>
      </c>
      <c r="C1074" t="s">
        <v>10</v>
      </c>
      <c r="D1074" t="s">
        <v>1613</v>
      </c>
      <c r="E1074" t="s">
        <v>1663</v>
      </c>
      <c r="F1074" t="s">
        <v>1664</v>
      </c>
      <c r="G1074" t="s">
        <v>1624</v>
      </c>
      <c r="H1074" t="s">
        <v>1810</v>
      </c>
      <c r="I1074" t="s">
        <v>1634</v>
      </c>
      <c r="J1074" t="s">
        <v>10</v>
      </c>
      <c r="K1074">
        <v>6.0000009999999999E-2</v>
      </c>
      <c r="L1074">
        <v>1704.000284</v>
      </c>
      <c r="M1074" s="1">
        <v>30</v>
      </c>
      <c r="N1074">
        <v>0</v>
      </c>
      <c r="O1074">
        <v>200</v>
      </c>
      <c r="P1074">
        <v>28400</v>
      </c>
      <c r="Q1074" s="1">
        <v>28200</v>
      </c>
      <c r="R1074">
        <v>6.6000000000000003E-2</v>
      </c>
      <c r="S1074" s="2">
        <v>46263</v>
      </c>
      <c r="T1074" s="2">
        <v>46263</v>
      </c>
      <c r="U1074">
        <v>15750</v>
      </c>
      <c r="V1074">
        <v>18200</v>
      </c>
      <c r="W1074">
        <v>15082</v>
      </c>
      <c r="X1074">
        <v>17125</v>
      </c>
      <c r="Y1074">
        <v>15082</v>
      </c>
      <c r="Z1074" s="8">
        <v>18200</v>
      </c>
      <c r="AA1074">
        <v>16539.25</v>
      </c>
      <c r="AB1074">
        <v>0.9118914098281361</v>
      </c>
      <c r="AC1074">
        <v>1.1004126547455295</v>
      </c>
      <c r="AD1074" s="1">
        <v>46</v>
      </c>
      <c r="AE1074" s="2">
        <v>46294</v>
      </c>
      <c r="AF1074" s="2">
        <v>46302</v>
      </c>
      <c r="AG1074" s="2">
        <v>46309</v>
      </c>
      <c r="AH1074">
        <v>13600</v>
      </c>
      <c r="AI1074" s="3">
        <v>0.7730200833649109</v>
      </c>
      <c r="AJ1074" s="1">
        <v>60</v>
      </c>
      <c r="AK1074" s="2">
        <v>46323</v>
      </c>
      <c r="AL1074" s="4">
        <v>15</v>
      </c>
      <c r="AM1074" s="5">
        <v>15</v>
      </c>
      <c r="AN1074" s="4">
        <v>46</v>
      </c>
      <c r="AO1074">
        <v>7034.4827586206893</v>
      </c>
      <c r="AP1074" s="4">
        <v>2</v>
      </c>
      <c r="AQ1074">
        <v>22000</v>
      </c>
      <c r="AR1074" t="s">
        <v>2377</v>
      </c>
      <c r="AT1074" s="16">
        <f>_xlfn.XLOOKUP(B1074,'SWiSH Demand Forecast Sep-26'!D:D,'SWiSH Demand Forecast Sep-26'!G:G,"Not Exist")</f>
        <v>18188</v>
      </c>
    </row>
    <row r="1075" spans="1:46" hidden="1" x14ac:dyDescent="0.3">
      <c r="A1075">
        <v>100100135</v>
      </c>
      <c r="B1075" t="s">
        <v>1151</v>
      </c>
      <c r="C1075" t="s">
        <v>136</v>
      </c>
      <c r="D1075" t="s">
        <v>1613</v>
      </c>
      <c r="E1075" t="s">
        <v>1732</v>
      </c>
      <c r="F1075" t="s">
        <v>1941</v>
      </c>
      <c r="G1075" t="s">
        <v>1624</v>
      </c>
      <c r="H1075" t="s">
        <v>1877</v>
      </c>
      <c r="I1075" t="s">
        <v>1618</v>
      </c>
      <c r="J1075" t="s">
        <v>2067</v>
      </c>
      <c r="K1075">
        <v>0.81658465000000002</v>
      </c>
      <c r="L1075">
        <v>347.04847625000002</v>
      </c>
      <c r="M1075" s="1">
        <v>3</v>
      </c>
      <c r="N1075">
        <v>0</v>
      </c>
      <c r="O1075">
        <v>0</v>
      </c>
      <c r="P1075">
        <v>425</v>
      </c>
      <c r="Q1075" s="1">
        <v>425</v>
      </c>
      <c r="R1075">
        <v>28</v>
      </c>
      <c r="S1075" s="2">
        <v>46027</v>
      </c>
      <c r="T1075" s="2">
        <v>46261</v>
      </c>
      <c r="U1075">
        <v>275</v>
      </c>
      <c r="V1075">
        <v>250</v>
      </c>
      <c r="W1075">
        <v>225</v>
      </c>
      <c r="X1075">
        <v>200</v>
      </c>
      <c r="Y1075">
        <v>200</v>
      </c>
      <c r="Z1075" s="8">
        <v>275</v>
      </c>
      <c r="AA1075">
        <v>237.5</v>
      </c>
      <c r="AB1075">
        <v>0.84210526315789469</v>
      </c>
      <c r="AC1075">
        <v>1.1578947368421053</v>
      </c>
      <c r="AD1075" s="1">
        <v>46</v>
      </c>
      <c r="AE1075" s="2">
        <v>46294</v>
      </c>
      <c r="AF1075" s="2">
        <v>46302</v>
      </c>
      <c r="AG1075" s="2">
        <v>46309</v>
      </c>
      <c r="AH1075">
        <v>175</v>
      </c>
      <c r="AI1075" s="3">
        <v>0.65830721003134796</v>
      </c>
      <c r="AJ1075" s="1">
        <v>70</v>
      </c>
      <c r="AK1075" s="2">
        <v>46333</v>
      </c>
      <c r="AL1075" s="4">
        <v>30</v>
      </c>
      <c r="AM1075" s="5">
        <v>15</v>
      </c>
      <c r="AN1075" s="4">
        <v>46</v>
      </c>
      <c r="AO1075">
        <v>181.0344827586207</v>
      </c>
      <c r="AP1075" s="4">
        <v>1</v>
      </c>
      <c r="AQ1075" t="s">
        <v>1619</v>
      </c>
      <c r="AR1075" t="s">
        <v>1620</v>
      </c>
      <c r="AT1075" s="16">
        <f>_xlfn.XLOOKUP(B1075,'SWiSH Demand Forecast Sep-26'!D:D,'SWiSH Demand Forecast Sep-26'!G:G,"Not Exist")</f>
        <v>83.080273032521106</v>
      </c>
    </row>
    <row r="1076" spans="1:46" x14ac:dyDescent="0.3">
      <c r="A1076">
        <v>106800271</v>
      </c>
      <c r="B1076" t="s">
        <v>2970</v>
      </c>
      <c r="C1076" t="s">
        <v>10</v>
      </c>
      <c r="D1076" t="s">
        <v>1613</v>
      </c>
      <c r="E1076" t="s">
        <v>2147</v>
      </c>
      <c r="F1076" t="s">
        <v>1664</v>
      </c>
      <c r="G1076" t="s">
        <v>1624</v>
      </c>
      <c r="H1076" t="s">
        <v>1665</v>
      </c>
      <c r="I1076" t="s">
        <v>1634</v>
      </c>
      <c r="J1076" t="s">
        <v>10</v>
      </c>
      <c r="K1076">
        <v>3.2000000000000002E-3</v>
      </c>
      <c r="L1076">
        <v>3593.6000000000004</v>
      </c>
      <c r="M1076" s="1">
        <v>7</v>
      </c>
      <c r="N1076">
        <v>0</v>
      </c>
      <c r="O1076">
        <v>15000</v>
      </c>
      <c r="P1076">
        <v>1123000</v>
      </c>
      <c r="Q1076" s="1">
        <v>1108000</v>
      </c>
      <c r="R1076">
        <v>3.2000000000000002E-3</v>
      </c>
      <c r="S1076" s="2">
        <v>45712</v>
      </c>
      <c r="T1076" s="2">
        <v>46263</v>
      </c>
      <c r="U1076">
        <v>523000</v>
      </c>
      <c r="V1076">
        <v>656000</v>
      </c>
      <c r="W1076">
        <v>713000</v>
      </c>
      <c r="X1076">
        <v>705000</v>
      </c>
      <c r="Y1076">
        <v>523000</v>
      </c>
      <c r="Z1076" s="8">
        <v>713000</v>
      </c>
      <c r="AA1076">
        <v>649250</v>
      </c>
      <c r="AB1076">
        <v>0.8055448594532153</v>
      </c>
      <c r="AC1076">
        <v>1.0981902194840201</v>
      </c>
      <c r="AD1076" s="1">
        <v>46</v>
      </c>
      <c r="AE1076" s="2">
        <v>46294</v>
      </c>
      <c r="AF1076" s="2">
        <v>46302</v>
      </c>
      <c r="AG1076" s="2">
        <v>46309</v>
      </c>
      <c r="AH1076">
        <v>591000</v>
      </c>
      <c r="AI1076" s="3">
        <v>0.85747448856217057</v>
      </c>
      <c r="AJ1076" s="1">
        <v>54</v>
      </c>
      <c r="AK1076" s="2">
        <v>46317</v>
      </c>
      <c r="AL1076" s="4">
        <v>30</v>
      </c>
      <c r="AM1076" s="5">
        <v>15</v>
      </c>
      <c r="AN1076" s="4">
        <v>46</v>
      </c>
      <c r="AO1076">
        <v>611379.31034482759</v>
      </c>
      <c r="AP1076" s="4">
        <v>1</v>
      </c>
      <c r="AQ1076">
        <v>1405000</v>
      </c>
      <c r="AR1076" t="s">
        <v>1620</v>
      </c>
      <c r="AT1076" s="16" t="str">
        <f>_xlfn.XLOOKUP(B1076,'SWiSH Demand Forecast Sep-26'!D:D,'SWiSH Demand Forecast Sep-26'!G:G,"Not Exist")</f>
        <v>Not Exist</v>
      </c>
    </row>
    <row r="1077" spans="1:46" hidden="1" x14ac:dyDescent="0.3">
      <c r="A1077">
        <v>101600046</v>
      </c>
      <c r="B1077" t="s">
        <v>255</v>
      </c>
      <c r="C1077" t="s">
        <v>10</v>
      </c>
      <c r="D1077" t="s">
        <v>1613</v>
      </c>
      <c r="E1077" t="s">
        <v>1663</v>
      </c>
      <c r="F1077" t="s">
        <v>1664</v>
      </c>
      <c r="G1077" t="s">
        <v>1624</v>
      </c>
      <c r="H1077" t="s">
        <v>1768</v>
      </c>
      <c r="I1077" t="s">
        <v>1634</v>
      </c>
      <c r="J1077" t="s">
        <v>2113</v>
      </c>
      <c r="K1077">
        <v>1.9952859999999999E-2</v>
      </c>
      <c r="L1077">
        <v>379.10433999999998</v>
      </c>
      <c r="M1077" s="1">
        <v>30</v>
      </c>
      <c r="N1077">
        <v>0</v>
      </c>
      <c r="O1077">
        <v>0</v>
      </c>
      <c r="P1077">
        <v>19000</v>
      </c>
      <c r="Q1077" s="1">
        <v>19000</v>
      </c>
      <c r="R1077">
        <v>15</v>
      </c>
      <c r="S1077" s="2">
        <v>45630</v>
      </c>
      <c r="T1077" s="2">
        <v>46256</v>
      </c>
      <c r="U1077">
        <v>9000</v>
      </c>
      <c r="V1077">
        <v>10000</v>
      </c>
      <c r="W1077">
        <v>10000</v>
      </c>
      <c r="X1077">
        <v>12000</v>
      </c>
      <c r="Y1077">
        <v>9000</v>
      </c>
      <c r="Z1077" s="8">
        <v>12000</v>
      </c>
      <c r="AA1077">
        <v>10250</v>
      </c>
      <c r="AB1077">
        <v>0.87804878048780488</v>
      </c>
      <c r="AC1077">
        <v>1.1707317073170731</v>
      </c>
      <c r="AD1077" s="1">
        <v>47</v>
      </c>
      <c r="AE1077" s="2">
        <v>46295</v>
      </c>
      <c r="AF1077" s="2">
        <v>46303</v>
      </c>
      <c r="AG1077" s="2">
        <v>46310</v>
      </c>
      <c r="AH1077">
        <v>9000</v>
      </c>
      <c r="AI1077" s="3">
        <v>0.77586206896551724</v>
      </c>
      <c r="AJ1077" s="1">
        <v>61</v>
      </c>
      <c r="AK1077" s="2">
        <v>46324</v>
      </c>
      <c r="AL1077" s="4">
        <v>30</v>
      </c>
      <c r="AM1077" s="5">
        <v>15</v>
      </c>
      <c r="AN1077" s="4">
        <v>47</v>
      </c>
      <c r="AO1077">
        <v>9310.3448275862065</v>
      </c>
      <c r="AP1077" s="4">
        <v>1</v>
      </c>
      <c r="AQ1077" t="s">
        <v>1619</v>
      </c>
      <c r="AR1077" t="s">
        <v>1620</v>
      </c>
      <c r="AT1077" s="16">
        <f>_xlfn.XLOOKUP(B1077,'SWiSH Demand Forecast Sep-26'!D:D,'SWiSH Demand Forecast Sep-26'!G:G,"Not Exist")</f>
        <v>6519</v>
      </c>
    </row>
    <row r="1078" spans="1:46" hidden="1" x14ac:dyDescent="0.3">
      <c r="A1078">
        <v>100700011</v>
      </c>
      <c r="B1078" t="s">
        <v>1315</v>
      </c>
      <c r="C1078" t="s">
        <v>136</v>
      </c>
      <c r="D1078" t="s">
        <v>1613</v>
      </c>
      <c r="E1078" t="s">
        <v>1655</v>
      </c>
      <c r="F1078" t="s">
        <v>1671</v>
      </c>
      <c r="G1078" t="s">
        <v>1616</v>
      </c>
      <c r="H1078" t="s">
        <v>1867</v>
      </c>
      <c r="I1078" t="s">
        <v>1618</v>
      </c>
      <c r="J1078" t="s">
        <v>2921</v>
      </c>
      <c r="K1078">
        <v>0.83691229</v>
      </c>
      <c r="L1078">
        <v>225.96631830000001</v>
      </c>
      <c r="M1078" s="1">
        <v>3</v>
      </c>
      <c r="N1078">
        <v>0</v>
      </c>
      <c r="O1078">
        <v>12</v>
      </c>
      <c r="P1078">
        <v>270</v>
      </c>
      <c r="Q1078" s="1">
        <v>258</v>
      </c>
      <c r="R1078">
        <v>15</v>
      </c>
      <c r="S1078" s="2">
        <v>46237</v>
      </c>
      <c r="T1078" s="2">
        <v>46261</v>
      </c>
      <c r="U1078">
        <v>120.39999999999993</v>
      </c>
      <c r="V1078">
        <v>134.39999999999995</v>
      </c>
      <c r="W1078">
        <v>162.4</v>
      </c>
      <c r="X1078">
        <v>142.79999999999998</v>
      </c>
      <c r="Y1078">
        <v>120.39999999999993</v>
      </c>
      <c r="Z1078" s="8">
        <v>162.4</v>
      </c>
      <c r="AA1078">
        <v>139.99999999999997</v>
      </c>
      <c r="AB1078">
        <v>0.85999999999999965</v>
      </c>
      <c r="AC1078">
        <v>1.1600000000000004</v>
      </c>
      <c r="AD1078" s="1">
        <v>47</v>
      </c>
      <c r="AE1078" s="2">
        <v>46295</v>
      </c>
      <c r="AF1078" s="2">
        <v>46303</v>
      </c>
      <c r="AG1078" s="2">
        <v>46310</v>
      </c>
      <c r="AH1078">
        <v>109.6</v>
      </c>
      <c r="AI1078" s="3">
        <v>0.69814846271445552</v>
      </c>
      <c r="AJ1078" s="1">
        <v>68</v>
      </c>
      <c r="AK1078" s="2">
        <v>46331</v>
      </c>
      <c r="AL1078" s="4">
        <v>30</v>
      </c>
      <c r="AM1078" s="5">
        <v>15</v>
      </c>
      <c r="AN1078" s="4">
        <v>47</v>
      </c>
      <c r="AO1078">
        <v>113.37931034482759</v>
      </c>
      <c r="AP1078" s="4">
        <v>1</v>
      </c>
      <c r="AQ1078" t="s">
        <v>1619</v>
      </c>
      <c r="AR1078" t="s">
        <v>1620</v>
      </c>
      <c r="AT1078" s="16">
        <f>_xlfn.XLOOKUP(B1078,'SWiSH Demand Forecast Sep-26'!D:D,'SWiSH Demand Forecast Sep-26'!G:G,"Not Exist")</f>
        <v>29.215</v>
      </c>
    </row>
    <row r="1079" spans="1:46" hidden="1" x14ac:dyDescent="0.3">
      <c r="A1079">
        <v>100400094</v>
      </c>
      <c r="B1079" t="s">
        <v>131</v>
      </c>
      <c r="C1079" t="s">
        <v>10</v>
      </c>
      <c r="D1079" t="s">
        <v>1613</v>
      </c>
      <c r="E1079" t="s">
        <v>1638</v>
      </c>
      <c r="F1079" t="s">
        <v>1664</v>
      </c>
      <c r="G1079" t="s">
        <v>1624</v>
      </c>
      <c r="H1079" t="s">
        <v>1810</v>
      </c>
      <c r="I1079" t="s">
        <v>1634</v>
      </c>
      <c r="J1079" t="s">
        <v>10</v>
      </c>
      <c r="K1079">
        <v>6.00762E-3</v>
      </c>
      <c r="L1079">
        <v>315.40005000000002</v>
      </c>
      <c r="M1079" s="1">
        <v>30</v>
      </c>
      <c r="N1079">
        <v>0</v>
      </c>
      <c r="O1079">
        <v>0</v>
      </c>
      <c r="P1079">
        <v>52500</v>
      </c>
      <c r="Q1079" s="1">
        <v>52500</v>
      </c>
      <c r="R1079">
        <v>6.0000000000000001E-3</v>
      </c>
      <c r="S1079" s="2">
        <v>46229</v>
      </c>
      <c r="T1079" s="2">
        <v>46263</v>
      </c>
      <c r="U1079">
        <v>33500</v>
      </c>
      <c r="V1079">
        <v>16500</v>
      </c>
      <c r="W1079">
        <v>25250</v>
      </c>
      <c r="X1079">
        <v>14500</v>
      </c>
      <c r="Y1079">
        <v>14500</v>
      </c>
      <c r="Z1079" s="8">
        <v>33500</v>
      </c>
      <c r="AA1079">
        <v>22437.5</v>
      </c>
      <c r="AB1079">
        <v>0.64623955431754876</v>
      </c>
      <c r="AC1079">
        <v>1.4930362116991645</v>
      </c>
      <c r="AD1079" s="1">
        <v>47</v>
      </c>
      <c r="AE1079" s="2">
        <v>46295</v>
      </c>
      <c r="AF1079" s="2">
        <v>46303</v>
      </c>
      <c r="AG1079" s="2">
        <v>46310</v>
      </c>
      <c r="AH1079">
        <v>22500</v>
      </c>
      <c r="AI1079" s="3">
        <v>0.69480185280494089</v>
      </c>
      <c r="AJ1079" s="1">
        <v>67</v>
      </c>
      <c r="AK1079" s="2">
        <v>46330</v>
      </c>
      <c r="AL1079" s="4">
        <v>30</v>
      </c>
      <c r="AM1079" s="5">
        <v>15</v>
      </c>
      <c r="AN1079" s="4">
        <v>47</v>
      </c>
      <c r="AO1079">
        <v>23275.862068965518</v>
      </c>
      <c r="AP1079" s="4">
        <v>1</v>
      </c>
      <c r="AQ1079">
        <v>38500</v>
      </c>
      <c r="AR1079" t="s">
        <v>2076</v>
      </c>
      <c r="AT1079" s="16">
        <f>_xlfn.XLOOKUP(B1079,'SWiSH Demand Forecast Sep-26'!D:D,'SWiSH Demand Forecast Sep-26'!G:G,"Not Exist")</f>
        <v>14366</v>
      </c>
    </row>
    <row r="1080" spans="1:46" hidden="1" x14ac:dyDescent="0.3">
      <c r="A1080">
        <v>106200100</v>
      </c>
      <c r="B1080" t="s">
        <v>731</v>
      </c>
      <c r="C1080" t="s">
        <v>240</v>
      </c>
      <c r="D1080" t="s">
        <v>1613</v>
      </c>
      <c r="E1080" t="s">
        <v>1732</v>
      </c>
      <c r="F1080" t="s">
        <v>1671</v>
      </c>
      <c r="G1080" t="s">
        <v>1616</v>
      </c>
      <c r="H1080" t="s">
        <v>1672</v>
      </c>
      <c r="I1080" t="s">
        <v>1618</v>
      </c>
      <c r="J1080" t="s">
        <v>2971</v>
      </c>
      <c r="K1080">
        <v>1.43335938</v>
      </c>
      <c r="L1080">
        <v>1741.5316467</v>
      </c>
      <c r="M1080" s="1">
        <v>3</v>
      </c>
      <c r="N1080">
        <v>0</v>
      </c>
      <c r="O1080">
        <v>0</v>
      </c>
      <c r="P1080">
        <v>1215</v>
      </c>
      <c r="Q1080" s="1">
        <v>1215</v>
      </c>
      <c r="R1080">
        <v>17.28</v>
      </c>
      <c r="S1080" s="2">
        <v>46236</v>
      </c>
      <c r="T1080" s="2">
        <v>46263</v>
      </c>
      <c r="U1080">
        <v>758.2800000000002</v>
      </c>
      <c r="V1080">
        <v>749.76</v>
      </c>
      <c r="W1080">
        <v>758.28</v>
      </c>
      <c r="X1080">
        <v>708.11999999999966</v>
      </c>
      <c r="Y1080">
        <v>708.11999999999966</v>
      </c>
      <c r="Z1080" s="8">
        <v>758.2800000000002</v>
      </c>
      <c r="AA1080">
        <v>743.6099999999999</v>
      </c>
      <c r="AB1080">
        <v>0.95227336910477234</v>
      </c>
      <c r="AC1080">
        <v>1.0197280832694562</v>
      </c>
      <c r="AD1080" s="1">
        <v>48</v>
      </c>
      <c r="AE1080" s="2">
        <v>46296</v>
      </c>
      <c r="AF1080" s="2">
        <v>46304</v>
      </c>
      <c r="AG1080" s="2">
        <v>46311</v>
      </c>
      <c r="AH1080">
        <v>579.48000000000013</v>
      </c>
      <c r="AI1080" s="3">
        <v>0.79055503107759295</v>
      </c>
      <c r="AJ1080" s="1">
        <v>60</v>
      </c>
      <c r="AK1080" s="2">
        <v>46323</v>
      </c>
      <c r="AL1080" s="4">
        <v>30</v>
      </c>
      <c r="AM1080" s="5">
        <v>15</v>
      </c>
      <c r="AN1080" s="4">
        <v>48</v>
      </c>
      <c r="AO1080">
        <v>599.46206896551735</v>
      </c>
      <c r="AP1080" s="4">
        <v>1</v>
      </c>
      <c r="AQ1080">
        <v>15</v>
      </c>
      <c r="AR1080" t="s">
        <v>2972</v>
      </c>
      <c r="AT1080" s="16">
        <f>_xlfn.XLOOKUP(B1080,'SWiSH Demand Forecast Sep-26'!D:D,'SWiSH Demand Forecast Sep-26'!G:G,"Not Exist")</f>
        <v>550.21928934569098</v>
      </c>
    </row>
    <row r="1081" spans="1:46" x14ac:dyDescent="0.3">
      <c r="A1081">
        <v>105000027</v>
      </c>
      <c r="B1081" t="s">
        <v>2973</v>
      </c>
      <c r="C1081" t="s">
        <v>240</v>
      </c>
      <c r="D1081" t="s">
        <v>1699</v>
      </c>
      <c r="E1081" t="s">
        <v>1832</v>
      </c>
      <c r="F1081" t="s">
        <v>1671</v>
      </c>
      <c r="G1081" t="s">
        <v>1616</v>
      </c>
      <c r="H1081" t="s">
        <v>2002</v>
      </c>
      <c r="I1081" t="s">
        <v>1618</v>
      </c>
      <c r="J1081" t="s">
        <v>2974</v>
      </c>
      <c r="K1081">
        <v>6.0386473399999998</v>
      </c>
      <c r="L1081">
        <v>31.400966168</v>
      </c>
      <c r="M1081" s="1">
        <v>3</v>
      </c>
      <c r="N1081">
        <v>0</v>
      </c>
      <c r="O1081">
        <v>0</v>
      </c>
      <c r="P1081">
        <v>5.2</v>
      </c>
      <c r="Q1081" s="1">
        <v>5.2</v>
      </c>
      <c r="R1081">
        <v>2.7</v>
      </c>
      <c r="S1081" s="2">
        <v>46096</v>
      </c>
      <c r="T1081" s="2">
        <v>46159</v>
      </c>
      <c r="U1081">
        <v>1.3</v>
      </c>
      <c r="V1081">
        <v>3.25</v>
      </c>
      <c r="W1081">
        <v>0</v>
      </c>
      <c r="X1081">
        <v>0</v>
      </c>
      <c r="Y1081">
        <v>0</v>
      </c>
      <c r="Z1081" s="8">
        <v>3.25</v>
      </c>
      <c r="AA1081">
        <v>1.1375</v>
      </c>
      <c r="AB1081">
        <v>0</v>
      </c>
      <c r="AC1081">
        <v>2.8571428571428572</v>
      </c>
      <c r="AD1081" s="1">
        <v>48</v>
      </c>
      <c r="AE1081" s="2">
        <v>46296</v>
      </c>
      <c r="AF1081" s="2">
        <v>46304</v>
      </c>
      <c r="AG1081" s="2">
        <v>46311</v>
      </c>
      <c r="AH1081">
        <v>0</v>
      </c>
      <c r="AI1081" s="3">
        <v>0</v>
      </c>
      <c r="AJ1081" s="1" t="s">
        <v>1635</v>
      </c>
      <c r="AK1081" s="2" t="s">
        <v>1635</v>
      </c>
      <c r="AL1081" s="4" t="s">
        <v>1658</v>
      </c>
      <c r="AM1081" s="5" t="s">
        <v>1658</v>
      </c>
      <c r="AN1081" s="4">
        <v>48</v>
      </c>
      <c r="AO1081" t="s">
        <v>1635</v>
      </c>
      <c r="AP1081" s="4" t="s">
        <v>1658</v>
      </c>
      <c r="AQ1081" t="s">
        <v>1619</v>
      </c>
      <c r="AR1081" t="s">
        <v>1620</v>
      </c>
      <c r="AT1081" s="16" t="str">
        <f>_xlfn.XLOOKUP(B1081,'SWiSH Demand Forecast Sep-26'!D:D,'SWiSH Demand Forecast Sep-26'!G:G,"Not Exist")</f>
        <v>Not Exist</v>
      </c>
    </row>
    <row r="1082" spans="1:46" x14ac:dyDescent="0.3">
      <c r="A1082">
        <v>106200081</v>
      </c>
      <c r="B1082" t="s">
        <v>2975</v>
      </c>
      <c r="C1082" t="s">
        <v>240</v>
      </c>
      <c r="D1082" t="s">
        <v>1613</v>
      </c>
      <c r="E1082" t="s">
        <v>1832</v>
      </c>
      <c r="F1082" t="s">
        <v>1671</v>
      </c>
      <c r="G1082" t="s">
        <v>1616</v>
      </c>
      <c r="H1082" t="s">
        <v>1672</v>
      </c>
      <c r="I1082" t="s">
        <v>1618</v>
      </c>
      <c r="J1082" t="s">
        <v>240</v>
      </c>
      <c r="K1082">
        <v>2.25</v>
      </c>
      <c r="L1082">
        <v>18</v>
      </c>
      <c r="M1082" s="1">
        <v>3</v>
      </c>
      <c r="N1082">
        <v>0</v>
      </c>
      <c r="O1082">
        <v>0</v>
      </c>
      <c r="P1082">
        <v>8</v>
      </c>
      <c r="Q1082" s="1">
        <v>8</v>
      </c>
      <c r="R1082">
        <v>21</v>
      </c>
      <c r="S1082" s="2">
        <v>46185</v>
      </c>
      <c r="T1082" s="2">
        <v>46250</v>
      </c>
      <c r="U1082">
        <v>5</v>
      </c>
      <c r="V1082">
        <v>0</v>
      </c>
      <c r="W1082">
        <v>0</v>
      </c>
      <c r="X1082">
        <v>1</v>
      </c>
      <c r="Y1082">
        <v>0</v>
      </c>
      <c r="Z1082" s="8">
        <v>5</v>
      </c>
      <c r="AA1082">
        <v>1.5</v>
      </c>
      <c r="AB1082">
        <v>0</v>
      </c>
      <c r="AC1082">
        <v>3.3333333333333335</v>
      </c>
      <c r="AD1082" s="1">
        <v>48</v>
      </c>
      <c r="AE1082" s="2">
        <v>46296</v>
      </c>
      <c r="AF1082" s="2">
        <v>46304</v>
      </c>
      <c r="AG1082" s="2">
        <v>46311</v>
      </c>
      <c r="AH1082">
        <v>3</v>
      </c>
      <c r="AI1082" s="3">
        <v>0.62068965517241381</v>
      </c>
      <c r="AJ1082" s="1">
        <v>77</v>
      </c>
      <c r="AK1082" s="2">
        <v>46340</v>
      </c>
      <c r="AL1082" s="4">
        <v>30</v>
      </c>
      <c r="AM1082" s="5">
        <v>15</v>
      </c>
      <c r="AN1082" s="4">
        <v>48</v>
      </c>
      <c r="AO1082">
        <v>3.103448275862069</v>
      </c>
      <c r="AP1082" s="4">
        <v>1</v>
      </c>
      <c r="AQ1082" t="s">
        <v>1619</v>
      </c>
      <c r="AR1082" t="s">
        <v>1620</v>
      </c>
      <c r="AT1082" s="16" t="str">
        <f>_xlfn.XLOOKUP(B1082,'SWiSH Demand Forecast Sep-26'!D:D,'SWiSH Demand Forecast Sep-26'!G:G,"Not Exist")</f>
        <v>Not Exist</v>
      </c>
    </row>
    <row r="1083" spans="1:46" x14ac:dyDescent="0.3">
      <c r="A1083">
        <v>100400252</v>
      </c>
      <c r="B1083" t="s">
        <v>2976</v>
      </c>
      <c r="C1083" t="s">
        <v>10</v>
      </c>
      <c r="D1083" t="s">
        <v>1613</v>
      </c>
      <c r="E1083" t="s">
        <v>1685</v>
      </c>
      <c r="F1083" t="s">
        <v>1664</v>
      </c>
      <c r="G1083" t="s">
        <v>1624</v>
      </c>
      <c r="H1083" t="s">
        <v>1810</v>
      </c>
      <c r="I1083" t="s">
        <v>1634</v>
      </c>
      <c r="J1083" t="s">
        <v>10</v>
      </c>
      <c r="K1083">
        <v>0.31</v>
      </c>
      <c r="L1083">
        <v>945.5</v>
      </c>
      <c r="M1083" s="1">
        <v>15</v>
      </c>
      <c r="N1083">
        <v>0</v>
      </c>
      <c r="O1083">
        <v>0</v>
      </c>
      <c r="P1083">
        <v>3050</v>
      </c>
      <c r="Q1083" s="1">
        <v>3050</v>
      </c>
      <c r="R1083">
        <v>0.31</v>
      </c>
      <c r="S1083" s="2">
        <v>46210</v>
      </c>
      <c r="T1083" s="2">
        <v>46212</v>
      </c>
      <c r="U1083">
        <v>0</v>
      </c>
      <c r="V1083">
        <v>0</v>
      </c>
      <c r="W1083">
        <v>0</v>
      </c>
      <c r="X1083">
        <v>1900</v>
      </c>
      <c r="Y1083">
        <v>0</v>
      </c>
      <c r="Z1083" s="8">
        <v>1900</v>
      </c>
      <c r="AA1083">
        <v>475</v>
      </c>
      <c r="AB1083">
        <v>0</v>
      </c>
      <c r="AC1083">
        <v>4</v>
      </c>
      <c r="AD1083" s="1">
        <v>48</v>
      </c>
      <c r="AE1083" s="2">
        <v>46296</v>
      </c>
      <c r="AF1083" s="2">
        <v>46304</v>
      </c>
      <c r="AG1083" s="2">
        <v>46311</v>
      </c>
      <c r="AH1083">
        <v>0</v>
      </c>
      <c r="AI1083" s="3">
        <v>0</v>
      </c>
      <c r="AJ1083" s="1" t="s">
        <v>1635</v>
      </c>
      <c r="AK1083" s="2" t="s">
        <v>1635</v>
      </c>
      <c r="AL1083" s="4">
        <v>30</v>
      </c>
      <c r="AM1083" s="5">
        <v>15</v>
      </c>
      <c r="AN1083" s="4">
        <v>48</v>
      </c>
      <c r="AO1083">
        <v>0</v>
      </c>
      <c r="AP1083" s="4">
        <v>1</v>
      </c>
      <c r="AQ1083">
        <v>2000</v>
      </c>
      <c r="AR1083" t="s">
        <v>2076</v>
      </c>
      <c r="AT1083" s="16" t="str">
        <f>_xlfn.XLOOKUP(B1083,'SWiSH Demand Forecast Sep-26'!D:D,'SWiSH Demand Forecast Sep-26'!G:G,"Not Exist")</f>
        <v>Not Exist</v>
      </c>
    </row>
    <row r="1084" spans="1:46" x14ac:dyDescent="0.3">
      <c r="A1084">
        <v>104200073</v>
      </c>
      <c r="B1084" t="s">
        <v>2977</v>
      </c>
      <c r="C1084" t="s">
        <v>10</v>
      </c>
      <c r="D1084" t="s">
        <v>1613</v>
      </c>
      <c r="E1084" t="s">
        <v>2978</v>
      </c>
      <c r="F1084" t="s">
        <v>1631</v>
      </c>
      <c r="G1084" t="s">
        <v>1616</v>
      </c>
      <c r="H1084" t="s">
        <v>1633</v>
      </c>
      <c r="I1084" t="s">
        <v>1634</v>
      </c>
      <c r="J1084" t="s">
        <v>2979</v>
      </c>
      <c r="K1084">
        <v>0.10993649</v>
      </c>
      <c r="L1084">
        <v>63.21348175</v>
      </c>
      <c r="M1084" s="1">
        <v>3</v>
      </c>
      <c r="N1084">
        <v>0</v>
      </c>
      <c r="O1084">
        <v>0</v>
      </c>
      <c r="P1084">
        <v>575</v>
      </c>
      <c r="Q1084" s="1">
        <v>575</v>
      </c>
      <c r="R1084">
        <v>5.5</v>
      </c>
      <c r="S1084" s="2">
        <v>46260</v>
      </c>
      <c r="T1084" s="2">
        <v>46260</v>
      </c>
      <c r="U1084">
        <v>150</v>
      </c>
      <c r="V1084">
        <v>225</v>
      </c>
      <c r="W1084">
        <v>250</v>
      </c>
      <c r="X1084">
        <v>350</v>
      </c>
      <c r="Y1084">
        <v>150</v>
      </c>
      <c r="Z1084" s="8">
        <v>350</v>
      </c>
      <c r="AA1084">
        <v>243.75</v>
      </c>
      <c r="AB1084">
        <v>0.61538461538461542</v>
      </c>
      <c r="AC1084">
        <v>1.4358974358974359</v>
      </c>
      <c r="AD1084" s="1">
        <v>49</v>
      </c>
      <c r="AE1084" s="2">
        <v>46297</v>
      </c>
      <c r="AF1084" s="2">
        <v>46305</v>
      </c>
      <c r="AG1084" s="2">
        <v>46312</v>
      </c>
      <c r="AH1084">
        <v>150</v>
      </c>
      <c r="AI1084" s="3">
        <v>0.44334975369458129</v>
      </c>
      <c r="AJ1084" s="1">
        <v>111</v>
      </c>
      <c r="AK1084" s="2">
        <v>46374</v>
      </c>
      <c r="AL1084" s="4">
        <v>30</v>
      </c>
      <c r="AM1084" s="5">
        <v>15</v>
      </c>
      <c r="AN1084" s="4">
        <v>49</v>
      </c>
      <c r="AO1084">
        <v>155.17241379310346</v>
      </c>
      <c r="AP1084" s="4">
        <v>1</v>
      </c>
      <c r="AQ1084" t="s">
        <v>1619</v>
      </c>
      <c r="AR1084" t="s">
        <v>1620</v>
      </c>
      <c r="AT1084" s="16" t="str">
        <f>_xlfn.XLOOKUP(B1084,'SWiSH Demand Forecast Sep-26'!D:D,'SWiSH Demand Forecast Sep-26'!G:G,"Not Exist")</f>
        <v>Not Exist</v>
      </c>
    </row>
    <row r="1085" spans="1:46" x14ac:dyDescent="0.3">
      <c r="A1085">
        <v>104900027</v>
      </c>
      <c r="B1085" t="s">
        <v>2980</v>
      </c>
      <c r="C1085" t="s">
        <v>10</v>
      </c>
      <c r="D1085" t="s">
        <v>1613</v>
      </c>
      <c r="E1085" t="s">
        <v>1775</v>
      </c>
      <c r="F1085" t="s">
        <v>1664</v>
      </c>
      <c r="G1085" t="s">
        <v>1624</v>
      </c>
      <c r="H1085" t="s">
        <v>1759</v>
      </c>
      <c r="I1085" t="s">
        <v>1634</v>
      </c>
      <c r="J1085" t="s">
        <v>2113</v>
      </c>
      <c r="K1085">
        <v>8.5962199999999999E-3</v>
      </c>
      <c r="L1085">
        <v>593.13918000000001</v>
      </c>
      <c r="M1085" s="1">
        <v>15</v>
      </c>
      <c r="N1085">
        <v>0</v>
      </c>
      <c r="O1085">
        <v>1000</v>
      </c>
      <c r="P1085">
        <v>69000</v>
      </c>
      <c r="Q1085" s="1">
        <v>68000</v>
      </c>
      <c r="R1085">
        <v>8.6</v>
      </c>
      <c r="S1085" s="2">
        <v>46224</v>
      </c>
      <c r="T1085" s="2">
        <v>46261</v>
      </c>
      <c r="U1085">
        <v>41000</v>
      </c>
      <c r="V1085">
        <v>37000</v>
      </c>
      <c r="W1085">
        <v>31000</v>
      </c>
      <c r="X1085">
        <v>32000</v>
      </c>
      <c r="Y1085">
        <v>31000</v>
      </c>
      <c r="Z1085" s="8">
        <v>41000</v>
      </c>
      <c r="AA1085">
        <v>35250</v>
      </c>
      <c r="AB1085">
        <v>0.87943262411347523</v>
      </c>
      <c r="AC1085">
        <v>1.1631205673758864</v>
      </c>
      <c r="AD1085" s="1">
        <v>49</v>
      </c>
      <c r="AE1085" s="2">
        <v>46297</v>
      </c>
      <c r="AF1085" s="2">
        <v>46305</v>
      </c>
      <c r="AG1085" s="2">
        <v>46312</v>
      </c>
      <c r="AH1085">
        <v>27000</v>
      </c>
      <c r="AI1085" s="3">
        <v>0.68124474348191755</v>
      </c>
      <c r="AJ1085" s="1">
        <v>73</v>
      </c>
      <c r="AK1085" s="2">
        <v>46336</v>
      </c>
      <c r="AL1085" s="4">
        <v>30</v>
      </c>
      <c r="AM1085" s="5">
        <v>15</v>
      </c>
      <c r="AN1085" s="4">
        <v>49</v>
      </c>
      <c r="AO1085">
        <v>27931.03448275862</v>
      </c>
      <c r="AP1085" s="4">
        <v>1</v>
      </c>
      <c r="AQ1085">
        <v>42</v>
      </c>
      <c r="AR1085" t="s">
        <v>2028</v>
      </c>
      <c r="AT1085" s="16" t="str">
        <f>_xlfn.XLOOKUP(B1085,'SWiSH Demand Forecast Sep-26'!D:D,'SWiSH Demand Forecast Sep-26'!G:G,"Not Exist")</f>
        <v>Not Exist</v>
      </c>
    </row>
    <row r="1086" spans="1:46" hidden="1" x14ac:dyDescent="0.3">
      <c r="A1086">
        <v>106800314</v>
      </c>
      <c r="B1086" t="s">
        <v>138</v>
      </c>
      <c r="C1086" t="s">
        <v>10</v>
      </c>
      <c r="D1086" t="s">
        <v>1613</v>
      </c>
      <c r="E1086" t="s">
        <v>1701</v>
      </c>
      <c r="F1086" t="s">
        <v>1664</v>
      </c>
      <c r="G1086" t="s">
        <v>1624</v>
      </c>
      <c r="H1086" t="s">
        <v>1665</v>
      </c>
      <c r="I1086" t="s">
        <v>1634</v>
      </c>
      <c r="J1086" t="s">
        <v>10</v>
      </c>
      <c r="K1086">
        <v>4.9256999999999999E-3</v>
      </c>
      <c r="L1086">
        <v>142.84530000000001</v>
      </c>
      <c r="M1086" s="1">
        <v>7</v>
      </c>
      <c r="N1086">
        <v>0</v>
      </c>
      <c r="O1086">
        <v>1000</v>
      </c>
      <c r="P1086">
        <v>29000</v>
      </c>
      <c r="Q1086" s="1">
        <v>28000</v>
      </c>
      <c r="R1086">
        <v>5.0000000000000001E-3</v>
      </c>
      <c r="S1086" s="2">
        <v>46250</v>
      </c>
      <c r="T1086" s="2">
        <v>46261</v>
      </c>
      <c r="U1086">
        <v>15000</v>
      </c>
      <c r="V1086">
        <v>11000</v>
      </c>
      <c r="W1086">
        <v>17000</v>
      </c>
      <c r="X1086">
        <v>9000</v>
      </c>
      <c r="Y1086">
        <v>9000</v>
      </c>
      <c r="Z1086" s="8">
        <v>17000</v>
      </c>
      <c r="AA1086">
        <v>13000</v>
      </c>
      <c r="AB1086">
        <v>0.69230769230769229</v>
      </c>
      <c r="AC1086">
        <v>1.3076923076923077</v>
      </c>
      <c r="AD1086" s="1">
        <v>49</v>
      </c>
      <c r="AE1086" s="2">
        <v>46297</v>
      </c>
      <c r="AF1086" s="2">
        <v>46305</v>
      </c>
      <c r="AG1086" s="2">
        <v>46312</v>
      </c>
      <c r="AH1086">
        <v>18000</v>
      </c>
      <c r="AI1086" s="3">
        <v>1.0953346855983772</v>
      </c>
      <c r="AJ1086" s="1">
        <v>45</v>
      </c>
      <c r="AK1086" s="2">
        <v>46308</v>
      </c>
      <c r="AL1086" s="4">
        <v>30</v>
      </c>
      <c r="AM1086" s="5">
        <v>15</v>
      </c>
      <c r="AN1086" s="4">
        <v>45</v>
      </c>
      <c r="AO1086">
        <v>18620.689655172413</v>
      </c>
      <c r="AP1086" s="4">
        <v>1</v>
      </c>
      <c r="AQ1086">
        <v>30000</v>
      </c>
      <c r="AR1086" t="s">
        <v>1829</v>
      </c>
      <c r="AT1086" s="16">
        <f>_xlfn.XLOOKUP(B1086,'SWiSH Demand Forecast Sep-26'!D:D,'SWiSH Demand Forecast Sep-26'!G:G,"Not Exist")</f>
        <v>13608</v>
      </c>
    </row>
    <row r="1087" spans="1:46" x14ac:dyDescent="0.3">
      <c r="A1087">
        <v>101600022</v>
      </c>
      <c r="B1087" t="s">
        <v>2981</v>
      </c>
      <c r="C1087" t="s">
        <v>10</v>
      </c>
      <c r="D1087" t="s">
        <v>1613</v>
      </c>
      <c r="E1087" t="s">
        <v>1685</v>
      </c>
      <c r="F1087" t="s">
        <v>1631</v>
      </c>
      <c r="G1087" t="s">
        <v>1624</v>
      </c>
      <c r="H1087" t="s">
        <v>1768</v>
      </c>
      <c r="I1087" t="s">
        <v>1634</v>
      </c>
      <c r="J1087" t="s">
        <v>10</v>
      </c>
      <c r="K1087">
        <v>2.3E-2</v>
      </c>
      <c r="L1087">
        <v>207</v>
      </c>
      <c r="M1087" s="1">
        <v>3</v>
      </c>
      <c r="N1087">
        <v>0</v>
      </c>
      <c r="O1087">
        <v>0</v>
      </c>
      <c r="P1087">
        <v>9000</v>
      </c>
      <c r="Q1087" s="1">
        <v>9000</v>
      </c>
      <c r="R1087">
        <v>23</v>
      </c>
      <c r="S1087" s="2">
        <v>46175</v>
      </c>
      <c r="T1087" s="2">
        <v>46220</v>
      </c>
      <c r="U1087">
        <v>800</v>
      </c>
      <c r="V1087">
        <v>5300</v>
      </c>
      <c r="W1087">
        <v>0</v>
      </c>
      <c r="X1087">
        <v>2000</v>
      </c>
      <c r="Y1087">
        <v>0</v>
      </c>
      <c r="Z1087" s="8">
        <v>5300</v>
      </c>
      <c r="AA1087">
        <v>2025</v>
      </c>
      <c r="AB1087">
        <v>0</v>
      </c>
      <c r="AC1087">
        <v>2.617283950617284</v>
      </c>
      <c r="AD1087" s="1">
        <v>50</v>
      </c>
      <c r="AE1087" s="2">
        <v>46298</v>
      </c>
      <c r="AF1087" s="2">
        <v>46306</v>
      </c>
      <c r="AG1087" s="2">
        <v>46313</v>
      </c>
      <c r="AH1087">
        <v>0</v>
      </c>
      <c r="AI1087" s="3">
        <v>0</v>
      </c>
      <c r="AJ1087" s="1" t="s">
        <v>1635</v>
      </c>
      <c r="AK1087" s="2" t="s">
        <v>1635</v>
      </c>
      <c r="AL1087" s="4">
        <v>30</v>
      </c>
      <c r="AM1087" s="5">
        <v>15</v>
      </c>
      <c r="AN1087" s="4">
        <v>50</v>
      </c>
      <c r="AO1087">
        <v>0</v>
      </c>
      <c r="AP1087" s="4">
        <v>1</v>
      </c>
      <c r="AQ1087" t="s">
        <v>1619</v>
      </c>
      <c r="AR1087" t="s">
        <v>1620</v>
      </c>
      <c r="AT1087" s="16" t="str">
        <f>_xlfn.XLOOKUP(B1087,'SWiSH Demand Forecast Sep-26'!D:D,'SWiSH Demand Forecast Sep-26'!G:G,"Not Exist")</f>
        <v>Not Exist</v>
      </c>
    </row>
    <row r="1088" spans="1:46" x14ac:dyDescent="0.3">
      <c r="A1088">
        <v>101800000</v>
      </c>
      <c r="B1088" t="s">
        <v>2982</v>
      </c>
      <c r="C1088" t="s">
        <v>10</v>
      </c>
      <c r="D1088" t="s">
        <v>1613</v>
      </c>
      <c r="E1088" t="s">
        <v>1655</v>
      </c>
      <c r="F1088" t="s">
        <v>1631</v>
      </c>
      <c r="G1088" t="s">
        <v>1624</v>
      </c>
      <c r="H1088" t="s">
        <v>2144</v>
      </c>
      <c r="I1088" t="s">
        <v>1634</v>
      </c>
      <c r="J1088" t="s">
        <v>10</v>
      </c>
      <c r="K1088">
        <v>6.4173299999999997E-3</v>
      </c>
      <c r="L1088">
        <v>12.99509325</v>
      </c>
      <c r="M1088" s="1">
        <v>3</v>
      </c>
      <c r="N1088">
        <v>0</v>
      </c>
      <c r="O1088">
        <v>0</v>
      </c>
      <c r="P1088">
        <v>2025</v>
      </c>
      <c r="Q1088" s="1">
        <v>2025</v>
      </c>
      <c r="R1088">
        <v>16</v>
      </c>
      <c r="S1088" s="2">
        <v>46139</v>
      </c>
      <c r="T1088" s="2">
        <v>46243</v>
      </c>
      <c r="U1088">
        <v>1200</v>
      </c>
      <c r="V1088">
        <v>0</v>
      </c>
      <c r="W1088">
        <v>200</v>
      </c>
      <c r="X1088">
        <v>200</v>
      </c>
      <c r="Y1088">
        <v>0</v>
      </c>
      <c r="Z1088" s="8">
        <v>1200</v>
      </c>
      <c r="AA1088">
        <v>400</v>
      </c>
      <c r="AB1088">
        <v>0</v>
      </c>
      <c r="AC1088">
        <v>3</v>
      </c>
      <c r="AD1088" s="1">
        <v>50</v>
      </c>
      <c r="AE1088" s="2">
        <v>46298</v>
      </c>
      <c r="AF1088" s="2">
        <v>46306</v>
      </c>
      <c r="AG1088" s="2">
        <v>46313</v>
      </c>
      <c r="AH1088">
        <v>100</v>
      </c>
      <c r="AI1088" s="3">
        <v>8.6206896551724144E-2</v>
      </c>
      <c r="AJ1088" s="1">
        <v>587</v>
      </c>
      <c r="AK1088" s="2">
        <v>46850</v>
      </c>
      <c r="AL1088" s="4">
        <v>30</v>
      </c>
      <c r="AM1088" s="5">
        <v>15</v>
      </c>
      <c r="AN1088" s="4">
        <v>50</v>
      </c>
      <c r="AO1088">
        <v>103.44827586206897</v>
      </c>
      <c r="AP1088" s="4">
        <v>1</v>
      </c>
      <c r="AQ1088" t="s">
        <v>1619</v>
      </c>
      <c r="AR1088" t="s">
        <v>1620</v>
      </c>
      <c r="AT1088" s="16" t="str">
        <f>_xlfn.XLOOKUP(B1088,'SWiSH Demand Forecast Sep-26'!D:D,'SWiSH Demand Forecast Sep-26'!G:G,"Not Exist")</f>
        <v>Not Exist</v>
      </c>
    </row>
    <row r="1089" spans="1:46" x14ac:dyDescent="0.3">
      <c r="A1089">
        <v>107400097</v>
      </c>
      <c r="B1089" t="s">
        <v>2983</v>
      </c>
      <c r="C1089" t="s">
        <v>10</v>
      </c>
      <c r="D1089" t="s">
        <v>1613</v>
      </c>
      <c r="E1089" t="s">
        <v>1663</v>
      </c>
      <c r="F1089" t="s">
        <v>1664</v>
      </c>
      <c r="G1089" t="s">
        <v>1624</v>
      </c>
      <c r="H1089" t="s">
        <v>2016</v>
      </c>
      <c r="I1089" t="s">
        <v>1634</v>
      </c>
      <c r="J1089" t="s">
        <v>10</v>
      </c>
      <c r="K1089">
        <v>8.0000000000000002E-3</v>
      </c>
      <c r="L1089">
        <v>376</v>
      </c>
      <c r="M1089" s="1">
        <v>15</v>
      </c>
      <c r="N1089">
        <v>0</v>
      </c>
      <c r="O1089">
        <v>0</v>
      </c>
      <c r="P1089">
        <v>47000</v>
      </c>
      <c r="Q1089" s="1">
        <v>47000</v>
      </c>
      <c r="R1089">
        <v>8.0000000000000002E-3</v>
      </c>
      <c r="S1089" s="2">
        <v>46158</v>
      </c>
      <c r="T1089" s="2">
        <v>46233</v>
      </c>
      <c r="U1089">
        <v>0</v>
      </c>
      <c r="V1089">
        <v>28000</v>
      </c>
      <c r="W1089">
        <v>9000</v>
      </c>
      <c r="X1089">
        <v>22000</v>
      </c>
      <c r="Y1089">
        <v>0</v>
      </c>
      <c r="Z1089" s="8">
        <v>28000</v>
      </c>
      <c r="AA1089">
        <v>14750</v>
      </c>
      <c r="AB1089">
        <v>0</v>
      </c>
      <c r="AC1089">
        <v>1.8983050847457628</v>
      </c>
      <c r="AD1089" s="1">
        <v>50</v>
      </c>
      <c r="AE1089" s="2">
        <v>46298</v>
      </c>
      <c r="AF1089" s="2">
        <v>46306</v>
      </c>
      <c r="AG1089" s="2">
        <v>46313</v>
      </c>
      <c r="AH1089">
        <v>0</v>
      </c>
      <c r="AI1089" s="3">
        <v>0</v>
      </c>
      <c r="AJ1089" s="1" t="s">
        <v>1635</v>
      </c>
      <c r="AK1089" s="2" t="s">
        <v>1635</v>
      </c>
      <c r="AL1089" s="4">
        <v>30</v>
      </c>
      <c r="AM1089" s="5">
        <v>15</v>
      </c>
      <c r="AN1089" s="4">
        <v>50</v>
      </c>
      <c r="AO1089">
        <v>0</v>
      </c>
      <c r="AP1089" s="4">
        <v>1</v>
      </c>
      <c r="AQ1089" t="s">
        <v>1619</v>
      </c>
      <c r="AR1089" t="s">
        <v>1620</v>
      </c>
      <c r="AT1089" s="16" t="str">
        <f>_xlfn.XLOOKUP(B1089,'SWiSH Demand Forecast Sep-26'!D:D,'SWiSH Demand Forecast Sep-26'!G:G,"Not Exist")</f>
        <v>Not Exist</v>
      </c>
    </row>
    <row r="1090" spans="1:46" hidden="1" x14ac:dyDescent="0.3">
      <c r="A1090">
        <v>106800378</v>
      </c>
      <c r="B1090" t="s">
        <v>289</v>
      </c>
      <c r="C1090" t="s">
        <v>10</v>
      </c>
      <c r="D1090" t="s">
        <v>1613</v>
      </c>
      <c r="E1090" t="s">
        <v>1638</v>
      </c>
      <c r="F1090" t="s">
        <v>1664</v>
      </c>
      <c r="G1090" t="s">
        <v>1624</v>
      </c>
      <c r="H1090" t="s">
        <v>1665</v>
      </c>
      <c r="I1090" t="s">
        <v>1634</v>
      </c>
      <c r="J1090" t="s">
        <v>10</v>
      </c>
      <c r="K1090">
        <v>5.0000000000000001E-3</v>
      </c>
      <c r="L1090">
        <v>25</v>
      </c>
      <c r="M1090" s="1">
        <v>7</v>
      </c>
      <c r="N1090">
        <v>0</v>
      </c>
      <c r="O1090">
        <v>0</v>
      </c>
      <c r="P1090">
        <v>5000</v>
      </c>
      <c r="Q1090" s="1">
        <v>5000</v>
      </c>
      <c r="R1090">
        <v>5.0000000000000001E-3</v>
      </c>
      <c r="S1090" s="2">
        <v>46236</v>
      </c>
      <c r="T1090" s="2">
        <v>46256</v>
      </c>
      <c r="U1090">
        <v>0</v>
      </c>
      <c r="V1090">
        <v>0</v>
      </c>
      <c r="W1090">
        <v>0</v>
      </c>
      <c r="X1090">
        <v>3000</v>
      </c>
      <c r="Y1090">
        <v>0</v>
      </c>
      <c r="Z1090" s="8">
        <v>3000</v>
      </c>
      <c r="AA1090">
        <v>750</v>
      </c>
      <c r="AB1090">
        <v>0</v>
      </c>
      <c r="AC1090">
        <v>4</v>
      </c>
      <c r="AD1090" s="1">
        <v>50</v>
      </c>
      <c r="AE1090" s="2">
        <v>46298</v>
      </c>
      <c r="AF1090" s="2">
        <v>46306</v>
      </c>
      <c r="AG1090" s="2">
        <v>46313</v>
      </c>
      <c r="AH1090">
        <v>15000</v>
      </c>
      <c r="AI1090" s="3">
        <v>5.1724137931034484</v>
      </c>
      <c r="AJ1090" s="1">
        <v>9</v>
      </c>
      <c r="AK1090" s="2">
        <v>46272</v>
      </c>
      <c r="AL1090" s="4">
        <v>30</v>
      </c>
      <c r="AM1090" s="5">
        <v>15</v>
      </c>
      <c r="AN1090" s="4">
        <v>9</v>
      </c>
      <c r="AO1090">
        <v>15517.241379310346</v>
      </c>
      <c r="AP1090" s="4">
        <v>1</v>
      </c>
      <c r="AQ1090" t="s">
        <v>1619</v>
      </c>
      <c r="AR1090" t="s">
        <v>1620</v>
      </c>
      <c r="AT1090" s="16">
        <f>_xlfn.XLOOKUP(B1090,'SWiSH Demand Forecast Sep-26'!D:D,'SWiSH Demand Forecast Sep-26'!G:G,"Not Exist")</f>
        <v>5165</v>
      </c>
    </row>
    <row r="1091" spans="1:46" x14ac:dyDescent="0.3">
      <c r="A1091">
        <v>100500015</v>
      </c>
      <c r="B1091" t="s">
        <v>2984</v>
      </c>
      <c r="C1091" t="s">
        <v>136</v>
      </c>
      <c r="D1091" t="s">
        <v>1699</v>
      </c>
      <c r="E1091" t="s">
        <v>1832</v>
      </c>
      <c r="F1091" t="s">
        <v>1840</v>
      </c>
      <c r="G1091" t="s">
        <v>1616</v>
      </c>
      <c r="H1091" t="s">
        <v>1996</v>
      </c>
      <c r="I1091" t="s">
        <v>1618</v>
      </c>
      <c r="J1091" t="s">
        <v>2985</v>
      </c>
      <c r="K1091">
        <v>2.6431718100000001</v>
      </c>
      <c r="L1091">
        <v>120.00000017400001</v>
      </c>
      <c r="M1091" s="1">
        <v>3</v>
      </c>
      <c r="N1091">
        <v>0</v>
      </c>
      <c r="O1091">
        <v>0</v>
      </c>
      <c r="P1091">
        <v>45.4</v>
      </c>
      <c r="Q1091" s="1">
        <v>45.4</v>
      </c>
      <c r="R1091">
        <v>6</v>
      </c>
      <c r="S1091" s="2">
        <v>46237</v>
      </c>
      <c r="T1091" s="2">
        <v>46230</v>
      </c>
      <c r="U1091">
        <v>18.16</v>
      </c>
      <c r="V1091">
        <v>27.24</v>
      </c>
      <c r="W1091">
        <v>0</v>
      </c>
      <c r="X1091">
        <v>4.08</v>
      </c>
      <c r="Y1091">
        <v>0</v>
      </c>
      <c r="Z1091" s="8">
        <v>27.24</v>
      </c>
      <c r="AA1091">
        <v>12.37</v>
      </c>
      <c r="AB1091">
        <v>0</v>
      </c>
      <c r="AC1091">
        <v>2.2021018593371058</v>
      </c>
      <c r="AD1091" s="1">
        <v>50</v>
      </c>
      <c r="AE1091" s="2">
        <v>46298</v>
      </c>
      <c r="AF1091" s="2">
        <v>46306</v>
      </c>
      <c r="AG1091" s="2">
        <v>46313</v>
      </c>
      <c r="AH1091">
        <v>0</v>
      </c>
      <c r="AI1091" s="3">
        <v>0</v>
      </c>
      <c r="AJ1091" s="1" t="s">
        <v>1635</v>
      </c>
      <c r="AK1091" s="2" t="s">
        <v>1635</v>
      </c>
      <c r="AL1091" s="4">
        <v>30</v>
      </c>
      <c r="AM1091" s="5">
        <v>15</v>
      </c>
      <c r="AN1091" s="4">
        <v>50</v>
      </c>
      <c r="AO1091">
        <v>0</v>
      </c>
      <c r="AP1091" s="4">
        <v>1</v>
      </c>
      <c r="AQ1091" t="s">
        <v>1619</v>
      </c>
      <c r="AR1091" t="s">
        <v>1620</v>
      </c>
      <c r="AT1091" s="16" t="str">
        <f>_xlfn.XLOOKUP(B1091,'SWiSH Demand Forecast Sep-26'!D:D,'SWiSH Demand Forecast Sep-26'!G:G,"Not Exist")</f>
        <v>Not Exist</v>
      </c>
    </row>
    <row r="1092" spans="1:46" x14ac:dyDescent="0.3">
      <c r="A1092">
        <v>106300073</v>
      </c>
      <c r="B1092" t="s">
        <v>2986</v>
      </c>
      <c r="C1092" t="s">
        <v>136</v>
      </c>
      <c r="D1092" t="s">
        <v>1613</v>
      </c>
      <c r="E1092" t="s">
        <v>1796</v>
      </c>
      <c r="F1092" t="s">
        <v>1999</v>
      </c>
      <c r="G1092" t="s">
        <v>1616</v>
      </c>
      <c r="H1092" t="s">
        <v>1860</v>
      </c>
      <c r="I1092" t="s">
        <v>1618</v>
      </c>
      <c r="J1092" t="s">
        <v>136</v>
      </c>
      <c r="K1092">
        <v>1.5</v>
      </c>
      <c r="L1092">
        <v>48</v>
      </c>
      <c r="M1092" s="1">
        <v>3</v>
      </c>
      <c r="N1092">
        <v>0</v>
      </c>
      <c r="O1092">
        <v>0</v>
      </c>
      <c r="P1092">
        <v>32</v>
      </c>
      <c r="Q1092" s="1">
        <v>32</v>
      </c>
      <c r="R1092">
        <v>1.8</v>
      </c>
      <c r="S1092" s="2">
        <v>46225</v>
      </c>
      <c r="T1092" s="2">
        <v>46259</v>
      </c>
      <c r="U1092">
        <v>0</v>
      </c>
      <c r="V1092">
        <v>0</v>
      </c>
      <c r="W1092">
        <v>19</v>
      </c>
      <c r="X1092">
        <v>2</v>
      </c>
      <c r="Y1092">
        <v>0</v>
      </c>
      <c r="Z1092" s="8">
        <v>19</v>
      </c>
      <c r="AA1092">
        <v>5.25</v>
      </c>
      <c r="AB1092">
        <v>0</v>
      </c>
      <c r="AC1092">
        <v>3.6190476190476191</v>
      </c>
      <c r="AD1092" s="1">
        <v>50</v>
      </c>
      <c r="AE1092" s="2">
        <v>46298</v>
      </c>
      <c r="AF1092" s="2">
        <v>46306</v>
      </c>
      <c r="AG1092" s="2">
        <v>46313</v>
      </c>
      <c r="AH1092">
        <v>1</v>
      </c>
      <c r="AI1092" s="3">
        <v>5.4446460980036304E-2</v>
      </c>
      <c r="AJ1092" s="1">
        <v>928</v>
      </c>
      <c r="AK1092" s="2">
        <v>47191</v>
      </c>
      <c r="AL1092" s="4">
        <v>30</v>
      </c>
      <c r="AM1092" s="5">
        <v>15</v>
      </c>
      <c r="AN1092" s="4">
        <v>50</v>
      </c>
      <c r="AO1092">
        <v>1.0344827586206897</v>
      </c>
      <c r="AP1092" s="4">
        <v>1</v>
      </c>
      <c r="AQ1092" t="s">
        <v>1619</v>
      </c>
      <c r="AR1092" t="s">
        <v>1620</v>
      </c>
      <c r="AT1092" s="16" t="str">
        <f>_xlfn.XLOOKUP(B1092,'SWiSH Demand Forecast Sep-26'!D:D,'SWiSH Demand Forecast Sep-26'!G:G,"Not Exist")</f>
        <v>Not Exist</v>
      </c>
    </row>
    <row r="1093" spans="1:46" hidden="1" x14ac:dyDescent="0.3">
      <c r="A1093">
        <v>103800007</v>
      </c>
      <c r="B1093" t="s">
        <v>1550</v>
      </c>
      <c r="C1093" t="s">
        <v>136</v>
      </c>
      <c r="D1093" t="s">
        <v>1613</v>
      </c>
      <c r="E1093" t="s">
        <v>2987</v>
      </c>
      <c r="F1093" t="s">
        <v>1615</v>
      </c>
      <c r="G1093" t="s">
        <v>1616</v>
      </c>
      <c r="H1093" t="s">
        <v>1822</v>
      </c>
      <c r="I1093" t="s">
        <v>1618</v>
      </c>
      <c r="J1093" t="s">
        <v>136</v>
      </c>
      <c r="K1093">
        <v>3.99173913</v>
      </c>
      <c r="L1093">
        <v>77.838913035000004</v>
      </c>
      <c r="M1093" s="1">
        <v>3</v>
      </c>
      <c r="N1093">
        <v>0</v>
      </c>
      <c r="O1093">
        <v>0</v>
      </c>
      <c r="P1093">
        <v>19.5</v>
      </c>
      <c r="Q1093" s="1">
        <v>19.5</v>
      </c>
      <c r="R1093">
        <v>4</v>
      </c>
      <c r="S1093" s="2">
        <v>46224</v>
      </c>
      <c r="T1093" s="2">
        <v>46260</v>
      </c>
      <c r="U1093">
        <v>2</v>
      </c>
      <c r="V1093">
        <v>7</v>
      </c>
      <c r="W1093">
        <v>11.5</v>
      </c>
      <c r="X1093">
        <v>2</v>
      </c>
      <c r="Y1093">
        <v>2</v>
      </c>
      <c r="Z1093" s="8">
        <v>11.5</v>
      </c>
      <c r="AA1093">
        <v>5.625</v>
      </c>
      <c r="AB1093">
        <v>0.35555555555555557</v>
      </c>
      <c r="AC1093">
        <v>2.0444444444444443</v>
      </c>
      <c r="AD1093" s="1">
        <v>50</v>
      </c>
      <c r="AE1093" s="2">
        <v>46298</v>
      </c>
      <c r="AF1093" s="2">
        <v>46306</v>
      </c>
      <c r="AG1093" s="2">
        <v>46313</v>
      </c>
      <c r="AH1093">
        <v>1</v>
      </c>
      <c r="AI1093" s="3">
        <v>8.9955022488755629E-2</v>
      </c>
      <c r="AJ1093" s="1">
        <v>565</v>
      </c>
      <c r="AK1093" s="2">
        <v>46828</v>
      </c>
      <c r="AL1093" s="4">
        <v>30</v>
      </c>
      <c r="AM1093" s="5">
        <v>15</v>
      </c>
      <c r="AN1093" s="4">
        <v>50</v>
      </c>
      <c r="AO1093">
        <v>1.0344827586206897</v>
      </c>
      <c r="AP1093" s="4">
        <v>1</v>
      </c>
      <c r="AQ1093" t="s">
        <v>1619</v>
      </c>
      <c r="AR1093" t="s">
        <v>1620</v>
      </c>
      <c r="AT1093" s="16">
        <f>_xlfn.XLOOKUP(B1093,'SWiSH Demand Forecast Sep-26'!D:D,'SWiSH Demand Forecast Sep-26'!G:G,"Not Exist")</f>
        <v>0.50409292035398201</v>
      </c>
    </row>
    <row r="1094" spans="1:46" hidden="1" x14ac:dyDescent="0.3">
      <c r="A1094">
        <v>106500003</v>
      </c>
      <c r="B1094" t="s">
        <v>296</v>
      </c>
      <c r="C1094" t="s">
        <v>10</v>
      </c>
      <c r="D1094" t="s">
        <v>1629</v>
      </c>
      <c r="E1094" t="s">
        <v>1949</v>
      </c>
      <c r="F1094" t="s">
        <v>1752</v>
      </c>
      <c r="G1094" t="s">
        <v>1616</v>
      </c>
      <c r="H1094" t="s">
        <v>1974</v>
      </c>
      <c r="I1094" t="s">
        <v>1754</v>
      </c>
      <c r="J1094" t="s">
        <v>10</v>
      </c>
      <c r="K1094">
        <v>0.01</v>
      </c>
      <c r="L1094">
        <v>214.4</v>
      </c>
      <c r="M1094" s="1">
        <v>3</v>
      </c>
      <c r="N1094">
        <v>0</v>
      </c>
      <c r="O1094">
        <v>0</v>
      </c>
      <c r="P1094">
        <v>21440</v>
      </c>
      <c r="Q1094" s="1">
        <v>21440</v>
      </c>
      <c r="R1094">
        <v>0.01</v>
      </c>
      <c r="S1094" s="2">
        <v>46223</v>
      </c>
      <c r="T1094" s="2">
        <v>46262</v>
      </c>
      <c r="U1094">
        <v>0</v>
      </c>
      <c r="V1094">
        <v>0</v>
      </c>
      <c r="W1094">
        <v>0</v>
      </c>
      <c r="X1094">
        <v>12800</v>
      </c>
      <c r="Y1094">
        <v>0</v>
      </c>
      <c r="Z1094" s="8">
        <v>12800</v>
      </c>
      <c r="AA1094">
        <v>3200</v>
      </c>
      <c r="AB1094">
        <v>0</v>
      </c>
      <c r="AC1094">
        <v>4</v>
      </c>
      <c r="AD1094" s="1">
        <v>50</v>
      </c>
      <c r="AE1094" s="2">
        <v>46298</v>
      </c>
      <c r="AF1094" s="2">
        <v>46306</v>
      </c>
      <c r="AG1094" s="2">
        <v>46313</v>
      </c>
      <c r="AH1094">
        <v>6720</v>
      </c>
      <c r="AI1094" s="3">
        <v>0.5431034482758621</v>
      </c>
      <c r="AJ1094" s="1">
        <v>92</v>
      </c>
      <c r="AK1094" s="2">
        <v>46355</v>
      </c>
      <c r="AL1094" s="4" t="s">
        <v>1636</v>
      </c>
      <c r="AM1094" s="5" t="s">
        <v>1636</v>
      </c>
      <c r="AN1094" s="4">
        <v>50</v>
      </c>
      <c r="AO1094" t="s">
        <v>1635</v>
      </c>
      <c r="AP1094" s="4" t="s">
        <v>1636</v>
      </c>
      <c r="AQ1094" t="s">
        <v>1619</v>
      </c>
      <c r="AR1094" t="s">
        <v>1620</v>
      </c>
      <c r="AT1094" s="16">
        <f>_xlfn.XLOOKUP(B1094,'SWiSH Demand Forecast Sep-26'!D:D,'SWiSH Demand Forecast Sep-26'!G:G,"Not Exist")</f>
        <v>5072</v>
      </c>
    </row>
    <row r="1095" spans="1:46" hidden="1" x14ac:dyDescent="0.3">
      <c r="A1095">
        <v>106800085</v>
      </c>
      <c r="B1095" t="s">
        <v>186</v>
      </c>
      <c r="C1095" t="s">
        <v>10</v>
      </c>
      <c r="D1095" t="s">
        <v>1613</v>
      </c>
      <c r="E1095" t="s">
        <v>1655</v>
      </c>
      <c r="F1095" t="s">
        <v>1664</v>
      </c>
      <c r="G1095" t="s">
        <v>1624</v>
      </c>
      <c r="H1095" t="s">
        <v>1665</v>
      </c>
      <c r="I1095" t="s">
        <v>1634</v>
      </c>
      <c r="J1095" t="s">
        <v>10</v>
      </c>
      <c r="K1095">
        <v>3.0000000000000001E-3</v>
      </c>
      <c r="L1095">
        <v>162</v>
      </c>
      <c r="M1095" s="1">
        <v>7</v>
      </c>
      <c r="N1095">
        <v>0</v>
      </c>
      <c r="O1095">
        <v>0</v>
      </c>
      <c r="P1095">
        <v>54000</v>
      </c>
      <c r="Q1095" s="1">
        <v>54000</v>
      </c>
      <c r="R1095">
        <v>3.0000000000000001E-3</v>
      </c>
      <c r="S1095" s="2">
        <v>46160</v>
      </c>
      <c r="T1095" s="2">
        <v>46261</v>
      </c>
      <c r="U1095">
        <v>30000</v>
      </c>
      <c r="V1095">
        <v>21000</v>
      </c>
      <c r="W1095">
        <v>31000</v>
      </c>
      <c r="X1095">
        <v>32000</v>
      </c>
      <c r="Y1095">
        <v>21000</v>
      </c>
      <c r="Z1095" s="8">
        <v>32000</v>
      </c>
      <c r="AA1095">
        <v>28500</v>
      </c>
      <c r="AB1095">
        <v>0.73684210526315785</v>
      </c>
      <c r="AC1095">
        <v>1.1228070175438596</v>
      </c>
      <c r="AD1095" s="1">
        <v>50</v>
      </c>
      <c r="AE1095" s="2">
        <v>46298</v>
      </c>
      <c r="AF1095" s="2">
        <v>46306</v>
      </c>
      <c r="AG1095" s="2">
        <v>46313</v>
      </c>
      <c r="AH1095">
        <v>33000</v>
      </c>
      <c r="AI1095" s="3">
        <v>1.0668103448275863</v>
      </c>
      <c r="AJ1095" s="1">
        <v>47</v>
      </c>
      <c r="AK1095" s="2">
        <v>46310</v>
      </c>
      <c r="AL1095" s="4">
        <v>30</v>
      </c>
      <c r="AM1095" s="5">
        <v>15</v>
      </c>
      <c r="AN1095" s="4">
        <v>47</v>
      </c>
      <c r="AO1095">
        <v>34137.931034482768</v>
      </c>
      <c r="AP1095" s="4">
        <v>1</v>
      </c>
      <c r="AQ1095">
        <v>70000</v>
      </c>
      <c r="AR1095" t="s">
        <v>1829</v>
      </c>
      <c r="AT1095" s="16">
        <f>_xlfn.XLOOKUP(B1095,'SWiSH Demand Forecast Sep-26'!D:D,'SWiSH Demand Forecast Sep-26'!G:G,"Not Exist")</f>
        <v>9443</v>
      </c>
    </row>
    <row r="1096" spans="1:46" x14ac:dyDescent="0.3">
      <c r="A1096">
        <v>106200093</v>
      </c>
      <c r="B1096" t="s">
        <v>2988</v>
      </c>
      <c r="C1096" t="s">
        <v>136</v>
      </c>
      <c r="D1096" t="s">
        <v>1613</v>
      </c>
      <c r="E1096" t="s">
        <v>1732</v>
      </c>
      <c r="F1096" t="s">
        <v>1671</v>
      </c>
      <c r="G1096" t="s">
        <v>1616</v>
      </c>
      <c r="H1096" t="s">
        <v>1672</v>
      </c>
      <c r="I1096" t="s">
        <v>1618</v>
      </c>
      <c r="J1096" t="s">
        <v>136</v>
      </c>
      <c r="K1096">
        <v>4.7155145999999997</v>
      </c>
      <c r="L1096">
        <v>209.84039969999998</v>
      </c>
      <c r="M1096" s="1">
        <v>3</v>
      </c>
      <c r="N1096">
        <v>0</v>
      </c>
      <c r="O1096">
        <v>0</v>
      </c>
      <c r="P1096">
        <v>44.5</v>
      </c>
      <c r="Q1096" s="1">
        <v>44.5</v>
      </c>
      <c r="R1096">
        <v>11.949</v>
      </c>
      <c r="S1096" s="2">
        <v>46237</v>
      </c>
      <c r="T1096" s="2">
        <v>46237</v>
      </c>
      <c r="U1096">
        <v>26</v>
      </c>
      <c r="V1096">
        <v>18.799999999999997</v>
      </c>
      <c r="W1096">
        <v>4.8</v>
      </c>
      <c r="X1096">
        <v>21</v>
      </c>
      <c r="Y1096">
        <v>4.8</v>
      </c>
      <c r="Z1096" s="8">
        <v>26</v>
      </c>
      <c r="AA1096">
        <v>17.649999999999999</v>
      </c>
      <c r="AB1096">
        <v>0.2719546742209632</v>
      </c>
      <c r="AC1096">
        <v>1.4730878186968839</v>
      </c>
      <c r="AD1096" s="1">
        <v>51</v>
      </c>
      <c r="AE1096" s="2">
        <v>46299</v>
      </c>
      <c r="AF1096" s="2">
        <v>46307</v>
      </c>
      <c r="AG1096" s="2">
        <v>46314</v>
      </c>
      <c r="AH1096">
        <v>24</v>
      </c>
      <c r="AI1096" s="3">
        <v>0.95490716180371349</v>
      </c>
      <c r="AJ1096" s="1">
        <v>53</v>
      </c>
      <c r="AK1096" s="2">
        <v>46316</v>
      </c>
      <c r="AL1096" s="4">
        <v>30</v>
      </c>
      <c r="AM1096" s="5">
        <v>15</v>
      </c>
      <c r="AN1096" s="4">
        <v>51</v>
      </c>
      <c r="AO1096">
        <v>24.827586206896552</v>
      </c>
      <c r="AP1096" s="4">
        <v>1</v>
      </c>
      <c r="AQ1096" t="s">
        <v>1619</v>
      </c>
      <c r="AR1096" t="s">
        <v>1620</v>
      </c>
      <c r="AS1096" t="s">
        <v>1666</v>
      </c>
      <c r="AT1096" s="16" t="str">
        <f>_xlfn.XLOOKUP(B1096,'SWiSH Demand Forecast Sep-26'!D:D,'SWiSH Demand Forecast Sep-26'!G:G,"Not Exist")</f>
        <v>Not Exist</v>
      </c>
    </row>
    <row r="1097" spans="1:46" x14ac:dyDescent="0.3">
      <c r="A1097">
        <v>106100000</v>
      </c>
      <c r="B1097" t="s">
        <v>2989</v>
      </c>
      <c r="C1097" t="s">
        <v>10</v>
      </c>
      <c r="D1097" t="s">
        <v>1613</v>
      </c>
      <c r="E1097" t="s">
        <v>2990</v>
      </c>
      <c r="F1097" t="s">
        <v>1650</v>
      </c>
      <c r="G1097" t="s">
        <v>1624</v>
      </c>
      <c r="H1097" t="s">
        <v>2242</v>
      </c>
      <c r="I1097" t="s">
        <v>1634</v>
      </c>
      <c r="J1097" t="s">
        <v>10</v>
      </c>
      <c r="K1097">
        <v>0.7</v>
      </c>
      <c r="L1097">
        <v>81.199999999999989</v>
      </c>
      <c r="M1097" s="1">
        <v>3</v>
      </c>
      <c r="N1097">
        <v>0</v>
      </c>
      <c r="O1097">
        <v>0</v>
      </c>
      <c r="P1097">
        <v>116</v>
      </c>
      <c r="Q1097" s="1">
        <v>116</v>
      </c>
      <c r="R1097">
        <v>0.7</v>
      </c>
      <c r="S1097" s="2">
        <v>46191</v>
      </c>
      <c r="T1097" s="2">
        <v>46262</v>
      </c>
      <c r="U1097">
        <v>68</v>
      </c>
      <c r="V1097">
        <v>59</v>
      </c>
      <c r="W1097">
        <v>32</v>
      </c>
      <c r="X1097">
        <v>50</v>
      </c>
      <c r="Y1097">
        <v>32</v>
      </c>
      <c r="Z1097" s="8">
        <v>68</v>
      </c>
      <c r="AA1097">
        <v>52.25</v>
      </c>
      <c r="AB1097">
        <v>0.61244019138755978</v>
      </c>
      <c r="AC1097">
        <v>1.3014354066985645</v>
      </c>
      <c r="AD1097" s="1">
        <v>51</v>
      </c>
      <c r="AE1097" s="2">
        <v>46299</v>
      </c>
      <c r="AF1097" s="2">
        <v>46307</v>
      </c>
      <c r="AG1097" s="2">
        <v>46314</v>
      </c>
      <c r="AH1097">
        <v>50</v>
      </c>
      <c r="AI1097" s="3">
        <v>0.76064908722109537</v>
      </c>
      <c r="AJ1097" s="1">
        <v>67</v>
      </c>
      <c r="AK1097" s="2">
        <v>46330</v>
      </c>
      <c r="AL1097" s="4">
        <v>30</v>
      </c>
      <c r="AM1097" s="5">
        <v>15</v>
      </c>
      <c r="AN1097" s="4">
        <v>51</v>
      </c>
      <c r="AO1097">
        <v>51.724137931034484</v>
      </c>
      <c r="AP1097" s="4">
        <v>1</v>
      </c>
      <c r="AQ1097" t="s">
        <v>1619</v>
      </c>
      <c r="AR1097" t="s">
        <v>1620</v>
      </c>
      <c r="AT1097" s="16" t="str">
        <f>_xlfn.XLOOKUP(B1097,'SWiSH Demand Forecast Sep-26'!D:D,'SWiSH Demand Forecast Sep-26'!G:G,"Not Exist")</f>
        <v>Not Exist</v>
      </c>
    </row>
    <row r="1098" spans="1:46" hidden="1" x14ac:dyDescent="0.3">
      <c r="A1098">
        <v>100500010</v>
      </c>
      <c r="B1098" t="s">
        <v>1351</v>
      </c>
      <c r="C1098" t="s">
        <v>136</v>
      </c>
      <c r="D1098" t="s">
        <v>1613</v>
      </c>
      <c r="E1098" t="s">
        <v>1732</v>
      </c>
      <c r="F1098" t="s">
        <v>1671</v>
      </c>
      <c r="G1098" t="s">
        <v>1616</v>
      </c>
      <c r="H1098" t="s">
        <v>1996</v>
      </c>
      <c r="I1098" t="s">
        <v>1618</v>
      </c>
      <c r="J1098" t="s">
        <v>2991</v>
      </c>
      <c r="K1098">
        <v>1.64479167</v>
      </c>
      <c r="L1098">
        <v>268.43000054399999</v>
      </c>
      <c r="M1098" s="1">
        <v>3</v>
      </c>
      <c r="N1098">
        <v>0</v>
      </c>
      <c r="O1098">
        <v>0</v>
      </c>
      <c r="P1098">
        <v>163.19999999999999</v>
      </c>
      <c r="Q1098" s="1">
        <v>163.19999999999999</v>
      </c>
      <c r="R1098">
        <v>1.53</v>
      </c>
      <c r="S1098" s="2">
        <v>45904</v>
      </c>
      <c r="T1098" s="2">
        <v>46253</v>
      </c>
      <c r="U1098">
        <v>96</v>
      </c>
      <c r="V1098">
        <v>48</v>
      </c>
      <c r="W1098">
        <v>48</v>
      </c>
      <c r="X1098">
        <v>28.8</v>
      </c>
      <c r="Y1098">
        <v>28.8</v>
      </c>
      <c r="Z1098" s="8">
        <v>96</v>
      </c>
      <c r="AA1098">
        <v>55.2</v>
      </c>
      <c r="AB1098">
        <v>0.52173913043478259</v>
      </c>
      <c r="AC1098">
        <v>1.7391304347826086</v>
      </c>
      <c r="AD1098" s="1">
        <v>51</v>
      </c>
      <c r="AE1098" s="2">
        <v>46299</v>
      </c>
      <c r="AF1098" s="2">
        <v>46307</v>
      </c>
      <c r="AG1098" s="2">
        <v>46314</v>
      </c>
      <c r="AH1098">
        <v>48</v>
      </c>
      <c r="AI1098" s="3">
        <v>0.51724137931034486</v>
      </c>
      <c r="AJ1098" s="1">
        <v>98</v>
      </c>
      <c r="AK1098" s="2">
        <v>46361</v>
      </c>
      <c r="AL1098" s="4">
        <v>30</v>
      </c>
      <c r="AM1098" s="5">
        <v>15</v>
      </c>
      <c r="AN1098" s="4">
        <v>51</v>
      </c>
      <c r="AO1098">
        <v>49.65517241379311</v>
      </c>
      <c r="AP1098" s="4">
        <v>1</v>
      </c>
      <c r="AQ1098" t="s">
        <v>1619</v>
      </c>
      <c r="AR1098" t="s">
        <v>1620</v>
      </c>
      <c r="AT1098" s="16">
        <f>_xlfn.XLOOKUP(B1098,'SWiSH Demand Forecast Sep-26'!D:D,'SWiSH Demand Forecast Sep-26'!G:G,"Not Exist")</f>
        <v>23.218181818181801</v>
      </c>
    </row>
    <row r="1099" spans="1:46" hidden="1" x14ac:dyDescent="0.3">
      <c r="A1099">
        <v>100100082</v>
      </c>
      <c r="B1099" t="s">
        <v>1486</v>
      </c>
      <c r="C1099" t="s">
        <v>136</v>
      </c>
      <c r="D1099" t="s">
        <v>1613</v>
      </c>
      <c r="E1099" t="s">
        <v>1677</v>
      </c>
      <c r="F1099" t="s">
        <v>1840</v>
      </c>
      <c r="G1099" t="s">
        <v>1616</v>
      </c>
      <c r="H1099" t="s">
        <v>1877</v>
      </c>
      <c r="I1099" t="s">
        <v>1618</v>
      </c>
      <c r="J1099" t="s">
        <v>2992</v>
      </c>
      <c r="K1099">
        <v>1.8121174799999999</v>
      </c>
      <c r="L1099">
        <v>195.70868783999998</v>
      </c>
      <c r="M1099" s="1">
        <v>3</v>
      </c>
      <c r="N1099">
        <v>0</v>
      </c>
      <c r="O1099">
        <v>0</v>
      </c>
      <c r="P1099">
        <v>108</v>
      </c>
      <c r="Q1099" s="1">
        <v>108</v>
      </c>
      <c r="R1099">
        <v>4.0759999999999996</v>
      </c>
      <c r="S1099" s="2">
        <v>46167</v>
      </c>
      <c r="T1099" s="2">
        <v>46262</v>
      </c>
      <c r="U1099">
        <v>54</v>
      </c>
      <c r="V1099">
        <v>63.5</v>
      </c>
      <c r="W1099">
        <v>47.25</v>
      </c>
      <c r="X1099">
        <v>38.25</v>
      </c>
      <c r="Y1099">
        <v>38.25</v>
      </c>
      <c r="Z1099" s="8">
        <v>63.5</v>
      </c>
      <c r="AA1099">
        <v>50.75</v>
      </c>
      <c r="AB1099">
        <v>0.75369458128078815</v>
      </c>
      <c r="AC1099">
        <v>1.2512315270935961</v>
      </c>
      <c r="AD1099" s="1">
        <v>51</v>
      </c>
      <c r="AE1099" s="2">
        <v>46299</v>
      </c>
      <c r="AF1099" s="2">
        <v>46307</v>
      </c>
      <c r="AG1099" s="2">
        <v>46314</v>
      </c>
      <c r="AH1099">
        <v>36</v>
      </c>
      <c r="AI1099" s="3">
        <v>0.58647841433613901</v>
      </c>
      <c r="AJ1099" s="1">
        <v>87</v>
      </c>
      <c r="AK1099" s="2">
        <v>46350</v>
      </c>
      <c r="AL1099" s="4">
        <v>30</v>
      </c>
      <c r="AM1099" s="5">
        <v>15</v>
      </c>
      <c r="AN1099" s="4">
        <v>51</v>
      </c>
      <c r="AO1099">
        <v>37.241379310344826</v>
      </c>
      <c r="AP1099" s="4">
        <v>1</v>
      </c>
      <c r="AQ1099" t="s">
        <v>1619</v>
      </c>
      <c r="AR1099" t="s">
        <v>1620</v>
      </c>
      <c r="AT1099" s="16">
        <f>_xlfn.XLOOKUP(B1099,'SWiSH Demand Forecast Sep-26'!D:D,'SWiSH Demand Forecast Sep-26'!G:G,"Not Exist")</f>
        <v>4.3437262357414399</v>
      </c>
    </row>
    <row r="1100" spans="1:46" hidden="1" x14ac:dyDescent="0.3">
      <c r="A1100">
        <v>101600027</v>
      </c>
      <c r="B1100" t="s">
        <v>649</v>
      </c>
      <c r="C1100" t="s">
        <v>10</v>
      </c>
      <c r="D1100" t="s">
        <v>1613</v>
      </c>
      <c r="E1100" t="s">
        <v>2587</v>
      </c>
      <c r="F1100" t="s">
        <v>1631</v>
      </c>
      <c r="G1100" t="s">
        <v>1624</v>
      </c>
      <c r="H1100" t="s">
        <v>1768</v>
      </c>
      <c r="I1100" t="s">
        <v>1634</v>
      </c>
      <c r="J1100" t="s">
        <v>2149</v>
      </c>
      <c r="K1100">
        <v>3.5734109999999999E-2</v>
      </c>
      <c r="L1100">
        <v>75.041630999999995</v>
      </c>
      <c r="M1100" s="1">
        <v>3</v>
      </c>
      <c r="N1100">
        <v>0</v>
      </c>
      <c r="O1100">
        <v>0</v>
      </c>
      <c r="P1100">
        <v>2100</v>
      </c>
      <c r="Q1100" s="1">
        <v>2100</v>
      </c>
      <c r="R1100">
        <v>5.5</v>
      </c>
      <c r="S1100" s="2">
        <v>46175</v>
      </c>
      <c r="T1100" s="2">
        <v>46255</v>
      </c>
      <c r="U1100">
        <v>1200</v>
      </c>
      <c r="V1100">
        <v>1200</v>
      </c>
      <c r="W1100">
        <v>450</v>
      </c>
      <c r="X1100">
        <v>450</v>
      </c>
      <c r="Y1100">
        <v>450</v>
      </c>
      <c r="Z1100" s="8">
        <v>1200</v>
      </c>
      <c r="AA1100">
        <v>825</v>
      </c>
      <c r="AB1100">
        <v>0.54545454545454541</v>
      </c>
      <c r="AC1100">
        <v>1.4545454545454546</v>
      </c>
      <c r="AD1100" s="1">
        <v>52</v>
      </c>
      <c r="AE1100" s="2">
        <v>46300</v>
      </c>
      <c r="AF1100" s="2">
        <v>46308</v>
      </c>
      <c r="AG1100" s="2">
        <v>46315</v>
      </c>
      <c r="AH1100">
        <v>300</v>
      </c>
      <c r="AI1100" s="3">
        <v>0.25862068965517243</v>
      </c>
      <c r="AJ1100" s="1">
        <v>203</v>
      </c>
      <c r="AK1100" s="2">
        <v>46466</v>
      </c>
      <c r="AL1100" s="4">
        <v>15</v>
      </c>
      <c r="AM1100" s="5">
        <v>15</v>
      </c>
      <c r="AN1100" s="4">
        <v>52</v>
      </c>
      <c r="AO1100">
        <v>155.17241379310346</v>
      </c>
      <c r="AP1100" s="4">
        <v>2</v>
      </c>
      <c r="AQ1100" t="s">
        <v>1619</v>
      </c>
      <c r="AR1100" t="s">
        <v>1620</v>
      </c>
      <c r="AT1100" s="16">
        <f>_xlfn.XLOOKUP(B1100,'SWiSH Demand Forecast Sep-26'!D:D,'SWiSH Demand Forecast Sep-26'!G:G,"Not Exist")</f>
        <v>782</v>
      </c>
    </row>
    <row r="1101" spans="1:46" hidden="1" x14ac:dyDescent="0.3">
      <c r="A1101">
        <v>105900025</v>
      </c>
      <c r="B1101" t="s">
        <v>408</v>
      </c>
      <c r="C1101" t="s">
        <v>10</v>
      </c>
      <c r="D1101" t="s">
        <v>1613</v>
      </c>
      <c r="E1101" t="s">
        <v>1732</v>
      </c>
      <c r="F1101" t="s">
        <v>1664</v>
      </c>
      <c r="G1101" t="s">
        <v>1616</v>
      </c>
      <c r="H1101" t="s">
        <v>1729</v>
      </c>
      <c r="I1101" t="s">
        <v>1634</v>
      </c>
      <c r="J1101" t="s">
        <v>10</v>
      </c>
      <c r="K1101">
        <v>3.7799999999999999E-3</v>
      </c>
      <c r="L1101">
        <v>51.408000000000001</v>
      </c>
      <c r="M1101" s="1">
        <v>90</v>
      </c>
      <c r="N1101">
        <v>0</v>
      </c>
      <c r="O1101">
        <v>0</v>
      </c>
      <c r="P1101">
        <v>13600</v>
      </c>
      <c r="Q1101" s="1">
        <v>13600</v>
      </c>
      <c r="R1101">
        <v>3.78</v>
      </c>
      <c r="S1101" s="2">
        <v>46132</v>
      </c>
      <c r="T1101" s="2">
        <v>46263</v>
      </c>
      <c r="U1101">
        <v>6800</v>
      </c>
      <c r="V1101">
        <v>7800</v>
      </c>
      <c r="W1101">
        <v>6800</v>
      </c>
      <c r="X1101">
        <v>5100</v>
      </c>
      <c r="Y1101">
        <v>5100</v>
      </c>
      <c r="Z1101" s="8">
        <v>7800</v>
      </c>
      <c r="AA1101">
        <v>6625</v>
      </c>
      <c r="AB1101">
        <v>0.76981132075471703</v>
      </c>
      <c r="AC1101">
        <v>1.1773584905660377</v>
      </c>
      <c r="AD1101" s="1">
        <v>52</v>
      </c>
      <c r="AE1101" s="2">
        <v>46300</v>
      </c>
      <c r="AF1101" s="2">
        <v>46308</v>
      </c>
      <c r="AG1101" s="2">
        <v>46315</v>
      </c>
      <c r="AH1101">
        <v>6800</v>
      </c>
      <c r="AI1101" s="3">
        <v>0.90185676392572944</v>
      </c>
      <c r="AJ1101" s="1">
        <v>58</v>
      </c>
      <c r="AK1101" s="2">
        <v>46321</v>
      </c>
      <c r="AL1101" s="4">
        <v>120</v>
      </c>
      <c r="AM1101" s="5">
        <v>100</v>
      </c>
      <c r="AN1101" s="4">
        <v>52</v>
      </c>
      <c r="AO1101">
        <v>28137.931034482757</v>
      </c>
      <c r="AP1101" s="4">
        <v>1</v>
      </c>
      <c r="AQ1101" t="s">
        <v>1619</v>
      </c>
      <c r="AR1101" t="s">
        <v>1620</v>
      </c>
      <c r="AT1101" s="16">
        <f>_xlfn.XLOOKUP(B1101,'SWiSH Demand Forecast Sep-26'!D:D,'SWiSH Demand Forecast Sep-26'!G:G,"Not Exist")</f>
        <v>2577</v>
      </c>
    </row>
    <row r="1102" spans="1:46" x14ac:dyDescent="0.3">
      <c r="A1102">
        <v>106300069</v>
      </c>
      <c r="B1102" t="s">
        <v>2993</v>
      </c>
      <c r="C1102" t="s">
        <v>136</v>
      </c>
      <c r="D1102" t="s">
        <v>1613</v>
      </c>
      <c r="E1102" t="s">
        <v>1832</v>
      </c>
      <c r="F1102" t="s">
        <v>1615</v>
      </c>
      <c r="G1102" t="s">
        <v>1616</v>
      </c>
      <c r="H1102" t="s">
        <v>1860</v>
      </c>
      <c r="I1102" t="s">
        <v>1618</v>
      </c>
      <c r="J1102" t="s">
        <v>136</v>
      </c>
      <c r="K1102">
        <v>1.75</v>
      </c>
      <c r="L1102">
        <v>40.25</v>
      </c>
      <c r="M1102" s="1">
        <v>3</v>
      </c>
      <c r="N1102">
        <v>0</v>
      </c>
      <c r="O1102">
        <v>0</v>
      </c>
      <c r="P1102">
        <v>23</v>
      </c>
      <c r="Q1102" s="1">
        <v>23</v>
      </c>
      <c r="R1102">
        <v>1.75</v>
      </c>
      <c r="S1102" s="2">
        <v>46135</v>
      </c>
      <c r="T1102" s="2">
        <v>46248</v>
      </c>
      <c r="U1102">
        <v>13</v>
      </c>
      <c r="V1102">
        <v>2</v>
      </c>
      <c r="W1102">
        <v>9</v>
      </c>
      <c r="X1102">
        <v>9</v>
      </c>
      <c r="Y1102">
        <v>2</v>
      </c>
      <c r="Z1102" s="8">
        <v>13</v>
      </c>
      <c r="AA1102">
        <v>8.25</v>
      </c>
      <c r="AB1102">
        <v>0.24242424242424243</v>
      </c>
      <c r="AC1102">
        <v>1.5757575757575757</v>
      </c>
      <c r="AD1102" s="1">
        <v>53</v>
      </c>
      <c r="AE1102" s="2">
        <v>46301</v>
      </c>
      <c r="AF1102" s="2">
        <v>46309</v>
      </c>
      <c r="AG1102" s="2">
        <v>46316</v>
      </c>
      <c r="AH1102">
        <v>1</v>
      </c>
      <c r="AI1102" s="3">
        <v>7.9575596816976138E-2</v>
      </c>
      <c r="AJ1102" s="1">
        <v>667</v>
      </c>
      <c r="AK1102" s="2">
        <v>46930</v>
      </c>
      <c r="AL1102" s="4">
        <v>30</v>
      </c>
      <c r="AM1102" s="5">
        <v>15</v>
      </c>
      <c r="AN1102" s="4">
        <v>53</v>
      </c>
      <c r="AO1102">
        <v>1.0344827586206897</v>
      </c>
      <c r="AP1102" s="4">
        <v>1</v>
      </c>
      <c r="AQ1102" t="s">
        <v>1619</v>
      </c>
      <c r="AR1102" t="s">
        <v>1620</v>
      </c>
      <c r="AT1102" s="16" t="str">
        <f>_xlfn.XLOOKUP(B1102,'SWiSH Demand Forecast Sep-26'!D:D,'SWiSH Demand Forecast Sep-26'!G:G,"Not Exist")</f>
        <v>Not Exist</v>
      </c>
    </row>
    <row r="1103" spans="1:46" hidden="1" x14ac:dyDescent="0.3">
      <c r="A1103">
        <v>100100087</v>
      </c>
      <c r="B1103" t="s">
        <v>1427</v>
      </c>
      <c r="C1103" t="s">
        <v>136</v>
      </c>
      <c r="D1103" t="s">
        <v>1613</v>
      </c>
      <c r="E1103" t="s">
        <v>1732</v>
      </c>
      <c r="F1103" t="s">
        <v>1941</v>
      </c>
      <c r="G1103" t="s">
        <v>1616</v>
      </c>
      <c r="H1103" t="s">
        <v>1877</v>
      </c>
      <c r="I1103" t="s">
        <v>1618</v>
      </c>
      <c r="J1103" t="s">
        <v>2994</v>
      </c>
      <c r="K1103">
        <v>2.9162087900000002</v>
      </c>
      <c r="L1103">
        <v>176.3723076192</v>
      </c>
      <c r="M1103" s="1">
        <v>3</v>
      </c>
      <c r="N1103">
        <v>0</v>
      </c>
      <c r="O1103">
        <v>0</v>
      </c>
      <c r="P1103">
        <v>60.48</v>
      </c>
      <c r="Q1103" s="1">
        <v>60.48</v>
      </c>
      <c r="R1103">
        <v>14.04</v>
      </c>
      <c r="S1103" s="2">
        <v>46240</v>
      </c>
      <c r="T1103" s="2">
        <v>46248</v>
      </c>
      <c r="U1103">
        <v>5.04</v>
      </c>
      <c r="V1103">
        <v>15.120000000000001</v>
      </c>
      <c r="W1103">
        <v>34.08</v>
      </c>
      <c r="X1103">
        <v>5.04</v>
      </c>
      <c r="Y1103">
        <v>5.04</v>
      </c>
      <c r="Z1103" s="8">
        <v>34.08</v>
      </c>
      <c r="AA1103">
        <v>14.819999999999999</v>
      </c>
      <c r="AB1103">
        <v>0.34008097165991907</v>
      </c>
      <c r="AC1103">
        <v>2.2995951417004048</v>
      </c>
      <c r="AD1103" s="1">
        <v>53</v>
      </c>
      <c r="AE1103" s="2">
        <v>46301</v>
      </c>
      <c r="AF1103" s="2">
        <v>46309</v>
      </c>
      <c r="AG1103" s="2">
        <v>46316</v>
      </c>
      <c r="AH1103">
        <v>15.120000000000001</v>
      </c>
      <c r="AI1103" s="3">
        <v>0.45896066051481305</v>
      </c>
      <c r="AJ1103" s="1">
        <v>116</v>
      </c>
      <c r="AK1103" s="2">
        <v>46379</v>
      </c>
      <c r="AL1103" s="4">
        <v>30</v>
      </c>
      <c r="AM1103" s="5">
        <v>15</v>
      </c>
      <c r="AN1103" s="4">
        <v>53</v>
      </c>
      <c r="AO1103">
        <v>15.641379310344828</v>
      </c>
      <c r="AP1103" s="4">
        <v>1</v>
      </c>
      <c r="AQ1103" t="s">
        <v>1619</v>
      </c>
      <c r="AR1103" t="s">
        <v>1620</v>
      </c>
      <c r="AT1103" s="16">
        <f>_xlfn.XLOOKUP(B1103,'SWiSH Demand Forecast Sep-26'!D:D,'SWiSH Demand Forecast Sep-26'!G:G,"Not Exist")</f>
        <v>10.413793103448199</v>
      </c>
    </row>
    <row r="1104" spans="1:46" x14ac:dyDescent="0.3">
      <c r="A1104">
        <v>106300060</v>
      </c>
      <c r="B1104" t="s">
        <v>2995</v>
      </c>
      <c r="C1104" t="s">
        <v>10</v>
      </c>
      <c r="D1104" t="s">
        <v>1613</v>
      </c>
      <c r="E1104" t="s">
        <v>1685</v>
      </c>
      <c r="F1104" t="s">
        <v>1840</v>
      </c>
      <c r="G1104" t="s">
        <v>1616</v>
      </c>
      <c r="H1104" t="s">
        <v>1860</v>
      </c>
      <c r="I1104" t="s">
        <v>1618</v>
      </c>
      <c r="J1104" t="s">
        <v>2064</v>
      </c>
      <c r="K1104">
        <v>0.62</v>
      </c>
      <c r="L1104">
        <v>310</v>
      </c>
      <c r="M1104" s="1">
        <v>3</v>
      </c>
      <c r="N1104">
        <v>0</v>
      </c>
      <c r="O1104">
        <v>0</v>
      </c>
      <c r="P1104">
        <v>500</v>
      </c>
      <c r="Q1104" s="1">
        <v>500</v>
      </c>
      <c r="R1104">
        <v>12.40133</v>
      </c>
      <c r="S1104" s="2">
        <v>46180</v>
      </c>
      <c r="T1104" s="2">
        <v>46254</v>
      </c>
      <c r="U1104">
        <v>260</v>
      </c>
      <c r="V1104">
        <v>280</v>
      </c>
      <c r="W1104">
        <v>60</v>
      </c>
      <c r="X1104">
        <v>100</v>
      </c>
      <c r="Y1104">
        <v>60</v>
      </c>
      <c r="Z1104" s="8">
        <v>280</v>
      </c>
      <c r="AA1104">
        <v>175</v>
      </c>
      <c r="AB1104">
        <v>0.34285714285714286</v>
      </c>
      <c r="AC1104">
        <v>1.6</v>
      </c>
      <c r="AD1104" s="1">
        <v>53</v>
      </c>
      <c r="AE1104" s="2">
        <v>46301</v>
      </c>
      <c r="AF1104" s="2">
        <v>46309</v>
      </c>
      <c r="AG1104" s="2">
        <v>46316</v>
      </c>
      <c r="AH1104">
        <v>60</v>
      </c>
      <c r="AI1104" s="3">
        <v>0.22167487684729065</v>
      </c>
      <c r="AJ1104" s="1">
        <v>241</v>
      </c>
      <c r="AK1104" s="2">
        <v>46504</v>
      </c>
      <c r="AL1104" s="4">
        <v>30</v>
      </c>
      <c r="AM1104" s="5">
        <v>15</v>
      </c>
      <c r="AN1104" s="4">
        <v>53</v>
      </c>
      <c r="AO1104">
        <v>62.068965517241381</v>
      </c>
      <c r="AP1104" s="4">
        <v>1</v>
      </c>
      <c r="AQ1104" t="s">
        <v>1619</v>
      </c>
      <c r="AR1104" t="s">
        <v>1620</v>
      </c>
      <c r="AT1104" s="16" t="str">
        <f>_xlfn.XLOOKUP(B1104,'SWiSH Demand Forecast Sep-26'!D:D,'SWiSH Demand Forecast Sep-26'!G:G,"Not Exist")</f>
        <v>Not Exist</v>
      </c>
    </row>
    <row r="1105" spans="1:46" x14ac:dyDescent="0.3">
      <c r="A1105">
        <v>101600024</v>
      </c>
      <c r="B1105" t="s">
        <v>2996</v>
      </c>
      <c r="C1105" t="s">
        <v>10</v>
      </c>
      <c r="D1105" t="s">
        <v>1613</v>
      </c>
      <c r="E1105" t="s">
        <v>1832</v>
      </c>
      <c r="F1105" t="s">
        <v>1631</v>
      </c>
      <c r="G1105" t="s">
        <v>1616</v>
      </c>
      <c r="H1105" t="s">
        <v>1768</v>
      </c>
      <c r="I1105" t="s">
        <v>1634</v>
      </c>
      <c r="J1105" t="s">
        <v>10</v>
      </c>
      <c r="K1105">
        <v>1.1000000000000001</v>
      </c>
      <c r="L1105">
        <v>770.00000000000011</v>
      </c>
      <c r="M1105" s="1">
        <v>3</v>
      </c>
      <c r="N1105">
        <v>0</v>
      </c>
      <c r="O1105">
        <v>0</v>
      </c>
      <c r="P1105">
        <v>700</v>
      </c>
      <c r="Q1105" s="1">
        <v>700</v>
      </c>
      <c r="R1105">
        <v>1.1000000000000001</v>
      </c>
      <c r="S1105" s="2">
        <v>46251</v>
      </c>
      <c r="T1105" s="2">
        <v>46257</v>
      </c>
      <c r="U1105">
        <v>16</v>
      </c>
      <c r="V1105">
        <v>389</v>
      </c>
      <c r="W1105">
        <v>300</v>
      </c>
      <c r="X1105">
        <v>280</v>
      </c>
      <c r="Y1105">
        <v>16</v>
      </c>
      <c r="Z1105" s="8">
        <v>389</v>
      </c>
      <c r="AA1105">
        <v>246.25</v>
      </c>
      <c r="AB1105">
        <v>6.4974619289340105E-2</v>
      </c>
      <c r="AC1105">
        <v>1.5796954314720812</v>
      </c>
      <c r="AD1105" s="1">
        <v>53</v>
      </c>
      <c r="AE1105" s="2">
        <v>46301</v>
      </c>
      <c r="AF1105" s="2">
        <v>46309</v>
      </c>
      <c r="AG1105" s="2">
        <v>46316</v>
      </c>
      <c r="AH1105">
        <v>70</v>
      </c>
      <c r="AI1105" s="3">
        <v>0.18615370977750198</v>
      </c>
      <c r="AJ1105" s="1">
        <v>290</v>
      </c>
      <c r="AK1105" s="2">
        <v>46553</v>
      </c>
      <c r="AL1105" s="4">
        <v>15</v>
      </c>
      <c r="AM1105" s="5">
        <v>15</v>
      </c>
      <c r="AN1105" s="4">
        <v>53</v>
      </c>
      <c r="AO1105">
        <v>36.206896551724135</v>
      </c>
      <c r="AP1105" s="4">
        <v>2</v>
      </c>
      <c r="AQ1105" t="s">
        <v>1619</v>
      </c>
      <c r="AR1105" t="s">
        <v>1620</v>
      </c>
      <c r="AT1105" s="16" t="str">
        <f>_xlfn.XLOOKUP(B1105,'SWiSH Demand Forecast Sep-26'!D:D,'SWiSH Demand Forecast Sep-26'!G:G,"Not Exist")</f>
        <v>Not Exist</v>
      </c>
    </row>
    <row r="1106" spans="1:46" x14ac:dyDescent="0.3">
      <c r="A1106">
        <v>100700013</v>
      </c>
      <c r="B1106" t="s">
        <v>2997</v>
      </c>
      <c r="C1106" t="s">
        <v>136</v>
      </c>
      <c r="D1106" t="s">
        <v>1613</v>
      </c>
      <c r="E1106" t="s">
        <v>2151</v>
      </c>
      <c r="F1106" t="s">
        <v>1875</v>
      </c>
      <c r="G1106" t="s">
        <v>1616</v>
      </c>
      <c r="H1106" t="s">
        <v>1867</v>
      </c>
      <c r="I1106" t="s">
        <v>1618</v>
      </c>
      <c r="J1106" t="s">
        <v>136</v>
      </c>
      <c r="K1106">
        <v>2.1604899999999998</v>
      </c>
      <c r="L1106">
        <v>135.46272299999998</v>
      </c>
      <c r="M1106" s="1">
        <v>3</v>
      </c>
      <c r="N1106">
        <v>0</v>
      </c>
      <c r="O1106">
        <v>0</v>
      </c>
      <c r="P1106">
        <v>62.699999999999996</v>
      </c>
      <c r="Q1106" s="1">
        <v>62.699999999999996</v>
      </c>
      <c r="R1106">
        <v>35</v>
      </c>
      <c r="S1106" s="2">
        <v>46149</v>
      </c>
      <c r="T1106" s="2">
        <v>46250</v>
      </c>
      <c r="U1106">
        <v>18.899999999999999</v>
      </c>
      <c r="V1106">
        <v>35.099999999999994</v>
      </c>
      <c r="W1106">
        <v>16.2</v>
      </c>
      <c r="X1106">
        <v>32.4</v>
      </c>
      <c r="Y1106">
        <v>16.2</v>
      </c>
      <c r="Z1106" s="8">
        <v>35.099999999999994</v>
      </c>
      <c r="AA1106">
        <v>25.65</v>
      </c>
      <c r="AB1106">
        <v>0.63157894736842102</v>
      </c>
      <c r="AC1106">
        <v>1.3684210526315788</v>
      </c>
      <c r="AD1106" s="1">
        <v>53</v>
      </c>
      <c r="AE1106" s="2">
        <v>46301</v>
      </c>
      <c r="AF1106" s="2">
        <v>46309</v>
      </c>
      <c r="AG1106" s="2">
        <v>46316</v>
      </c>
      <c r="AH1106">
        <v>16.2</v>
      </c>
      <c r="AI1106" s="3">
        <v>0.4774535809018568</v>
      </c>
      <c r="AJ1106" s="1">
        <v>112</v>
      </c>
      <c r="AK1106" s="2">
        <v>46375</v>
      </c>
      <c r="AL1106" s="4">
        <v>15</v>
      </c>
      <c r="AM1106" s="5">
        <v>15</v>
      </c>
      <c r="AN1106" s="4">
        <v>53</v>
      </c>
      <c r="AO1106">
        <v>8.3793103448275854</v>
      </c>
      <c r="AP1106" s="4">
        <v>2</v>
      </c>
      <c r="AQ1106" t="s">
        <v>1619</v>
      </c>
      <c r="AR1106" t="s">
        <v>1620</v>
      </c>
      <c r="AT1106" s="16" t="str">
        <f>_xlfn.XLOOKUP(B1106,'SWiSH Demand Forecast Sep-26'!D:D,'SWiSH Demand Forecast Sep-26'!G:G,"Not Exist")</f>
        <v>Not Exist</v>
      </c>
    </row>
    <row r="1107" spans="1:46" hidden="1" x14ac:dyDescent="0.3">
      <c r="A1107">
        <v>100400132</v>
      </c>
      <c r="B1107" t="s">
        <v>261</v>
      </c>
      <c r="C1107" t="s">
        <v>10</v>
      </c>
      <c r="D1107" t="s">
        <v>1613</v>
      </c>
      <c r="E1107" t="s">
        <v>1655</v>
      </c>
      <c r="F1107" t="s">
        <v>1664</v>
      </c>
      <c r="G1107" t="s">
        <v>1624</v>
      </c>
      <c r="H1107" t="s">
        <v>1810</v>
      </c>
      <c r="I1107" t="s">
        <v>1634</v>
      </c>
      <c r="J1107" t="s">
        <v>10</v>
      </c>
      <c r="K1107">
        <v>0.161</v>
      </c>
      <c r="L1107">
        <v>1799.175</v>
      </c>
      <c r="M1107" s="1">
        <v>30</v>
      </c>
      <c r="N1107">
        <v>0</v>
      </c>
      <c r="O1107">
        <v>100</v>
      </c>
      <c r="P1107">
        <v>11175</v>
      </c>
      <c r="Q1107" s="1">
        <v>11075</v>
      </c>
      <c r="R1107">
        <v>0.161</v>
      </c>
      <c r="S1107" s="2">
        <v>46238</v>
      </c>
      <c r="T1107" s="2">
        <v>46263</v>
      </c>
      <c r="U1107">
        <v>5350</v>
      </c>
      <c r="V1107">
        <v>5950</v>
      </c>
      <c r="W1107">
        <v>4325</v>
      </c>
      <c r="X1107">
        <v>6200</v>
      </c>
      <c r="Y1107">
        <v>4325</v>
      </c>
      <c r="Z1107" s="8">
        <v>6200</v>
      </c>
      <c r="AA1107">
        <v>5456.25</v>
      </c>
      <c r="AB1107">
        <v>0.79266895761741119</v>
      </c>
      <c r="AC1107">
        <v>1.13631156930126</v>
      </c>
      <c r="AD1107" s="1">
        <v>53</v>
      </c>
      <c r="AE1107" s="2">
        <v>46301</v>
      </c>
      <c r="AF1107" s="2">
        <v>46309</v>
      </c>
      <c r="AG1107" s="2">
        <v>46316</v>
      </c>
      <c r="AH1107">
        <v>4525</v>
      </c>
      <c r="AI1107" s="3">
        <v>0.75500556173526134</v>
      </c>
      <c r="AJ1107" s="1">
        <v>70</v>
      </c>
      <c r="AK1107" s="2">
        <v>46333</v>
      </c>
      <c r="AL1107" s="4">
        <v>30</v>
      </c>
      <c r="AM1107" s="5">
        <v>15</v>
      </c>
      <c r="AN1107" s="4">
        <v>53</v>
      </c>
      <c r="AO1107">
        <v>4681.0344827586205</v>
      </c>
      <c r="AP1107" s="4">
        <v>1</v>
      </c>
      <c r="AQ1107">
        <v>18575</v>
      </c>
      <c r="AR1107" t="s">
        <v>2202</v>
      </c>
      <c r="AT1107" s="16">
        <f>_xlfn.XLOOKUP(B1107,'SWiSH Demand Forecast Sep-26'!D:D,'SWiSH Demand Forecast Sep-26'!G:G,"Not Exist")</f>
        <v>6095</v>
      </c>
    </row>
    <row r="1108" spans="1:46" x14ac:dyDescent="0.3">
      <c r="A1108">
        <v>104200018</v>
      </c>
      <c r="B1108" t="s">
        <v>2998</v>
      </c>
      <c r="C1108" t="s">
        <v>10</v>
      </c>
      <c r="D1108" t="s">
        <v>1613</v>
      </c>
      <c r="E1108" t="s">
        <v>2999</v>
      </c>
      <c r="F1108" t="s">
        <v>1631</v>
      </c>
      <c r="G1108" t="s">
        <v>1624</v>
      </c>
      <c r="H1108" t="s">
        <v>1633</v>
      </c>
      <c r="I1108" t="s">
        <v>1634</v>
      </c>
      <c r="J1108" t="s">
        <v>10</v>
      </c>
      <c r="K1108">
        <v>20</v>
      </c>
      <c r="L1108">
        <v>360</v>
      </c>
      <c r="M1108" s="1">
        <v>3</v>
      </c>
      <c r="N1108">
        <v>0</v>
      </c>
      <c r="O1108">
        <v>0</v>
      </c>
      <c r="P1108">
        <v>18</v>
      </c>
      <c r="Q1108" s="1">
        <v>18</v>
      </c>
      <c r="R1108">
        <v>20</v>
      </c>
      <c r="S1108" s="2">
        <v>46259</v>
      </c>
      <c r="T1108" s="2">
        <v>46260</v>
      </c>
      <c r="U1108">
        <v>3</v>
      </c>
      <c r="V1108">
        <v>7</v>
      </c>
      <c r="W1108">
        <v>10</v>
      </c>
      <c r="X1108">
        <v>5</v>
      </c>
      <c r="Y1108">
        <v>3</v>
      </c>
      <c r="Z1108" s="8">
        <v>10</v>
      </c>
      <c r="AA1108">
        <v>6.25</v>
      </c>
      <c r="AB1108">
        <v>0.48</v>
      </c>
      <c r="AC1108">
        <v>1.6</v>
      </c>
      <c r="AD1108" s="1">
        <v>54</v>
      </c>
      <c r="AE1108" s="2">
        <v>46302</v>
      </c>
      <c r="AF1108" s="2">
        <v>46310</v>
      </c>
      <c r="AG1108" s="2">
        <v>46317</v>
      </c>
      <c r="AH1108">
        <v>8</v>
      </c>
      <c r="AI1108" s="3">
        <v>0.82758620689655182</v>
      </c>
      <c r="AJ1108" s="1">
        <v>65</v>
      </c>
      <c r="AK1108" s="2">
        <v>46328</v>
      </c>
      <c r="AL1108" s="4">
        <v>30</v>
      </c>
      <c r="AM1108" s="5">
        <v>15</v>
      </c>
      <c r="AN1108" s="4">
        <v>54</v>
      </c>
      <c r="AO1108">
        <v>8.2758620689655178</v>
      </c>
      <c r="AP1108" s="4">
        <v>1</v>
      </c>
      <c r="AQ1108" t="s">
        <v>1619</v>
      </c>
      <c r="AR1108" t="s">
        <v>1620</v>
      </c>
      <c r="AT1108" s="16" t="str">
        <f>_xlfn.XLOOKUP(B1108,'SWiSH Demand Forecast Sep-26'!D:D,'SWiSH Demand Forecast Sep-26'!G:G,"Not Exist")</f>
        <v>Not Exist</v>
      </c>
    </row>
    <row r="1109" spans="1:46" hidden="1" x14ac:dyDescent="0.3">
      <c r="A1109">
        <v>106600078</v>
      </c>
      <c r="B1109" t="s">
        <v>286</v>
      </c>
      <c r="C1109" t="s">
        <v>10</v>
      </c>
      <c r="D1109" t="s">
        <v>1613</v>
      </c>
      <c r="E1109" t="s">
        <v>1926</v>
      </c>
      <c r="F1109" t="s">
        <v>1664</v>
      </c>
      <c r="G1109" t="s">
        <v>1624</v>
      </c>
      <c r="H1109" t="s">
        <v>1723</v>
      </c>
      <c r="I1109" t="s">
        <v>1634</v>
      </c>
      <c r="J1109" t="s">
        <v>10</v>
      </c>
      <c r="K1109">
        <v>4.0000000000000001E-3</v>
      </c>
      <c r="L1109">
        <v>108</v>
      </c>
      <c r="M1109" s="1">
        <v>15</v>
      </c>
      <c r="N1109">
        <v>0</v>
      </c>
      <c r="O1109">
        <v>0</v>
      </c>
      <c r="P1109">
        <v>27000</v>
      </c>
      <c r="Q1109" s="1">
        <v>27000</v>
      </c>
      <c r="R1109">
        <v>4.0000000000000001E-3</v>
      </c>
      <c r="S1109" s="2">
        <v>45942</v>
      </c>
      <c r="T1109" s="2">
        <v>46251</v>
      </c>
      <c r="U1109">
        <v>0</v>
      </c>
      <c r="V1109">
        <v>10000</v>
      </c>
      <c r="W1109">
        <v>0</v>
      </c>
      <c r="X1109">
        <v>15000</v>
      </c>
      <c r="Y1109">
        <v>0</v>
      </c>
      <c r="Z1109" s="8">
        <v>15000</v>
      </c>
      <c r="AA1109">
        <v>6250</v>
      </c>
      <c r="AB1109">
        <v>0</v>
      </c>
      <c r="AC1109">
        <v>2.4</v>
      </c>
      <c r="AD1109" s="1">
        <v>54</v>
      </c>
      <c r="AE1109" s="2">
        <v>46302</v>
      </c>
      <c r="AF1109" s="2">
        <v>46310</v>
      </c>
      <c r="AG1109" s="2">
        <v>46317</v>
      </c>
      <c r="AH1109">
        <v>13000</v>
      </c>
      <c r="AI1109" s="3">
        <v>0.89655172413793105</v>
      </c>
      <c r="AJ1109" s="1">
        <v>60</v>
      </c>
      <c r="AK1109" s="2">
        <v>46323</v>
      </c>
      <c r="AL1109" s="4">
        <v>30</v>
      </c>
      <c r="AM1109" s="5">
        <v>15</v>
      </c>
      <c r="AN1109" s="4">
        <v>54</v>
      </c>
      <c r="AO1109">
        <v>13448.275862068966</v>
      </c>
      <c r="AP1109" s="4">
        <v>1</v>
      </c>
      <c r="AQ1109" t="s">
        <v>1619</v>
      </c>
      <c r="AR1109" t="s">
        <v>1620</v>
      </c>
      <c r="AT1109" s="16">
        <f>_xlfn.XLOOKUP(B1109,'SWiSH Demand Forecast Sep-26'!D:D,'SWiSH Demand Forecast Sep-26'!G:G,"Not Exist")</f>
        <v>5373</v>
      </c>
    </row>
    <row r="1110" spans="1:46" x14ac:dyDescent="0.3">
      <c r="A1110">
        <v>104900020</v>
      </c>
      <c r="B1110" t="s">
        <v>3000</v>
      </c>
      <c r="C1110" t="s">
        <v>10</v>
      </c>
      <c r="D1110" t="s">
        <v>1613</v>
      </c>
      <c r="E1110" t="s">
        <v>1638</v>
      </c>
      <c r="F1110" t="s">
        <v>1664</v>
      </c>
      <c r="G1110" t="s">
        <v>1624</v>
      </c>
      <c r="H1110" t="s">
        <v>1759</v>
      </c>
      <c r="I1110" t="s">
        <v>1634</v>
      </c>
      <c r="J1110" t="s">
        <v>2113</v>
      </c>
      <c r="K1110">
        <v>8.3988399999999994E-3</v>
      </c>
      <c r="L1110">
        <v>1965.3285599999999</v>
      </c>
      <c r="M1110" s="1">
        <v>15</v>
      </c>
      <c r="N1110">
        <v>0</v>
      </c>
      <c r="O1110">
        <v>1000</v>
      </c>
      <c r="P1110">
        <v>234000</v>
      </c>
      <c r="Q1110" s="1">
        <v>233000</v>
      </c>
      <c r="R1110">
        <v>8.6</v>
      </c>
      <c r="S1110" s="2">
        <v>46256</v>
      </c>
      <c r="T1110" s="2">
        <v>46263</v>
      </c>
      <c r="U1110">
        <v>128000</v>
      </c>
      <c r="V1110">
        <v>90000</v>
      </c>
      <c r="W1110">
        <v>105000</v>
      </c>
      <c r="X1110">
        <v>110000</v>
      </c>
      <c r="Y1110">
        <v>90000</v>
      </c>
      <c r="Z1110" s="8">
        <v>128000</v>
      </c>
      <c r="AA1110">
        <v>108250</v>
      </c>
      <c r="AB1110">
        <v>0.8314087759815243</v>
      </c>
      <c r="AC1110">
        <v>1.1824480369515011</v>
      </c>
      <c r="AD1110" s="1">
        <v>54</v>
      </c>
      <c r="AE1110" s="2">
        <v>46302</v>
      </c>
      <c r="AF1110" s="2">
        <v>46310</v>
      </c>
      <c r="AG1110" s="2">
        <v>46317</v>
      </c>
      <c r="AH1110">
        <v>115000</v>
      </c>
      <c r="AI1110" s="3">
        <v>0.9294181034482758</v>
      </c>
      <c r="AJ1110" s="1">
        <v>58</v>
      </c>
      <c r="AK1110" s="2">
        <v>46321</v>
      </c>
      <c r="AL1110" s="4">
        <v>10</v>
      </c>
      <c r="AM1110" s="5">
        <v>10</v>
      </c>
      <c r="AN1110" s="4">
        <v>54</v>
      </c>
      <c r="AO1110">
        <v>39655.172413793109</v>
      </c>
      <c r="AP1110" s="4">
        <v>3</v>
      </c>
      <c r="AQ1110">
        <v>393</v>
      </c>
      <c r="AR1110" t="s">
        <v>3001</v>
      </c>
      <c r="AT1110" s="16" t="str">
        <f>_xlfn.XLOOKUP(B1110,'SWiSH Demand Forecast Sep-26'!D:D,'SWiSH Demand Forecast Sep-26'!G:G,"Not Exist")</f>
        <v>Not Exist</v>
      </c>
    </row>
    <row r="1111" spans="1:46" x14ac:dyDescent="0.3">
      <c r="A1111">
        <v>107400101</v>
      </c>
      <c r="B1111" t="s">
        <v>3002</v>
      </c>
      <c r="C1111" t="s">
        <v>10</v>
      </c>
      <c r="D1111" t="s">
        <v>1955</v>
      </c>
      <c r="E1111" t="s">
        <v>1638</v>
      </c>
      <c r="F1111" t="s">
        <v>1664</v>
      </c>
      <c r="G1111" t="s">
        <v>1624</v>
      </c>
      <c r="H1111" t="s">
        <v>2016</v>
      </c>
      <c r="I1111" t="s">
        <v>1634</v>
      </c>
      <c r="J1111" t="s">
        <v>10</v>
      </c>
      <c r="K1111">
        <v>1.2E-2</v>
      </c>
      <c r="L1111">
        <v>78</v>
      </c>
      <c r="M1111" s="1">
        <v>15</v>
      </c>
      <c r="N1111">
        <v>0</v>
      </c>
      <c r="O1111">
        <v>0</v>
      </c>
      <c r="P1111">
        <v>6500</v>
      </c>
      <c r="Q1111" s="1">
        <v>6500</v>
      </c>
      <c r="R1111">
        <v>1.2E-2</v>
      </c>
      <c r="S1111" s="2">
        <v>46187</v>
      </c>
      <c r="T1111" s="2">
        <v>46199</v>
      </c>
      <c r="U1111">
        <v>0</v>
      </c>
      <c r="V1111">
        <v>0</v>
      </c>
      <c r="W1111">
        <v>3500</v>
      </c>
      <c r="X1111">
        <v>0</v>
      </c>
      <c r="Y1111">
        <v>0</v>
      </c>
      <c r="Z1111" s="8">
        <v>3500</v>
      </c>
      <c r="AA1111">
        <v>875</v>
      </c>
      <c r="AB1111">
        <v>0</v>
      </c>
      <c r="AC1111">
        <v>4</v>
      </c>
      <c r="AD1111" s="1">
        <v>55</v>
      </c>
      <c r="AE1111" s="2">
        <v>46303</v>
      </c>
      <c r="AF1111" s="2">
        <v>46311</v>
      </c>
      <c r="AG1111" s="2">
        <v>46318</v>
      </c>
      <c r="AH1111">
        <v>0</v>
      </c>
      <c r="AI1111" s="3">
        <v>0</v>
      </c>
      <c r="AJ1111" s="1" t="s">
        <v>1635</v>
      </c>
      <c r="AK1111" s="2" t="s">
        <v>1635</v>
      </c>
      <c r="AL1111" s="4" t="s">
        <v>1658</v>
      </c>
      <c r="AM1111" s="5" t="s">
        <v>1658</v>
      </c>
      <c r="AN1111" s="4">
        <v>55</v>
      </c>
      <c r="AO1111" t="s">
        <v>1635</v>
      </c>
      <c r="AP1111" s="4" t="s">
        <v>1658</v>
      </c>
      <c r="AQ1111" t="s">
        <v>1619</v>
      </c>
      <c r="AR1111" t="s">
        <v>1620</v>
      </c>
      <c r="AT1111" s="16" t="str">
        <f>_xlfn.XLOOKUP(B1111,'SWiSH Demand Forecast Sep-26'!D:D,'SWiSH Demand Forecast Sep-26'!G:G,"Not Exist")</f>
        <v>Not Exist</v>
      </c>
    </row>
    <row r="1112" spans="1:46" x14ac:dyDescent="0.3">
      <c r="A1112">
        <v>101400032</v>
      </c>
      <c r="B1112" t="s">
        <v>3003</v>
      </c>
      <c r="C1112" t="s">
        <v>10</v>
      </c>
      <c r="D1112" t="s">
        <v>1613</v>
      </c>
      <c r="E1112" t="s">
        <v>1796</v>
      </c>
      <c r="F1112" t="s">
        <v>1644</v>
      </c>
      <c r="G1112" t="s">
        <v>1624</v>
      </c>
      <c r="H1112" t="s">
        <v>1693</v>
      </c>
      <c r="I1112" t="s">
        <v>1634</v>
      </c>
      <c r="J1112" t="s">
        <v>10</v>
      </c>
      <c r="K1112">
        <v>5.1666699999999999</v>
      </c>
      <c r="L1112">
        <v>56.833370000000002</v>
      </c>
      <c r="M1112" s="1">
        <v>3</v>
      </c>
      <c r="N1112">
        <v>0</v>
      </c>
      <c r="O1112">
        <v>0</v>
      </c>
      <c r="P1112">
        <v>11</v>
      </c>
      <c r="Q1112" s="1">
        <v>11</v>
      </c>
      <c r="R1112">
        <v>5.1666699999999999</v>
      </c>
      <c r="S1112" s="2">
        <v>46248</v>
      </c>
      <c r="T1112" s="2">
        <v>46251</v>
      </c>
      <c r="U1112">
        <v>6</v>
      </c>
      <c r="V1112">
        <v>4</v>
      </c>
      <c r="W1112">
        <v>2</v>
      </c>
      <c r="X1112">
        <v>1</v>
      </c>
      <c r="Y1112">
        <v>1</v>
      </c>
      <c r="Z1112" s="8">
        <v>6</v>
      </c>
      <c r="AA1112">
        <v>3.25</v>
      </c>
      <c r="AB1112">
        <v>0.30769230769230771</v>
      </c>
      <c r="AC1112">
        <v>1.8461538461538463</v>
      </c>
      <c r="AD1112" s="1">
        <v>55</v>
      </c>
      <c r="AE1112" s="2">
        <v>46303</v>
      </c>
      <c r="AF1112" s="2">
        <v>46311</v>
      </c>
      <c r="AG1112" s="2">
        <v>46318</v>
      </c>
      <c r="AH1112">
        <v>4</v>
      </c>
      <c r="AI1112" s="3">
        <v>0.68965517241379315</v>
      </c>
      <c r="AJ1112" s="1">
        <v>79</v>
      </c>
      <c r="AK1112" s="2">
        <v>46342</v>
      </c>
      <c r="AL1112" s="4">
        <v>30</v>
      </c>
      <c r="AM1112" s="5">
        <v>15</v>
      </c>
      <c r="AN1112" s="4">
        <v>55</v>
      </c>
      <c r="AO1112">
        <v>4.1379310344827589</v>
      </c>
      <c r="AP1112" s="4">
        <v>1</v>
      </c>
      <c r="AQ1112" t="s">
        <v>1619</v>
      </c>
      <c r="AR1112" t="s">
        <v>1620</v>
      </c>
      <c r="AT1112" s="16" t="str">
        <f>_xlfn.XLOOKUP(B1112,'SWiSH Demand Forecast Sep-26'!D:D,'SWiSH Demand Forecast Sep-26'!G:G,"Not Exist")</f>
        <v>Not Exist</v>
      </c>
    </row>
    <row r="1113" spans="1:46" x14ac:dyDescent="0.3">
      <c r="A1113">
        <v>100400097</v>
      </c>
      <c r="B1113" t="s">
        <v>3004</v>
      </c>
      <c r="C1113" t="s">
        <v>10</v>
      </c>
      <c r="D1113" t="s">
        <v>1613</v>
      </c>
      <c r="E1113" t="s">
        <v>2075</v>
      </c>
      <c r="F1113" t="s">
        <v>1664</v>
      </c>
      <c r="G1113" t="s">
        <v>1624</v>
      </c>
      <c r="H1113" t="s">
        <v>1810</v>
      </c>
      <c r="I1113" t="s">
        <v>1634</v>
      </c>
      <c r="J1113" t="s">
        <v>10</v>
      </c>
      <c r="K1113">
        <v>0.14961574999999999</v>
      </c>
      <c r="L1113">
        <v>355.33740624999996</v>
      </c>
      <c r="M1113" s="1">
        <v>30</v>
      </c>
      <c r="N1113">
        <v>0</v>
      </c>
      <c r="O1113">
        <v>0</v>
      </c>
      <c r="P1113">
        <v>2375</v>
      </c>
      <c r="Q1113" s="1">
        <v>2375</v>
      </c>
      <c r="R1113">
        <v>0.154</v>
      </c>
      <c r="S1113" s="2">
        <v>46160</v>
      </c>
      <c r="T1113" s="2">
        <v>46249</v>
      </c>
      <c r="U1113">
        <v>950</v>
      </c>
      <c r="V1113">
        <v>1275</v>
      </c>
      <c r="W1113">
        <v>400</v>
      </c>
      <c r="X1113">
        <v>1025</v>
      </c>
      <c r="Y1113">
        <v>400</v>
      </c>
      <c r="Z1113" s="8">
        <v>1275</v>
      </c>
      <c r="AA1113">
        <v>912.5</v>
      </c>
      <c r="AB1113">
        <v>0.43835616438356162</v>
      </c>
      <c r="AC1113">
        <v>1.3972602739726028</v>
      </c>
      <c r="AD1113" s="1">
        <v>55</v>
      </c>
      <c r="AE1113" s="2">
        <v>46303</v>
      </c>
      <c r="AF1113" s="2">
        <v>46311</v>
      </c>
      <c r="AG1113" s="2">
        <v>46318</v>
      </c>
      <c r="AH1113">
        <v>650</v>
      </c>
      <c r="AI1113" s="3">
        <v>0.52738336713995937</v>
      </c>
      <c r="AJ1113" s="1">
        <v>105</v>
      </c>
      <c r="AK1113" s="2">
        <v>46368</v>
      </c>
      <c r="AL1113" s="4">
        <v>30</v>
      </c>
      <c r="AM1113" s="5">
        <v>15</v>
      </c>
      <c r="AN1113" s="4">
        <v>55</v>
      </c>
      <c r="AO1113">
        <v>672.41379310344814</v>
      </c>
      <c r="AP1113" s="4">
        <v>1</v>
      </c>
      <c r="AQ1113">
        <v>3000</v>
      </c>
      <c r="AR1113" t="s">
        <v>2377</v>
      </c>
      <c r="AT1113" s="16" t="str">
        <f>_xlfn.XLOOKUP(B1113,'SWiSH Demand Forecast Sep-26'!D:D,'SWiSH Demand Forecast Sep-26'!G:G,"Not Exist")</f>
        <v>Not Exist</v>
      </c>
    </row>
    <row r="1114" spans="1:46" x14ac:dyDescent="0.3">
      <c r="A1114">
        <v>106300064</v>
      </c>
      <c r="B1114" t="s">
        <v>3005</v>
      </c>
      <c r="C1114" t="s">
        <v>10</v>
      </c>
      <c r="D1114" t="s">
        <v>1613</v>
      </c>
      <c r="E1114" t="s">
        <v>1685</v>
      </c>
      <c r="F1114" t="s">
        <v>1840</v>
      </c>
      <c r="G1114" t="s">
        <v>1616</v>
      </c>
      <c r="H1114" t="s">
        <v>1860</v>
      </c>
      <c r="I1114" t="s">
        <v>1618</v>
      </c>
      <c r="J1114" t="s">
        <v>10</v>
      </c>
      <c r="K1114">
        <v>0.62</v>
      </c>
      <c r="L1114">
        <v>322.39999999999998</v>
      </c>
      <c r="M1114" s="1">
        <v>3</v>
      </c>
      <c r="N1114">
        <v>0</v>
      </c>
      <c r="O1114">
        <v>0</v>
      </c>
      <c r="P1114">
        <v>520</v>
      </c>
      <c r="Q1114" s="1">
        <v>520</v>
      </c>
      <c r="R1114">
        <v>12.40133</v>
      </c>
      <c r="S1114" s="2">
        <v>46191</v>
      </c>
      <c r="T1114" s="2">
        <v>46241</v>
      </c>
      <c r="U1114">
        <v>280</v>
      </c>
      <c r="V1114">
        <v>140</v>
      </c>
      <c r="W1114">
        <v>20</v>
      </c>
      <c r="X1114">
        <v>40</v>
      </c>
      <c r="Y1114">
        <v>20</v>
      </c>
      <c r="Z1114" s="8">
        <v>280</v>
      </c>
      <c r="AA1114">
        <v>120</v>
      </c>
      <c r="AB1114">
        <v>0.16666666666666666</v>
      </c>
      <c r="AC1114">
        <v>2.3333333333333335</v>
      </c>
      <c r="AD1114" s="1">
        <v>55</v>
      </c>
      <c r="AE1114" s="2">
        <v>46303</v>
      </c>
      <c r="AF1114" s="2">
        <v>46311</v>
      </c>
      <c r="AG1114" s="2">
        <v>46318</v>
      </c>
      <c r="AH1114">
        <v>40</v>
      </c>
      <c r="AI1114" s="3">
        <v>0.14778325123152711</v>
      </c>
      <c r="AJ1114" s="1">
        <v>377</v>
      </c>
      <c r="AK1114" s="2">
        <v>46640</v>
      </c>
      <c r="AL1114" s="4">
        <v>30</v>
      </c>
      <c r="AM1114" s="5">
        <v>15</v>
      </c>
      <c r="AN1114" s="4">
        <v>55</v>
      </c>
      <c r="AO1114">
        <v>41.379310344827587</v>
      </c>
      <c r="AP1114" s="4">
        <v>1</v>
      </c>
      <c r="AQ1114" t="s">
        <v>1619</v>
      </c>
      <c r="AR1114" t="s">
        <v>1620</v>
      </c>
      <c r="AT1114" s="16" t="str">
        <f>_xlfn.XLOOKUP(B1114,'SWiSH Demand Forecast Sep-26'!D:D,'SWiSH Demand Forecast Sep-26'!G:G,"Not Exist")</f>
        <v>Not Exist</v>
      </c>
    </row>
    <row r="1115" spans="1:46" x14ac:dyDescent="0.3">
      <c r="A1115">
        <v>105200018</v>
      </c>
      <c r="B1115" t="s">
        <v>3006</v>
      </c>
      <c r="C1115" t="s">
        <v>10</v>
      </c>
      <c r="D1115" t="s">
        <v>1613</v>
      </c>
      <c r="E1115" t="s">
        <v>1926</v>
      </c>
      <c r="F1115" t="s">
        <v>1664</v>
      </c>
      <c r="G1115" t="s">
        <v>1624</v>
      </c>
      <c r="H1115" t="s">
        <v>1779</v>
      </c>
      <c r="I1115" t="s">
        <v>1634</v>
      </c>
      <c r="J1115" t="s">
        <v>10</v>
      </c>
      <c r="K1115">
        <v>1.7096449999999999E-2</v>
      </c>
      <c r="L1115">
        <v>353.89651499999997</v>
      </c>
      <c r="M1115" s="1">
        <v>30</v>
      </c>
      <c r="N1115">
        <v>0</v>
      </c>
      <c r="O1115">
        <v>0</v>
      </c>
      <c r="P1115">
        <v>20700</v>
      </c>
      <c r="Q1115" s="1">
        <v>20700</v>
      </c>
      <c r="R1115">
        <v>1.7999999999999999E-2</v>
      </c>
      <c r="S1115" s="2">
        <v>46204</v>
      </c>
      <c r="T1115" s="2">
        <v>46263</v>
      </c>
      <c r="U1115">
        <v>9150</v>
      </c>
      <c r="V1115">
        <v>11100</v>
      </c>
      <c r="W1115">
        <v>9900</v>
      </c>
      <c r="X1115">
        <v>10100</v>
      </c>
      <c r="Y1115">
        <v>9150</v>
      </c>
      <c r="Z1115" s="8">
        <v>11100</v>
      </c>
      <c r="AA1115">
        <v>10062.5</v>
      </c>
      <c r="AB1115">
        <v>0.90931677018633539</v>
      </c>
      <c r="AC1115">
        <v>1.1031055900621118</v>
      </c>
      <c r="AD1115" s="1">
        <v>55</v>
      </c>
      <c r="AE1115" s="2">
        <v>46303</v>
      </c>
      <c r="AF1115" s="2">
        <v>46311</v>
      </c>
      <c r="AG1115" s="2">
        <v>46318</v>
      </c>
      <c r="AH1115">
        <v>10200</v>
      </c>
      <c r="AI1115" s="3">
        <v>0.95060577819198511</v>
      </c>
      <c r="AJ1115" s="1">
        <v>58</v>
      </c>
      <c r="AK1115" s="2">
        <v>46321</v>
      </c>
      <c r="AL1115" s="4">
        <v>30</v>
      </c>
      <c r="AM1115" s="5">
        <v>15</v>
      </c>
      <c r="AN1115" s="4">
        <v>55</v>
      </c>
      <c r="AO1115">
        <v>10551.724137931034</v>
      </c>
      <c r="AP1115" s="4">
        <v>1</v>
      </c>
      <c r="AQ1115">
        <v>15000</v>
      </c>
      <c r="AR1115" t="s">
        <v>2032</v>
      </c>
      <c r="AT1115" s="16" t="str">
        <f>_xlfn.XLOOKUP(B1115,'SWiSH Demand Forecast Sep-26'!D:D,'SWiSH Demand Forecast Sep-26'!G:G,"Not Exist")</f>
        <v>Not Exist</v>
      </c>
    </row>
    <row r="1116" spans="1:46" x14ac:dyDescent="0.3">
      <c r="A1116">
        <v>102000009</v>
      </c>
      <c r="B1116" t="s">
        <v>3007</v>
      </c>
      <c r="C1116" t="s">
        <v>136</v>
      </c>
      <c r="D1116" t="s">
        <v>1613</v>
      </c>
      <c r="E1116" t="s">
        <v>1832</v>
      </c>
      <c r="F1116" t="s">
        <v>1840</v>
      </c>
      <c r="G1116" t="s">
        <v>1616</v>
      </c>
      <c r="H1116" t="s">
        <v>2000</v>
      </c>
      <c r="I1116" t="s">
        <v>1618</v>
      </c>
      <c r="J1116" t="s">
        <v>3008</v>
      </c>
      <c r="K1116">
        <v>3.2847222199999999</v>
      </c>
      <c r="L1116">
        <v>241.22999983679998</v>
      </c>
      <c r="M1116" s="1">
        <v>3</v>
      </c>
      <c r="N1116">
        <v>0</v>
      </c>
      <c r="O1116">
        <v>0</v>
      </c>
      <c r="P1116">
        <v>73.44</v>
      </c>
      <c r="Q1116" s="1">
        <v>73.44</v>
      </c>
      <c r="R1116">
        <v>7.0949999999999998</v>
      </c>
      <c r="S1116" s="2">
        <v>46186</v>
      </c>
      <c r="T1116" s="2">
        <v>46250</v>
      </c>
      <c r="U1116">
        <v>2.16</v>
      </c>
      <c r="V1116">
        <v>21.6</v>
      </c>
      <c r="W1116">
        <v>38.880000000000003</v>
      </c>
      <c r="X1116">
        <v>12.96</v>
      </c>
      <c r="Y1116">
        <v>2.16</v>
      </c>
      <c r="Z1116" s="8">
        <v>38.880000000000003</v>
      </c>
      <c r="AA1116">
        <v>18.899999999999999</v>
      </c>
      <c r="AB1116">
        <v>0.1142857142857143</v>
      </c>
      <c r="AC1116">
        <v>2.0571428571428574</v>
      </c>
      <c r="AD1116" s="1">
        <v>56</v>
      </c>
      <c r="AE1116" s="2">
        <v>46304</v>
      </c>
      <c r="AF1116" s="2">
        <v>46312</v>
      </c>
      <c r="AG1116" s="2">
        <v>46319</v>
      </c>
      <c r="AH1116">
        <v>17.28</v>
      </c>
      <c r="AI1116" s="3">
        <v>0.45977011494252873</v>
      </c>
      <c r="AJ1116" s="1">
        <v>123</v>
      </c>
      <c r="AK1116" s="2">
        <v>46386</v>
      </c>
      <c r="AL1116" s="4">
        <v>30</v>
      </c>
      <c r="AM1116" s="5">
        <v>15</v>
      </c>
      <c r="AN1116" s="4">
        <v>56</v>
      </c>
      <c r="AO1116">
        <v>17.875862068965517</v>
      </c>
      <c r="AP1116" s="4">
        <v>1</v>
      </c>
      <c r="AQ1116" t="s">
        <v>1619</v>
      </c>
      <c r="AR1116" t="s">
        <v>1620</v>
      </c>
      <c r="AT1116" s="16" t="str">
        <f>_xlfn.XLOOKUP(B1116,'SWiSH Demand Forecast Sep-26'!D:D,'SWiSH Demand Forecast Sep-26'!G:G,"Not Exist")</f>
        <v>Not Exist</v>
      </c>
    </row>
    <row r="1117" spans="1:46" hidden="1" x14ac:dyDescent="0.3">
      <c r="A1117">
        <v>103700089</v>
      </c>
      <c r="B1117" t="s">
        <v>1507</v>
      </c>
      <c r="C1117" t="s">
        <v>136</v>
      </c>
      <c r="D1117" t="s">
        <v>1613</v>
      </c>
      <c r="E1117" t="s">
        <v>1677</v>
      </c>
      <c r="F1117" t="s">
        <v>1615</v>
      </c>
      <c r="G1117" t="s">
        <v>1616</v>
      </c>
      <c r="H1117" t="s">
        <v>1617</v>
      </c>
      <c r="I1117" t="s">
        <v>1618</v>
      </c>
      <c r="J1117" t="s">
        <v>136</v>
      </c>
      <c r="K1117">
        <v>9</v>
      </c>
      <c r="L1117">
        <v>189</v>
      </c>
      <c r="M1117" s="1">
        <v>3</v>
      </c>
      <c r="N1117">
        <v>0</v>
      </c>
      <c r="O1117">
        <v>0</v>
      </c>
      <c r="P1117">
        <v>21</v>
      </c>
      <c r="Q1117" s="1">
        <v>21</v>
      </c>
      <c r="R1117">
        <v>9</v>
      </c>
      <c r="S1117" s="2">
        <v>46261</v>
      </c>
      <c r="T1117" s="2">
        <v>46243</v>
      </c>
      <c r="U1117">
        <v>0</v>
      </c>
      <c r="V1117">
        <v>10</v>
      </c>
      <c r="W1117">
        <v>3</v>
      </c>
      <c r="X1117">
        <v>11</v>
      </c>
      <c r="Y1117">
        <v>0</v>
      </c>
      <c r="Z1117" s="8">
        <v>11</v>
      </c>
      <c r="AA1117">
        <v>6</v>
      </c>
      <c r="AB1117">
        <v>0</v>
      </c>
      <c r="AC1117">
        <v>1.8333333333333333</v>
      </c>
      <c r="AD1117" s="1">
        <v>57</v>
      </c>
      <c r="AE1117" s="2">
        <v>46305</v>
      </c>
      <c r="AF1117" s="2">
        <v>46313</v>
      </c>
      <c r="AG1117" s="2">
        <v>46320</v>
      </c>
      <c r="AH1117">
        <v>6</v>
      </c>
      <c r="AI1117" s="3">
        <v>0.56426332288401249</v>
      </c>
      <c r="AJ1117" s="1">
        <v>101</v>
      </c>
      <c r="AK1117" s="2">
        <v>46364</v>
      </c>
      <c r="AL1117" s="4">
        <v>30</v>
      </c>
      <c r="AM1117" s="5">
        <v>15</v>
      </c>
      <c r="AN1117" s="4">
        <v>57</v>
      </c>
      <c r="AO1117">
        <v>6.206896551724137</v>
      </c>
      <c r="AP1117" s="4">
        <v>1</v>
      </c>
      <c r="AQ1117" t="s">
        <v>1619</v>
      </c>
      <c r="AR1117" t="s">
        <v>1620</v>
      </c>
      <c r="AT1117" s="16">
        <f>_xlfn.XLOOKUP(B1117,'SWiSH Demand Forecast Sep-26'!D:D,'SWiSH Demand Forecast Sep-26'!G:G,"Not Exist")</f>
        <v>3.0354704503862502</v>
      </c>
    </row>
    <row r="1118" spans="1:46" x14ac:dyDescent="0.3">
      <c r="A1118">
        <v>101200064</v>
      </c>
      <c r="B1118" t="s">
        <v>3009</v>
      </c>
      <c r="C1118" t="s">
        <v>136</v>
      </c>
      <c r="D1118" t="s">
        <v>1613</v>
      </c>
      <c r="E1118" t="s">
        <v>1622</v>
      </c>
      <c r="F1118" t="s">
        <v>1833</v>
      </c>
      <c r="G1118" t="s">
        <v>1616</v>
      </c>
      <c r="H1118" t="s">
        <v>1625</v>
      </c>
      <c r="I1118" t="s">
        <v>1626</v>
      </c>
      <c r="J1118" t="s">
        <v>136</v>
      </c>
      <c r="K1118">
        <v>3.7455312699999999</v>
      </c>
      <c r="L1118">
        <v>771.87908412160004</v>
      </c>
      <c r="M1118" s="1">
        <v>3</v>
      </c>
      <c r="N1118">
        <v>0</v>
      </c>
      <c r="O1118">
        <v>0</v>
      </c>
      <c r="P1118">
        <v>206.08</v>
      </c>
      <c r="Q1118" s="1">
        <v>206.08</v>
      </c>
      <c r="R1118">
        <v>33.472000000000001</v>
      </c>
      <c r="S1118" s="2">
        <v>46242</v>
      </c>
      <c r="T1118" s="2">
        <v>46261</v>
      </c>
      <c r="U1118">
        <v>0</v>
      </c>
      <c r="V1118">
        <v>55.26</v>
      </c>
      <c r="W1118">
        <v>76.72</v>
      </c>
      <c r="X1118">
        <v>107.52</v>
      </c>
      <c r="Y1118">
        <v>0</v>
      </c>
      <c r="Z1118" s="8">
        <v>107.52</v>
      </c>
      <c r="AA1118">
        <v>59.875</v>
      </c>
      <c r="AB1118">
        <v>0</v>
      </c>
      <c r="AC1118">
        <v>1.795741127348643</v>
      </c>
      <c r="AD1118" s="1">
        <v>57</v>
      </c>
      <c r="AE1118" s="2">
        <v>46305</v>
      </c>
      <c r="AF1118" s="2">
        <v>46313</v>
      </c>
      <c r="AG1118" s="2">
        <v>46320</v>
      </c>
      <c r="AH1118">
        <v>71.680000000000007</v>
      </c>
      <c r="AI1118" s="3">
        <v>0.68965517241379315</v>
      </c>
      <c r="AJ1118" s="1">
        <v>83</v>
      </c>
      <c r="AK1118" s="2">
        <v>46346</v>
      </c>
      <c r="AL1118" s="4">
        <v>15</v>
      </c>
      <c r="AM1118" s="5">
        <v>15</v>
      </c>
      <c r="AN1118" s="4">
        <v>57</v>
      </c>
      <c r="AO1118">
        <v>37.07586206896552</v>
      </c>
      <c r="AP1118" s="4">
        <v>2</v>
      </c>
      <c r="AQ1118" t="s">
        <v>1619</v>
      </c>
      <c r="AR1118" t="s">
        <v>1620</v>
      </c>
      <c r="AT1118" s="16" t="str">
        <f>_xlfn.XLOOKUP(B1118,'SWiSH Demand Forecast Sep-26'!D:D,'SWiSH Demand Forecast Sep-26'!G:G,"Not Exist")</f>
        <v>Not Exist</v>
      </c>
    </row>
    <row r="1119" spans="1:46" hidden="1" x14ac:dyDescent="0.3">
      <c r="A1119">
        <v>105900043</v>
      </c>
      <c r="B1119" t="s">
        <v>206</v>
      </c>
      <c r="C1119" t="s">
        <v>10</v>
      </c>
      <c r="D1119" t="s">
        <v>1613</v>
      </c>
      <c r="E1119" t="s">
        <v>1732</v>
      </c>
      <c r="F1119" t="s">
        <v>1664</v>
      </c>
      <c r="G1119" t="s">
        <v>1616</v>
      </c>
      <c r="H1119" t="s">
        <v>1729</v>
      </c>
      <c r="I1119" t="s">
        <v>1634</v>
      </c>
      <c r="J1119" t="s">
        <v>1733</v>
      </c>
      <c r="K1119">
        <v>5.2387900000000001E-3</v>
      </c>
      <c r="L1119">
        <v>124.68320200000001</v>
      </c>
      <c r="M1119" s="1">
        <v>90</v>
      </c>
      <c r="N1119">
        <v>0</v>
      </c>
      <c r="O1119">
        <v>0</v>
      </c>
      <c r="P1119">
        <v>23800</v>
      </c>
      <c r="Q1119" s="1">
        <v>23800</v>
      </c>
      <c r="R1119">
        <v>5.4799999999999996E-3</v>
      </c>
      <c r="S1119" s="2">
        <v>46214</v>
      </c>
      <c r="T1119" s="2">
        <v>46253</v>
      </c>
      <c r="U1119">
        <v>12500</v>
      </c>
      <c r="V1119">
        <v>7400</v>
      </c>
      <c r="W1119">
        <v>1600</v>
      </c>
      <c r="X1119">
        <v>11300</v>
      </c>
      <c r="Y1119">
        <v>1600</v>
      </c>
      <c r="Z1119" s="8">
        <v>12500</v>
      </c>
      <c r="AA1119">
        <v>8200</v>
      </c>
      <c r="AB1119">
        <v>0.1951219512195122</v>
      </c>
      <c r="AC1119">
        <v>1.524390243902439</v>
      </c>
      <c r="AD1119" s="1">
        <v>57</v>
      </c>
      <c r="AE1119" s="2">
        <v>46305</v>
      </c>
      <c r="AF1119" s="2">
        <v>46313</v>
      </c>
      <c r="AG1119" s="2">
        <v>46320</v>
      </c>
      <c r="AH1119">
        <v>4500</v>
      </c>
      <c r="AI1119" s="3">
        <v>0.37241379310344824</v>
      </c>
      <c r="AJ1119" s="1">
        <v>153</v>
      </c>
      <c r="AK1119" s="2">
        <v>46416</v>
      </c>
      <c r="AL1119" s="4">
        <v>120</v>
      </c>
      <c r="AM1119" s="5">
        <v>100</v>
      </c>
      <c r="AN1119" s="4">
        <v>57</v>
      </c>
      <c r="AO1119">
        <v>18620.689655172413</v>
      </c>
      <c r="AP1119" s="4">
        <v>1</v>
      </c>
      <c r="AQ1119" t="s">
        <v>1619</v>
      </c>
      <c r="AR1119" t="s">
        <v>1620</v>
      </c>
      <c r="AT1119" s="16">
        <f>_xlfn.XLOOKUP(B1119,'SWiSH Demand Forecast Sep-26'!D:D,'SWiSH Demand Forecast Sep-26'!G:G,"Not Exist")</f>
        <v>8075</v>
      </c>
    </row>
    <row r="1120" spans="1:46" x14ac:dyDescent="0.3">
      <c r="A1120">
        <v>106700023</v>
      </c>
      <c r="B1120" t="s">
        <v>3010</v>
      </c>
      <c r="C1120" t="s">
        <v>10</v>
      </c>
      <c r="D1120" t="s">
        <v>1613</v>
      </c>
      <c r="E1120" t="s">
        <v>3011</v>
      </c>
      <c r="F1120" t="s">
        <v>1650</v>
      </c>
      <c r="G1120" t="s">
        <v>1624</v>
      </c>
      <c r="H1120" t="s">
        <v>1651</v>
      </c>
      <c r="I1120" t="s">
        <v>1634</v>
      </c>
      <c r="J1120" t="s">
        <v>2979</v>
      </c>
      <c r="K1120">
        <v>0.45</v>
      </c>
      <c r="L1120">
        <v>94.95</v>
      </c>
      <c r="M1120" s="1">
        <v>3</v>
      </c>
      <c r="N1120">
        <v>0</v>
      </c>
      <c r="O1120">
        <v>0</v>
      </c>
      <c r="P1120">
        <v>211</v>
      </c>
      <c r="Q1120" s="1">
        <v>211</v>
      </c>
      <c r="R1120">
        <v>22.5</v>
      </c>
      <c r="S1120" s="2">
        <v>46181</v>
      </c>
      <c r="T1120" s="2">
        <v>46254</v>
      </c>
      <c r="U1120">
        <v>110</v>
      </c>
      <c r="V1120">
        <v>55</v>
      </c>
      <c r="W1120">
        <v>0</v>
      </c>
      <c r="X1120">
        <v>26</v>
      </c>
      <c r="Y1120">
        <v>0</v>
      </c>
      <c r="Z1120" s="8">
        <v>110</v>
      </c>
      <c r="AA1120">
        <v>47.75</v>
      </c>
      <c r="AB1120">
        <v>0</v>
      </c>
      <c r="AC1120">
        <v>2.3036649214659688</v>
      </c>
      <c r="AD1120" s="1">
        <v>57</v>
      </c>
      <c r="AE1120" s="2">
        <v>46305</v>
      </c>
      <c r="AF1120" s="2">
        <v>46313</v>
      </c>
      <c r="AG1120" s="2">
        <v>46320</v>
      </c>
      <c r="AH1120">
        <v>4</v>
      </c>
      <c r="AI1120" s="3">
        <v>3.7617554858934171E-2</v>
      </c>
      <c r="AJ1120" s="1">
        <v>1529</v>
      </c>
      <c r="AK1120" s="2">
        <v>47792</v>
      </c>
      <c r="AL1120" s="4">
        <v>30</v>
      </c>
      <c r="AM1120" s="5">
        <v>15</v>
      </c>
      <c r="AN1120" s="4">
        <v>57</v>
      </c>
      <c r="AO1120">
        <v>4.1379310344827589</v>
      </c>
      <c r="AP1120" s="4">
        <v>1</v>
      </c>
      <c r="AQ1120" t="s">
        <v>1619</v>
      </c>
      <c r="AR1120" t="s">
        <v>1620</v>
      </c>
      <c r="AT1120" s="16" t="str">
        <f>_xlfn.XLOOKUP(B1120,'SWiSH Demand Forecast Sep-26'!D:D,'SWiSH Demand Forecast Sep-26'!G:G,"Not Exist")</f>
        <v>Not Exist</v>
      </c>
    </row>
    <row r="1121" spans="1:46" x14ac:dyDescent="0.3">
      <c r="A1121">
        <v>106300058</v>
      </c>
      <c r="B1121" t="s">
        <v>3012</v>
      </c>
      <c r="C1121" t="s">
        <v>10</v>
      </c>
      <c r="D1121" t="s">
        <v>1613</v>
      </c>
      <c r="E1121" t="s">
        <v>1685</v>
      </c>
      <c r="F1121" t="s">
        <v>1840</v>
      </c>
      <c r="G1121" t="s">
        <v>1616</v>
      </c>
      <c r="H1121" t="s">
        <v>1860</v>
      </c>
      <c r="I1121" t="s">
        <v>1618</v>
      </c>
      <c r="J1121" t="s">
        <v>10</v>
      </c>
      <c r="K1121">
        <v>0.62</v>
      </c>
      <c r="L1121">
        <v>334.8</v>
      </c>
      <c r="M1121" s="1">
        <v>3</v>
      </c>
      <c r="N1121">
        <v>0</v>
      </c>
      <c r="O1121">
        <v>0</v>
      </c>
      <c r="P1121">
        <v>540</v>
      </c>
      <c r="Q1121" s="1">
        <v>540</v>
      </c>
      <c r="R1121">
        <v>12.401</v>
      </c>
      <c r="S1121" s="2">
        <v>46153</v>
      </c>
      <c r="T1121" s="2">
        <v>46255</v>
      </c>
      <c r="U1121">
        <v>200</v>
      </c>
      <c r="V1121">
        <v>280</v>
      </c>
      <c r="W1121">
        <v>40</v>
      </c>
      <c r="X1121">
        <v>80</v>
      </c>
      <c r="Y1121">
        <v>40</v>
      </c>
      <c r="Z1121" s="8">
        <v>280</v>
      </c>
      <c r="AA1121">
        <v>150</v>
      </c>
      <c r="AB1121">
        <v>0.26666666666666666</v>
      </c>
      <c r="AC1121">
        <v>1.8666666666666667</v>
      </c>
      <c r="AD1121" s="1">
        <v>57</v>
      </c>
      <c r="AE1121" s="2">
        <v>46305</v>
      </c>
      <c r="AF1121" s="2">
        <v>46313</v>
      </c>
      <c r="AG1121" s="2">
        <v>46320</v>
      </c>
      <c r="AH1121">
        <v>100</v>
      </c>
      <c r="AI1121" s="3">
        <v>0.36945812807881773</v>
      </c>
      <c r="AJ1121" s="1">
        <v>156</v>
      </c>
      <c r="AK1121" s="2">
        <v>46419</v>
      </c>
      <c r="AL1121" s="4">
        <v>30</v>
      </c>
      <c r="AM1121" s="5">
        <v>15</v>
      </c>
      <c r="AN1121" s="4">
        <v>57</v>
      </c>
      <c r="AO1121">
        <v>103.44827586206897</v>
      </c>
      <c r="AP1121" s="4">
        <v>1</v>
      </c>
      <c r="AQ1121" t="s">
        <v>1619</v>
      </c>
      <c r="AR1121" t="s">
        <v>3013</v>
      </c>
      <c r="AT1121" s="16" t="str">
        <f>_xlfn.XLOOKUP(B1121,'SWiSH Demand Forecast Sep-26'!D:D,'SWiSH Demand Forecast Sep-26'!G:G,"Not Exist")</f>
        <v>Not Exist</v>
      </c>
    </row>
    <row r="1122" spans="1:46" x14ac:dyDescent="0.3">
      <c r="A1122">
        <v>107400102</v>
      </c>
      <c r="B1122" t="s">
        <v>3014</v>
      </c>
      <c r="C1122" t="s">
        <v>10</v>
      </c>
      <c r="D1122" t="s">
        <v>1955</v>
      </c>
      <c r="E1122" t="s">
        <v>1638</v>
      </c>
      <c r="F1122" t="s">
        <v>1664</v>
      </c>
      <c r="G1122" t="s">
        <v>1624</v>
      </c>
      <c r="H1122" t="s">
        <v>2016</v>
      </c>
      <c r="I1122" t="s">
        <v>1634</v>
      </c>
      <c r="J1122" t="s">
        <v>10</v>
      </c>
      <c r="K1122">
        <v>1.4E-2</v>
      </c>
      <c r="L1122">
        <v>47.6</v>
      </c>
      <c r="M1122" s="1">
        <v>15</v>
      </c>
      <c r="N1122">
        <v>0</v>
      </c>
      <c r="O1122">
        <v>0</v>
      </c>
      <c r="P1122">
        <v>3400</v>
      </c>
      <c r="Q1122" s="1">
        <v>3400</v>
      </c>
      <c r="R1122">
        <v>1.4E-2</v>
      </c>
      <c r="S1122" s="2">
        <v>46187</v>
      </c>
      <c r="T1122" s="2">
        <v>46188</v>
      </c>
      <c r="U1122">
        <v>0</v>
      </c>
      <c r="V1122">
        <v>0</v>
      </c>
      <c r="W1122">
        <v>1750</v>
      </c>
      <c r="X1122">
        <v>0</v>
      </c>
      <c r="Y1122">
        <v>0</v>
      </c>
      <c r="Z1122" s="8">
        <v>1750</v>
      </c>
      <c r="AA1122">
        <v>437.5</v>
      </c>
      <c r="AB1122">
        <v>0</v>
      </c>
      <c r="AC1122">
        <v>4</v>
      </c>
      <c r="AD1122" s="1">
        <v>58</v>
      </c>
      <c r="AE1122" s="2">
        <v>46306</v>
      </c>
      <c r="AF1122" s="2">
        <v>46314</v>
      </c>
      <c r="AG1122" s="2">
        <v>46321</v>
      </c>
      <c r="AH1122">
        <v>0</v>
      </c>
      <c r="AI1122" s="3">
        <v>0</v>
      </c>
      <c r="AJ1122" s="1" t="s">
        <v>1635</v>
      </c>
      <c r="AK1122" s="2" t="s">
        <v>1635</v>
      </c>
      <c r="AL1122" s="4" t="s">
        <v>1658</v>
      </c>
      <c r="AM1122" s="5" t="s">
        <v>1658</v>
      </c>
      <c r="AN1122" s="4">
        <v>58</v>
      </c>
      <c r="AO1122" t="s">
        <v>1635</v>
      </c>
      <c r="AP1122" s="4" t="s">
        <v>1658</v>
      </c>
      <c r="AQ1122" t="s">
        <v>1619</v>
      </c>
      <c r="AR1122" t="s">
        <v>1620</v>
      </c>
      <c r="AT1122" s="16" t="str">
        <f>_xlfn.XLOOKUP(B1122,'SWiSH Demand Forecast Sep-26'!D:D,'SWiSH Demand Forecast Sep-26'!G:G,"Not Exist")</f>
        <v>Not Exist</v>
      </c>
    </row>
    <row r="1123" spans="1:46" x14ac:dyDescent="0.3">
      <c r="A1123">
        <v>101600034</v>
      </c>
      <c r="B1123" t="s">
        <v>3015</v>
      </c>
      <c r="C1123" t="s">
        <v>10</v>
      </c>
      <c r="D1123" t="s">
        <v>1699</v>
      </c>
      <c r="E1123" t="s">
        <v>1630</v>
      </c>
      <c r="F1123" t="s">
        <v>1631</v>
      </c>
      <c r="G1123" t="s">
        <v>1624</v>
      </c>
      <c r="H1123" t="s">
        <v>1768</v>
      </c>
      <c r="I1123" t="s">
        <v>1634</v>
      </c>
      <c r="J1123" t="s">
        <v>2113</v>
      </c>
      <c r="K1123">
        <v>1.575E-2</v>
      </c>
      <c r="L1123">
        <v>83.474999999999994</v>
      </c>
      <c r="M1123" s="1">
        <v>7</v>
      </c>
      <c r="N1123">
        <v>0</v>
      </c>
      <c r="O1123">
        <v>0</v>
      </c>
      <c r="P1123">
        <v>5300</v>
      </c>
      <c r="Q1123" s="1">
        <v>5300</v>
      </c>
      <c r="R1123">
        <v>14.5</v>
      </c>
      <c r="S1123" s="2">
        <v>46097</v>
      </c>
      <c r="T1123" s="2">
        <v>46247</v>
      </c>
      <c r="U1123">
        <v>2700</v>
      </c>
      <c r="V1123">
        <v>1000</v>
      </c>
      <c r="W1123">
        <v>0</v>
      </c>
      <c r="X1123">
        <v>0</v>
      </c>
      <c r="Y1123">
        <v>0</v>
      </c>
      <c r="Z1123" s="8">
        <v>2700</v>
      </c>
      <c r="AA1123">
        <v>925</v>
      </c>
      <c r="AB1123">
        <v>0</v>
      </c>
      <c r="AC1123">
        <v>2.9189189189189189</v>
      </c>
      <c r="AD1123" s="1">
        <v>58</v>
      </c>
      <c r="AE1123" s="2">
        <v>46306</v>
      </c>
      <c r="AF1123" s="2">
        <v>46314</v>
      </c>
      <c r="AG1123" s="2">
        <v>46321</v>
      </c>
      <c r="AH1123">
        <v>1000</v>
      </c>
      <c r="AI1123" s="3">
        <v>0.38314176245210724</v>
      </c>
      <c r="AJ1123" s="1">
        <v>153</v>
      </c>
      <c r="AK1123" s="2">
        <v>46416</v>
      </c>
      <c r="AL1123" s="4" t="s">
        <v>1658</v>
      </c>
      <c r="AM1123" s="5" t="s">
        <v>1658</v>
      </c>
      <c r="AN1123" s="4">
        <v>58</v>
      </c>
      <c r="AO1123" t="s">
        <v>1635</v>
      </c>
      <c r="AP1123" s="4" t="s">
        <v>1658</v>
      </c>
      <c r="AQ1123" t="s">
        <v>1619</v>
      </c>
      <c r="AR1123" t="s">
        <v>1620</v>
      </c>
      <c r="AT1123" s="16" t="str">
        <f>_xlfn.XLOOKUP(B1123,'SWiSH Demand Forecast Sep-26'!D:D,'SWiSH Demand Forecast Sep-26'!G:G,"Not Exist")</f>
        <v>Not Exist</v>
      </c>
    </row>
    <row r="1124" spans="1:46" hidden="1" x14ac:dyDescent="0.3">
      <c r="A1124">
        <v>100400030</v>
      </c>
      <c r="B1124" t="s">
        <v>150</v>
      </c>
      <c r="C1124" t="s">
        <v>10</v>
      </c>
      <c r="D1124" t="s">
        <v>1613</v>
      </c>
      <c r="E1124" t="s">
        <v>1638</v>
      </c>
      <c r="F1124" t="s">
        <v>1664</v>
      </c>
      <c r="G1124" t="s">
        <v>1624</v>
      </c>
      <c r="H1124" t="s">
        <v>1810</v>
      </c>
      <c r="I1124" t="s">
        <v>1634</v>
      </c>
      <c r="J1124" t="s">
        <v>10</v>
      </c>
      <c r="K1124">
        <v>1.895612E-2</v>
      </c>
      <c r="L1124">
        <v>295.71547199999998</v>
      </c>
      <c r="M1124" s="1">
        <v>30</v>
      </c>
      <c r="N1124">
        <v>0</v>
      </c>
      <c r="O1124">
        <v>0</v>
      </c>
      <c r="P1124">
        <v>15600</v>
      </c>
      <c r="Q1124" s="1">
        <v>15600</v>
      </c>
      <c r="R1124">
        <v>1.7999999999999999E-2</v>
      </c>
      <c r="S1124" s="2">
        <v>46211</v>
      </c>
      <c r="T1124" s="2">
        <v>46263</v>
      </c>
      <c r="U1124">
        <v>8000</v>
      </c>
      <c r="V1124">
        <v>5000</v>
      </c>
      <c r="W1124">
        <v>6600</v>
      </c>
      <c r="X1124">
        <v>5600</v>
      </c>
      <c r="Y1124">
        <v>5000</v>
      </c>
      <c r="Z1124" s="8">
        <v>8000</v>
      </c>
      <c r="AA1124">
        <v>6300</v>
      </c>
      <c r="AB1124">
        <v>0.79365079365079361</v>
      </c>
      <c r="AC1124">
        <v>1.2698412698412698</v>
      </c>
      <c r="AD1124" s="1">
        <v>58</v>
      </c>
      <c r="AE1124" s="2">
        <v>46306</v>
      </c>
      <c r="AF1124" s="2">
        <v>46314</v>
      </c>
      <c r="AG1124" s="2">
        <v>46321</v>
      </c>
      <c r="AH1124">
        <v>18200</v>
      </c>
      <c r="AI1124" s="3">
        <v>2.353448275862069</v>
      </c>
      <c r="AJ1124" s="1">
        <v>24</v>
      </c>
      <c r="AK1124" s="2">
        <v>46287</v>
      </c>
      <c r="AL1124" s="4">
        <v>15</v>
      </c>
      <c r="AM1124" s="5">
        <v>15</v>
      </c>
      <c r="AN1124" s="4">
        <v>24</v>
      </c>
      <c r="AO1124">
        <v>9413.7931034482772</v>
      </c>
      <c r="AP1124" s="4">
        <v>2</v>
      </c>
      <c r="AQ1124" t="s">
        <v>1619</v>
      </c>
      <c r="AR1124" t="s">
        <v>1620</v>
      </c>
      <c r="AT1124" s="16">
        <f>_xlfn.XLOOKUP(B1124,'SWiSH Demand Forecast Sep-26'!D:D,'SWiSH Demand Forecast Sep-26'!G:G,"Not Exist")</f>
        <v>12477</v>
      </c>
    </row>
    <row r="1125" spans="1:46" hidden="1" x14ac:dyDescent="0.3">
      <c r="A1125">
        <v>106200074</v>
      </c>
      <c r="B1125" t="s">
        <v>574</v>
      </c>
      <c r="C1125" t="s">
        <v>136</v>
      </c>
      <c r="D1125" t="s">
        <v>1613</v>
      </c>
      <c r="E1125" t="s">
        <v>1821</v>
      </c>
      <c r="F1125" t="s">
        <v>1671</v>
      </c>
      <c r="G1125" t="s">
        <v>1616</v>
      </c>
      <c r="H1125" t="s">
        <v>1672</v>
      </c>
      <c r="I1125" t="s">
        <v>1618</v>
      </c>
      <c r="J1125" t="s">
        <v>136</v>
      </c>
      <c r="K1125">
        <v>1.0893337199999999</v>
      </c>
      <c r="L1125">
        <v>2697.081357348</v>
      </c>
      <c r="M1125" s="1">
        <v>3</v>
      </c>
      <c r="N1125">
        <v>0</v>
      </c>
      <c r="O1125">
        <v>49.14</v>
      </c>
      <c r="P1125">
        <v>2475.9</v>
      </c>
      <c r="Q1125" s="1">
        <v>2426.7600000000002</v>
      </c>
      <c r="R1125">
        <v>16.899999999999999</v>
      </c>
      <c r="S1125" s="2">
        <v>46202</v>
      </c>
      <c r="T1125" s="2">
        <v>46263</v>
      </c>
      <c r="U1125">
        <v>1205.8199999999972</v>
      </c>
      <c r="V1125">
        <v>1183.1399999999967</v>
      </c>
      <c r="W1125">
        <v>1232.2799999999963</v>
      </c>
      <c r="X1125">
        <v>1013.0399999999983</v>
      </c>
      <c r="Y1125">
        <v>1013.0399999999983</v>
      </c>
      <c r="Z1125" s="8">
        <v>1232.2799999999963</v>
      </c>
      <c r="AA1125">
        <v>1158.569999999997</v>
      </c>
      <c r="AB1125">
        <v>0.87438825448613455</v>
      </c>
      <c r="AC1125">
        <v>1.0636215334420878</v>
      </c>
      <c r="AD1125" s="1">
        <v>59</v>
      </c>
      <c r="AE1125" s="2">
        <v>46307</v>
      </c>
      <c r="AF1125" s="2">
        <v>46315</v>
      </c>
      <c r="AG1125" s="2">
        <v>46322</v>
      </c>
      <c r="AH1125">
        <v>767.33999999999844</v>
      </c>
      <c r="AI1125" s="3">
        <v>0.64417177914110491</v>
      </c>
      <c r="AJ1125" s="1">
        <v>91</v>
      </c>
      <c r="AK1125" s="2">
        <v>46354</v>
      </c>
      <c r="AL1125" s="4">
        <v>15</v>
      </c>
      <c r="AM1125" s="5">
        <v>15</v>
      </c>
      <c r="AN1125" s="4">
        <v>59</v>
      </c>
      <c r="AO1125">
        <v>396.89999999999918</v>
      </c>
      <c r="AP1125" s="4">
        <v>2</v>
      </c>
      <c r="AQ1125" t="s">
        <v>1619</v>
      </c>
      <c r="AR1125" t="s">
        <v>1620</v>
      </c>
      <c r="AT1125" s="16">
        <f>_xlfn.XLOOKUP(B1125,'SWiSH Demand Forecast Sep-26'!D:D,'SWiSH Demand Forecast Sep-26'!G:G,"Not Exist")</f>
        <v>1132.81756485456</v>
      </c>
    </row>
    <row r="1126" spans="1:46" hidden="1" x14ac:dyDescent="0.3">
      <c r="A1126">
        <v>100400230</v>
      </c>
      <c r="B1126" t="s">
        <v>49</v>
      </c>
      <c r="C1126" t="s">
        <v>10</v>
      </c>
      <c r="D1126" t="s">
        <v>1613</v>
      </c>
      <c r="E1126" t="s">
        <v>2147</v>
      </c>
      <c r="F1126" t="s">
        <v>1664</v>
      </c>
      <c r="G1126" t="s">
        <v>1624</v>
      </c>
      <c r="H1126" t="s">
        <v>1810</v>
      </c>
      <c r="I1126" t="s">
        <v>1634</v>
      </c>
      <c r="J1126" t="s">
        <v>10</v>
      </c>
      <c r="K1126">
        <v>1.994634E-2</v>
      </c>
      <c r="L1126">
        <v>2880.2514959999999</v>
      </c>
      <c r="M1126" s="1">
        <v>30</v>
      </c>
      <c r="N1126">
        <v>0</v>
      </c>
      <c r="O1126">
        <v>800</v>
      </c>
      <c r="P1126">
        <v>144400</v>
      </c>
      <c r="Q1126" s="1">
        <v>143600</v>
      </c>
      <c r="R1126">
        <v>1.7999999999999999E-2</v>
      </c>
      <c r="S1126" s="2">
        <v>46053</v>
      </c>
      <c r="T1126" s="2">
        <v>46263</v>
      </c>
      <c r="U1126">
        <v>37350</v>
      </c>
      <c r="V1126">
        <v>56600</v>
      </c>
      <c r="W1126">
        <v>61200</v>
      </c>
      <c r="X1126">
        <v>72580</v>
      </c>
      <c r="Y1126">
        <v>37350</v>
      </c>
      <c r="Z1126" s="8">
        <v>72580</v>
      </c>
      <c r="AA1126">
        <v>56932.5</v>
      </c>
      <c r="AB1126">
        <v>0.65604004742458177</v>
      </c>
      <c r="AC1126">
        <v>1.2748430158521056</v>
      </c>
      <c r="AD1126" s="1">
        <v>59</v>
      </c>
      <c r="AE1126" s="2">
        <v>46307</v>
      </c>
      <c r="AF1126" s="2">
        <v>46315</v>
      </c>
      <c r="AG1126" s="2">
        <v>46322</v>
      </c>
      <c r="AH1126">
        <v>63800</v>
      </c>
      <c r="AI1126" s="3">
        <v>0.90934141636814547</v>
      </c>
      <c r="AJ1126" s="1">
        <v>65</v>
      </c>
      <c r="AK1126" s="2">
        <v>46328</v>
      </c>
      <c r="AL1126" s="4">
        <v>15</v>
      </c>
      <c r="AM1126" s="5">
        <v>15</v>
      </c>
      <c r="AN1126" s="4">
        <v>59</v>
      </c>
      <c r="AO1126">
        <v>33000</v>
      </c>
      <c r="AP1126" s="4">
        <v>2</v>
      </c>
      <c r="AQ1126" t="s">
        <v>1619</v>
      </c>
      <c r="AR1126" t="s">
        <v>1620</v>
      </c>
      <c r="AT1126" s="16">
        <f>_xlfn.XLOOKUP(B1126,'SWiSH Demand Forecast Sep-26'!D:D,'SWiSH Demand Forecast Sep-26'!G:G,"Not Exist")</f>
        <v>47131</v>
      </c>
    </row>
    <row r="1127" spans="1:46" x14ac:dyDescent="0.3">
      <c r="A1127">
        <v>101500037</v>
      </c>
      <c r="B1127" t="s">
        <v>3016</v>
      </c>
      <c r="C1127" t="s">
        <v>10</v>
      </c>
      <c r="D1127" t="s">
        <v>1613</v>
      </c>
      <c r="E1127" t="s">
        <v>3017</v>
      </c>
      <c r="F1127" t="s">
        <v>1644</v>
      </c>
      <c r="G1127" t="s">
        <v>1624</v>
      </c>
      <c r="H1127" t="s">
        <v>1647</v>
      </c>
      <c r="I1127" t="s">
        <v>1634</v>
      </c>
      <c r="J1127" t="s">
        <v>10</v>
      </c>
      <c r="K1127">
        <v>22.5</v>
      </c>
      <c r="L1127">
        <v>405</v>
      </c>
      <c r="M1127" s="1">
        <v>3</v>
      </c>
      <c r="N1127">
        <v>0</v>
      </c>
      <c r="O1127">
        <v>0</v>
      </c>
      <c r="P1127">
        <v>18</v>
      </c>
      <c r="Q1127" s="1">
        <v>18</v>
      </c>
      <c r="R1127">
        <v>22.5</v>
      </c>
      <c r="S1127" s="2">
        <v>46263</v>
      </c>
      <c r="T1127" s="2">
        <v>46262</v>
      </c>
      <c r="U1127">
        <v>7</v>
      </c>
      <c r="V1127">
        <v>9</v>
      </c>
      <c r="W1127">
        <v>8</v>
      </c>
      <c r="X1127">
        <v>6</v>
      </c>
      <c r="Y1127">
        <v>6</v>
      </c>
      <c r="Z1127" s="8">
        <v>9</v>
      </c>
      <c r="AA1127">
        <v>7.5</v>
      </c>
      <c r="AB1127">
        <v>0.8</v>
      </c>
      <c r="AC1127">
        <v>1.2</v>
      </c>
      <c r="AD1127" s="1">
        <v>60</v>
      </c>
      <c r="AE1127" s="2">
        <v>46308</v>
      </c>
      <c r="AF1127" s="2">
        <v>46316</v>
      </c>
      <c r="AG1127" s="2">
        <v>46323</v>
      </c>
      <c r="AH1127">
        <v>11</v>
      </c>
      <c r="AI1127" s="3">
        <v>1.264367816091954</v>
      </c>
      <c r="AJ1127" s="1">
        <v>47</v>
      </c>
      <c r="AK1127" s="2">
        <v>46310</v>
      </c>
      <c r="AL1127" s="4">
        <v>30</v>
      </c>
      <c r="AM1127" s="5">
        <v>15</v>
      </c>
      <c r="AN1127" s="4">
        <v>47</v>
      </c>
      <c r="AO1127">
        <v>11.379310344827587</v>
      </c>
      <c r="AP1127" s="4">
        <v>1</v>
      </c>
      <c r="AQ1127" t="s">
        <v>1619</v>
      </c>
      <c r="AR1127" t="s">
        <v>1620</v>
      </c>
      <c r="AT1127" s="16" t="str">
        <f>_xlfn.XLOOKUP(B1127,'SWiSH Demand Forecast Sep-26'!D:D,'SWiSH Demand Forecast Sep-26'!G:G,"Not Exist")</f>
        <v>Not Exist</v>
      </c>
    </row>
    <row r="1128" spans="1:46" hidden="1" x14ac:dyDescent="0.3">
      <c r="A1128">
        <v>104700005</v>
      </c>
      <c r="B1128" t="s">
        <v>1488</v>
      </c>
      <c r="C1128" t="s">
        <v>240</v>
      </c>
      <c r="D1128" t="s">
        <v>1613</v>
      </c>
      <c r="E1128" t="s">
        <v>1677</v>
      </c>
      <c r="F1128" t="s">
        <v>1840</v>
      </c>
      <c r="G1128" t="s">
        <v>1616</v>
      </c>
      <c r="H1128" t="s">
        <v>2025</v>
      </c>
      <c r="I1128" t="s">
        <v>1618</v>
      </c>
      <c r="J1128" t="s">
        <v>3018</v>
      </c>
      <c r="K1128">
        <v>1.2086990200000001</v>
      </c>
      <c r="L1128">
        <v>42.932989190400008</v>
      </c>
      <c r="M1128" s="1">
        <v>3</v>
      </c>
      <c r="N1128">
        <v>0</v>
      </c>
      <c r="O1128">
        <v>0</v>
      </c>
      <c r="P1128">
        <v>35.520000000000003</v>
      </c>
      <c r="Q1128" s="1">
        <v>35.520000000000003</v>
      </c>
      <c r="R1128">
        <v>32.4</v>
      </c>
      <c r="S1128" s="2">
        <v>46259</v>
      </c>
      <c r="T1128" s="2">
        <v>46227</v>
      </c>
      <c r="U1128">
        <v>0</v>
      </c>
      <c r="V1128">
        <v>17.760000000000002</v>
      </c>
      <c r="W1128">
        <v>17.760000000000002</v>
      </c>
      <c r="X1128">
        <v>17.760000000000002</v>
      </c>
      <c r="Y1128">
        <v>0</v>
      </c>
      <c r="Z1128" s="8">
        <v>17.760000000000002</v>
      </c>
      <c r="AA1128">
        <v>13.32</v>
      </c>
      <c r="AB1128">
        <v>0</v>
      </c>
      <c r="AC1128">
        <v>1.3333333333333335</v>
      </c>
      <c r="AD1128" s="1">
        <v>60</v>
      </c>
      <c r="AE1128" s="2">
        <v>46308</v>
      </c>
      <c r="AF1128" s="2">
        <v>46316</v>
      </c>
      <c r="AG1128" s="2">
        <v>46323</v>
      </c>
      <c r="AH1128">
        <v>0</v>
      </c>
      <c r="AI1128" s="3">
        <v>0</v>
      </c>
      <c r="AJ1128" s="1" t="s">
        <v>1635</v>
      </c>
      <c r="AK1128" s="2" t="s">
        <v>1635</v>
      </c>
      <c r="AL1128" s="4">
        <v>30</v>
      </c>
      <c r="AM1128" s="5">
        <v>15</v>
      </c>
      <c r="AN1128" s="4">
        <v>60</v>
      </c>
      <c r="AO1128">
        <v>0</v>
      </c>
      <c r="AP1128" s="4">
        <v>1</v>
      </c>
      <c r="AQ1128" t="s">
        <v>1619</v>
      </c>
      <c r="AR1128" t="s">
        <v>1620</v>
      </c>
      <c r="AT1128" s="16">
        <f>_xlfn.XLOOKUP(B1128,'SWiSH Demand Forecast Sep-26'!D:D,'SWiSH Demand Forecast Sep-26'!G:G,"Not Exist")</f>
        <v>4.2674107142857096</v>
      </c>
    </row>
    <row r="1129" spans="1:46" x14ac:dyDescent="0.3">
      <c r="A1129">
        <v>106600006</v>
      </c>
      <c r="B1129" t="s">
        <v>3019</v>
      </c>
      <c r="C1129" t="s">
        <v>10</v>
      </c>
      <c r="D1129" t="s">
        <v>1613</v>
      </c>
      <c r="E1129" t="s">
        <v>2587</v>
      </c>
      <c r="F1129" t="s">
        <v>1664</v>
      </c>
      <c r="G1129" t="s">
        <v>1624</v>
      </c>
      <c r="H1129" t="s">
        <v>1723</v>
      </c>
      <c r="I1129" t="s">
        <v>1634</v>
      </c>
      <c r="J1129" t="s">
        <v>10</v>
      </c>
      <c r="K1129">
        <v>0.02</v>
      </c>
      <c r="L1129">
        <v>20</v>
      </c>
      <c r="M1129" s="1">
        <v>15</v>
      </c>
      <c r="N1129">
        <v>0</v>
      </c>
      <c r="O1129">
        <v>0</v>
      </c>
      <c r="P1129">
        <v>1000</v>
      </c>
      <c r="Q1129" s="1">
        <v>1000</v>
      </c>
      <c r="R1129">
        <v>0.02</v>
      </c>
      <c r="S1129" s="2">
        <v>45978</v>
      </c>
      <c r="T1129" s="2">
        <v>46187</v>
      </c>
      <c r="U1129">
        <v>0</v>
      </c>
      <c r="V1129">
        <v>0</v>
      </c>
      <c r="W1129">
        <v>500</v>
      </c>
      <c r="X1129">
        <v>0</v>
      </c>
      <c r="Y1129">
        <v>0</v>
      </c>
      <c r="Z1129" s="8">
        <v>500</v>
      </c>
      <c r="AA1129">
        <v>125</v>
      </c>
      <c r="AB1129">
        <v>0</v>
      </c>
      <c r="AC1129">
        <v>4</v>
      </c>
      <c r="AD1129" s="1">
        <v>60</v>
      </c>
      <c r="AE1129" s="2">
        <v>46308</v>
      </c>
      <c r="AF1129" s="2">
        <v>46316</v>
      </c>
      <c r="AG1129" s="2">
        <v>46323</v>
      </c>
      <c r="AH1129">
        <v>0</v>
      </c>
      <c r="AI1129" s="3">
        <v>0</v>
      </c>
      <c r="AJ1129" s="1" t="s">
        <v>1635</v>
      </c>
      <c r="AK1129" s="2" t="s">
        <v>1635</v>
      </c>
      <c r="AL1129" s="4">
        <v>30</v>
      </c>
      <c r="AM1129" s="5">
        <v>15</v>
      </c>
      <c r="AN1129" s="4">
        <v>60</v>
      </c>
      <c r="AO1129">
        <v>0</v>
      </c>
      <c r="AP1129" s="4">
        <v>1</v>
      </c>
      <c r="AQ1129">
        <v>1000</v>
      </c>
      <c r="AR1129" t="s">
        <v>2076</v>
      </c>
      <c r="AT1129" s="16" t="str">
        <f>_xlfn.XLOOKUP(B1129,'SWiSH Demand Forecast Sep-26'!D:D,'SWiSH Demand Forecast Sep-26'!G:G,"Not Exist")</f>
        <v>Not Exist</v>
      </c>
    </row>
    <row r="1130" spans="1:46" x14ac:dyDescent="0.3">
      <c r="A1130">
        <v>106600004</v>
      </c>
      <c r="B1130" t="s">
        <v>3020</v>
      </c>
      <c r="C1130" t="s">
        <v>10</v>
      </c>
      <c r="D1130" t="s">
        <v>1613</v>
      </c>
      <c r="E1130" t="s">
        <v>2587</v>
      </c>
      <c r="F1130" t="s">
        <v>1664</v>
      </c>
      <c r="G1130" t="s">
        <v>1624</v>
      </c>
      <c r="H1130" t="s">
        <v>1723</v>
      </c>
      <c r="I1130" t="s">
        <v>1634</v>
      </c>
      <c r="J1130" t="s">
        <v>10</v>
      </c>
      <c r="K1130">
        <v>0.02</v>
      </c>
      <c r="L1130">
        <v>20</v>
      </c>
      <c r="M1130" s="1">
        <v>15</v>
      </c>
      <c r="N1130">
        <v>0</v>
      </c>
      <c r="O1130">
        <v>0</v>
      </c>
      <c r="P1130">
        <v>1000</v>
      </c>
      <c r="Q1130" s="1">
        <v>1000</v>
      </c>
      <c r="R1130">
        <v>0.02</v>
      </c>
      <c r="S1130" s="2">
        <v>45978</v>
      </c>
      <c r="T1130" s="2">
        <v>46188</v>
      </c>
      <c r="U1130">
        <v>0</v>
      </c>
      <c r="V1130">
        <v>0</v>
      </c>
      <c r="W1130">
        <v>500</v>
      </c>
      <c r="X1130">
        <v>0</v>
      </c>
      <c r="Y1130">
        <v>0</v>
      </c>
      <c r="Z1130" s="8">
        <v>500</v>
      </c>
      <c r="AA1130">
        <v>125</v>
      </c>
      <c r="AB1130">
        <v>0</v>
      </c>
      <c r="AC1130">
        <v>4</v>
      </c>
      <c r="AD1130" s="1">
        <v>60</v>
      </c>
      <c r="AE1130" s="2">
        <v>46308</v>
      </c>
      <c r="AF1130" s="2">
        <v>46316</v>
      </c>
      <c r="AG1130" s="2">
        <v>46323</v>
      </c>
      <c r="AH1130">
        <v>0</v>
      </c>
      <c r="AI1130" s="3">
        <v>0</v>
      </c>
      <c r="AJ1130" s="1" t="s">
        <v>1635</v>
      </c>
      <c r="AK1130" s="2" t="s">
        <v>1635</v>
      </c>
      <c r="AL1130" s="4">
        <v>30</v>
      </c>
      <c r="AM1130" s="5">
        <v>15</v>
      </c>
      <c r="AN1130" s="4">
        <v>60</v>
      </c>
      <c r="AO1130">
        <v>0</v>
      </c>
      <c r="AP1130" s="4">
        <v>1</v>
      </c>
      <c r="AQ1130">
        <v>1000</v>
      </c>
      <c r="AR1130" t="s">
        <v>2076</v>
      </c>
      <c r="AT1130" s="16" t="str">
        <f>_xlfn.XLOOKUP(B1130,'SWiSH Demand Forecast Sep-26'!D:D,'SWiSH Demand Forecast Sep-26'!G:G,"Not Exist")</f>
        <v>Not Exist</v>
      </c>
    </row>
    <row r="1131" spans="1:46" x14ac:dyDescent="0.3">
      <c r="A1131">
        <v>106800361</v>
      </c>
      <c r="B1131" t="s">
        <v>3021</v>
      </c>
      <c r="C1131" t="s">
        <v>10</v>
      </c>
      <c r="D1131" t="s">
        <v>1613</v>
      </c>
      <c r="E1131" t="s">
        <v>1663</v>
      </c>
      <c r="F1131" t="s">
        <v>1664</v>
      </c>
      <c r="G1131" t="s">
        <v>1624</v>
      </c>
      <c r="H1131" t="s">
        <v>1665</v>
      </c>
      <c r="I1131" t="s">
        <v>1634</v>
      </c>
      <c r="J1131" t="s">
        <v>10</v>
      </c>
      <c r="K1131">
        <v>4.0000000000000001E-3</v>
      </c>
      <c r="L1131">
        <v>120</v>
      </c>
      <c r="M1131" s="1">
        <v>7</v>
      </c>
      <c r="N1131">
        <v>0</v>
      </c>
      <c r="O1131">
        <v>0</v>
      </c>
      <c r="P1131">
        <v>30000</v>
      </c>
      <c r="Q1131" s="1">
        <v>30000</v>
      </c>
      <c r="R1131">
        <v>4.0000000000000001E-3</v>
      </c>
      <c r="S1131" s="2">
        <v>46237</v>
      </c>
      <c r="T1131" s="2">
        <v>46251</v>
      </c>
      <c r="U1131">
        <v>0</v>
      </c>
      <c r="V1131">
        <v>15000</v>
      </c>
      <c r="W1131">
        <v>9000</v>
      </c>
      <c r="X1131">
        <v>14000</v>
      </c>
      <c r="Y1131">
        <v>0</v>
      </c>
      <c r="Z1131" s="8">
        <v>15000</v>
      </c>
      <c r="AA1131">
        <v>9500</v>
      </c>
      <c r="AB1131">
        <v>0</v>
      </c>
      <c r="AC1131">
        <v>1.5789473684210527</v>
      </c>
      <c r="AD1131" s="1">
        <v>60</v>
      </c>
      <c r="AE1131" s="2">
        <v>46308</v>
      </c>
      <c r="AF1131" s="2">
        <v>46316</v>
      </c>
      <c r="AG1131" s="2">
        <v>46323</v>
      </c>
      <c r="AH1131">
        <v>4000</v>
      </c>
      <c r="AI1131" s="3">
        <v>0.27586206896551724</v>
      </c>
      <c r="AJ1131" s="1">
        <v>217</v>
      </c>
      <c r="AK1131" s="2">
        <v>46480</v>
      </c>
      <c r="AL1131" s="4">
        <v>30</v>
      </c>
      <c r="AM1131" s="5">
        <v>15</v>
      </c>
      <c r="AN1131" s="4">
        <v>60</v>
      </c>
      <c r="AO1131">
        <v>4137.9310344827582</v>
      </c>
      <c r="AP1131" s="4">
        <v>1</v>
      </c>
      <c r="AQ1131">
        <v>15000</v>
      </c>
      <c r="AR1131" t="s">
        <v>2768</v>
      </c>
      <c r="AT1131" s="16" t="str">
        <f>_xlfn.XLOOKUP(B1131,'SWiSH Demand Forecast Sep-26'!D:D,'SWiSH Demand Forecast Sep-26'!G:G,"Not Exist")</f>
        <v>Not Exist</v>
      </c>
    </row>
    <row r="1132" spans="1:46" hidden="1" x14ac:dyDescent="0.3">
      <c r="A1132">
        <v>103700112</v>
      </c>
      <c r="B1132" t="s">
        <v>1476</v>
      </c>
      <c r="C1132" t="s">
        <v>136</v>
      </c>
      <c r="D1132" t="s">
        <v>1613</v>
      </c>
      <c r="E1132" t="s">
        <v>1677</v>
      </c>
      <c r="F1132" t="s">
        <v>1615</v>
      </c>
      <c r="G1132" t="s">
        <v>1616</v>
      </c>
      <c r="H1132" t="s">
        <v>1617</v>
      </c>
      <c r="I1132" t="s">
        <v>1618</v>
      </c>
      <c r="J1132" t="s">
        <v>136</v>
      </c>
      <c r="K1132">
        <v>4.5</v>
      </c>
      <c r="L1132">
        <v>45</v>
      </c>
      <c r="M1132" s="1">
        <v>3</v>
      </c>
      <c r="N1132">
        <v>0</v>
      </c>
      <c r="O1132">
        <v>0</v>
      </c>
      <c r="P1132">
        <v>10</v>
      </c>
      <c r="Q1132" s="1">
        <v>10</v>
      </c>
      <c r="R1132">
        <v>4.5</v>
      </c>
      <c r="S1132" s="2">
        <v>46092</v>
      </c>
      <c r="T1132" s="2">
        <v>46247</v>
      </c>
      <c r="U1132">
        <v>5</v>
      </c>
      <c r="V1132">
        <v>0</v>
      </c>
      <c r="W1132">
        <v>2</v>
      </c>
      <c r="X1132">
        <v>0</v>
      </c>
      <c r="Y1132">
        <v>0</v>
      </c>
      <c r="Z1132" s="8">
        <v>5</v>
      </c>
      <c r="AA1132">
        <v>1.75</v>
      </c>
      <c r="AB1132">
        <v>0</v>
      </c>
      <c r="AC1132">
        <v>2.8571428571428572</v>
      </c>
      <c r="AD1132" s="1">
        <v>60</v>
      </c>
      <c r="AE1132" s="2">
        <v>46308</v>
      </c>
      <c r="AF1132" s="2">
        <v>46316</v>
      </c>
      <c r="AG1132" s="2">
        <v>46323</v>
      </c>
      <c r="AH1132">
        <v>25</v>
      </c>
      <c r="AI1132" s="3">
        <v>5.1724137931034484</v>
      </c>
      <c r="AJ1132" s="1">
        <v>11</v>
      </c>
      <c r="AK1132" s="2">
        <v>46274</v>
      </c>
      <c r="AL1132" s="4">
        <v>30</v>
      </c>
      <c r="AM1132" s="5">
        <v>15</v>
      </c>
      <c r="AN1132" s="4">
        <v>11</v>
      </c>
      <c r="AO1132">
        <v>25.862068965517242</v>
      </c>
      <c r="AP1132" s="4">
        <v>1</v>
      </c>
      <c r="AQ1132" t="s">
        <v>1619</v>
      </c>
      <c r="AR1132" t="s">
        <v>1620</v>
      </c>
      <c r="AT1132" s="16">
        <f>_xlfn.XLOOKUP(B1132,'SWiSH Demand Forecast Sep-26'!D:D,'SWiSH Demand Forecast Sep-26'!G:G,"Not Exist")</f>
        <v>4.7783035651004804</v>
      </c>
    </row>
    <row r="1133" spans="1:46" x14ac:dyDescent="0.3">
      <c r="A1133">
        <v>106800168</v>
      </c>
      <c r="B1133" t="s">
        <v>3022</v>
      </c>
      <c r="C1133" t="s">
        <v>10</v>
      </c>
      <c r="D1133" t="s">
        <v>1699</v>
      </c>
      <c r="E1133" t="s">
        <v>2075</v>
      </c>
      <c r="F1133" t="s">
        <v>1664</v>
      </c>
      <c r="G1133" t="s">
        <v>1624</v>
      </c>
      <c r="H1133" t="s">
        <v>1665</v>
      </c>
      <c r="I1133" t="s">
        <v>1634</v>
      </c>
      <c r="J1133" t="s">
        <v>10</v>
      </c>
      <c r="K1133">
        <v>7.0000000000000007E-2</v>
      </c>
      <c r="L1133">
        <v>70</v>
      </c>
      <c r="M1133" s="1">
        <v>7</v>
      </c>
      <c r="N1133">
        <v>0</v>
      </c>
      <c r="O1133">
        <v>0</v>
      </c>
      <c r="P1133">
        <v>1000</v>
      </c>
      <c r="Q1133" s="1">
        <v>1000</v>
      </c>
      <c r="R1133">
        <v>7.0000000000000007E-2</v>
      </c>
      <c r="S1133" s="2">
        <v>46138</v>
      </c>
      <c r="T1133" s="2">
        <v>46133</v>
      </c>
      <c r="U1133">
        <v>500</v>
      </c>
      <c r="V1133">
        <v>0</v>
      </c>
      <c r="W1133">
        <v>0</v>
      </c>
      <c r="X1133">
        <v>0</v>
      </c>
      <c r="Y1133">
        <v>0</v>
      </c>
      <c r="Z1133" s="8">
        <v>500</v>
      </c>
      <c r="AA1133">
        <v>125</v>
      </c>
      <c r="AB1133">
        <v>0</v>
      </c>
      <c r="AC1133">
        <v>4</v>
      </c>
      <c r="AD1133" s="1">
        <v>60</v>
      </c>
      <c r="AE1133" s="2">
        <v>46308</v>
      </c>
      <c r="AF1133" s="2">
        <v>46316</v>
      </c>
      <c r="AG1133" s="2">
        <v>46323</v>
      </c>
      <c r="AH1133">
        <v>0</v>
      </c>
      <c r="AI1133" s="3">
        <v>0</v>
      </c>
      <c r="AJ1133" s="1" t="s">
        <v>1635</v>
      </c>
      <c r="AK1133" s="2" t="s">
        <v>1635</v>
      </c>
      <c r="AL1133" s="4" t="s">
        <v>1658</v>
      </c>
      <c r="AM1133" s="5" t="s">
        <v>1658</v>
      </c>
      <c r="AN1133" s="4">
        <v>60</v>
      </c>
      <c r="AO1133" t="s">
        <v>1635</v>
      </c>
      <c r="AP1133" s="4" t="s">
        <v>1658</v>
      </c>
      <c r="AQ1133" t="s">
        <v>1619</v>
      </c>
      <c r="AR1133" t="s">
        <v>1620</v>
      </c>
      <c r="AT1133" s="16" t="str">
        <f>_xlfn.XLOOKUP(B1133,'SWiSH Demand Forecast Sep-26'!D:D,'SWiSH Demand Forecast Sep-26'!G:G,"Not Exist")</f>
        <v>Not Exist</v>
      </c>
    </row>
    <row r="1134" spans="1:46" x14ac:dyDescent="0.3">
      <c r="A1134">
        <v>106700078</v>
      </c>
      <c r="B1134" t="s">
        <v>3023</v>
      </c>
      <c r="C1134" t="s">
        <v>10</v>
      </c>
      <c r="D1134" t="s">
        <v>1613</v>
      </c>
      <c r="E1134" t="s">
        <v>1732</v>
      </c>
      <c r="F1134" t="s">
        <v>1650</v>
      </c>
      <c r="G1134" t="s">
        <v>1624</v>
      </c>
      <c r="H1134" t="s">
        <v>1651</v>
      </c>
      <c r="I1134" t="s">
        <v>1634</v>
      </c>
      <c r="J1134" t="s">
        <v>10</v>
      </c>
      <c r="K1134">
        <v>2.5</v>
      </c>
      <c r="L1134">
        <v>10</v>
      </c>
      <c r="M1134" s="1">
        <v>3</v>
      </c>
      <c r="N1134">
        <v>0</v>
      </c>
      <c r="O1134">
        <v>0</v>
      </c>
      <c r="P1134">
        <v>4</v>
      </c>
      <c r="Q1134" s="1">
        <v>4</v>
      </c>
      <c r="R1134">
        <v>2.5</v>
      </c>
      <c r="S1134" s="2">
        <v>46191</v>
      </c>
      <c r="T1134" s="2">
        <v>46196</v>
      </c>
      <c r="U1134">
        <v>2</v>
      </c>
      <c r="V1134">
        <v>0</v>
      </c>
      <c r="W1134">
        <v>1</v>
      </c>
      <c r="X1134">
        <v>0</v>
      </c>
      <c r="Y1134">
        <v>0</v>
      </c>
      <c r="Z1134" s="8">
        <v>2</v>
      </c>
      <c r="AA1134">
        <v>0.75</v>
      </c>
      <c r="AB1134">
        <v>0</v>
      </c>
      <c r="AC1134">
        <v>2.6666666666666665</v>
      </c>
      <c r="AD1134" s="1">
        <v>60</v>
      </c>
      <c r="AE1134" s="2">
        <v>46308</v>
      </c>
      <c r="AF1134" s="2">
        <v>46316</v>
      </c>
      <c r="AG1134" s="2">
        <v>46323</v>
      </c>
      <c r="AH1134">
        <v>0</v>
      </c>
      <c r="AI1134" s="3">
        <v>0</v>
      </c>
      <c r="AJ1134" s="1" t="s">
        <v>1635</v>
      </c>
      <c r="AK1134" s="2" t="s">
        <v>1635</v>
      </c>
      <c r="AL1134" s="4">
        <v>30</v>
      </c>
      <c r="AM1134" s="5">
        <v>15</v>
      </c>
      <c r="AN1134" s="4">
        <v>60</v>
      </c>
      <c r="AO1134">
        <v>0</v>
      </c>
      <c r="AP1134" s="4">
        <v>1</v>
      </c>
      <c r="AQ1134" t="s">
        <v>1619</v>
      </c>
      <c r="AR1134" t="s">
        <v>1620</v>
      </c>
      <c r="AT1134" s="16" t="str">
        <f>_xlfn.XLOOKUP(B1134,'SWiSH Demand Forecast Sep-26'!D:D,'SWiSH Demand Forecast Sep-26'!G:G,"Not Exist")</f>
        <v>Not Exist</v>
      </c>
    </row>
    <row r="1135" spans="1:46" x14ac:dyDescent="0.3">
      <c r="A1135">
        <v>103700060</v>
      </c>
      <c r="B1135" t="s">
        <v>3024</v>
      </c>
      <c r="C1135" t="s">
        <v>136</v>
      </c>
      <c r="D1135" t="s">
        <v>1613</v>
      </c>
      <c r="E1135" t="s">
        <v>1832</v>
      </c>
      <c r="F1135" t="s">
        <v>1615</v>
      </c>
      <c r="G1135" t="s">
        <v>1616</v>
      </c>
      <c r="H1135" t="s">
        <v>1617</v>
      </c>
      <c r="I1135" t="s">
        <v>1618</v>
      </c>
      <c r="J1135" t="s">
        <v>1858</v>
      </c>
      <c r="K1135">
        <v>2.2599999999999998</v>
      </c>
      <c r="L1135">
        <v>4.5199999999999996</v>
      </c>
      <c r="M1135" s="1">
        <v>3</v>
      </c>
      <c r="N1135">
        <v>0</v>
      </c>
      <c r="O1135">
        <v>0</v>
      </c>
      <c r="P1135">
        <v>2</v>
      </c>
      <c r="Q1135" s="1">
        <v>2</v>
      </c>
      <c r="R1135">
        <v>2.2599999999999998</v>
      </c>
      <c r="S1135" s="2">
        <v>46025</v>
      </c>
      <c r="T1135" s="2">
        <v>46205</v>
      </c>
      <c r="U1135">
        <v>1</v>
      </c>
      <c r="V1135">
        <v>0</v>
      </c>
      <c r="W1135">
        <v>1</v>
      </c>
      <c r="X1135">
        <v>1</v>
      </c>
      <c r="Y1135">
        <v>0</v>
      </c>
      <c r="Z1135" s="8">
        <v>1</v>
      </c>
      <c r="AA1135">
        <v>0.75</v>
      </c>
      <c r="AB1135">
        <v>0</v>
      </c>
      <c r="AC1135">
        <v>1.3333333333333333</v>
      </c>
      <c r="AD1135" s="1">
        <v>60</v>
      </c>
      <c r="AE1135" s="2">
        <v>46308</v>
      </c>
      <c r="AF1135" s="2">
        <v>46316</v>
      </c>
      <c r="AG1135" s="2">
        <v>46323</v>
      </c>
      <c r="AH1135">
        <v>0</v>
      </c>
      <c r="AI1135" s="3">
        <v>0</v>
      </c>
      <c r="AJ1135" s="1" t="s">
        <v>1635</v>
      </c>
      <c r="AK1135" s="2" t="s">
        <v>1635</v>
      </c>
      <c r="AL1135" s="4">
        <v>30</v>
      </c>
      <c r="AM1135" s="5">
        <v>15</v>
      </c>
      <c r="AN1135" s="4">
        <v>60</v>
      </c>
      <c r="AO1135">
        <v>0</v>
      </c>
      <c r="AP1135" s="4">
        <v>1</v>
      </c>
      <c r="AQ1135" t="s">
        <v>1619</v>
      </c>
      <c r="AR1135" t="s">
        <v>1620</v>
      </c>
      <c r="AT1135" s="16" t="str">
        <f>_xlfn.XLOOKUP(B1135,'SWiSH Demand Forecast Sep-26'!D:D,'SWiSH Demand Forecast Sep-26'!G:G,"Not Exist")</f>
        <v>Not Exist</v>
      </c>
    </row>
    <row r="1136" spans="1:46" x14ac:dyDescent="0.3">
      <c r="A1136">
        <v>106700099</v>
      </c>
      <c r="B1136" t="s">
        <v>3025</v>
      </c>
      <c r="C1136" t="s">
        <v>10</v>
      </c>
      <c r="D1136" t="s">
        <v>1613</v>
      </c>
      <c r="E1136" t="s">
        <v>1732</v>
      </c>
      <c r="F1136" t="s">
        <v>1650</v>
      </c>
      <c r="G1136" t="s">
        <v>1624</v>
      </c>
      <c r="H1136" t="s">
        <v>1651</v>
      </c>
      <c r="I1136" t="s">
        <v>1634</v>
      </c>
      <c r="J1136" t="s">
        <v>10</v>
      </c>
      <c r="K1136">
        <v>0.25</v>
      </c>
      <c r="L1136">
        <v>1</v>
      </c>
      <c r="M1136" s="1">
        <v>3</v>
      </c>
      <c r="N1136">
        <v>0</v>
      </c>
      <c r="O1136">
        <v>0</v>
      </c>
      <c r="P1136">
        <v>4</v>
      </c>
      <c r="Q1136" s="1">
        <v>4</v>
      </c>
      <c r="R1136">
        <v>0.25</v>
      </c>
      <c r="S1136" s="2">
        <v>46100</v>
      </c>
      <c r="T1136" s="2">
        <v>46202</v>
      </c>
      <c r="U1136">
        <v>0</v>
      </c>
      <c r="V1136">
        <v>0</v>
      </c>
      <c r="W1136">
        <v>0</v>
      </c>
      <c r="X1136">
        <v>2</v>
      </c>
      <c r="Y1136">
        <v>0</v>
      </c>
      <c r="Z1136" s="8">
        <v>2</v>
      </c>
      <c r="AA1136">
        <v>0.5</v>
      </c>
      <c r="AB1136">
        <v>0</v>
      </c>
      <c r="AC1136">
        <v>4</v>
      </c>
      <c r="AD1136" s="1">
        <v>60</v>
      </c>
      <c r="AE1136" s="2">
        <v>46308</v>
      </c>
      <c r="AF1136" s="2">
        <v>46316</v>
      </c>
      <c r="AG1136" s="2">
        <v>46323</v>
      </c>
      <c r="AH1136">
        <v>0</v>
      </c>
      <c r="AI1136" s="3">
        <v>0</v>
      </c>
      <c r="AJ1136" s="1" t="s">
        <v>1635</v>
      </c>
      <c r="AK1136" s="2" t="s">
        <v>1635</v>
      </c>
      <c r="AL1136" s="4">
        <v>30</v>
      </c>
      <c r="AM1136" s="5">
        <v>15</v>
      </c>
      <c r="AN1136" s="4">
        <v>60</v>
      </c>
      <c r="AO1136">
        <v>0</v>
      </c>
      <c r="AP1136" s="4">
        <v>1</v>
      </c>
      <c r="AQ1136" t="s">
        <v>1619</v>
      </c>
      <c r="AR1136" t="s">
        <v>1620</v>
      </c>
      <c r="AT1136" s="16" t="str">
        <f>_xlfn.XLOOKUP(B1136,'SWiSH Demand Forecast Sep-26'!D:D,'SWiSH Demand Forecast Sep-26'!G:G,"Not Exist")</f>
        <v>Not Exist</v>
      </c>
    </row>
    <row r="1137" spans="1:46" hidden="1" x14ac:dyDescent="0.3">
      <c r="A1137">
        <v>100100059</v>
      </c>
      <c r="B1137" t="s">
        <v>1422</v>
      </c>
      <c r="C1137" t="s">
        <v>136</v>
      </c>
      <c r="D1137" t="s">
        <v>1613</v>
      </c>
      <c r="E1137" t="s">
        <v>1732</v>
      </c>
      <c r="F1137" t="s">
        <v>1941</v>
      </c>
      <c r="G1137" t="s">
        <v>1616</v>
      </c>
      <c r="H1137" t="s">
        <v>1877</v>
      </c>
      <c r="I1137" t="s">
        <v>1618</v>
      </c>
      <c r="J1137" t="s">
        <v>2169</v>
      </c>
      <c r="K1137">
        <v>0.56000000000000005</v>
      </c>
      <c r="L1137">
        <v>22.400000000000002</v>
      </c>
      <c r="M1137" s="1">
        <v>3</v>
      </c>
      <c r="N1137">
        <v>0</v>
      </c>
      <c r="O1137">
        <v>0</v>
      </c>
      <c r="P1137">
        <v>40</v>
      </c>
      <c r="Q1137" s="1">
        <v>40</v>
      </c>
      <c r="R1137">
        <v>5.5</v>
      </c>
      <c r="S1137" s="2">
        <v>46229</v>
      </c>
      <c r="T1137" s="2">
        <v>46250</v>
      </c>
      <c r="U1137">
        <v>10</v>
      </c>
      <c r="V1137">
        <v>20</v>
      </c>
      <c r="W1137">
        <v>20</v>
      </c>
      <c r="X1137">
        <v>0</v>
      </c>
      <c r="Y1137">
        <v>0</v>
      </c>
      <c r="Z1137" s="8">
        <v>20</v>
      </c>
      <c r="AA1137">
        <v>12.5</v>
      </c>
      <c r="AB1137">
        <v>0</v>
      </c>
      <c r="AC1137">
        <v>1.6</v>
      </c>
      <c r="AD1137" s="1">
        <v>60</v>
      </c>
      <c r="AE1137" s="2">
        <v>46308</v>
      </c>
      <c r="AF1137" s="2">
        <v>46316</v>
      </c>
      <c r="AG1137" s="2">
        <v>46323</v>
      </c>
      <c r="AH1137">
        <v>10</v>
      </c>
      <c r="AI1137" s="3">
        <v>0.51724137931034486</v>
      </c>
      <c r="AJ1137" s="1">
        <v>116</v>
      </c>
      <c r="AK1137" s="2">
        <v>46379</v>
      </c>
      <c r="AL1137" s="4">
        <v>30</v>
      </c>
      <c r="AM1137" s="5">
        <v>15</v>
      </c>
      <c r="AN1137" s="4">
        <v>60</v>
      </c>
      <c r="AO1137">
        <v>10.344827586206897</v>
      </c>
      <c r="AP1137" s="4">
        <v>1</v>
      </c>
      <c r="AQ1137" t="s">
        <v>1619</v>
      </c>
      <c r="AR1137" t="s">
        <v>1620</v>
      </c>
      <c r="AT1137" s="16">
        <f>_xlfn.XLOOKUP(B1137,'SWiSH Demand Forecast Sep-26'!D:D,'SWiSH Demand Forecast Sep-26'!G:G,"Not Exist")</f>
        <v>10.964949136315701</v>
      </c>
    </row>
    <row r="1138" spans="1:46" x14ac:dyDescent="0.3">
      <c r="A1138">
        <v>101400043</v>
      </c>
      <c r="B1138" t="s">
        <v>3026</v>
      </c>
      <c r="C1138" t="s">
        <v>240</v>
      </c>
      <c r="D1138" t="s">
        <v>1613</v>
      </c>
      <c r="E1138" t="s">
        <v>3027</v>
      </c>
      <c r="F1138" t="s">
        <v>1644</v>
      </c>
      <c r="G1138" t="s">
        <v>1624</v>
      </c>
      <c r="H1138" t="s">
        <v>1693</v>
      </c>
      <c r="I1138" t="s">
        <v>1634</v>
      </c>
      <c r="J1138" t="s">
        <v>3028</v>
      </c>
      <c r="K1138">
        <v>0.80102041000000002</v>
      </c>
      <c r="L1138">
        <v>80.102041</v>
      </c>
      <c r="M1138" s="1">
        <v>3</v>
      </c>
      <c r="N1138">
        <v>0</v>
      </c>
      <c r="O1138">
        <v>0</v>
      </c>
      <c r="P1138">
        <v>100</v>
      </c>
      <c r="Q1138" s="1">
        <v>100</v>
      </c>
      <c r="R1138">
        <v>20</v>
      </c>
      <c r="S1138" s="2">
        <v>46158</v>
      </c>
      <c r="T1138" s="2">
        <v>46251</v>
      </c>
      <c r="U1138">
        <v>50</v>
      </c>
      <c r="V1138">
        <v>0</v>
      </c>
      <c r="W1138">
        <v>50</v>
      </c>
      <c r="X1138">
        <v>0</v>
      </c>
      <c r="Y1138">
        <v>0</v>
      </c>
      <c r="Z1138" s="8">
        <v>50</v>
      </c>
      <c r="AA1138">
        <v>25</v>
      </c>
      <c r="AB1138">
        <v>0</v>
      </c>
      <c r="AC1138">
        <v>2</v>
      </c>
      <c r="AD1138" s="1">
        <v>60</v>
      </c>
      <c r="AE1138" s="2">
        <v>46308</v>
      </c>
      <c r="AF1138" s="2">
        <v>46316</v>
      </c>
      <c r="AG1138" s="2">
        <v>46323</v>
      </c>
      <c r="AH1138">
        <v>25</v>
      </c>
      <c r="AI1138" s="3">
        <v>0.51724137931034486</v>
      </c>
      <c r="AJ1138" s="1">
        <v>116</v>
      </c>
      <c r="AK1138" s="2">
        <v>46379</v>
      </c>
      <c r="AL1138" s="4">
        <v>30</v>
      </c>
      <c r="AM1138" s="5">
        <v>15</v>
      </c>
      <c r="AN1138" s="4">
        <v>60</v>
      </c>
      <c r="AO1138">
        <v>25.862068965517242</v>
      </c>
      <c r="AP1138" s="4">
        <v>1</v>
      </c>
      <c r="AQ1138" t="s">
        <v>1619</v>
      </c>
      <c r="AR1138" t="s">
        <v>1620</v>
      </c>
      <c r="AT1138" s="16" t="str">
        <f>_xlfn.XLOOKUP(B1138,'SWiSH Demand Forecast Sep-26'!D:D,'SWiSH Demand Forecast Sep-26'!G:G,"Not Exist")</f>
        <v>Not Exist</v>
      </c>
    </row>
    <row r="1139" spans="1:46" x14ac:dyDescent="0.3">
      <c r="A1139">
        <v>106800238</v>
      </c>
      <c r="B1139" t="s">
        <v>3029</v>
      </c>
      <c r="C1139" t="s">
        <v>10</v>
      </c>
      <c r="D1139" t="s">
        <v>1613</v>
      </c>
      <c r="E1139" t="s">
        <v>1663</v>
      </c>
      <c r="F1139" t="s">
        <v>1664</v>
      </c>
      <c r="G1139" t="s">
        <v>1624</v>
      </c>
      <c r="H1139" t="s">
        <v>1665</v>
      </c>
      <c r="I1139" t="s">
        <v>1634</v>
      </c>
      <c r="J1139" t="s">
        <v>10</v>
      </c>
      <c r="K1139">
        <v>7.9738900000000008E-3</v>
      </c>
      <c r="L1139">
        <v>207.32114000000001</v>
      </c>
      <c r="M1139" s="1">
        <v>7</v>
      </c>
      <c r="N1139">
        <v>0</v>
      </c>
      <c r="O1139">
        <v>0</v>
      </c>
      <c r="P1139">
        <v>26000</v>
      </c>
      <c r="Q1139" s="1">
        <v>26000</v>
      </c>
      <c r="R1139">
        <v>8.0000000000000002E-3</v>
      </c>
      <c r="S1139" s="2">
        <v>46244</v>
      </c>
      <c r="T1139" s="2">
        <v>46258</v>
      </c>
      <c r="U1139">
        <v>13000</v>
      </c>
      <c r="V1139">
        <v>9000</v>
      </c>
      <c r="W1139">
        <v>7000</v>
      </c>
      <c r="X1139">
        <v>8000</v>
      </c>
      <c r="Y1139">
        <v>7000</v>
      </c>
      <c r="Z1139" s="8">
        <v>13000</v>
      </c>
      <c r="AA1139">
        <v>9250</v>
      </c>
      <c r="AB1139">
        <v>0.7567567567567568</v>
      </c>
      <c r="AC1139">
        <v>1.4054054054054055</v>
      </c>
      <c r="AD1139" s="1">
        <v>60</v>
      </c>
      <c r="AE1139" s="2">
        <v>46308</v>
      </c>
      <c r="AF1139" s="2">
        <v>46316</v>
      </c>
      <c r="AG1139" s="2">
        <v>46323</v>
      </c>
      <c r="AH1139">
        <v>6000</v>
      </c>
      <c r="AI1139" s="3">
        <v>0.47745358090185674</v>
      </c>
      <c r="AJ1139" s="1">
        <v>125</v>
      </c>
      <c r="AK1139" s="2">
        <v>46388</v>
      </c>
      <c r="AL1139" s="4">
        <v>30</v>
      </c>
      <c r="AM1139" s="5">
        <v>15</v>
      </c>
      <c r="AN1139" s="4">
        <v>60</v>
      </c>
      <c r="AO1139">
        <v>6206.8965517241377</v>
      </c>
      <c r="AP1139" s="4">
        <v>1</v>
      </c>
      <c r="AQ1139">
        <v>22000</v>
      </c>
      <c r="AR1139" t="s">
        <v>1829</v>
      </c>
      <c r="AT1139" s="16" t="str">
        <f>_xlfn.XLOOKUP(B1139,'SWiSH Demand Forecast Sep-26'!D:D,'SWiSH Demand Forecast Sep-26'!G:G,"Not Exist")</f>
        <v>Not Exist</v>
      </c>
    </row>
    <row r="1140" spans="1:46" x14ac:dyDescent="0.3">
      <c r="A1140">
        <v>101100007</v>
      </c>
      <c r="B1140" t="s">
        <v>3030</v>
      </c>
      <c r="C1140" t="s">
        <v>10</v>
      </c>
      <c r="D1140" t="s">
        <v>1675</v>
      </c>
      <c r="E1140" t="s">
        <v>1643</v>
      </c>
      <c r="F1140" t="s">
        <v>1650</v>
      </c>
      <c r="G1140" t="s">
        <v>1624</v>
      </c>
      <c r="H1140" t="s">
        <v>1953</v>
      </c>
      <c r="I1140" t="s">
        <v>1634</v>
      </c>
      <c r="J1140" t="e">
        <v>#N/A</v>
      </c>
      <c r="K1140">
        <v>10.74999302</v>
      </c>
      <c r="L1140">
        <v>42.999972079999999</v>
      </c>
      <c r="M1140" s="1">
        <v>3</v>
      </c>
      <c r="N1140">
        <v>0</v>
      </c>
      <c r="O1140">
        <v>0</v>
      </c>
      <c r="P1140">
        <v>4</v>
      </c>
      <c r="Q1140" s="1">
        <v>4</v>
      </c>
      <c r="R1140">
        <v>21.5</v>
      </c>
      <c r="S1140" s="2">
        <v>45568</v>
      </c>
      <c r="T1140" s="2">
        <v>46259</v>
      </c>
      <c r="U1140">
        <v>1</v>
      </c>
      <c r="V1140">
        <v>0</v>
      </c>
      <c r="W1140">
        <v>2</v>
      </c>
      <c r="X1140">
        <v>0</v>
      </c>
      <c r="Y1140">
        <v>0</v>
      </c>
      <c r="Z1140" s="8">
        <v>2</v>
      </c>
      <c r="AA1140">
        <v>0.75</v>
      </c>
      <c r="AB1140">
        <v>0</v>
      </c>
      <c r="AC1140">
        <v>2.6666666666666665</v>
      </c>
      <c r="AD1140" s="1">
        <v>60</v>
      </c>
      <c r="AE1140" s="2">
        <v>46308</v>
      </c>
      <c r="AF1140" s="2">
        <v>46316</v>
      </c>
      <c r="AG1140" s="2">
        <v>46323</v>
      </c>
      <c r="AH1140">
        <v>1</v>
      </c>
      <c r="AI1140" s="3">
        <v>0.51724137931034486</v>
      </c>
      <c r="AJ1140" s="1">
        <v>116</v>
      </c>
      <c r="AK1140" s="2">
        <v>46379</v>
      </c>
      <c r="AL1140" s="4" t="s">
        <v>1658</v>
      </c>
      <c r="AM1140" s="5" t="s">
        <v>1658</v>
      </c>
      <c r="AN1140" s="4">
        <v>60</v>
      </c>
      <c r="AO1140" t="s">
        <v>1635</v>
      </c>
      <c r="AP1140" s="4" t="s">
        <v>1658</v>
      </c>
      <c r="AQ1140" t="s">
        <v>1619</v>
      </c>
      <c r="AR1140" t="s">
        <v>1620</v>
      </c>
      <c r="AT1140" s="16" t="str">
        <f>_xlfn.XLOOKUP(B1140,'SWiSH Demand Forecast Sep-26'!D:D,'SWiSH Demand Forecast Sep-26'!G:G,"Not Exist")</f>
        <v>Not Exist</v>
      </c>
    </row>
    <row r="1141" spans="1:46" hidden="1" x14ac:dyDescent="0.3">
      <c r="A1141">
        <v>106600095</v>
      </c>
      <c r="B1141" t="s">
        <v>25</v>
      </c>
      <c r="C1141" t="s">
        <v>10</v>
      </c>
      <c r="D1141" t="s">
        <v>1613</v>
      </c>
      <c r="E1141" t="s">
        <v>1663</v>
      </c>
      <c r="F1141" t="s">
        <v>1664</v>
      </c>
      <c r="G1141" t="s">
        <v>1624</v>
      </c>
      <c r="H1141" t="s">
        <v>1723</v>
      </c>
      <c r="I1141" t="s">
        <v>1634</v>
      </c>
      <c r="J1141" t="s">
        <v>10</v>
      </c>
      <c r="K1141">
        <v>5.3706500000000003E-3</v>
      </c>
      <c r="L1141">
        <v>1664.3644350000002</v>
      </c>
      <c r="M1141" s="1">
        <v>15</v>
      </c>
      <c r="N1141">
        <v>0</v>
      </c>
      <c r="O1141">
        <v>0</v>
      </c>
      <c r="P1141">
        <v>309900</v>
      </c>
      <c r="Q1141" s="1">
        <v>309900</v>
      </c>
      <c r="R1141">
        <v>5.4000000000000003E-3</v>
      </c>
      <c r="S1141" s="2">
        <v>46240</v>
      </c>
      <c r="T1141" s="2">
        <v>46261</v>
      </c>
      <c r="U1141">
        <v>112000</v>
      </c>
      <c r="V1141">
        <v>148500</v>
      </c>
      <c r="W1141">
        <v>147350</v>
      </c>
      <c r="X1141">
        <v>154700</v>
      </c>
      <c r="Y1141">
        <v>112000</v>
      </c>
      <c r="Z1141" s="8">
        <v>154700</v>
      </c>
      <c r="AA1141">
        <v>140637.5</v>
      </c>
      <c r="AB1141">
        <v>0.79637365567505114</v>
      </c>
      <c r="AC1141">
        <v>1.0999911119011643</v>
      </c>
      <c r="AD1141" s="1">
        <v>60</v>
      </c>
      <c r="AE1141" s="2">
        <v>46308</v>
      </c>
      <c r="AF1141" s="2">
        <v>46316</v>
      </c>
      <c r="AG1141" s="2">
        <v>46323</v>
      </c>
      <c r="AH1141">
        <v>131900</v>
      </c>
      <c r="AI1141" s="3">
        <v>0.88201858992934035</v>
      </c>
      <c r="AJ1141" s="1">
        <v>68</v>
      </c>
      <c r="AK1141" s="2">
        <v>46331</v>
      </c>
      <c r="AL1141" s="4">
        <v>15</v>
      </c>
      <c r="AM1141" s="5">
        <v>15</v>
      </c>
      <c r="AN1141" s="4">
        <v>60</v>
      </c>
      <c r="AO1141">
        <v>68224.137931034478</v>
      </c>
      <c r="AP1141" s="4">
        <v>2</v>
      </c>
      <c r="AQ1141">
        <v>160000</v>
      </c>
      <c r="AR1141" t="s">
        <v>2034</v>
      </c>
      <c r="AT1141" s="16">
        <f>_xlfn.XLOOKUP(B1141,'SWiSH Demand Forecast Sep-26'!D:D,'SWiSH Demand Forecast Sep-26'!G:G,"Not Exist")</f>
        <v>101378</v>
      </c>
    </row>
    <row r="1142" spans="1:46" hidden="1" x14ac:dyDescent="0.3">
      <c r="A1142">
        <v>106800091</v>
      </c>
      <c r="B1142" t="s">
        <v>271</v>
      </c>
      <c r="C1142" t="s">
        <v>10</v>
      </c>
      <c r="D1142" t="s">
        <v>1613</v>
      </c>
      <c r="E1142" t="s">
        <v>1655</v>
      </c>
      <c r="F1142" t="s">
        <v>1664</v>
      </c>
      <c r="G1142" t="s">
        <v>1624</v>
      </c>
      <c r="H1142" t="s">
        <v>1665</v>
      </c>
      <c r="I1142" t="s">
        <v>1634</v>
      </c>
      <c r="J1142" t="s">
        <v>10</v>
      </c>
      <c r="K1142">
        <v>4.89953E-3</v>
      </c>
      <c r="L1142">
        <v>117.58872</v>
      </c>
      <c r="M1142" s="1">
        <v>7</v>
      </c>
      <c r="N1142">
        <v>0</v>
      </c>
      <c r="O1142">
        <v>0</v>
      </c>
      <c r="P1142">
        <v>24000</v>
      </c>
      <c r="Q1142" s="1">
        <v>24000</v>
      </c>
      <c r="R1142">
        <v>5.0000000000000001E-3</v>
      </c>
      <c r="S1142" s="2">
        <v>46125</v>
      </c>
      <c r="T1142" s="2">
        <v>46261</v>
      </c>
      <c r="U1142">
        <v>12000</v>
      </c>
      <c r="V1142">
        <v>9000</v>
      </c>
      <c r="W1142">
        <v>8000</v>
      </c>
      <c r="X1142">
        <v>2000</v>
      </c>
      <c r="Y1142">
        <v>2000</v>
      </c>
      <c r="Z1142" s="8">
        <v>12000</v>
      </c>
      <c r="AA1142">
        <v>7750</v>
      </c>
      <c r="AB1142">
        <v>0.25806451612903225</v>
      </c>
      <c r="AC1142">
        <v>1.5483870967741935</v>
      </c>
      <c r="AD1142" s="1">
        <v>60</v>
      </c>
      <c r="AE1142" s="2">
        <v>46308</v>
      </c>
      <c r="AF1142" s="2">
        <v>46316</v>
      </c>
      <c r="AG1142" s="2">
        <v>46323</v>
      </c>
      <c r="AH1142">
        <v>5000</v>
      </c>
      <c r="AI1142" s="3">
        <v>0.43103448275862072</v>
      </c>
      <c r="AJ1142" s="1">
        <v>139</v>
      </c>
      <c r="AK1142" s="2">
        <v>46402</v>
      </c>
      <c r="AL1142" s="4">
        <v>30</v>
      </c>
      <c r="AM1142" s="5">
        <v>15</v>
      </c>
      <c r="AN1142" s="4">
        <v>60</v>
      </c>
      <c r="AO1142">
        <v>5172.4137931034484</v>
      </c>
      <c r="AP1142" s="4">
        <v>1</v>
      </c>
      <c r="AQ1142">
        <v>55000</v>
      </c>
      <c r="AR1142" t="s">
        <v>1829</v>
      </c>
      <c r="AT1142" s="16">
        <f>_xlfn.XLOOKUP(B1142,'SWiSH Demand Forecast Sep-26'!D:D,'SWiSH Demand Forecast Sep-26'!G:G,"Not Exist")</f>
        <v>5824</v>
      </c>
    </row>
    <row r="1143" spans="1:46" x14ac:dyDescent="0.3">
      <c r="A1143">
        <v>107000001</v>
      </c>
      <c r="B1143" t="s">
        <v>3031</v>
      </c>
      <c r="C1143" t="s">
        <v>10</v>
      </c>
      <c r="D1143" t="s">
        <v>1613</v>
      </c>
      <c r="E1143" t="s">
        <v>3032</v>
      </c>
      <c r="F1143" t="s">
        <v>1631</v>
      </c>
      <c r="G1143" t="s">
        <v>1624</v>
      </c>
      <c r="H1143" t="s">
        <v>2305</v>
      </c>
      <c r="I1143" t="s">
        <v>1634</v>
      </c>
      <c r="J1143" t="s">
        <v>2306</v>
      </c>
      <c r="K1143">
        <v>2.3270299999999999E-3</v>
      </c>
      <c r="L1143">
        <v>9.0754169999999998</v>
      </c>
      <c r="M1143" s="1">
        <v>3</v>
      </c>
      <c r="N1143">
        <v>0</v>
      </c>
      <c r="O1143">
        <v>0</v>
      </c>
      <c r="P1143">
        <v>3900</v>
      </c>
      <c r="Q1143" s="1">
        <v>3900</v>
      </c>
      <c r="R1143">
        <v>12.5</v>
      </c>
      <c r="S1143" s="2">
        <v>46057</v>
      </c>
      <c r="T1143" s="2">
        <v>46262</v>
      </c>
      <c r="U1143">
        <v>800</v>
      </c>
      <c r="V1143">
        <v>1950</v>
      </c>
      <c r="W1143">
        <v>1850</v>
      </c>
      <c r="X1143">
        <v>1400</v>
      </c>
      <c r="Y1143">
        <v>800</v>
      </c>
      <c r="Z1143" s="8">
        <v>1950</v>
      </c>
      <c r="AA1143">
        <v>1500</v>
      </c>
      <c r="AB1143">
        <v>0.53333333333333333</v>
      </c>
      <c r="AC1143">
        <v>1.3</v>
      </c>
      <c r="AD1143" s="1">
        <v>60</v>
      </c>
      <c r="AE1143" s="2">
        <v>46308</v>
      </c>
      <c r="AF1143" s="2">
        <v>46316</v>
      </c>
      <c r="AG1143" s="2">
        <v>46323</v>
      </c>
      <c r="AH1143">
        <v>1200</v>
      </c>
      <c r="AI1143" s="3">
        <v>0.6366047745358091</v>
      </c>
      <c r="AJ1143" s="1">
        <v>94</v>
      </c>
      <c r="AK1143" s="2">
        <v>46357</v>
      </c>
      <c r="AL1143" s="4">
        <v>30</v>
      </c>
      <c r="AM1143" s="5">
        <v>15</v>
      </c>
      <c r="AN1143" s="4">
        <v>60</v>
      </c>
      <c r="AO1143">
        <v>1241.3793103448277</v>
      </c>
      <c r="AP1143" s="4">
        <v>1</v>
      </c>
      <c r="AQ1143" t="s">
        <v>1619</v>
      </c>
      <c r="AR1143" t="s">
        <v>1620</v>
      </c>
      <c r="AT1143" s="16" t="str">
        <f>_xlfn.XLOOKUP(B1143,'SWiSH Demand Forecast Sep-26'!D:D,'SWiSH Demand Forecast Sep-26'!G:G,"Not Exist")</f>
        <v>Not Exist</v>
      </c>
    </row>
    <row r="1144" spans="1:46" hidden="1" x14ac:dyDescent="0.3">
      <c r="A1144">
        <v>100400103</v>
      </c>
      <c r="B1144" t="s">
        <v>298</v>
      </c>
      <c r="C1144" t="s">
        <v>10</v>
      </c>
      <c r="D1144" t="s">
        <v>1613</v>
      </c>
      <c r="E1144" t="s">
        <v>1638</v>
      </c>
      <c r="F1144" t="s">
        <v>1664</v>
      </c>
      <c r="G1144" t="s">
        <v>1624</v>
      </c>
      <c r="H1144" t="s">
        <v>1810</v>
      </c>
      <c r="I1144" t="s">
        <v>1634</v>
      </c>
      <c r="J1144" t="s">
        <v>10</v>
      </c>
      <c r="K1144">
        <v>3.4644729999999999E-2</v>
      </c>
      <c r="L1144">
        <v>848.795885</v>
      </c>
      <c r="M1144" s="1">
        <v>30</v>
      </c>
      <c r="N1144">
        <v>0</v>
      </c>
      <c r="O1144">
        <v>0</v>
      </c>
      <c r="P1144">
        <v>24500</v>
      </c>
      <c r="Q1144" s="1">
        <v>24500</v>
      </c>
      <c r="R1144">
        <v>3.5000000000000003E-2</v>
      </c>
      <c r="S1144" s="2">
        <v>46214</v>
      </c>
      <c r="T1144" s="2">
        <v>46263</v>
      </c>
      <c r="U1144">
        <v>11200</v>
      </c>
      <c r="V1144">
        <v>12250</v>
      </c>
      <c r="W1144">
        <v>12250</v>
      </c>
      <c r="X1144">
        <v>11200</v>
      </c>
      <c r="Y1144">
        <v>11200</v>
      </c>
      <c r="Z1144" s="8">
        <v>12250</v>
      </c>
      <c r="AA1144">
        <v>11725</v>
      </c>
      <c r="AB1144">
        <v>0.95522388059701491</v>
      </c>
      <c r="AC1144">
        <v>1.044776119402985</v>
      </c>
      <c r="AD1144" s="1">
        <v>60</v>
      </c>
      <c r="AE1144" s="2">
        <v>46308</v>
      </c>
      <c r="AF1144" s="2">
        <v>46316</v>
      </c>
      <c r="AG1144" s="2">
        <v>46323</v>
      </c>
      <c r="AH1144">
        <v>10150</v>
      </c>
      <c r="AI1144" s="3">
        <v>0.8571428571428571</v>
      </c>
      <c r="AJ1144" s="1">
        <v>70</v>
      </c>
      <c r="AK1144" s="2">
        <v>46333</v>
      </c>
      <c r="AL1144" s="4">
        <v>30</v>
      </c>
      <c r="AM1144" s="5">
        <v>15</v>
      </c>
      <c r="AN1144" s="4">
        <v>60</v>
      </c>
      <c r="AO1144">
        <v>10500</v>
      </c>
      <c r="AP1144" s="4">
        <v>1</v>
      </c>
      <c r="AQ1144">
        <v>27550</v>
      </c>
      <c r="AR1144" t="s">
        <v>2202</v>
      </c>
      <c r="AT1144" s="16">
        <f>_xlfn.XLOOKUP(B1144,'SWiSH Demand Forecast Sep-26'!D:D,'SWiSH Demand Forecast Sep-26'!G:G,"Not Exist")</f>
        <v>5012</v>
      </c>
    </row>
    <row r="1145" spans="1:46" hidden="1" x14ac:dyDescent="0.3">
      <c r="A1145">
        <v>106800241</v>
      </c>
      <c r="B1145" t="s">
        <v>339</v>
      </c>
      <c r="C1145" t="s">
        <v>10</v>
      </c>
      <c r="D1145" t="s">
        <v>1613</v>
      </c>
      <c r="E1145" t="s">
        <v>1663</v>
      </c>
      <c r="F1145" t="s">
        <v>1664</v>
      </c>
      <c r="G1145" t="s">
        <v>1624</v>
      </c>
      <c r="H1145" t="s">
        <v>1665</v>
      </c>
      <c r="I1145" t="s">
        <v>1634</v>
      </c>
      <c r="J1145" t="s">
        <v>10</v>
      </c>
      <c r="K1145">
        <v>3.0000000000000001E-3</v>
      </c>
      <c r="L1145">
        <v>52.5</v>
      </c>
      <c r="M1145" s="1">
        <v>15</v>
      </c>
      <c r="N1145">
        <v>0</v>
      </c>
      <c r="O1145">
        <v>2500</v>
      </c>
      <c r="P1145">
        <v>17500</v>
      </c>
      <c r="Q1145" s="1">
        <v>15000</v>
      </c>
      <c r="R1145">
        <v>3.0000000000000001E-3</v>
      </c>
      <c r="S1145" s="2">
        <v>46089</v>
      </c>
      <c r="T1145" s="2">
        <v>46256</v>
      </c>
      <c r="U1145">
        <v>2500</v>
      </c>
      <c r="V1145">
        <v>4500</v>
      </c>
      <c r="W1145">
        <v>0</v>
      </c>
      <c r="X1145">
        <v>7500</v>
      </c>
      <c r="Y1145">
        <v>0</v>
      </c>
      <c r="Z1145" s="8">
        <v>7500</v>
      </c>
      <c r="AA1145">
        <v>3625</v>
      </c>
      <c r="AB1145">
        <v>0</v>
      </c>
      <c r="AC1145">
        <v>2.0689655172413794</v>
      </c>
      <c r="AD1145" s="1">
        <v>60</v>
      </c>
      <c r="AE1145" s="2">
        <v>46308</v>
      </c>
      <c r="AF1145" s="2">
        <v>46316</v>
      </c>
      <c r="AG1145" s="2">
        <v>46323</v>
      </c>
      <c r="AH1145">
        <v>2500</v>
      </c>
      <c r="AI1145" s="3">
        <v>0.34482758620689657</v>
      </c>
      <c r="AJ1145" s="1">
        <v>174</v>
      </c>
      <c r="AK1145" s="2">
        <v>46437</v>
      </c>
      <c r="AL1145" s="4">
        <v>30</v>
      </c>
      <c r="AM1145" s="5">
        <v>15</v>
      </c>
      <c r="AN1145" s="4">
        <v>60</v>
      </c>
      <c r="AO1145">
        <v>2586.2068965517242</v>
      </c>
      <c r="AP1145" s="4">
        <v>1</v>
      </c>
      <c r="AQ1145" t="s">
        <v>1619</v>
      </c>
      <c r="AR1145" t="s">
        <v>1620</v>
      </c>
      <c r="AT1145" s="16">
        <f>_xlfn.XLOOKUP(B1145,'SWiSH Demand Forecast Sep-26'!D:D,'SWiSH Demand Forecast Sep-26'!G:G,"Not Exist")</f>
        <v>3862</v>
      </c>
    </row>
    <row r="1146" spans="1:46" hidden="1" x14ac:dyDescent="0.3">
      <c r="A1146">
        <v>107400057</v>
      </c>
      <c r="B1146" t="s">
        <v>175</v>
      </c>
      <c r="C1146" t="s">
        <v>10</v>
      </c>
      <c r="D1146" t="s">
        <v>1613</v>
      </c>
      <c r="E1146" t="s">
        <v>2147</v>
      </c>
      <c r="F1146" t="s">
        <v>1664</v>
      </c>
      <c r="G1146" t="s">
        <v>1624</v>
      </c>
      <c r="H1146" t="s">
        <v>2016</v>
      </c>
      <c r="I1146" t="s">
        <v>1634</v>
      </c>
      <c r="J1146" t="s">
        <v>10</v>
      </c>
      <c r="K1146">
        <v>4.0000000000000001E-3</v>
      </c>
      <c r="L1146">
        <v>344</v>
      </c>
      <c r="M1146" s="1">
        <v>15</v>
      </c>
      <c r="N1146">
        <v>0</v>
      </c>
      <c r="O1146">
        <v>0</v>
      </c>
      <c r="P1146">
        <v>86000</v>
      </c>
      <c r="Q1146" s="1">
        <v>86000</v>
      </c>
      <c r="R1146">
        <v>6.0000000000000001E-3</v>
      </c>
      <c r="S1146" s="2">
        <v>46253</v>
      </c>
      <c r="T1146" s="2">
        <v>46258</v>
      </c>
      <c r="U1146">
        <v>36000</v>
      </c>
      <c r="V1146">
        <v>42000</v>
      </c>
      <c r="W1146">
        <v>17000</v>
      </c>
      <c r="X1146">
        <v>16000</v>
      </c>
      <c r="Y1146">
        <v>16000</v>
      </c>
      <c r="Z1146" s="8">
        <v>42000</v>
      </c>
      <c r="AA1146">
        <v>27750</v>
      </c>
      <c r="AB1146">
        <v>0.57657657657657657</v>
      </c>
      <c r="AC1146">
        <v>1.5135135135135136</v>
      </c>
      <c r="AD1146" s="1">
        <v>61</v>
      </c>
      <c r="AE1146" s="2">
        <v>46309</v>
      </c>
      <c r="AF1146" s="2">
        <v>46317</v>
      </c>
      <c r="AG1146" s="2">
        <v>46324</v>
      </c>
      <c r="AH1146">
        <v>18000</v>
      </c>
      <c r="AI1146" s="3">
        <v>0.44334975369458124</v>
      </c>
      <c r="AJ1146" s="1">
        <v>138</v>
      </c>
      <c r="AK1146" s="2">
        <v>46401</v>
      </c>
      <c r="AL1146" s="4">
        <v>30</v>
      </c>
      <c r="AM1146" s="5">
        <v>15</v>
      </c>
      <c r="AN1146" s="4">
        <v>61</v>
      </c>
      <c r="AO1146">
        <v>18620.689655172413</v>
      </c>
      <c r="AP1146" s="4">
        <v>1</v>
      </c>
      <c r="AQ1146">
        <v>50000</v>
      </c>
      <c r="AR1146" t="s">
        <v>2034</v>
      </c>
      <c r="AT1146" s="16">
        <f>_xlfn.XLOOKUP(B1146,'SWiSH Demand Forecast Sep-26'!D:D,'SWiSH Demand Forecast Sep-26'!G:G,"Not Exist")</f>
        <v>10046</v>
      </c>
    </row>
    <row r="1147" spans="1:46" hidden="1" x14ac:dyDescent="0.3">
      <c r="A1147">
        <v>103700133</v>
      </c>
      <c r="B1147" t="s">
        <v>1518</v>
      </c>
      <c r="C1147" t="s">
        <v>136</v>
      </c>
      <c r="D1147" t="s">
        <v>1613</v>
      </c>
      <c r="E1147" t="s">
        <v>1732</v>
      </c>
      <c r="F1147" t="s">
        <v>1615</v>
      </c>
      <c r="G1147" t="s">
        <v>1616</v>
      </c>
      <c r="H1147" t="s">
        <v>1617</v>
      </c>
      <c r="I1147" t="s">
        <v>1618</v>
      </c>
      <c r="J1147" t="s">
        <v>1858</v>
      </c>
      <c r="K1147">
        <v>21.67400881</v>
      </c>
      <c r="L1147">
        <v>221.39999999414999</v>
      </c>
      <c r="M1147" s="1">
        <v>3</v>
      </c>
      <c r="N1147">
        <v>0</v>
      </c>
      <c r="O1147">
        <v>0</v>
      </c>
      <c r="P1147">
        <v>10.215</v>
      </c>
      <c r="Q1147" s="1">
        <v>10.215</v>
      </c>
      <c r="R1147">
        <v>24.6</v>
      </c>
      <c r="S1147" s="2">
        <v>46257</v>
      </c>
      <c r="T1147" s="2">
        <v>46257</v>
      </c>
      <c r="U1147">
        <v>4.3130000000000006</v>
      </c>
      <c r="V1147">
        <v>2.9510000000000001</v>
      </c>
      <c r="W1147">
        <v>4.9940000000000007</v>
      </c>
      <c r="X1147">
        <v>3.1780000000000004</v>
      </c>
      <c r="Y1147">
        <v>2.9510000000000001</v>
      </c>
      <c r="Z1147" s="8">
        <v>4.9940000000000007</v>
      </c>
      <c r="AA1147">
        <v>3.8590000000000009</v>
      </c>
      <c r="AB1147">
        <v>0.76470588235294101</v>
      </c>
      <c r="AC1147">
        <v>1.2941176470588234</v>
      </c>
      <c r="AD1147" s="1">
        <v>61</v>
      </c>
      <c r="AE1147" s="2">
        <v>46309</v>
      </c>
      <c r="AF1147" s="2">
        <v>46317</v>
      </c>
      <c r="AG1147" s="2">
        <v>46324</v>
      </c>
      <c r="AH1147">
        <v>4.9940000000000007</v>
      </c>
      <c r="AI1147" s="3">
        <v>1.0344827586206897</v>
      </c>
      <c r="AJ1147" s="1">
        <v>59</v>
      </c>
      <c r="AK1147" s="2">
        <v>46322</v>
      </c>
      <c r="AL1147" s="4">
        <v>30</v>
      </c>
      <c r="AM1147" s="5">
        <v>15</v>
      </c>
      <c r="AN1147" s="4">
        <v>59</v>
      </c>
      <c r="AO1147">
        <v>5.1662068965517252</v>
      </c>
      <c r="AP1147" s="4">
        <v>1</v>
      </c>
      <c r="AQ1147" t="s">
        <v>1619</v>
      </c>
      <c r="AR1147" t="s">
        <v>1620</v>
      </c>
      <c r="AT1147" s="16">
        <f>_xlfn.XLOOKUP(B1147,'SWiSH Demand Forecast Sep-26'!D:D,'SWiSH Demand Forecast Sep-26'!G:G,"Not Exist")</f>
        <v>1.7082763313462801</v>
      </c>
    </row>
    <row r="1148" spans="1:46" hidden="1" x14ac:dyDescent="0.3">
      <c r="A1148">
        <v>101600089</v>
      </c>
      <c r="B1148" t="s">
        <v>121</v>
      </c>
      <c r="C1148" t="s">
        <v>10</v>
      </c>
      <c r="D1148" t="s">
        <v>1613</v>
      </c>
      <c r="E1148" t="s">
        <v>1796</v>
      </c>
      <c r="F1148" t="s">
        <v>1664</v>
      </c>
      <c r="G1148" t="s">
        <v>1624</v>
      </c>
      <c r="H1148" t="s">
        <v>1768</v>
      </c>
      <c r="I1148" t="s">
        <v>1634</v>
      </c>
      <c r="J1148" t="s">
        <v>10</v>
      </c>
      <c r="K1148">
        <v>3.2500000000000001E-2</v>
      </c>
      <c r="L1148">
        <v>988</v>
      </c>
      <c r="M1148" s="1">
        <v>15</v>
      </c>
      <c r="N1148">
        <v>0</v>
      </c>
      <c r="O1148">
        <v>0</v>
      </c>
      <c r="P1148">
        <v>30400</v>
      </c>
      <c r="Q1148" s="1">
        <v>30400</v>
      </c>
      <c r="R1148">
        <v>13</v>
      </c>
      <c r="S1148" s="2">
        <v>46247</v>
      </c>
      <c r="T1148" s="2">
        <v>46263</v>
      </c>
      <c r="U1148">
        <v>8000</v>
      </c>
      <c r="V1148">
        <v>14800</v>
      </c>
      <c r="W1148">
        <v>11200</v>
      </c>
      <c r="X1148">
        <v>10400</v>
      </c>
      <c r="Y1148">
        <v>8000</v>
      </c>
      <c r="Z1148" s="8">
        <v>14800</v>
      </c>
      <c r="AA1148">
        <v>11100</v>
      </c>
      <c r="AB1148">
        <v>0.72072072072072069</v>
      </c>
      <c r="AC1148">
        <v>1.3333333333333333</v>
      </c>
      <c r="AD1148" s="1">
        <v>61</v>
      </c>
      <c r="AE1148" s="2">
        <v>46309</v>
      </c>
      <c r="AF1148" s="2">
        <v>46317</v>
      </c>
      <c r="AG1148" s="2">
        <v>46324</v>
      </c>
      <c r="AH1148">
        <v>22400</v>
      </c>
      <c r="AI1148" s="3">
        <v>1.565703634669152</v>
      </c>
      <c r="AJ1148" s="1">
        <v>39</v>
      </c>
      <c r="AK1148" s="2">
        <v>46302</v>
      </c>
      <c r="AL1148" s="4">
        <v>30</v>
      </c>
      <c r="AM1148" s="5">
        <v>15</v>
      </c>
      <c r="AN1148" s="4">
        <v>39</v>
      </c>
      <c r="AO1148">
        <v>23172.413793103449</v>
      </c>
      <c r="AP1148" s="4">
        <v>1</v>
      </c>
      <c r="AQ1148">
        <v>40</v>
      </c>
      <c r="AR1148" t="s">
        <v>2146</v>
      </c>
      <c r="AS1148" t="s">
        <v>1666</v>
      </c>
      <c r="AT1148" s="16">
        <f>_xlfn.XLOOKUP(B1148,'SWiSH Demand Forecast Sep-26'!D:D,'SWiSH Demand Forecast Sep-26'!G:G,"Not Exist")</f>
        <v>15537</v>
      </c>
    </row>
    <row r="1149" spans="1:46" hidden="1" x14ac:dyDescent="0.3">
      <c r="A1149">
        <v>101200050</v>
      </c>
      <c r="B1149" t="s">
        <v>1380</v>
      </c>
      <c r="C1149" t="s">
        <v>136</v>
      </c>
      <c r="D1149" t="s">
        <v>1613</v>
      </c>
      <c r="E1149" t="s">
        <v>1655</v>
      </c>
      <c r="F1149" t="s">
        <v>1615</v>
      </c>
      <c r="G1149" t="s">
        <v>1616</v>
      </c>
      <c r="H1149" t="s">
        <v>1625</v>
      </c>
      <c r="I1149" t="s">
        <v>1618</v>
      </c>
      <c r="J1149" t="s">
        <v>136</v>
      </c>
      <c r="K1149">
        <v>5.8084117800000001</v>
      </c>
      <c r="L1149">
        <v>620.18410668712318</v>
      </c>
      <c r="M1149" s="1">
        <v>3</v>
      </c>
      <c r="N1149">
        <v>0</v>
      </c>
      <c r="O1149">
        <v>0.42500000000000004</v>
      </c>
      <c r="P1149">
        <v>106.77343999999999</v>
      </c>
      <c r="Q1149" s="1">
        <v>106.34844</v>
      </c>
      <c r="R1149">
        <v>16.25</v>
      </c>
      <c r="S1149" s="2">
        <v>46263</v>
      </c>
      <c r="T1149" s="2">
        <v>46262</v>
      </c>
      <c r="U1149">
        <v>37.428999999999981</v>
      </c>
      <c r="V1149">
        <v>45.138999999999982</v>
      </c>
      <c r="W1149">
        <v>50.808999999999955</v>
      </c>
      <c r="X1149">
        <v>49.220999999999947</v>
      </c>
      <c r="Y1149">
        <v>37.428999999999981</v>
      </c>
      <c r="Z1149" s="8">
        <v>50.808999999999955</v>
      </c>
      <c r="AA1149">
        <v>45.649499999999961</v>
      </c>
      <c r="AB1149">
        <v>0.81992135729854687</v>
      </c>
      <c r="AC1149">
        <v>1.1130242390387628</v>
      </c>
      <c r="AD1149" s="1">
        <v>62</v>
      </c>
      <c r="AE1149" s="2">
        <v>46310</v>
      </c>
      <c r="AF1149" s="2">
        <v>46318</v>
      </c>
      <c r="AG1149" s="2">
        <v>46325</v>
      </c>
      <c r="AH1149">
        <v>63.991000000000042</v>
      </c>
      <c r="AI1149" s="3">
        <v>1.30287126703727</v>
      </c>
      <c r="AJ1149" s="1">
        <v>48</v>
      </c>
      <c r="AK1149" s="2">
        <v>46311</v>
      </c>
      <c r="AL1149" s="4">
        <v>30</v>
      </c>
      <c r="AM1149" s="5">
        <v>15</v>
      </c>
      <c r="AN1149" s="4">
        <v>48</v>
      </c>
      <c r="AO1149">
        <v>66.197586206896588</v>
      </c>
      <c r="AP1149" s="4">
        <v>1</v>
      </c>
      <c r="AQ1149" t="s">
        <v>1619</v>
      </c>
      <c r="AR1149" t="s">
        <v>1620</v>
      </c>
      <c r="AT1149" s="16">
        <f>_xlfn.XLOOKUP(B1149,'SWiSH Demand Forecast Sep-26'!D:D,'SWiSH Demand Forecast Sep-26'!G:G,"Not Exist")</f>
        <v>17.447392343053199</v>
      </c>
    </row>
    <row r="1150" spans="1:46" hidden="1" x14ac:dyDescent="0.3">
      <c r="A1150">
        <v>106800317</v>
      </c>
      <c r="B1150" t="s">
        <v>370</v>
      </c>
      <c r="C1150" t="s">
        <v>10</v>
      </c>
      <c r="D1150" t="s">
        <v>1613</v>
      </c>
      <c r="E1150" t="s">
        <v>1701</v>
      </c>
      <c r="F1150" t="s">
        <v>1664</v>
      </c>
      <c r="G1150" t="s">
        <v>1624</v>
      </c>
      <c r="H1150" t="s">
        <v>1665</v>
      </c>
      <c r="I1150" t="s">
        <v>1634</v>
      </c>
      <c r="J1150" t="s">
        <v>10</v>
      </c>
      <c r="K1150">
        <v>3.2973299999999998E-3</v>
      </c>
      <c r="L1150">
        <v>75.838589999999996</v>
      </c>
      <c r="M1150" s="1">
        <v>7</v>
      </c>
      <c r="N1150">
        <v>0</v>
      </c>
      <c r="O1150">
        <v>0</v>
      </c>
      <c r="P1150">
        <v>23000</v>
      </c>
      <c r="Q1150" s="1">
        <v>23000</v>
      </c>
      <c r="R1150">
        <v>3.0000000000000001E-3</v>
      </c>
      <c r="S1150" s="2">
        <v>46235</v>
      </c>
      <c r="T1150" s="2">
        <v>46252</v>
      </c>
      <c r="U1150">
        <v>9000</v>
      </c>
      <c r="V1150">
        <v>11000</v>
      </c>
      <c r="W1150">
        <v>5000</v>
      </c>
      <c r="X1150">
        <v>7000</v>
      </c>
      <c r="Y1150">
        <v>5000</v>
      </c>
      <c r="Z1150" s="8">
        <v>11000</v>
      </c>
      <c r="AA1150">
        <v>8000</v>
      </c>
      <c r="AB1150">
        <v>0.625</v>
      </c>
      <c r="AC1150">
        <v>1.375</v>
      </c>
      <c r="AD1150" s="1">
        <v>62</v>
      </c>
      <c r="AE1150" s="2">
        <v>46310</v>
      </c>
      <c r="AF1150" s="2">
        <v>46318</v>
      </c>
      <c r="AG1150" s="2">
        <v>46325</v>
      </c>
      <c r="AH1150">
        <v>5000</v>
      </c>
      <c r="AI1150" s="3">
        <v>0.47021943573667713</v>
      </c>
      <c r="AJ1150" s="1">
        <v>133</v>
      </c>
      <c r="AK1150" s="2">
        <v>46396</v>
      </c>
      <c r="AL1150" s="4">
        <v>30</v>
      </c>
      <c r="AM1150" s="5">
        <v>15</v>
      </c>
      <c r="AN1150" s="4">
        <v>62</v>
      </c>
      <c r="AO1150">
        <v>5172.4137931034484</v>
      </c>
      <c r="AP1150" s="4">
        <v>1</v>
      </c>
      <c r="AQ1150">
        <v>30000</v>
      </c>
      <c r="AR1150" t="s">
        <v>1829</v>
      </c>
      <c r="AT1150" s="16">
        <f>_xlfn.XLOOKUP(B1150,'SWiSH Demand Forecast Sep-26'!D:D,'SWiSH Demand Forecast Sep-26'!G:G,"Not Exist")</f>
        <v>3206</v>
      </c>
    </row>
    <row r="1151" spans="1:46" x14ac:dyDescent="0.3">
      <c r="A1151">
        <v>106800130</v>
      </c>
      <c r="B1151" t="s">
        <v>3033</v>
      </c>
      <c r="C1151" t="s">
        <v>10</v>
      </c>
      <c r="D1151" t="s">
        <v>1613</v>
      </c>
      <c r="E1151" t="s">
        <v>1638</v>
      </c>
      <c r="F1151" t="s">
        <v>1664</v>
      </c>
      <c r="G1151" t="s">
        <v>1624</v>
      </c>
      <c r="H1151" t="s">
        <v>1665</v>
      </c>
      <c r="I1151" t="s">
        <v>1634</v>
      </c>
      <c r="J1151" t="s">
        <v>10</v>
      </c>
      <c r="K1151">
        <v>5.0000000000000001E-3</v>
      </c>
      <c r="L1151">
        <v>287.5</v>
      </c>
      <c r="M1151" s="1">
        <v>15</v>
      </c>
      <c r="N1151">
        <v>0</v>
      </c>
      <c r="O1151">
        <v>0</v>
      </c>
      <c r="P1151">
        <v>57500</v>
      </c>
      <c r="Q1151" s="1">
        <v>57500</v>
      </c>
      <c r="R1151">
        <v>5.0000000000000001E-3</v>
      </c>
      <c r="S1151" s="2">
        <v>46179</v>
      </c>
      <c r="T1151" s="2">
        <v>46262</v>
      </c>
      <c r="U1151">
        <v>27500</v>
      </c>
      <c r="V1151">
        <v>5000</v>
      </c>
      <c r="W1151">
        <v>10000</v>
      </c>
      <c r="X1151">
        <v>2500</v>
      </c>
      <c r="Y1151">
        <v>2500</v>
      </c>
      <c r="Z1151" s="8">
        <v>27500</v>
      </c>
      <c r="AA1151">
        <v>11250</v>
      </c>
      <c r="AB1151">
        <v>0.22222222222222221</v>
      </c>
      <c r="AC1151">
        <v>2.4444444444444446</v>
      </c>
      <c r="AD1151" s="1">
        <v>62</v>
      </c>
      <c r="AE1151" s="2">
        <v>46310</v>
      </c>
      <c r="AF1151" s="2">
        <v>46318</v>
      </c>
      <c r="AG1151" s="2">
        <v>46325</v>
      </c>
      <c r="AH1151">
        <v>20000</v>
      </c>
      <c r="AI1151" s="3">
        <v>0.75235109717868343</v>
      </c>
      <c r="AJ1151" s="1">
        <v>83</v>
      </c>
      <c r="AK1151" s="2">
        <v>46346</v>
      </c>
      <c r="AL1151" s="4">
        <v>30</v>
      </c>
      <c r="AM1151" s="5">
        <v>15</v>
      </c>
      <c r="AN1151" s="4">
        <v>62</v>
      </c>
      <c r="AO1151">
        <v>20689.655172413793</v>
      </c>
      <c r="AP1151" s="4">
        <v>1</v>
      </c>
      <c r="AQ1151" t="s">
        <v>1619</v>
      </c>
      <c r="AR1151" t="s">
        <v>1620</v>
      </c>
      <c r="AT1151" s="16" t="str">
        <f>_xlfn.XLOOKUP(B1151,'SWiSH Demand Forecast Sep-26'!D:D,'SWiSH Demand Forecast Sep-26'!G:G,"Not Exist")</f>
        <v>Not Exist</v>
      </c>
    </row>
    <row r="1152" spans="1:46" hidden="1" x14ac:dyDescent="0.3">
      <c r="A1152">
        <v>100700020</v>
      </c>
      <c r="B1152" t="s">
        <v>1570</v>
      </c>
      <c r="C1152" t="s">
        <v>136</v>
      </c>
      <c r="D1152" t="s">
        <v>1613</v>
      </c>
      <c r="E1152" t="s">
        <v>3034</v>
      </c>
      <c r="F1152" t="s">
        <v>1875</v>
      </c>
      <c r="G1152" t="s">
        <v>1616</v>
      </c>
      <c r="H1152" t="s">
        <v>1867</v>
      </c>
      <c r="I1152" t="s">
        <v>1618</v>
      </c>
      <c r="J1152" t="s">
        <v>1919</v>
      </c>
      <c r="K1152">
        <v>2.4038461500000001</v>
      </c>
      <c r="L1152">
        <v>929.99999851200005</v>
      </c>
      <c r="M1152" s="1">
        <v>3</v>
      </c>
      <c r="N1152">
        <v>0</v>
      </c>
      <c r="O1152">
        <v>12.48</v>
      </c>
      <c r="P1152">
        <v>386.88</v>
      </c>
      <c r="Q1152" s="1">
        <v>374.4</v>
      </c>
      <c r="R1152">
        <v>2.4038499999999998</v>
      </c>
      <c r="S1152" s="2">
        <v>45968</v>
      </c>
      <c r="T1152" s="2">
        <v>46263</v>
      </c>
      <c r="U1152">
        <v>179.92000000000002</v>
      </c>
      <c r="V1152">
        <v>118.55999999999997</v>
      </c>
      <c r="W1152">
        <v>87.36</v>
      </c>
      <c r="X1152">
        <v>174.72000000000006</v>
      </c>
      <c r="Y1152">
        <v>87.36</v>
      </c>
      <c r="Z1152" s="8">
        <v>179.92000000000002</v>
      </c>
      <c r="AA1152">
        <v>140.14000000000001</v>
      </c>
      <c r="AB1152">
        <v>0.62337662337662336</v>
      </c>
      <c r="AC1152">
        <v>1.2838589981447124</v>
      </c>
      <c r="AD1152" s="1">
        <v>62</v>
      </c>
      <c r="AE1152" s="2">
        <v>46310</v>
      </c>
      <c r="AF1152" s="2">
        <v>46318</v>
      </c>
      <c r="AG1152" s="2">
        <v>46325</v>
      </c>
      <c r="AH1152">
        <v>162.24</v>
      </c>
      <c r="AI1152" s="3">
        <v>0.93282838349611319</v>
      </c>
      <c r="AJ1152" s="1">
        <v>66</v>
      </c>
      <c r="AK1152" s="2">
        <v>46329</v>
      </c>
      <c r="AL1152" s="4">
        <v>15</v>
      </c>
      <c r="AM1152" s="5">
        <v>15</v>
      </c>
      <c r="AN1152" s="4">
        <v>62</v>
      </c>
      <c r="AO1152">
        <v>83.917241379310354</v>
      </c>
      <c r="AP1152" s="4">
        <v>2</v>
      </c>
      <c r="AQ1152" t="s">
        <v>1619</v>
      </c>
      <c r="AR1152" t="s">
        <v>1620</v>
      </c>
      <c r="AT1152" s="16">
        <f>_xlfn.XLOOKUP(B1152,'SWiSH Demand Forecast Sep-26'!D:D,'SWiSH Demand Forecast Sep-26'!G:G,"Not Exist")</f>
        <v>-2.0749441157133401</v>
      </c>
    </row>
    <row r="1153" spans="1:46" x14ac:dyDescent="0.3">
      <c r="A1153">
        <v>100400176</v>
      </c>
      <c r="B1153" t="s">
        <v>3035</v>
      </c>
      <c r="C1153" t="s">
        <v>10</v>
      </c>
      <c r="D1153" t="s">
        <v>1613</v>
      </c>
      <c r="E1153" t="s">
        <v>1663</v>
      </c>
      <c r="F1153" t="s">
        <v>1664</v>
      </c>
      <c r="G1153" t="s">
        <v>1616</v>
      </c>
      <c r="H1153" t="s">
        <v>1810</v>
      </c>
      <c r="I1153" t="s">
        <v>1634</v>
      </c>
      <c r="J1153" t="s">
        <v>10</v>
      </c>
      <c r="K1153">
        <v>9.7000000000000003E-2</v>
      </c>
      <c r="L1153">
        <v>1930.3</v>
      </c>
      <c r="M1153" s="1">
        <v>30</v>
      </c>
      <c r="N1153">
        <v>0</v>
      </c>
      <c r="O1153">
        <v>400</v>
      </c>
      <c r="P1153">
        <v>19900</v>
      </c>
      <c r="Q1153" s="1">
        <v>19500</v>
      </c>
      <c r="R1153">
        <v>9.7000000000000003E-2</v>
      </c>
      <c r="S1153" s="2">
        <v>46203</v>
      </c>
      <c r="T1153" s="2">
        <v>46262</v>
      </c>
      <c r="U1153">
        <v>6600</v>
      </c>
      <c r="V1153">
        <v>9300</v>
      </c>
      <c r="W1153">
        <v>7200</v>
      </c>
      <c r="X1153">
        <v>5900</v>
      </c>
      <c r="Y1153">
        <v>5900</v>
      </c>
      <c r="Z1153" s="8">
        <v>9300</v>
      </c>
      <c r="AA1153">
        <v>7250</v>
      </c>
      <c r="AB1153">
        <v>0.81379310344827582</v>
      </c>
      <c r="AC1153">
        <v>1.2827586206896551</v>
      </c>
      <c r="AD1153" s="1">
        <v>62</v>
      </c>
      <c r="AE1153" s="2">
        <v>46310</v>
      </c>
      <c r="AF1153" s="2">
        <v>46318</v>
      </c>
      <c r="AG1153" s="2">
        <v>46325</v>
      </c>
      <c r="AH1153">
        <v>5924</v>
      </c>
      <c r="AI1153" s="3">
        <v>0.65895439377085652</v>
      </c>
      <c r="AJ1153" s="1">
        <v>95</v>
      </c>
      <c r="AK1153" s="2">
        <v>46358</v>
      </c>
      <c r="AL1153" s="4">
        <v>15</v>
      </c>
      <c r="AM1153" s="5">
        <v>15</v>
      </c>
      <c r="AN1153" s="4">
        <v>62</v>
      </c>
      <c r="AO1153">
        <v>3064.1379310344828</v>
      </c>
      <c r="AP1153" s="4">
        <v>2</v>
      </c>
      <c r="AQ1153" t="s">
        <v>1619</v>
      </c>
      <c r="AR1153" t="s">
        <v>1620</v>
      </c>
      <c r="AT1153" s="16" t="str">
        <f>_xlfn.XLOOKUP(B1153,'SWiSH Demand Forecast Sep-26'!D:D,'SWiSH Demand Forecast Sep-26'!G:G,"Not Exist")</f>
        <v>Not Exist</v>
      </c>
    </row>
    <row r="1154" spans="1:46" x14ac:dyDescent="0.3">
      <c r="A1154">
        <v>107200105</v>
      </c>
      <c r="B1154" t="s">
        <v>3036</v>
      </c>
      <c r="C1154" t="s">
        <v>10</v>
      </c>
      <c r="D1154" t="s">
        <v>1613</v>
      </c>
      <c r="E1154" t="s">
        <v>1638</v>
      </c>
      <c r="F1154" t="s">
        <v>1656</v>
      </c>
      <c r="G1154" t="s">
        <v>1624</v>
      </c>
      <c r="H1154" t="s">
        <v>1657</v>
      </c>
      <c r="I1154" t="s">
        <v>1634</v>
      </c>
      <c r="J1154" t="s">
        <v>10</v>
      </c>
      <c r="K1154">
        <v>8.5127748200000006</v>
      </c>
      <c r="L1154">
        <v>893.8413561000001</v>
      </c>
      <c r="M1154" s="1">
        <v>15</v>
      </c>
      <c r="N1154">
        <v>0</v>
      </c>
      <c r="O1154">
        <v>0</v>
      </c>
      <c r="P1154">
        <v>105</v>
      </c>
      <c r="Q1154" s="1">
        <v>105</v>
      </c>
      <c r="R1154">
        <v>2.8527</v>
      </c>
      <c r="S1154" s="2">
        <v>45323</v>
      </c>
      <c r="T1154" s="2">
        <v>46230</v>
      </c>
      <c r="U1154">
        <v>18</v>
      </c>
      <c r="V1154">
        <v>41</v>
      </c>
      <c r="W1154">
        <v>16</v>
      </c>
      <c r="X1154">
        <v>50</v>
      </c>
      <c r="Y1154">
        <v>16</v>
      </c>
      <c r="Z1154" s="8">
        <v>50</v>
      </c>
      <c r="AA1154">
        <v>31.25</v>
      </c>
      <c r="AB1154">
        <v>0.51200000000000001</v>
      </c>
      <c r="AC1154">
        <v>1.6</v>
      </c>
      <c r="AD1154" s="1">
        <v>63</v>
      </c>
      <c r="AE1154" s="2">
        <v>46311</v>
      </c>
      <c r="AF1154" s="2">
        <v>46319</v>
      </c>
      <c r="AG1154" s="2">
        <v>46326</v>
      </c>
      <c r="AH1154">
        <v>0</v>
      </c>
      <c r="AI1154" s="3">
        <v>0</v>
      </c>
      <c r="AJ1154" s="1" t="s">
        <v>1635</v>
      </c>
      <c r="AK1154" s="2" t="s">
        <v>1635</v>
      </c>
      <c r="AL1154" s="4" t="s">
        <v>1658</v>
      </c>
      <c r="AM1154" s="5" t="s">
        <v>1658</v>
      </c>
      <c r="AN1154" s="4">
        <v>63</v>
      </c>
      <c r="AO1154" t="s">
        <v>1635</v>
      </c>
      <c r="AP1154" s="4" t="s">
        <v>1658</v>
      </c>
      <c r="AQ1154" t="s">
        <v>1619</v>
      </c>
      <c r="AR1154" t="s">
        <v>1620</v>
      </c>
      <c r="AT1154" s="16" t="str">
        <f>_xlfn.XLOOKUP(B1154,'SWiSH Demand Forecast Sep-26'!D:D,'SWiSH Demand Forecast Sep-26'!G:G,"Not Exist")</f>
        <v>Not Exist</v>
      </c>
    </row>
    <row r="1155" spans="1:46" x14ac:dyDescent="0.3">
      <c r="A1155">
        <v>100400159</v>
      </c>
      <c r="B1155" t="s">
        <v>3037</v>
      </c>
      <c r="C1155" t="s">
        <v>10</v>
      </c>
      <c r="D1155" t="s">
        <v>1613</v>
      </c>
      <c r="E1155" t="s">
        <v>2075</v>
      </c>
      <c r="F1155" t="s">
        <v>1664</v>
      </c>
      <c r="G1155" t="s">
        <v>1624</v>
      </c>
      <c r="H1155" t="s">
        <v>1810</v>
      </c>
      <c r="I1155" t="s">
        <v>1634</v>
      </c>
      <c r="J1155" t="s">
        <v>10</v>
      </c>
      <c r="K1155">
        <v>7.4182269999999995E-2</v>
      </c>
      <c r="L1155">
        <v>884.62356974999989</v>
      </c>
      <c r="M1155" s="1">
        <v>30</v>
      </c>
      <c r="N1155">
        <v>0</v>
      </c>
      <c r="O1155">
        <v>0</v>
      </c>
      <c r="P1155">
        <v>11925</v>
      </c>
      <c r="Q1155" s="1">
        <v>11925</v>
      </c>
      <c r="R1155">
        <v>8.6999999999999994E-2</v>
      </c>
      <c r="S1155" s="2">
        <v>46228</v>
      </c>
      <c r="T1155" s="2">
        <v>46256</v>
      </c>
      <c r="U1155">
        <v>0</v>
      </c>
      <c r="V1155">
        <v>4600</v>
      </c>
      <c r="W1155">
        <v>5625</v>
      </c>
      <c r="X1155">
        <v>0</v>
      </c>
      <c r="Y1155">
        <v>0</v>
      </c>
      <c r="Z1155" s="8">
        <v>5625</v>
      </c>
      <c r="AA1155">
        <v>2556.25</v>
      </c>
      <c r="AB1155">
        <v>0</v>
      </c>
      <c r="AC1155">
        <v>2.2004889975550124</v>
      </c>
      <c r="AD1155" s="1">
        <v>63</v>
      </c>
      <c r="AE1155" s="2">
        <v>46311</v>
      </c>
      <c r="AF1155" s="2">
        <v>46319</v>
      </c>
      <c r="AG1155" s="2">
        <v>46326</v>
      </c>
      <c r="AH1155">
        <v>5850</v>
      </c>
      <c r="AI1155" s="3">
        <v>1.0758620689655172</v>
      </c>
      <c r="AJ1155" s="1">
        <v>59</v>
      </c>
      <c r="AK1155" s="2">
        <v>46322</v>
      </c>
      <c r="AL1155" s="4">
        <v>30</v>
      </c>
      <c r="AM1155" s="5">
        <v>15</v>
      </c>
      <c r="AN1155" s="4">
        <v>59</v>
      </c>
      <c r="AO1155">
        <v>6051.7241379310344</v>
      </c>
      <c r="AP1155" s="4">
        <v>1</v>
      </c>
      <c r="AQ1155">
        <v>43925</v>
      </c>
      <c r="AR1155" t="s">
        <v>2285</v>
      </c>
      <c r="AT1155" s="16" t="str">
        <f>_xlfn.XLOOKUP(B1155,'SWiSH Demand Forecast Sep-26'!D:D,'SWiSH Demand Forecast Sep-26'!G:G,"Not Exist")</f>
        <v>Not Exist</v>
      </c>
    </row>
    <row r="1156" spans="1:46" x14ac:dyDescent="0.3">
      <c r="A1156">
        <v>105600060</v>
      </c>
      <c r="B1156" t="s">
        <v>3038</v>
      </c>
      <c r="C1156" t="s">
        <v>136</v>
      </c>
      <c r="D1156" t="s">
        <v>1613</v>
      </c>
      <c r="E1156" t="s">
        <v>1701</v>
      </c>
      <c r="F1156" t="s">
        <v>1664</v>
      </c>
      <c r="G1156" t="s">
        <v>1624</v>
      </c>
      <c r="H1156" t="s">
        <v>1679</v>
      </c>
      <c r="I1156" t="s">
        <v>1634</v>
      </c>
      <c r="J1156" t="s">
        <v>136</v>
      </c>
      <c r="K1156">
        <v>0.63</v>
      </c>
      <c r="L1156">
        <v>277.2</v>
      </c>
      <c r="M1156" s="1">
        <v>30</v>
      </c>
      <c r="N1156">
        <v>0</v>
      </c>
      <c r="O1156">
        <v>0</v>
      </c>
      <c r="P1156">
        <v>440</v>
      </c>
      <c r="Q1156" s="1">
        <v>440</v>
      </c>
      <c r="R1156">
        <v>0.63</v>
      </c>
      <c r="S1156" s="2">
        <v>46263</v>
      </c>
      <c r="T1156" s="2">
        <v>46257</v>
      </c>
      <c r="U1156">
        <v>205</v>
      </c>
      <c r="V1156">
        <v>195</v>
      </c>
      <c r="W1156">
        <v>161.94999999999999</v>
      </c>
      <c r="X1156">
        <v>205</v>
      </c>
      <c r="Y1156">
        <v>161.94999999999999</v>
      </c>
      <c r="Z1156" s="8">
        <v>205</v>
      </c>
      <c r="AA1156">
        <v>191.73750000000001</v>
      </c>
      <c r="AB1156">
        <v>0.84464437055870645</v>
      </c>
      <c r="AC1156">
        <v>1.0691700893148184</v>
      </c>
      <c r="AD1156" s="1">
        <v>64</v>
      </c>
      <c r="AE1156" s="2">
        <v>46312</v>
      </c>
      <c r="AF1156" s="2">
        <v>46320</v>
      </c>
      <c r="AG1156" s="2">
        <v>46327</v>
      </c>
      <c r="AH1156">
        <v>135</v>
      </c>
      <c r="AI1156" s="3">
        <v>0.68124474348191766</v>
      </c>
      <c r="AJ1156" s="1">
        <v>94</v>
      </c>
      <c r="AK1156" s="2">
        <v>46357</v>
      </c>
      <c r="AL1156" s="4">
        <v>30</v>
      </c>
      <c r="AM1156" s="5">
        <v>15</v>
      </c>
      <c r="AN1156" s="4">
        <v>64</v>
      </c>
      <c r="AO1156">
        <v>139.65517241379311</v>
      </c>
      <c r="AP1156" s="4">
        <v>1</v>
      </c>
      <c r="AQ1156">
        <v>60</v>
      </c>
      <c r="AR1156" t="s">
        <v>2860</v>
      </c>
      <c r="AT1156" s="16" t="str">
        <f>_xlfn.XLOOKUP(B1156,'SWiSH Demand Forecast Sep-26'!D:D,'SWiSH Demand Forecast Sep-26'!G:G,"Not Exist")</f>
        <v>Not Exist</v>
      </c>
    </row>
    <row r="1157" spans="1:46" x14ac:dyDescent="0.3">
      <c r="A1157">
        <v>100100119</v>
      </c>
      <c r="B1157" t="s">
        <v>3039</v>
      </c>
      <c r="C1157" t="s">
        <v>10</v>
      </c>
      <c r="D1157" t="s">
        <v>1699</v>
      </c>
      <c r="E1157" t="s">
        <v>1685</v>
      </c>
      <c r="F1157" t="s">
        <v>1999</v>
      </c>
      <c r="G1157" t="s">
        <v>1616</v>
      </c>
      <c r="H1157" t="s">
        <v>1877</v>
      </c>
      <c r="I1157" t="s">
        <v>1618</v>
      </c>
      <c r="J1157" t="s">
        <v>10</v>
      </c>
      <c r="K1157">
        <v>0.42</v>
      </c>
      <c r="L1157">
        <v>199.5</v>
      </c>
      <c r="M1157" s="1">
        <v>3</v>
      </c>
      <c r="N1157">
        <v>0</v>
      </c>
      <c r="O1157">
        <v>0</v>
      </c>
      <c r="P1157">
        <v>475</v>
      </c>
      <c r="Q1157" s="1">
        <v>475</v>
      </c>
      <c r="R1157">
        <v>8.4</v>
      </c>
      <c r="S1157" s="2">
        <v>46184</v>
      </c>
      <c r="T1157" s="2">
        <v>46158</v>
      </c>
      <c r="U1157">
        <v>220</v>
      </c>
      <c r="V1157">
        <v>20</v>
      </c>
      <c r="W1157">
        <v>0</v>
      </c>
      <c r="X1157">
        <v>0</v>
      </c>
      <c r="Y1157">
        <v>0</v>
      </c>
      <c r="Z1157" s="8">
        <v>220</v>
      </c>
      <c r="AA1157">
        <v>60</v>
      </c>
      <c r="AB1157">
        <v>0</v>
      </c>
      <c r="AC1157">
        <v>3.6666666666666665</v>
      </c>
      <c r="AD1157" s="1">
        <v>64</v>
      </c>
      <c r="AE1157" s="2">
        <v>46312</v>
      </c>
      <c r="AF1157" s="2">
        <v>46320</v>
      </c>
      <c r="AG1157" s="2">
        <v>46327</v>
      </c>
      <c r="AH1157">
        <v>0</v>
      </c>
      <c r="AI1157" s="3">
        <v>0</v>
      </c>
      <c r="AJ1157" s="1" t="s">
        <v>1635</v>
      </c>
      <c r="AK1157" s="2" t="s">
        <v>1635</v>
      </c>
      <c r="AL1157" s="4" t="s">
        <v>1658</v>
      </c>
      <c r="AM1157" s="5" t="s">
        <v>1658</v>
      </c>
      <c r="AN1157" s="4">
        <v>64</v>
      </c>
      <c r="AO1157" t="s">
        <v>1635</v>
      </c>
      <c r="AP1157" s="4" t="s">
        <v>1658</v>
      </c>
      <c r="AQ1157" t="s">
        <v>1619</v>
      </c>
      <c r="AR1157" t="s">
        <v>1620</v>
      </c>
      <c r="AT1157" s="16" t="str">
        <f>_xlfn.XLOOKUP(B1157,'SWiSH Demand Forecast Sep-26'!D:D,'SWiSH Demand Forecast Sep-26'!G:G,"Not Exist")</f>
        <v>Not Exist</v>
      </c>
    </row>
    <row r="1158" spans="1:46" hidden="1" x14ac:dyDescent="0.3">
      <c r="A1158">
        <v>105900053</v>
      </c>
      <c r="B1158" t="s">
        <v>238</v>
      </c>
      <c r="C1158" t="s">
        <v>10</v>
      </c>
      <c r="D1158" t="s">
        <v>1613</v>
      </c>
      <c r="E1158" t="s">
        <v>1732</v>
      </c>
      <c r="F1158" t="s">
        <v>1664</v>
      </c>
      <c r="G1158" t="s">
        <v>1616</v>
      </c>
      <c r="H1158" t="s">
        <v>1729</v>
      </c>
      <c r="I1158" t="s">
        <v>1634</v>
      </c>
      <c r="J1158" t="s">
        <v>1733</v>
      </c>
      <c r="K1158">
        <v>4.1359999999999999E-3</v>
      </c>
      <c r="L1158">
        <v>218.38079999999999</v>
      </c>
      <c r="M1158" s="1">
        <v>90</v>
      </c>
      <c r="N1158">
        <v>0</v>
      </c>
      <c r="O1158">
        <v>0</v>
      </c>
      <c r="P1158">
        <v>52800</v>
      </c>
      <c r="Q1158" s="1">
        <v>52800</v>
      </c>
      <c r="R1158">
        <v>4.1360000000000001</v>
      </c>
      <c r="S1158" s="2">
        <v>46082</v>
      </c>
      <c r="T1158" s="2">
        <v>46247</v>
      </c>
      <c r="U1158">
        <v>20000</v>
      </c>
      <c r="V1158">
        <v>23000</v>
      </c>
      <c r="W1158">
        <v>16000</v>
      </c>
      <c r="X1158">
        <v>24400</v>
      </c>
      <c r="Y1158">
        <v>16000</v>
      </c>
      <c r="Z1158" s="8">
        <v>24400</v>
      </c>
      <c r="AA1158">
        <v>20850</v>
      </c>
      <c r="AB1158">
        <v>0.76738609112709832</v>
      </c>
      <c r="AC1158">
        <v>1.170263788968825</v>
      </c>
      <c r="AD1158" s="1">
        <v>64</v>
      </c>
      <c r="AE1158" s="2">
        <v>46312</v>
      </c>
      <c r="AF1158" s="2">
        <v>46320</v>
      </c>
      <c r="AG1158" s="2">
        <v>46327</v>
      </c>
      <c r="AH1158">
        <v>12800</v>
      </c>
      <c r="AI1158" s="3">
        <v>0.54267947993216503</v>
      </c>
      <c r="AJ1158" s="1">
        <v>119</v>
      </c>
      <c r="AK1158" s="2">
        <v>46382</v>
      </c>
      <c r="AL1158" s="4">
        <v>120</v>
      </c>
      <c r="AM1158" s="5">
        <v>100</v>
      </c>
      <c r="AN1158" s="4">
        <v>64</v>
      </c>
      <c r="AO1158">
        <v>52965.517241379304</v>
      </c>
      <c r="AP1158" s="4">
        <v>1</v>
      </c>
      <c r="AQ1158" t="s">
        <v>1619</v>
      </c>
      <c r="AR1158" t="s">
        <v>1620</v>
      </c>
      <c r="AT1158" s="16">
        <f>_xlfn.XLOOKUP(B1158,'SWiSH Demand Forecast Sep-26'!D:D,'SWiSH Demand Forecast Sep-26'!G:G,"Not Exist")</f>
        <v>7244</v>
      </c>
    </row>
    <row r="1159" spans="1:46" hidden="1" x14ac:dyDescent="0.3">
      <c r="A1159">
        <v>106200036</v>
      </c>
      <c r="B1159" t="s">
        <v>1346</v>
      </c>
      <c r="C1159" t="s">
        <v>136</v>
      </c>
      <c r="D1159" t="s">
        <v>1613</v>
      </c>
      <c r="E1159" t="s">
        <v>1732</v>
      </c>
      <c r="F1159" t="s">
        <v>1671</v>
      </c>
      <c r="G1159" t="s">
        <v>1616</v>
      </c>
      <c r="H1159" t="s">
        <v>1672</v>
      </c>
      <c r="I1159" t="s">
        <v>1618</v>
      </c>
      <c r="J1159" t="s">
        <v>2264</v>
      </c>
      <c r="K1159">
        <v>1.5006250000000001</v>
      </c>
      <c r="L1159">
        <v>189.07875000000001</v>
      </c>
      <c r="M1159" s="1">
        <v>3</v>
      </c>
      <c r="N1159">
        <v>0</v>
      </c>
      <c r="O1159">
        <v>0</v>
      </c>
      <c r="P1159">
        <v>126</v>
      </c>
      <c r="Q1159" s="1">
        <v>126</v>
      </c>
      <c r="R1159">
        <v>21</v>
      </c>
      <c r="S1159" s="2">
        <v>46238</v>
      </c>
      <c r="T1159" s="2">
        <v>46255</v>
      </c>
      <c r="U1159">
        <v>56</v>
      </c>
      <c r="V1159">
        <v>42</v>
      </c>
      <c r="W1159">
        <v>58</v>
      </c>
      <c r="X1159">
        <v>48</v>
      </c>
      <c r="Y1159">
        <v>42</v>
      </c>
      <c r="Z1159" s="8">
        <v>58</v>
      </c>
      <c r="AA1159">
        <v>51</v>
      </c>
      <c r="AB1159">
        <v>0.82352941176470584</v>
      </c>
      <c r="AC1159">
        <v>1.1372549019607843</v>
      </c>
      <c r="AD1159" s="1">
        <v>65</v>
      </c>
      <c r="AE1159" s="2">
        <v>46313</v>
      </c>
      <c r="AF1159" s="2">
        <v>46321</v>
      </c>
      <c r="AG1159" s="2">
        <v>46328</v>
      </c>
      <c r="AH1159">
        <v>28</v>
      </c>
      <c r="AI1159" s="3">
        <v>0.49940546967895361</v>
      </c>
      <c r="AJ1159" s="1">
        <v>130</v>
      </c>
      <c r="AK1159" s="2">
        <v>46393</v>
      </c>
      <c r="AL1159" s="4">
        <v>30</v>
      </c>
      <c r="AM1159" s="5">
        <v>15</v>
      </c>
      <c r="AN1159" s="4">
        <v>65</v>
      </c>
      <c r="AO1159">
        <v>28.96551724137931</v>
      </c>
      <c r="AP1159" s="4">
        <v>1</v>
      </c>
      <c r="AQ1159" t="s">
        <v>1619</v>
      </c>
      <c r="AR1159" t="s">
        <v>1620</v>
      </c>
      <c r="AT1159" s="16">
        <f>_xlfn.XLOOKUP(B1159,'SWiSH Demand Forecast Sep-26'!D:D,'SWiSH Demand Forecast Sep-26'!G:G,"Not Exist")</f>
        <v>23.488537532785699</v>
      </c>
    </row>
    <row r="1160" spans="1:46" hidden="1" x14ac:dyDescent="0.3">
      <c r="A1160">
        <v>106300037</v>
      </c>
      <c r="B1160" t="s">
        <v>1030</v>
      </c>
      <c r="C1160" t="s">
        <v>136</v>
      </c>
      <c r="D1160" t="s">
        <v>1613</v>
      </c>
      <c r="E1160" t="s">
        <v>3040</v>
      </c>
      <c r="F1160" t="s">
        <v>1615</v>
      </c>
      <c r="G1160" t="s">
        <v>1616</v>
      </c>
      <c r="H1160" t="s">
        <v>1860</v>
      </c>
      <c r="I1160" t="s">
        <v>1618</v>
      </c>
      <c r="J1160" t="s">
        <v>2929</v>
      </c>
      <c r="K1160">
        <v>0.42824638999999998</v>
      </c>
      <c r="L1160">
        <v>620.95726549999995</v>
      </c>
      <c r="M1160" s="1">
        <v>3</v>
      </c>
      <c r="N1160">
        <v>0</v>
      </c>
      <c r="O1160">
        <v>10</v>
      </c>
      <c r="P1160">
        <v>1450</v>
      </c>
      <c r="Q1160" s="1">
        <v>1440</v>
      </c>
      <c r="R1160">
        <v>7.25</v>
      </c>
      <c r="S1160" s="2">
        <v>46242</v>
      </c>
      <c r="T1160" s="2">
        <v>46261</v>
      </c>
      <c r="U1160">
        <v>575</v>
      </c>
      <c r="V1160">
        <v>515</v>
      </c>
      <c r="W1160">
        <v>570</v>
      </c>
      <c r="X1160">
        <v>660</v>
      </c>
      <c r="Y1160">
        <v>515</v>
      </c>
      <c r="Z1160" s="8">
        <v>660</v>
      </c>
      <c r="AA1160">
        <v>580</v>
      </c>
      <c r="AB1160">
        <v>0.88793103448275867</v>
      </c>
      <c r="AC1160">
        <v>1.1379310344827587</v>
      </c>
      <c r="AD1160" s="1">
        <v>65</v>
      </c>
      <c r="AE1160" s="2">
        <v>46313</v>
      </c>
      <c r="AF1160" s="2">
        <v>46321</v>
      </c>
      <c r="AG1160" s="2">
        <v>46328</v>
      </c>
      <c r="AH1160">
        <v>480</v>
      </c>
      <c r="AI1160" s="3">
        <v>0.75235109717868343</v>
      </c>
      <c r="AJ1160" s="1">
        <v>87</v>
      </c>
      <c r="AK1160" s="2">
        <v>46350</v>
      </c>
      <c r="AL1160" s="4">
        <v>30</v>
      </c>
      <c r="AM1160" s="5">
        <v>15</v>
      </c>
      <c r="AN1160" s="4">
        <v>65</v>
      </c>
      <c r="AO1160">
        <v>496.55172413793105</v>
      </c>
      <c r="AP1160" s="4">
        <v>1</v>
      </c>
      <c r="AQ1160" t="s">
        <v>1619</v>
      </c>
      <c r="AR1160" t="s">
        <v>2366</v>
      </c>
      <c r="AT1160" s="16">
        <f>_xlfn.XLOOKUP(B1160,'SWiSH Demand Forecast Sep-26'!D:D,'SWiSH Demand Forecast Sep-26'!G:G,"Not Exist")</f>
        <v>135.35094936708799</v>
      </c>
    </row>
    <row r="1161" spans="1:46" hidden="1" x14ac:dyDescent="0.3">
      <c r="A1161">
        <v>106600079</v>
      </c>
      <c r="B1161" t="s">
        <v>208</v>
      </c>
      <c r="C1161" t="s">
        <v>10</v>
      </c>
      <c r="D1161" t="s">
        <v>1613</v>
      </c>
      <c r="E1161" t="s">
        <v>1775</v>
      </c>
      <c r="F1161" t="s">
        <v>1664</v>
      </c>
      <c r="G1161" t="s">
        <v>1624</v>
      </c>
      <c r="H1161" t="s">
        <v>1723</v>
      </c>
      <c r="I1161" t="s">
        <v>1634</v>
      </c>
      <c r="J1161" t="s">
        <v>10</v>
      </c>
      <c r="K1161">
        <v>5.2313899999999998E-3</v>
      </c>
      <c r="L1161">
        <v>206.11676599999998</v>
      </c>
      <c r="M1161" s="1">
        <v>15</v>
      </c>
      <c r="N1161">
        <v>0</v>
      </c>
      <c r="O1161">
        <v>0</v>
      </c>
      <c r="P1161">
        <v>39400</v>
      </c>
      <c r="Q1161" s="1">
        <v>39400</v>
      </c>
      <c r="R1161">
        <v>5.0000000000000001E-3</v>
      </c>
      <c r="S1161" s="2">
        <v>46244</v>
      </c>
      <c r="T1161" s="2">
        <v>46261</v>
      </c>
      <c r="U1161">
        <v>18000</v>
      </c>
      <c r="V1161">
        <v>12000</v>
      </c>
      <c r="W1161">
        <v>7500</v>
      </c>
      <c r="X1161">
        <v>4500</v>
      </c>
      <c r="Y1161">
        <v>4500</v>
      </c>
      <c r="Z1161" s="8">
        <v>18000</v>
      </c>
      <c r="AA1161">
        <v>10500</v>
      </c>
      <c r="AB1161">
        <v>0.42857142857142855</v>
      </c>
      <c r="AC1161">
        <v>1.7142857142857142</v>
      </c>
      <c r="AD1161" s="1">
        <v>65</v>
      </c>
      <c r="AE1161" s="2">
        <v>46313</v>
      </c>
      <c r="AF1161" s="2">
        <v>46321</v>
      </c>
      <c r="AG1161" s="2">
        <v>46328</v>
      </c>
      <c r="AH1161">
        <v>6500</v>
      </c>
      <c r="AI1161" s="3">
        <v>0.37356321839080459</v>
      </c>
      <c r="AJ1161" s="1">
        <v>175</v>
      </c>
      <c r="AK1161" s="2">
        <v>46438</v>
      </c>
      <c r="AL1161" s="4">
        <v>30</v>
      </c>
      <c r="AM1161" s="5">
        <v>15</v>
      </c>
      <c r="AN1161" s="4">
        <v>65</v>
      </c>
      <c r="AO1161">
        <v>6724.1379310344828</v>
      </c>
      <c r="AP1161" s="4">
        <v>1</v>
      </c>
      <c r="AQ1161">
        <v>25000</v>
      </c>
      <c r="AR1161" t="s">
        <v>2076</v>
      </c>
      <c r="AT1161" s="16">
        <f>_xlfn.XLOOKUP(B1161,'SWiSH Demand Forecast Sep-26'!D:D,'SWiSH Demand Forecast Sep-26'!G:G,"Not Exist")</f>
        <v>8015</v>
      </c>
    </row>
    <row r="1162" spans="1:46" x14ac:dyDescent="0.3">
      <c r="A1162">
        <v>100400120</v>
      </c>
      <c r="B1162" t="s">
        <v>3041</v>
      </c>
      <c r="C1162" t="s">
        <v>10</v>
      </c>
      <c r="D1162" t="s">
        <v>1613</v>
      </c>
      <c r="E1162" t="s">
        <v>1926</v>
      </c>
      <c r="F1162" t="s">
        <v>1664</v>
      </c>
      <c r="G1162" t="s">
        <v>1624</v>
      </c>
      <c r="H1162" t="s">
        <v>1810</v>
      </c>
      <c r="I1162" t="s">
        <v>1634</v>
      </c>
      <c r="J1162" t="s">
        <v>10</v>
      </c>
      <c r="K1162">
        <v>1.444551E-2</v>
      </c>
      <c r="L1162">
        <v>253.51870049999999</v>
      </c>
      <c r="M1162" s="1">
        <v>30</v>
      </c>
      <c r="N1162">
        <v>0</v>
      </c>
      <c r="O1162">
        <v>0</v>
      </c>
      <c r="P1162">
        <v>17550</v>
      </c>
      <c r="Q1162" s="1">
        <v>17550</v>
      </c>
      <c r="R1162">
        <v>1.4999999999999999E-2</v>
      </c>
      <c r="S1162" s="2">
        <v>46235</v>
      </c>
      <c r="T1162" s="2">
        <v>46261</v>
      </c>
      <c r="U1162">
        <v>8000</v>
      </c>
      <c r="V1162">
        <v>6850</v>
      </c>
      <c r="W1162">
        <v>7450</v>
      </c>
      <c r="X1162">
        <v>7200</v>
      </c>
      <c r="Y1162">
        <v>6850</v>
      </c>
      <c r="Z1162" s="8">
        <v>8000</v>
      </c>
      <c r="AA1162">
        <v>7375</v>
      </c>
      <c r="AB1162">
        <v>0.92881355932203391</v>
      </c>
      <c r="AC1162">
        <v>1.0847457627118644</v>
      </c>
      <c r="AD1162" s="1">
        <v>65</v>
      </c>
      <c r="AE1162" s="2">
        <v>46313</v>
      </c>
      <c r="AF1162" s="2">
        <v>46321</v>
      </c>
      <c r="AG1162" s="2">
        <v>46328</v>
      </c>
      <c r="AH1162">
        <v>8400</v>
      </c>
      <c r="AI1162" s="3">
        <v>1.0862068965517242</v>
      </c>
      <c r="AJ1162" s="1">
        <v>60</v>
      </c>
      <c r="AK1162" s="2">
        <v>46323</v>
      </c>
      <c r="AL1162" s="4">
        <v>30</v>
      </c>
      <c r="AM1162" s="5">
        <v>15</v>
      </c>
      <c r="AN1162" s="4">
        <v>60</v>
      </c>
      <c r="AO1162">
        <v>8689.6551724137953</v>
      </c>
      <c r="AP1162" s="4">
        <v>1</v>
      </c>
      <c r="AQ1162">
        <v>56500</v>
      </c>
      <c r="AR1162" t="s">
        <v>2521</v>
      </c>
      <c r="AT1162" s="16" t="str">
        <f>_xlfn.XLOOKUP(B1162,'SWiSH Demand Forecast Sep-26'!D:D,'SWiSH Demand Forecast Sep-26'!G:G,"Not Exist")</f>
        <v>Not Exist</v>
      </c>
    </row>
    <row r="1163" spans="1:46" hidden="1" x14ac:dyDescent="0.3">
      <c r="A1163">
        <v>101300027</v>
      </c>
      <c r="B1163" t="s">
        <v>211</v>
      </c>
      <c r="C1163" t="s">
        <v>10</v>
      </c>
      <c r="D1163" t="s">
        <v>1613</v>
      </c>
      <c r="E1163" t="s">
        <v>2091</v>
      </c>
      <c r="F1163" t="s">
        <v>1752</v>
      </c>
      <c r="G1163" t="s">
        <v>1616</v>
      </c>
      <c r="H1163" t="s">
        <v>1980</v>
      </c>
      <c r="I1163" t="s">
        <v>1754</v>
      </c>
      <c r="J1163" t="s">
        <v>3042</v>
      </c>
      <c r="K1163">
        <v>7.8273499999999996E-2</v>
      </c>
      <c r="L1163">
        <v>2144.6938999999998</v>
      </c>
      <c r="M1163" s="1">
        <v>3</v>
      </c>
      <c r="N1163">
        <v>0</v>
      </c>
      <c r="O1163">
        <v>600</v>
      </c>
      <c r="P1163">
        <v>27400</v>
      </c>
      <c r="Q1163" s="1">
        <v>26800</v>
      </c>
      <c r="R1163">
        <v>14.1</v>
      </c>
      <c r="S1163" s="2">
        <v>46172</v>
      </c>
      <c r="T1163" s="2">
        <v>46263</v>
      </c>
      <c r="U1163">
        <v>5700</v>
      </c>
      <c r="V1163">
        <v>4560</v>
      </c>
      <c r="W1163">
        <v>5640</v>
      </c>
      <c r="X1163">
        <v>12320</v>
      </c>
      <c r="Y1163">
        <v>4560</v>
      </c>
      <c r="Z1163" s="8">
        <v>12320</v>
      </c>
      <c r="AA1163">
        <v>7055</v>
      </c>
      <c r="AB1163">
        <v>0.64635010630758327</v>
      </c>
      <c r="AC1163">
        <v>1.7462792345854004</v>
      </c>
      <c r="AD1163" s="1">
        <v>65</v>
      </c>
      <c r="AE1163" s="2">
        <v>46313</v>
      </c>
      <c r="AF1163" s="2">
        <v>46321</v>
      </c>
      <c r="AG1163" s="2">
        <v>46328</v>
      </c>
      <c r="AH1163">
        <v>11000</v>
      </c>
      <c r="AI1163" s="3">
        <v>0.92364532019704437</v>
      </c>
      <c r="AJ1163" s="1">
        <v>70</v>
      </c>
      <c r="AK1163" s="2">
        <v>46333</v>
      </c>
      <c r="AL1163" s="4">
        <v>30</v>
      </c>
      <c r="AM1163" s="5">
        <v>15</v>
      </c>
      <c r="AN1163" s="4">
        <v>65</v>
      </c>
      <c r="AO1163">
        <v>11379.310344827587</v>
      </c>
      <c r="AP1163" s="4">
        <v>1</v>
      </c>
      <c r="AQ1163" t="s">
        <v>1619</v>
      </c>
      <c r="AR1163" t="s">
        <v>1620</v>
      </c>
      <c r="AT1163" s="16">
        <f>_xlfn.XLOOKUP(B1163,'SWiSH Demand Forecast Sep-26'!D:D,'SWiSH Demand Forecast Sep-26'!G:G,"Not Exist")</f>
        <v>7988</v>
      </c>
    </row>
    <row r="1164" spans="1:46" hidden="1" x14ac:dyDescent="0.3">
      <c r="A1164">
        <v>107400074</v>
      </c>
      <c r="B1164" t="s">
        <v>134</v>
      </c>
      <c r="C1164" t="s">
        <v>10</v>
      </c>
      <c r="D1164" t="s">
        <v>1613</v>
      </c>
      <c r="E1164" t="s">
        <v>1638</v>
      </c>
      <c r="F1164" t="s">
        <v>1664</v>
      </c>
      <c r="G1164" t="s">
        <v>1624</v>
      </c>
      <c r="H1164" t="s">
        <v>2016</v>
      </c>
      <c r="I1164" t="s">
        <v>1634</v>
      </c>
      <c r="J1164" t="s">
        <v>10</v>
      </c>
      <c r="K1164">
        <v>7.9756800000000006E-3</v>
      </c>
      <c r="L1164">
        <v>382.83264000000003</v>
      </c>
      <c r="M1164" s="1">
        <v>15</v>
      </c>
      <c r="N1164">
        <v>0</v>
      </c>
      <c r="O1164">
        <v>0</v>
      </c>
      <c r="P1164">
        <v>48000</v>
      </c>
      <c r="Q1164" s="1">
        <v>48000</v>
      </c>
      <c r="R1164">
        <v>8.0000000000000002E-3</v>
      </c>
      <c r="S1164" s="2">
        <v>46253</v>
      </c>
      <c r="T1164" s="2">
        <v>46262</v>
      </c>
      <c r="U1164">
        <v>21000</v>
      </c>
      <c r="V1164">
        <v>22000</v>
      </c>
      <c r="W1164">
        <v>14000</v>
      </c>
      <c r="X1164">
        <v>12000</v>
      </c>
      <c r="Y1164">
        <v>12000</v>
      </c>
      <c r="Z1164" s="8">
        <v>22000</v>
      </c>
      <c r="AA1164">
        <v>17250</v>
      </c>
      <c r="AB1164">
        <v>0.69565217391304346</v>
      </c>
      <c r="AC1164">
        <v>1.2753623188405796</v>
      </c>
      <c r="AD1164" s="1">
        <v>65</v>
      </c>
      <c r="AE1164" s="2">
        <v>46313</v>
      </c>
      <c r="AF1164" s="2">
        <v>46321</v>
      </c>
      <c r="AG1164" s="2">
        <v>46328</v>
      </c>
      <c r="AH1164">
        <v>20750</v>
      </c>
      <c r="AI1164" s="3">
        <v>0.97570532915360508</v>
      </c>
      <c r="AJ1164" s="1">
        <v>67</v>
      </c>
      <c r="AK1164" s="2">
        <v>46330</v>
      </c>
      <c r="AL1164" s="4">
        <v>30</v>
      </c>
      <c r="AM1164" s="5">
        <v>15</v>
      </c>
      <c r="AN1164" s="4">
        <v>65</v>
      </c>
      <c r="AO1164">
        <v>21465.517241379312</v>
      </c>
      <c r="AP1164" s="4">
        <v>1</v>
      </c>
      <c r="AQ1164">
        <v>39250</v>
      </c>
      <c r="AR1164" t="s">
        <v>2034</v>
      </c>
      <c r="AT1164" s="16">
        <f>_xlfn.XLOOKUP(B1164,'SWiSH Demand Forecast Sep-26'!D:D,'SWiSH Demand Forecast Sep-26'!G:G,"Not Exist")</f>
        <v>14119</v>
      </c>
    </row>
    <row r="1165" spans="1:46" x14ac:dyDescent="0.3">
      <c r="A1165">
        <v>101100010</v>
      </c>
      <c r="B1165" t="s">
        <v>3043</v>
      </c>
      <c r="C1165" t="s">
        <v>10</v>
      </c>
      <c r="D1165" t="s">
        <v>1613</v>
      </c>
      <c r="E1165" t="s">
        <v>3044</v>
      </c>
      <c r="F1165" t="s">
        <v>1650</v>
      </c>
      <c r="G1165" t="s">
        <v>1624</v>
      </c>
      <c r="H1165" t="s">
        <v>1953</v>
      </c>
      <c r="I1165" t="s">
        <v>1634</v>
      </c>
      <c r="J1165" t="s">
        <v>10</v>
      </c>
      <c r="K1165">
        <v>24.5</v>
      </c>
      <c r="L1165">
        <v>269.5</v>
      </c>
      <c r="M1165" s="1">
        <v>3</v>
      </c>
      <c r="N1165">
        <v>0</v>
      </c>
      <c r="O1165">
        <v>0</v>
      </c>
      <c r="P1165">
        <v>11</v>
      </c>
      <c r="Q1165" s="1">
        <v>11</v>
      </c>
      <c r="R1165">
        <v>24.5</v>
      </c>
      <c r="S1165" s="2">
        <v>46228</v>
      </c>
      <c r="T1165" s="2">
        <v>46197</v>
      </c>
      <c r="U1165">
        <v>0</v>
      </c>
      <c r="V1165">
        <v>0</v>
      </c>
      <c r="W1165">
        <v>5</v>
      </c>
      <c r="X1165">
        <v>0</v>
      </c>
      <c r="Y1165">
        <v>0</v>
      </c>
      <c r="Z1165" s="8">
        <v>5</v>
      </c>
      <c r="AA1165">
        <v>1.25</v>
      </c>
      <c r="AB1165">
        <v>0</v>
      </c>
      <c r="AC1165">
        <v>4</v>
      </c>
      <c r="AD1165" s="1">
        <v>66</v>
      </c>
      <c r="AE1165" s="2">
        <v>46314</v>
      </c>
      <c r="AF1165" s="2">
        <v>46322</v>
      </c>
      <c r="AG1165" s="2">
        <v>46329</v>
      </c>
      <c r="AH1165">
        <v>0</v>
      </c>
      <c r="AI1165" s="3">
        <v>0</v>
      </c>
      <c r="AJ1165" s="1" t="s">
        <v>1635</v>
      </c>
      <c r="AK1165" s="2" t="s">
        <v>1635</v>
      </c>
      <c r="AL1165" s="4">
        <v>30</v>
      </c>
      <c r="AM1165" s="5">
        <v>15</v>
      </c>
      <c r="AN1165" s="4">
        <v>66</v>
      </c>
      <c r="AO1165">
        <v>0</v>
      </c>
      <c r="AP1165" s="4">
        <v>1</v>
      </c>
      <c r="AQ1165" t="s">
        <v>1619</v>
      </c>
      <c r="AR1165" t="s">
        <v>1620</v>
      </c>
      <c r="AT1165" s="16" t="str">
        <f>_xlfn.XLOOKUP(B1165,'SWiSH Demand Forecast Sep-26'!D:D,'SWiSH Demand Forecast Sep-26'!G:G,"Not Exist")</f>
        <v>Not Exist</v>
      </c>
    </row>
    <row r="1166" spans="1:46" hidden="1" x14ac:dyDescent="0.3">
      <c r="A1166">
        <v>106200144</v>
      </c>
      <c r="B1166" t="s">
        <v>1220</v>
      </c>
      <c r="C1166" t="s">
        <v>240</v>
      </c>
      <c r="D1166" t="s">
        <v>1613</v>
      </c>
      <c r="E1166" t="s">
        <v>3045</v>
      </c>
      <c r="F1166" t="s">
        <v>1671</v>
      </c>
      <c r="G1166" t="s">
        <v>1616</v>
      </c>
      <c r="H1166" t="s">
        <v>1672</v>
      </c>
      <c r="I1166" t="s">
        <v>1618</v>
      </c>
      <c r="J1166" t="s">
        <v>1743</v>
      </c>
      <c r="K1166">
        <v>2.1</v>
      </c>
      <c r="L1166">
        <v>514.5</v>
      </c>
      <c r="M1166" s="1">
        <v>3</v>
      </c>
      <c r="N1166">
        <v>0</v>
      </c>
      <c r="O1166">
        <v>0</v>
      </c>
      <c r="P1166">
        <v>245</v>
      </c>
      <c r="Q1166" s="1">
        <v>245</v>
      </c>
      <c r="R1166">
        <v>8</v>
      </c>
      <c r="S1166" s="2">
        <v>46200</v>
      </c>
      <c r="T1166" s="2">
        <v>46245</v>
      </c>
      <c r="U1166">
        <v>110</v>
      </c>
      <c r="V1166">
        <v>81</v>
      </c>
      <c r="W1166">
        <v>60</v>
      </c>
      <c r="X1166">
        <v>85</v>
      </c>
      <c r="Y1166">
        <v>60</v>
      </c>
      <c r="Z1166" s="8">
        <v>110</v>
      </c>
      <c r="AA1166">
        <v>84</v>
      </c>
      <c r="AB1166">
        <v>0.7142857142857143</v>
      </c>
      <c r="AC1166">
        <v>1.3095238095238095</v>
      </c>
      <c r="AD1166" s="1">
        <v>66</v>
      </c>
      <c r="AE1166" s="2">
        <v>46314</v>
      </c>
      <c r="AF1166" s="2">
        <v>46322</v>
      </c>
      <c r="AG1166" s="2">
        <v>46329</v>
      </c>
      <c r="AH1166">
        <v>40</v>
      </c>
      <c r="AI1166" s="3">
        <v>0.37617554858934171</v>
      </c>
      <c r="AJ1166" s="1">
        <v>177</v>
      </c>
      <c r="AK1166" s="2">
        <v>46440</v>
      </c>
      <c r="AL1166" s="4">
        <v>30</v>
      </c>
      <c r="AM1166" s="5">
        <v>15</v>
      </c>
      <c r="AN1166" s="4">
        <v>66</v>
      </c>
      <c r="AO1166">
        <v>41.379310344827587</v>
      </c>
      <c r="AP1166" s="4">
        <v>1</v>
      </c>
      <c r="AQ1166" t="s">
        <v>1619</v>
      </c>
      <c r="AR1166" t="s">
        <v>1620</v>
      </c>
      <c r="AT1166" s="16">
        <f>_xlfn.XLOOKUP(B1166,'SWiSH Demand Forecast Sep-26'!D:D,'SWiSH Demand Forecast Sep-26'!G:G,"Not Exist")</f>
        <v>50.601539542665201</v>
      </c>
    </row>
    <row r="1167" spans="1:46" hidden="1" x14ac:dyDescent="0.3">
      <c r="A1167">
        <v>103700008</v>
      </c>
      <c r="B1167" t="s">
        <v>1557</v>
      </c>
      <c r="C1167" t="s">
        <v>136</v>
      </c>
      <c r="D1167" t="s">
        <v>1613</v>
      </c>
      <c r="E1167" t="s">
        <v>2458</v>
      </c>
      <c r="F1167" t="s">
        <v>1615</v>
      </c>
      <c r="G1167" t="s">
        <v>1616</v>
      </c>
      <c r="H1167" t="s">
        <v>1617</v>
      </c>
      <c r="I1167" t="s">
        <v>1618</v>
      </c>
      <c r="J1167" t="s">
        <v>136</v>
      </c>
      <c r="K1167">
        <v>2.8410000000000002</v>
      </c>
      <c r="L1167">
        <v>187.506</v>
      </c>
      <c r="M1167" s="1">
        <v>3</v>
      </c>
      <c r="N1167">
        <v>0</v>
      </c>
      <c r="O1167">
        <v>0</v>
      </c>
      <c r="P1167">
        <v>66</v>
      </c>
      <c r="Q1167" s="1">
        <v>66</v>
      </c>
      <c r="R1167">
        <v>2.8410000000000002</v>
      </c>
      <c r="S1167" s="2">
        <v>46149</v>
      </c>
      <c r="T1167" s="2">
        <v>46257</v>
      </c>
      <c r="U1167">
        <v>30</v>
      </c>
      <c r="V1167">
        <v>18</v>
      </c>
      <c r="W1167">
        <v>21</v>
      </c>
      <c r="X1167">
        <v>24</v>
      </c>
      <c r="Y1167">
        <v>18</v>
      </c>
      <c r="Z1167" s="8">
        <v>30</v>
      </c>
      <c r="AA1167">
        <v>23.25</v>
      </c>
      <c r="AB1167">
        <v>0.77419354838709675</v>
      </c>
      <c r="AC1167">
        <v>1.2903225806451613</v>
      </c>
      <c r="AD1167" s="1">
        <v>66</v>
      </c>
      <c r="AE1167" s="2">
        <v>46314</v>
      </c>
      <c r="AF1167" s="2">
        <v>46322</v>
      </c>
      <c r="AG1167" s="2">
        <v>46329</v>
      </c>
      <c r="AH1167">
        <v>36</v>
      </c>
      <c r="AI1167" s="3">
        <v>1.2413793103448276</v>
      </c>
      <c r="AJ1167" s="1">
        <v>53</v>
      </c>
      <c r="AK1167" s="2">
        <v>46316</v>
      </c>
      <c r="AL1167" s="4">
        <v>30</v>
      </c>
      <c r="AM1167" s="5">
        <v>15</v>
      </c>
      <c r="AN1167" s="4">
        <v>53</v>
      </c>
      <c r="AO1167">
        <v>37.241379310344826</v>
      </c>
      <c r="AP1167" s="4">
        <v>1</v>
      </c>
      <c r="AQ1167" t="s">
        <v>1619</v>
      </c>
      <c r="AR1167" t="s">
        <v>1620</v>
      </c>
      <c r="AT1167" s="16">
        <f>_xlfn.XLOOKUP(B1167,'SWiSH Demand Forecast Sep-26'!D:D,'SWiSH Demand Forecast Sep-26'!G:G,"Not Exist")</f>
        <v>0.24643010752688099</v>
      </c>
    </row>
    <row r="1168" spans="1:46" x14ac:dyDescent="0.3">
      <c r="A1168">
        <v>106800100</v>
      </c>
      <c r="B1168" t="s">
        <v>3046</v>
      </c>
      <c r="C1168" t="s">
        <v>10</v>
      </c>
      <c r="D1168" t="s">
        <v>1613</v>
      </c>
      <c r="E1168" t="s">
        <v>1655</v>
      </c>
      <c r="F1168" t="s">
        <v>1664</v>
      </c>
      <c r="G1168" t="s">
        <v>1624</v>
      </c>
      <c r="H1168" t="s">
        <v>1665</v>
      </c>
      <c r="I1168" t="s">
        <v>1634</v>
      </c>
      <c r="J1168" t="s">
        <v>10</v>
      </c>
      <c r="K1168">
        <v>5.0000000000000001E-3</v>
      </c>
      <c r="L1168">
        <v>145</v>
      </c>
      <c r="M1168" s="1">
        <v>7</v>
      </c>
      <c r="N1168">
        <v>0</v>
      </c>
      <c r="O1168">
        <v>0</v>
      </c>
      <c r="P1168">
        <v>29000</v>
      </c>
      <c r="Q1168" s="1">
        <v>29000</v>
      </c>
      <c r="R1168">
        <v>5.0000000000000001E-3</v>
      </c>
      <c r="S1168" s="2">
        <v>46167</v>
      </c>
      <c r="T1168" s="2">
        <v>46261</v>
      </c>
      <c r="U1168">
        <v>13000</v>
      </c>
      <c r="V1168">
        <v>13000</v>
      </c>
      <c r="W1168">
        <v>3000</v>
      </c>
      <c r="X1168">
        <v>5000</v>
      </c>
      <c r="Y1168">
        <v>3000</v>
      </c>
      <c r="Z1168" s="8">
        <v>13000</v>
      </c>
      <c r="AA1168">
        <v>8500</v>
      </c>
      <c r="AB1168">
        <v>0.35294117647058826</v>
      </c>
      <c r="AC1168">
        <v>1.5294117647058822</v>
      </c>
      <c r="AD1168" s="1">
        <v>66</v>
      </c>
      <c r="AE1168" s="2">
        <v>46314</v>
      </c>
      <c r="AF1168" s="2">
        <v>46322</v>
      </c>
      <c r="AG1168" s="2">
        <v>46329</v>
      </c>
      <c r="AH1168">
        <v>9000</v>
      </c>
      <c r="AI1168" s="3">
        <v>0.71618037135278512</v>
      </c>
      <c r="AJ1168" s="1">
        <v>93</v>
      </c>
      <c r="AK1168" s="2">
        <v>46356</v>
      </c>
      <c r="AL1168" s="4">
        <v>30</v>
      </c>
      <c r="AM1168" s="5">
        <v>15</v>
      </c>
      <c r="AN1168" s="4">
        <v>66</v>
      </c>
      <c r="AO1168">
        <v>9310.3448275862065</v>
      </c>
      <c r="AP1168" s="4">
        <v>1</v>
      </c>
      <c r="AQ1168">
        <v>53000</v>
      </c>
      <c r="AR1168" t="s">
        <v>1829</v>
      </c>
      <c r="AT1168" s="16" t="str">
        <f>_xlfn.XLOOKUP(B1168,'SWiSH Demand Forecast Sep-26'!D:D,'SWiSH Demand Forecast Sep-26'!G:G,"Not Exist")</f>
        <v>Not Exist</v>
      </c>
    </row>
    <row r="1169" spans="1:46" x14ac:dyDescent="0.3">
      <c r="A1169">
        <v>102500001</v>
      </c>
      <c r="B1169" t="s">
        <v>3047</v>
      </c>
      <c r="C1169" t="s">
        <v>136</v>
      </c>
      <c r="D1169" t="s">
        <v>1613</v>
      </c>
      <c r="E1169" t="s">
        <v>1732</v>
      </c>
      <c r="F1169" t="s">
        <v>1927</v>
      </c>
      <c r="G1169" t="s">
        <v>1616</v>
      </c>
      <c r="H1169" t="s">
        <v>1928</v>
      </c>
      <c r="I1169" t="s">
        <v>1618</v>
      </c>
      <c r="J1169" t="s">
        <v>3048</v>
      </c>
      <c r="K1169">
        <v>8.8211920500000005</v>
      </c>
      <c r="L1169">
        <v>900.29086062300007</v>
      </c>
      <c r="M1169" s="1">
        <v>3</v>
      </c>
      <c r="N1169">
        <v>0</v>
      </c>
      <c r="O1169">
        <v>0</v>
      </c>
      <c r="P1169">
        <v>102.06</v>
      </c>
      <c r="Q1169" s="1">
        <v>102.06</v>
      </c>
      <c r="R1169">
        <v>39.5</v>
      </c>
      <c r="S1169" s="2">
        <v>46135</v>
      </c>
      <c r="T1169" s="2">
        <v>46230</v>
      </c>
      <c r="U1169">
        <v>11.34</v>
      </c>
      <c r="V1169">
        <v>0</v>
      </c>
      <c r="W1169">
        <v>0</v>
      </c>
      <c r="X1169">
        <v>45.36</v>
      </c>
      <c r="Y1169">
        <v>0</v>
      </c>
      <c r="Z1169" s="8">
        <v>45.36</v>
      </c>
      <c r="AA1169">
        <v>14.175000000000001</v>
      </c>
      <c r="AB1169">
        <v>0</v>
      </c>
      <c r="AC1169">
        <v>3.1999999999999997</v>
      </c>
      <c r="AD1169" s="1">
        <v>67</v>
      </c>
      <c r="AE1169" s="2">
        <v>46315</v>
      </c>
      <c r="AF1169" s="2">
        <v>46323</v>
      </c>
      <c r="AG1169" s="2">
        <v>46330</v>
      </c>
      <c r="AH1169">
        <v>0</v>
      </c>
      <c r="AI1169" s="3">
        <v>0</v>
      </c>
      <c r="AJ1169" s="1" t="s">
        <v>1635</v>
      </c>
      <c r="AK1169" s="2" t="s">
        <v>1635</v>
      </c>
      <c r="AL1169" s="4">
        <v>30</v>
      </c>
      <c r="AM1169" s="5">
        <v>15</v>
      </c>
      <c r="AN1169" s="4">
        <v>67</v>
      </c>
      <c r="AO1169">
        <v>0</v>
      </c>
      <c r="AP1169" s="4">
        <v>1</v>
      </c>
      <c r="AQ1169" t="s">
        <v>1619</v>
      </c>
      <c r="AR1169" t="s">
        <v>1620</v>
      </c>
      <c r="AT1169" s="16" t="str">
        <f>_xlfn.XLOOKUP(B1169,'SWiSH Demand Forecast Sep-26'!D:D,'SWiSH Demand Forecast Sep-26'!G:G,"Not Exist")</f>
        <v>Not Exist</v>
      </c>
    </row>
    <row r="1170" spans="1:46" hidden="1" x14ac:dyDescent="0.3">
      <c r="A1170">
        <v>106200047</v>
      </c>
      <c r="B1170" t="s">
        <v>1244</v>
      </c>
      <c r="C1170" t="s">
        <v>240</v>
      </c>
      <c r="D1170" t="s">
        <v>1613</v>
      </c>
      <c r="E1170" t="s">
        <v>1732</v>
      </c>
      <c r="F1170" t="s">
        <v>1671</v>
      </c>
      <c r="G1170" t="s">
        <v>1616</v>
      </c>
      <c r="H1170" t="s">
        <v>1672</v>
      </c>
      <c r="I1170" t="s">
        <v>1618</v>
      </c>
      <c r="J1170" t="e">
        <v>#N/A</v>
      </c>
      <c r="K1170">
        <v>1.4219576700000001</v>
      </c>
      <c r="L1170">
        <v>386.99999946720004</v>
      </c>
      <c r="M1170" s="1">
        <v>3</v>
      </c>
      <c r="N1170">
        <v>0</v>
      </c>
      <c r="O1170">
        <v>0</v>
      </c>
      <c r="P1170">
        <v>272.16000000000003</v>
      </c>
      <c r="Q1170" s="1">
        <v>272.16000000000003</v>
      </c>
      <c r="R1170">
        <v>8.6</v>
      </c>
      <c r="S1170" s="2">
        <v>45386</v>
      </c>
      <c r="T1170" s="2">
        <v>46263</v>
      </c>
      <c r="U1170">
        <v>15.12</v>
      </c>
      <c r="V1170">
        <v>120.96</v>
      </c>
      <c r="W1170">
        <v>45.36</v>
      </c>
      <c r="X1170">
        <v>60.48</v>
      </c>
      <c r="Y1170">
        <v>15.12</v>
      </c>
      <c r="Z1170" s="8">
        <v>120.96</v>
      </c>
      <c r="AA1170">
        <v>60.48</v>
      </c>
      <c r="AB1170">
        <v>0.25</v>
      </c>
      <c r="AC1170">
        <v>2</v>
      </c>
      <c r="AD1170" s="1">
        <v>67</v>
      </c>
      <c r="AE1170" s="2">
        <v>46315</v>
      </c>
      <c r="AF1170" s="2">
        <v>46323</v>
      </c>
      <c r="AG1170" s="2">
        <v>46330</v>
      </c>
      <c r="AH1170">
        <v>120.96</v>
      </c>
      <c r="AI1170" s="3">
        <v>1.0344827586206895</v>
      </c>
      <c r="AJ1170" s="1">
        <v>65</v>
      </c>
      <c r="AK1170" s="2">
        <v>46328</v>
      </c>
      <c r="AL1170" s="4">
        <v>30</v>
      </c>
      <c r="AM1170" s="5">
        <v>15</v>
      </c>
      <c r="AN1170" s="4">
        <v>65</v>
      </c>
      <c r="AO1170">
        <v>125.13103448275861</v>
      </c>
      <c r="AP1170" s="4">
        <v>1</v>
      </c>
      <c r="AQ1170" t="s">
        <v>1619</v>
      </c>
      <c r="AR1170" t="s">
        <v>1620</v>
      </c>
      <c r="AT1170" s="16">
        <f>_xlfn.XLOOKUP(B1170,'SWiSH Demand Forecast Sep-26'!D:D,'SWiSH Demand Forecast Sep-26'!G:G,"Not Exist")</f>
        <v>44.808340819059097</v>
      </c>
    </row>
    <row r="1171" spans="1:46" x14ac:dyDescent="0.3">
      <c r="A1171">
        <v>101400058</v>
      </c>
      <c r="B1171" t="s">
        <v>3049</v>
      </c>
      <c r="C1171" t="s">
        <v>10</v>
      </c>
      <c r="D1171" t="s">
        <v>1613</v>
      </c>
      <c r="E1171" t="s">
        <v>1630</v>
      </c>
      <c r="F1171" t="s">
        <v>1644</v>
      </c>
      <c r="G1171" t="s">
        <v>1624</v>
      </c>
      <c r="H1171" t="s">
        <v>1693</v>
      </c>
      <c r="I1171" t="s">
        <v>1634</v>
      </c>
      <c r="J1171" t="s">
        <v>10</v>
      </c>
      <c r="K1171">
        <v>0.53272366000000004</v>
      </c>
      <c r="L1171">
        <v>19.178051760000002</v>
      </c>
      <c r="M1171" s="1">
        <v>3</v>
      </c>
      <c r="N1171">
        <v>0</v>
      </c>
      <c r="O1171">
        <v>0</v>
      </c>
      <c r="P1171">
        <v>36</v>
      </c>
      <c r="Q1171" s="1">
        <v>36</v>
      </c>
      <c r="R1171">
        <v>6.5</v>
      </c>
      <c r="S1171" s="2">
        <v>46201</v>
      </c>
      <c r="T1171" s="2">
        <v>46257</v>
      </c>
      <c r="U1171">
        <v>12</v>
      </c>
      <c r="V1171">
        <v>14</v>
      </c>
      <c r="W1171">
        <v>16</v>
      </c>
      <c r="X1171">
        <v>5</v>
      </c>
      <c r="Y1171">
        <v>5</v>
      </c>
      <c r="Z1171" s="8">
        <v>16</v>
      </c>
      <c r="AA1171">
        <v>11.75</v>
      </c>
      <c r="AB1171">
        <v>0.42553191489361702</v>
      </c>
      <c r="AC1171">
        <v>1.3617021276595744</v>
      </c>
      <c r="AD1171" s="1">
        <v>67</v>
      </c>
      <c r="AE1171" s="2">
        <v>46315</v>
      </c>
      <c r="AF1171" s="2">
        <v>46323</v>
      </c>
      <c r="AG1171" s="2">
        <v>46330</v>
      </c>
      <c r="AH1171">
        <v>5</v>
      </c>
      <c r="AI1171" s="3">
        <v>0.32327586206896552</v>
      </c>
      <c r="AJ1171" s="1">
        <v>208</v>
      </c>
      <c r="AK1171" s="2">
        <v>46471</v>
      </c>
      <c r="AL1171" s="4">
        <v>30</v>
      </c>
      <c r="AM1171" s="5">
        <v>15</v>
      </c>
      <c r="AN1171" s="4">
        <v>67</v>
      </c>
      <c r="AO1171">
        <v>5.1724137931034484</v>
      </c>
      <c r="AP1171" s="4">
        <v>1</v>
      </c>
      <c r="AQ1171" t="s">
        <v>1619</v>
      </c>
      <c r="AR1171" t="s">
        <v>1620</v>
      </c>
      <c r="AT1171" s="16" t="str">
        <f>_xlfn.XLOOKUP(B1171,'SWiSH Demand Forecast Sep-26'!D:D,'SWiSH Demand Forecast Sep-26'!G:G,"Not Exist")</f>
        <v>Not Exist</v>
      </c>
    </row>
    <row r="1172" spans="1:46" hidden="1" x14ac:dyDescent="0.3">
      <c r="A1172">
        <v>100400189</v>
      </c>
      <c r="B1172" t="s">
        <v>404</v>
      </c>
      <c r="C1172" t="s">
        <v>10</v>
      </c>
      <c r="D1172" t="s">
        <v>1613</v>
      </c>
      <c r="E1172" t="s">
        <v>1926</v>
      </c>
      <c r="F1172" t="s">
        <v>1664</v>
      </c>
      <c r="G1172" t="s">
        <v>1624</v>
      </c>
      <c r="H1172" t="s">
        <v>1810</v>
      </c>
      <c r="I1172" t="s">
        <v>1634</v>
      </c>
      <c r="J1172" t="s">
        <v>10</v>
      </c>
      <c r="K1172">
        <v>2.339811E-2</v>
      </c>
      <c r="L1172">
        <v>666.846135</v>
      </c>
      <c r="M1172" s="1">
        <v>30</v>
      </c>
      <c r="N1172">
        <v>0</v>
      </c>
      <c r="O1172">
        <v>0</v>
      </c>
      <c r="P1172">
        <v>28500</v>
      </c>
      <c r="Q1172" s="1">
        <v>28500</v>
      </c>
      <c r="R1172">
        <v>2.8000000000000001E-2</v>
      </c>
      <c r="S1172" s="2">
        <v>46235</v>
      </c>
      <c r="T1172" s="2">
        <v>46262</v>
      </c>
      <c r="U1172">
        <v>11550</v>
      </c>
      <c r="V1172">
        <v>12650</v>
      </c>
      <c r="W1172">
        <v>12100</v>
      </c>
      <c r="X1172">
        <v>11450</v>
      </c>
      <c r="Y1172">
        <v>11450</v>
      </c>
      <c r="Z1172" s="8">
        <v>12650</v>
      </c>
      <c r="AA1172">
        <v>11937.5</v>
      </c>
      <c r="AB1172">
        <v>0.9591623036649215</v>
      </c>
      <c r="AC1172">
        <v>1.0596858638743456</v>
      </c>
      <c r="AD1172" s="1">
        <v>67</v>
      </c>
      <c r="AE1172" s="2">
        <v>46315</v>
      </c>
      <c r="AF1172" s="2">
        <v>46323</v>
      </c>
      <c r="AG1172" s="2">
        <v>46330</v>
      </c>
      <c r="AH1172">
        <v>8550</v>
      </c>
      <c r="AI1172" s="3">
        <v>0.69919585661714601</v>
      </c>
      <c r="AJ1172" s="1">
        <v>96</v>
      </c>
      <c r="AK1172" s="2">
        <v>46359</v>
      </c>
      <c r="AL1172" s="4">
        <v>30</v>
      </c>
      <c r="AM1172" s="5">
        <v>15</v>
      </c>
      <c r="AN1172" s="4">
        <v>67</v>
      </c>
      <c r="AO1172">
        <v>8844.8275862068967</v>
      </c>
      <c r="AP1172" s="4">
        <v>1</v>
      </c>
      <c r="AQ1172">
        <v>56350</v>
      </c>
      <c r="AR1172" t="s">
        <v>2521</v>
      </c>
      <c r="AT1172" s="16">
        <f>_xlfn.XLOOKUP(B1172,'SWiSH Demand Forecast Sep-26'!D:D,'SWiSH Demand Forecast Sep-26'!G:G,"Not Exist")</f>
        <v>2616</v>
      </c>
    </row>
    <row r="1173" spans="1:46" hidden="1" x14ac:dyDescent="0.3">
      <c r="A1173">
        <v>106800082</v>
      </c>
      <c r="B1173" t="s">
        <v>133</v>
      </c>
      <c r="C1173" t="s">
        <v>10</v>
      </c>
      <c r="D1173" t="s">
        <v>1613</v>
      </c>
      <c r="E1173" t="s">
        <v>1655</v>
      </c>
      <c r="F1173" t="s">
        <v>1664</v>
      </c>
      <c r="G1173" t="s">
        <v>1624</v>
      </c>
      <c r="H1173" t="s">
        <v>1665</v>
      </c>
      <c r="I1173" t="s">
        <v>1634</v>
      </c>
      <c r="J1173" t="s">
        <v>10</v>
      </c>
      <c r="K1173">
        <v>4.7238899999999997E-3</v>
      </c>
      <c r="L1173">
        <v>316.50063</v>
      </c>
      <c r="M1173" s="1">
        <v>7</v>
      </c>
      <c r="N1173">
        <v>0</v>
      </c>
      <c r="O1173">
        <v>0</v>
      </c>
      <c r="P1173">
        <v>67000</v>
      </c>
      <c r="Q1173" s="1">
        <v>67000</v>
      </c>
      <c r="R1173">
        <v>5.0000000000000001E-3</v>
      </c>
      <c r="S1173" s="2">
        <v>46207</v>
      </c>
      <c r="T1173" s="2">
        <v>46261</v>
      </c>
      <c r="U1173">
        <v>17000</v>
      </c>
      <c r="V1173">
        <v>30000</v>
      </c>
      <c r="W1173">
        <v>23000</v>
      </c>
      <c r="X1173">
        <v>28000</v>
      </c>
      <c r="Y1173">
        <v>17000</v>
      </c>
      <c r="Z1173" s="8">
        <v>30000</v>
      </c>
      <c r="AA1173">
        <v>24500</v>
      </c>
      <c r="AB1173">
        <v>0.69387755102040816</v>
      </c>
      <c r="AC1173">
        <v>1.2244897959183674</v>
      </c>
      <c r="AD1173" s="1">
        <v>67</v>
      </c>
      <c r="AE1173" s="2">
        <v>46315</v>
      </c>
      <c r="AF1173" s="2">
        <v>46323</v>
      </c>
      <c r="AG1173" s="2">
        <v>46330</v>
      </c>
      <c r="AH1173">
        <v>32000</v>
      </c>
      <c r="AI1173" s="3">
        <v>1.103448275862069</v>
      </c>
      <c r="AJ1173" s="1">
        <v>60</v>
      </c>
      <c r="AK1173" s="2">
        <v>46323</v>
      </c>
      <c r="AL1173" s="4">
        <v>30</v>
      </c>
      <c r="AM1173" s="5">
        <v>15</v>
      </c>
      <c r="AN1173" s="4">
        <v>60</v>
      </c>
      <c r="AO1173">
        <v>33103.448275862065</v>
      </c>
      <c r="AP1173" s="4">
        <v>1</v>
      </c>
      <c r="AQ1173">
        <v>90000</v>
      </c>
      <c r="AR1173" t="s">
        <v>1829</v>
      </c>
      <c r="AT1173" s="16">
        <f>_xlfn.XLOOKUP(B1173,'SWiSH Demand Forecast Sep-26'!D:D,'SWiSH Demand Forecast Sep-26'!G:G,"Not Exist")</f>
        <v>14165</v>
      </c>
    </row>
    <row r="1174" spans="1:46" x14ac:dyDescent="0.3">
      <c r="A1174">
        <v>106700025</v>
      </c>
      <c r="B1174" t="s">
        <v>3050</v>
      </c>
      <c r="C1174" t="s">
        <v>10</v>
      </c>
      <c r="D1174" t="s">
        <v>1613</v>
      </c>
      <c r="E1174" t="s">
        <v>3051</v>
      </c>
      <c r="F1174" t="s">
        <v>1650</v>
      </c>
      <c r="G1174" t="s">
        <v>1624</v>
      </c>
      <c r="H1174" t="s">
        <v>1651</v>
      </c>
      <c r="I1174" t="s">
        <v>1634</v>
      </c>
      <c r="J1174" t="s">
        <v>10</v>
      </c>
      <c r="K1174">
        <v>0.95</v>
      </c>
      <c r="L1174">
        <v>61.75</v>
      </c>
      <c r="M1174" s="1">
        <v>3</v>
      </c>
      <c r="N1174">
        <v>0</v>
      </c>
      <c r="O1174">
        <v>4</v>
      </c>
      <c r="P1174">
        <v>65</v>
      </c>
      <c r="Q1174" s="1">
        <v>61</v>
      </c>
      <c r="R1174">
        <v>0.95</v>
      </c>
      <c r="S1174" s="2">
        <v>46188</v>
      </c>
      <c r="T1174" s="2">
        <v>46259</v>
      </c>
      <c r="U1174">
        <v>20</v>
      </c>
      <c r="V1174">
        <v>6</v>
      </c>
      <c r="W1174">
        <v>24</v>
      </c>
      <c r="X1174">
        <v>27</v>
      </c>
      <c r="Y1174">
        <v>6</v>
      </c>
      <c r="Z1174" s="8">
        <v>27</v>
      </c>
      <c r="AA1174">
        <v>19.25</v>
      </c>
      <c r="AB1174">
        <v>0.31168831168831168</v>
      </c>
      <c r="AC1174">
        <v>1.4025974025974026</v>
      </c>
      <c r="AD1174" s="1">
        <v>67</v>
      </c>
      <c r="AE1174" s="2">
        <v>46315</v>
      </c>
      <c r="AF1174" s="2">
        <v>46323</v>
      </c>
      <c r="AG1174" s="2">
        <v>46330</v>
      </c>
      <c r="AH1174">
        <v>16</v>
      </c>
      <c r="AI1174" s="3">
        <v>0.61302681992337171</v>
      </c>
      <c r="AJ1174" s="1">
        <v>110</v>
      </c>
      <c r="AK1174" s="2">
        <v>46373</v>
      </c>
      <c r="AL1174" s="4">
        <v>30</v>
      </c>
      <c r="AM1174" s="5">
        <v>15</v>
      </c>
      <c r="AN1174" s="4">
        <v>67</v>
      </c>
      <c r="AO1174">
        <v>16.551724137931036</v>
      </c>
      <c r="AP1174" s="4">
        <v>1</v>
      </c>
      <c r="AQ1174" t="s">
        <v>1619</v>
      </c>
      <c r="AR1174" t="s">
        <v>1620</v>
      </c>
      <c r="AT1174" s="16" t="str">
        <f>_xlfn.XLOOKUP(B1174,'SWiSH Demand Forecast Sep-26'!D:D,'SWiSH Demand Forecast Sep-26'!G:G,"Not Exist")</f>
        <v>Not Exist</v>
      </c>
    </row>
    <row r="1175" spans="1:46" x14ac:dyDescent="0.3">
      <c r="A1175">
        <v>101100025</v>
      </c>
      <c r="B1175" t="s">
        <v>3052</v>
      </c>
      <c r="C1175" t="s">
        <v>10</v>
      </c>
      <c r="D1175" t="s">
        <v>1613</v>
      </c>
      <c r="E1175" t="s">
        <v>1926</v>
      </c>
      <c r="F1175" t="s">
        <v>1650</v>
      </c>
      <c r="G1175" t="s">
        <v>1624</v>
      </c>
      <c r="H1175" t="s">
        <v>1953</v>
      </c>
      <c r="I1175" t="s">
        <v>1634</v>
      </c>
      <c r="J1175" t="s">
        <v>10</v>
      </c>
      <c r="K1175">
        <v>4</v>
      </c>
      <c r="L1175">
        <v>36</v>
      </c>
      <c r="M1175" s="1">
        <v>3</v>
      </c>
      <c r="N1175">
        <v>0</v>
      </c>
      <c r="O1175">
        <v>0</v>
      </c>
      <c r="P1175">
        <v>9</v>
      </c>
      <c r="Q1175" s="1">
        <v>9</v>
      </c>
      <c r="R1175">
        <v>4</v>
      </c>
      <c r="S1175" s="2">
        <v>46176</v>
      </c>
      <c r="T1175" s="2">
        <v>46262</v>
      </c>
      <c r="U1175">
        <v>3</v>
      </c>
      <c r="V1175">
        <v>4</v>
      </c>
      <c r="W1175">
        <v>0</v>
      </c>
      <c r="X1175">
        <v>3</v>
      </c>
      <c r="Y1175">
        <v>0</v>
      </c>
      <c r="Z1175" s="8">
        <v>4</v>
      </c>
      <c r="AA1175">
        <v>2.5</v>
      </c>
      <c r="AB1175">
        <v>0</v>
      </c>
      <c r="AC1175">
        <v>1.6</v>
      </c>
      <c r="AD1175" s="1">
        <v>67</v>
      </c>
      <c r="AE1175" s="2">
        <v>46315</v>
      </c>
      <c r="AF1175" s="2">
        <v>46323</v>
      </c>
      <c r="AG1175" s="2">
        <v>46330</v>
      </c>
      <c r="AH1175">
        <v>6</v>
      </c>
      <c r="AI1175" s="3">
        <v>1.5517241379310345</v>
      </c>
      <c r="AJ1175" s="1">
        <v>43</v>
      </c>
      <c r="AK1175" s="2">
        <v>46306</v>
      </c>
      <c r="AL1175" s="4">
        <v>30</v>
      </c>
      <c r="AM1175" s="5">
        <v>15</v>
      </c>
      <c r="AN1175" s="4">
        <v>43</v>
      </c>
      <c r="AO1175">
        <v>6.2068965517241379</v>
      </c>
      <c r="AP1175" s="4">
        <v>1</v>
      </c>
      <c r="AQ1175" t="s">
        <v>1619</v>
      </c>
      <c r="AR1175" t="s">
        <v>1620</v>
      </c>
      <c r="AT1175" s="16" t="str">
        <f>_xlfn.XLOOKUP(B1175,'SWiSH Demand Forecast Sep-26'!D:D,'SWiSH Demand Forecast Sep-26'!G:G,"Not Exist")</f>
        <v>Not Exist</v>
      </c>
    </row>
    <row r="1176" spans="1:46" hidden="1" x14ac:dyDescent="0.3">
      <c r="A1176">
        <v>105900009</v>
      </c>
      <c r="B1176" t="s">
        <v>465</v>
      </c>
      <c r="C1176" t="s">
        <v>10</v>
      </c>
      <c r="D1176" t="s">
        <v>1613</v>
      </c>
      <c r="E1176" t="s">
        <v>1732</v>
      </c>
      <c r="F1176" t="s">
        <v>1664</v>
      </c>
      <c r="G1176" t="s">
        <v>1616</v>
      </c>
      <c r="H1176" t="s">
        <v>1729</v>
      </c>
      <c r="I1176" t="s">
        <v>1634</v>
      </c>
      <c r="J1176" t="s">
        <v>1733</v>
      </c>
      <c r="K1176">
        <v>4.9771199999999998E-3</v>
      </c>
      <c r="L1176">
        <v>67.688831999999991</v>
      </c>
      <c r="M1176" s="1">
        <v>90</v>
      </c>
      <c r="N1176">
        <v>0</v>
      </c>
      <c r="O1176">
        <v>0</v>
      </c>
      <c r="P1176">
        <v>13600</v>
      </c>
      <c r="Q1176" s="1">
        <v>13600</v>
      </c>
      <c r="R1176">
        <v>5</v>
      </c>
      <c r="S1176" s="2">
        <v>46132</v>
      </c>
      <c r="T1176" s="2">
        <v>46252</v>
      </c>
      <c r="U1176">
        <v>3000</v>
      </c>
      <c r="V1176">
        <v>3000</v>
      </c>
      <c r="W1176">
        <v>6000</v>
      </c>
      <c r="X1176">
        <v>2000</v>
      </c>
      <c r="Y1176">
        <v>2000</v>
      </c>
      <c r="Z1176" s="8">
        <v>6000</v>
      </c>
      <c r="AA1176">
        <v>3500</v>
      </c>
      <c r="AB1176">
        <v>0.5714285714285714</v>
      </c>
      <c r="AC1176">
        <v>1.7142857142857142</v>
      </c>
      <c r="AD1176" s="1">
        <v>68</v>
      </c>
      <c r="AE1176" s="2">
        <v>46316</v>
      </c>
      <c r="AF1176" s="2">
        <v>46324</v>
      </c>
      <c r="AG1176" s="2">
        <v>46331</v>
      </c>
      <c r="AH1176">
        <v>3400</v>
      </c>
      <c r="AI1176" s="3">
        <v>0.58620689655172409</v>
      </c>
      <c r="AJ1176" s="1">
        <v>116</v>
      </c>
      <c r="AK1176" s="2">
        <v>46379</v>
      </c>
      <c r="AL1176" s="4">
        <v>120</v>
      </c>
      <c r="AM1176" s="5">
        <v>100</v>
      </c>
      <c r="AN1176" s="4">
        <v>68</v>
      </c>
      <c r="AO1176">
        <v>14068.965517241379</v>
      </c>
      <c r="AP1176" s="4">
        <v>1</v>
      </c>
      <c r="AQ1176" t="s">
        <v>1619</v>
      </c>
      <c r="AR1176" t="s">
        <v>1620</v>
      </c>
      <c r="AT1176" s="16">
        <f>_xlfn.XLOOKUP(B1176,'SWiSH Demand Forecast Sep-26'!D:D,'SWiSH Demand Forecast Sep-26'!G:G,"Not Exist")</f>
        <v>1906</v>
      </c>
    </row>
    <row r="1177" spans="1:46" hidden="1" x14ac:dyDescent="0.3">
      <c r="A1177">
        <v>100400093</v>
      </c>
      <c r="B1177" t="s">
        <v>427</v>
      </c>
      <c r="C1177" t="s">
        <v>10</v>
      </c>
      <c r="D1177" t="s">
        <v>1613</v>
      </c>
      <c r="E1177" t="s">
        <v>1638</v>
      </c>
      <c r="F1177" t="s">
        <v>1664</v>
      </c>
      <c r="G1177" t="s">
        <v>1624</v>
      </c>
      <c r="H1177" t="s">
        <v>1810</v>
      </c>
      <c r="I1177" t="s">
        <v>1634</v>
      </c>
      <c r="J1177" t="s">
        <v>10</v>
      </c>
      <c r="K1177">
        <v>6.0000000000000001E-3</v>
      </c>
      <c r="L1177">
        <v>432</v>
      </c>
      <c r="M1177" s="1">
        <v>30</v>
      </c>
      <c r="N1177">
        <v>0</v>
      </c>
      <c r="O1177">
        <v>0</v>
      </c>
      <c r="P1177">
        <v>72000</v>
      </c>
      <c r="Q1177" s="1">
        <v>72000</v>
      </c>
      <c r="R1177">
        <v>6.0000000000000001E-3</v>
      </c>
      <c r="S1177" s="2">
        <v>46240</v>
      </c>
      <c r="T1177" s="2">
        <v>46263</v>
      </c>
      <c r="U1177">
        <v>31500</v>
      </c>
      <c r="V1177">
        <v>15000</v>
      </c>
      <c r="W1177">
        <v>22500</v>
      </c>
      <c r="X1177">
        <v>21000</v>
      </c>
      <c r="Y1177">
        <v>15000</v>
      </c>
      <c r="Z1177" s="8">
        <v>31500</v>
      </c>
      <c r="AA1177">
        <v>22500</v>
      </c>
      <c r="AB1177">
        <v>0.66666666666666663</v>
      </c>
      <c r="AC1177">
        <v>1.4</v>
      </c>
      <c r="AD1177" s="1">
        <v>68</v>
      </c>
      <c r="AE1177" s="2">
        <v>46316</v>
      </c>
      <c r="AF1177" s="2">
        <v>46324</v>
      </c>
      <c r="AG1177" s="2">
        <v>46331</v>
      </c>
      <c r="AH1177">
        <v>23000</v>
      </c>
      <c r="AI1177" s="3">
        <v>0.75533661740558289</v>
      </c>
      <c r="AJ1177" s="1">
        <v>90</v>
      </c>
      <c r="AK1177" s="2">
        <v>46353</v>
      </c>
      <c r="AL1177" s="4">
        <v>30</v>
      </c>
      <c r="AM1177" s="5">
        <v>15</v>
      </c>
      <c r="AN1177" s="4">
        <v>68</v>
      </c>
      <c r="AO1177">
        <v>23793.103448275862</v>
      </c>
      <c r="AP1177" s="4">
        <v>1</v>
      </c>
      <c r="AQ1177" t="s">
        <v>1619</v>
      </c>
      <c r="AR1177" t="s">
        <v>1620</v>
      </c>
      <c r="AT1177" s="16">
        <f>_xlfn.XLOOKUP(B1177,'SWiSH Demand Forecast Sep-26'!D:D,'SWiSH Demand Forecast Sep-26'!G:G,"Not Exist")</f>
        <v>2366</v>
      </c>
    </row>
    <row r="1178" spans="1:46" hidden="1" x14ac:dyDescent="0.3">
      <c r="A1178">
        <v>100400000</v>
      </c>
      <c r="B1178" t="s">
        <v>1028</v>
      </c>
      <c r="C1178" t="s">
        <v>10</v>
      </c>
      <c r="D1178" t="s">
        <v>1675</v>
      </c>
      <c r="E1178" t="s">
        <v>1926</v>
      </c>
      <c r="F1178" t="s">
        <v>1664</v>
      </c>
      <c r="G1178" t="s">
        <v>1704</v>
      </c>
      <c r="H1178" t="s">
        <v>1810</v>
      </c>
      <c r="I1178" t="s">
        <v>1634</v>
      </c>
      <c r="J1178" t="s">
        <v>10</v>
      </c>
      <c r="K1178">
        <v>0.1200608</v>
      </c>
      <c r="L1178">
        <v>84.042559999999995</v>
      </c>
      <c r="M1178" s="1">
        <v>30</v>
      </c>
      <c r="N1178">
        <v>0</v>
      </c>
      <c r="O1178">
        <v>0</v>
      </c>
      <c r="P1178">
        <v>700</v>
      </c>
      <c r="Q1178" s="1">
        <v>700</v>
      </c>
      <c r="R1178">
        <v>0.11405999999999999</v>
      </c>
      <c r="S1178" s="2">
        <v>45777</v>
      </c>
      <c r="T1178" s="2">
        <v>46183</v>
      </c>
      <c r="U1178">
        <v>0</v>
      </c>
      <c r="V1178">
        <v>300</v>
      </c>
      <c r="W1178">
        <v>100</v>
      </c>
      <c r="X1178">
        <v>0</v>
      </c>
      <c r="Y1178">
        <v>0</v>
      </c>
      <c r="Z1178" s="8">
        <v>300</v>
      </c>
      <c r="AA1178">
        <v>100</v>
      </c>
      <c r="AB1178">
        <v>0</v>
      </c>
      <c r="AC1178">
        <v>3</v>
      </c>
      <c r="AD1178" s="1">
        <v>70</v>
      </c>
      <c r="AE1178" s="2">
        <v>46318</v>
      </c>
      <c r="AF1178" s="2">
        <v>46326</v>
      </c>
      <c r="AG1178" s="2">
        <v>46333</v>
      </c>
      <c r="AH1178">
        <v>0</v>
      </c>
      <c r="AI1178" s="3">
        <v>0</v>
      </c>
      <c r="AJ1178" s="1" t="s">
        <v>1635</v>
      </c>
      <c r="AK1178" s="2" t="s">
        <v>1635</v>
      </c>
      <c r="AL1178" s="4" t="s">
        <v>1658</v>
      </c>
      <c r="AM1178" s="5" t="s">
        <v>1658</v>
      </c>
      <c r="AN1178" s="4">
        <v>70</v>
      </c>
      <c r="AO1178" t="s">
        <v>1635</v>
      </c>
      <c r="AP1178" s="4" t="s">
        <v>1658</v>
      </c>
      <c r="AQ1178" t="s">
        <v>1619</v>
      </c>
      <c r="AR1178" t="s">
        <v>1620</v>
      </c>
      <c r="AT1178" s="16">
        <f>_xlfn.XLOOKUP(B1178,'SWiSH Demand Forecast Sep-26'!D:D,'SWiSH Demand Forecast Sep-26'!G:G,"Not Exist")</f>
        <v>136</v>
      </c>
    </row>
    <row r="1179" spans="1:46" x14ac:dyDescent="0.3">
      <c r="A1179">
        <v>106700096</v>
      </c>
      <c r="B1179" t="s">
        <v>3053</v>
      </c>
      <c r="C1179" t="s">
        <v>10</v>
      </c>
      <c r="D1179" t="s">
        <v>1613</v>
      </c>
      <c r="E1179" t="s">
        <v>3054</v>
      </c>
      <c r="F1179" t="s">
        <v>1650</v>
      </c>
      <c r="G1179" t="s">
        <v>1624</v>
      </c>
      <c r="H1179" t="s">
        <v>1651</v>
      </c>
      <c r="I1179" t="s">
        <v>1634</v>
      </c>
      <c r="J1179" t="s">
        <v>10</v>
      </c>
      <c r="K1179">
        <v>1.5</v>
      </c>
      <c r="L1179">
        <v>10.5</v>
      </c>
      <c r="M1179" s="1">
        <v>3</v>
      </c>
      <c r="N1179">
        <v>0</v>
      </c>
      <c r="O1179">
        <v>0</v>
      </c>
      <c r="P1179">
        <v>7</v>
      </c>
      <c r="Q1179" s="1">
        <v>7</v>
      </c>
      <c r="R1179">
        <v>1.5</v>
      </c>
      <c r="S1179" s="2">
        <v>46208</v>
      </c>
      <c r="T1179" s="2">
        <v>46252</v>
      </c>
      <c r="U1179">
        <v>3</v>
      </c>
      <c r="V1179">
        <v>1</v>
      </c>
      <c r="W1179">
        <v>3</v>
      </c>
      <c r="X1179">
        <v>1</v>
      </c>
      <c r="Y1179">
        <v>1</v>
      </c>
      <c r="Z1179" s="8">
        <v>3</v>
      </c>
      <c r="AA1179">
        <v>2</v>
      </c>
      <c r="AB1179">
        <v>0.5</v>
      </c>
      <c r="AC1179">
        <v>1.5</v>
      </c>
      <c r="AD1179" s="1">
        <v>70</v>
      </c>
      <c r="AE1179" s="2">
        <v>46318</v>
      </c>
      <c r="AF1179" s="2">
        <v>46326</v>
      </c>
      <c r="AG1179" s="2">
        <v>46333</v>
      </c>
      <c r="AH1179">
        <v>2</v>
      </c>
      <c r="AI1179" s="3">
        <v>0.68965517241379315</v>
      </c>
      <c r="AJ1179" s="1">
        <v>101</v>
      </c>
      <c r="AK1179" s="2">
        <v>46364</v>
      </c>
      <c r="AL1179" s="4">
        <v>30</v>
      </c>
      <c r="AM1179" s="5">
        <v>15</v>
      </c>
      <c r="AN1179" s="4">
        <v>70</v>
      </c>
      <c r="AO1179">
        <v>2.0689655172413794</v>
      </c>
      <c r="AP1179" s="4">
        <v>1</v>
      </c>
      <c r="AQ1179" t="s">
        <v>1619</v>
      </c>
      <c r="AR1179" t="s">
        <v>1620</v>
      </c>
      <c r="AT1179" s="16" t="str">
        <f>_xlfn.XLOOKUP(B1179,'SWiSH Demand Forecast Sep-26'!D:D,'SWiSH Demand Forecast Sep-26'!G:G,"Not Exist")</f>
        <v>Not Exist</v>
      </c>
    </row>
    <row r="1180" spans="1:46" x14ac:dyDescent="0.3">
      <c r="A1180">
        <v>107400098</v>
      </c>
      <c r="B1180" t="s">
        <v>3055</v>
      </c>
      <c r="C1180" t="s">
        <v>10</v>
      </c>
      <c r="D1180" t="s">
        <v>1613</v>
      </c>
      <c r="E1180" t="s">
        <v>1638</v>
      </c>
      <c r="F1180" t="s">
        <v>1664</v>
      </c>
      <c r="G1180" t="s">
        <v>1624</v>
      </c>
      <c r="H1180" t="s">
        <v>2016</v>
      </c>
      <c r="I1180" t="s">
        <v>1634</v>
      </c>
      <c r="J1180" t="s">
        <v>10</v>
      </c>
      <c r="K1180">
        <v>1.2999999999999999E-2</v>
      </c>
      <c r="L1180">
        <v>383.5</v>
      </c>
      <c r="M1180" s="1">
        <v>30</v>
      </c>
      <c r="N1180">
        <v>0</v>
      </c>
      <c r="O1180">
        <v>0</v>
      </c>
      <c r="P1180">
        <v>29500</v>
      </c>
      <c r="Q1180" s="1">
        <v>29500</v>
      </c>
      <c r="R1180">
        <v>1.2999999999999999E-2</v>
      </c>
      <c r="S1180" s="2">
        <v>46190</v>
      </c>
      <c r="T1180" s="2">
        <v>46194</v>
      </c>
      <c r="U1180">
        <v>0</v>
      </c>
      <c r="V1180">
        <v>0</v>
      </c>
      <c r="W1180">
        <v>12500</v>
      </c>
      <c r="X1180">
        <v>0</v>
      </c>
      <c r="Y1180">
        <v>0</v>
      </c>
      <c r="Z1180" s="8">
        <v>12500</v>
      </c>
      <c r="AA1180">
        <v>3125</v>
      </c>
      <c r="AB1180">
        <v>0</v>
      </c>
      <c r="AC1180">
        <v>4</v>
      </c>
      <c r="AD1180" s="1">
        <v>70</v>
      </c>
      <c r="AE1180" s="2">
        <v>46318</v>
      </c>
      <c r="AF1180" s="2">
        <v>46326</v>
      </c>
      <c r="AG1180" s="2">
        <v>46333</v>
      </c>
      <c r="AH1180">
        <v>0</v>
      </c>
      <c r="AI1180" s="3">
        <v>0</v>
      </c>
      <c r="AJ1180" s="1" t="s">
        <v>1635</v>
      </c>
      <c r="AK1180" s="2" t="s">
        <v>1635</v>
      </c>
      <c r="AL1180" s="4">
        <v>30</v>
      </c>
      <c r="AM1180" s="5">
        <v>15</v>
      </c>
      <c r="AN1180" s="4">
        <v>70</v>
      </c>
      <c r="AO1180">
        <v>0</v>
      </c>
      <c r="AP1180" s="4">
        <v>1</v>
      </c>
      <c r="AQ1180">
        <v>8000</v>
      </c>
      <c r="AR1180" t="s">
        <v>2032</v>
      </c>
      <c r="AT1180" s="16" t="str">
        <f>_xlfn.XLOOKUP(B1180,'SWiSH Demand Forecast Sep-26'!D:D,'SWiSH Demand Forecast Sep-26'!G:G,"Not Exist")</f>
        <v>Not Exist</v>
      </c>
    </row>
    <row r="1181" spans="1:46" hidden="1" x14ac:dyDescent="0.3">
      <c r="A1181">
        <v>106800131</v>
      </c>
      <c r="B1181" t="s">
        <v>342</v>
      </c>
      <c r="C1181" t="s">
        <v>10</v>
      </c>
      <c r="D1181" t="s">
        <v>1613</v>
      </c>
      <c r="E1181" t="s">
        <v>1732</v>
      </c>
      <c r="F1181" t="s">
        <v>1664</v>
      </c>
      <c r="G1181" t="s">
        <v>1616</v>
      </c>
      <c r="H1181" t="s">
        <v>1665</v>
      </c>
      <c r="I1181" t="s">
        <v>1634</v>
      </c>
      <c r="J1181" t="s">
        <v>10</v>
      </c>
      <c r="K1181">
        <v>3.65E-3</v>
      </c>
      <c r="L1181">
        <v>69.349999999999994</v>
      </c>
      <c r="M1181" s="1">
        <v>7</v>
      </c>
      <c r="N1181">
        <v>0</v>
      </c>
      <c r="O1181">
        <v>0</v>
      </c>
      <c r="P1181">
        <v>19000</v>
      </c>
      <c r="Q1181" s="1">
        <v>19000</v>
      </c>
      <c r="R1181">
        <v>3.65E-3</v>
      </c>
      <c r="S1181" s="2">
        <v>45837</v>
      </c>
      <c r="T1181" s="2">
        <v>46260</v>
      </c>
      <c r="U1181">
        <v>4000</v>
      </c>
      <c r="V1181">
        <v>7000</v>
      </c>
      <c r="W1181">
        <v>8000</v>
      </c>
      <c r="X1181">
        <v>6000</v>
      </c>
      <c r="Y1181">
        <v>4000</v>
      </c>
      <c r="Z1181" s="8">
        <v>8000</v>
      </c>
      <c r="AA1181">
        <v>6250</v>
      </c>
      <c r="AB1181">
        <v>0.64</v>
      </c>
      <c r="AC1181">
        <v>1.28</v>
      </c>
      <c r="AD1181" s="1">
        <v>71</v>
      </c>
      <c r="AE1181" s="2">
        <v>46319</v>
      </c>
      <c r="AF1181" s="2">
        <v>46327</v>
      </c>
      <c r="AG1181" s="2">
        <v>46334</v>
      </c>
      <c r="AH1181">
        <v>9000</v>
      </c>
      <c r="AI1181" s="3">
        <v>1.1637931034482758</v>
      </c>
      <c r="AJ1181" s="1">
        <v>61</v>
      </c>
      <c r="AK1181" s="2">
        <v>46324</v>
      </c>
      <c r="AL1181" s="4">
        <v>30</v>
      </c>
      <c r="AM1181" s="5">
        <v>15</v>
      </c>
      <c r="AN1181" s="4">
        <v>61</v>
      </c>
      <c r="AO1181">
        <v>9310.3448275862083</v>
      </c>
      <c r="AP1181" s="4">
        <v>1</v>
      </c>
      <c r="AQ1181" t="s">
        <v>1619</v>
      </c>
      <c r="AR1181" t="s">
        <v>1620</v>
      </c>
      <c r="AT1181" s="16">
        <f>_xlfn.XLOOKUP(B1181,'SWiSH Demand Forecast Sep-26'!D:D,'SWiSH Demand Forecast Sep-26'!G:G,"Not Exist")</f>
        <v>3793</v>
      </c>
    </row>
    <row r="1182" spans="1:46" x14ac:dyDescent="0.3">
      <c r="A1182">
        <v>103800019</v>
      </c>
      <c r="B1182" t="s">
        <v>3056</v>
      </c>
      <c r="C1182" t="s">
        <v>136</v>
      </c>
      <c r="D1182" t="s">
        <v>1699</v>
      </c>
      <c r="E1182" t="s">
        <v>1732</v>
      </c>
      <c r="F1182" t="s">
        <v>1615</v>
      </c>
      <c r="G1182" t="s">
        <v>1616</v>
      </c>
      <c r="H1182" t="s">
        <v>1822</v>
      </c>
      <c r="I1182" t="s">
        <v>1618</v>
      </c>
      <c r="J1182" t="s">
        <v>136</v>
      </c>
      <c r="K1182">
        <v>2.75</v>
      </c>
      <c r="L1182">
        <v>66</v>
      </c>
      <c r="M1182" s="1">
        <v>3</v>
      </c>
      <c r="N1182">
        <v>0</v>
      </c>
      <c r="O1182">
        <v>0</v>
      </c>
      <c r="P1182">
        <v>24</v>
      </c>
      <c r="Q1182" s="1">
        <v>24</v>
      </c>
      <c r="R1182">
        <v>2.75</v>
      </c>
      <c r="S1182" s="2">
        <v>46200</v>
      </c>
      <c r="T1182" s="2">
        <v>46145</v>
      </c>
      <c r="U1182">
        <v>5</v>
      </c>
      <c r="V1182">
        <v>10</v>
      </c>
      <c r="W1182">
        <v>0</v>
      </c>
      <c r="X1182">
        <v>0</v>
      </c>
      <c r="Y1182">
        <v>0</v>
      </c>
      <c r="Z1182" s="8">
        <v>10</v>
      </c>
      <c r="AA1182">
        <v>3.75</v>
      </c>
      <c r="AB1182">
        <v>0</v>
      </c>
      <c r="AC1182">
        <v>2.6666666666666665</v>
      </c>
      <c r="AD1182" s="1">
        <v>72</v>
      </c>
      <c r="AE1182" s="2">
        <v>46320</v>
      </c>
      <c r="AF1182" s="2">
        <v>46328</v>
      </c>
      <c r="AG1182" s="2">
        <v>46335</v>
      </c>
      <c r="AH1182">
        <v>0</v>
      </c>
      <c r="AI1182" s="3">
        <v>0</v>
      </c>
      <c r="AJ1182" s="1" t="s">
        <v>1635</v>
      </c>
      <c r="AK1182" s="2" t="s">
        <v>1635</v>
      </c>
      <c r="AL1182" s="4" t="s">
        <v>1658</v>
      </c>
      <c r="AM1182" s="5" t="s">
        <v>1658</v>
      </c>
      <c r="AN1182" s="4">
        <v>72</v>
      </c>
      <c r="AO1182" t="s">
        <v>1635</v>
      </c>
      <c r="AP1182" s="4" t="s">
        <v>1658</v>
      </c>
      <c r="AQ1182" t="s">
        <v>1619</v>
      </c>
      <c r="AR1182" t="s">
        <v>1620</v>
      </c>
      <c r="AS1182" t="s">
        <v>1666</v>
      </c>
      <c r="AT1182" s="16" t="str">
        <f>_xlfn.XLOOKUP(B1182,'SWiSH Demand Forecast Sep-26'!D:D,'SWiSH Demand Forecast Sep-26'!G:G,"Not Exist")</f>
        <v>Not Exist</v>
      </c>
    </row>
    <row r="1183" spans="1:46" x14ac:dyDescent="0.3">
      <c r="A1183">
        <v>107200086</v>
      </c>
      <c r="B1183" t="s">
        <v>3057</v>
      </c>
      <c r="C1183" t="s">
        <v>10</v>
      </c>
      <c r="D1183" t="s">
        <v>1613</v>
      </c>
      <c r="E1183" t="s">
        <v>3058</v>
      </c>
      <c r="F1183" t="s">
        <v>1656</v>
      </c>
      <c r="G1183" t="s">
        <v>1624</v>
      </c>
      <c r="H1183" t="s">
        <v>1657</v>
      </c>
      <c r="I1183" t="s">
        <v>1634</v>
      </c>
      <c r="J1183" t="s">
        <v>10</v>
      </c>
      <c r="K1183">
        <v>3.3024499999999999</v>
      </c>
      <c r="L1183">
        <v>39.629399999999997</v>
      </c>
      <c r="M1183" s="1">
        <v>15</v>
      </c>
      <c r="N1183">
        <v>0</v>
      </c>
      <c r="O1183">
        <v>0</v>
      </c>
      <c r="P1183">
        <v>12</v>
      </c>
      <c r="Q1183" s="1">
        <v>12</v>
      </c>
      <c r="R1183">
        <v>3.3024499999999999</v>
      </c>
      <c r="S1183" s="2">
        <v>45848</v>
      </c>
      <c r="T1183" s="2">
        <v>46248</v>
      </c>
      <c r="U1183">
        <v>0</v>
      </c>
      <c r="V1183">
        <v>1</v>
      </c>
      <c r="W1183">
        <v>5</v>
      </c>
      <c r="X1183">
        <v>4</v>
      </c>
      <c r="Y1183">
        <v>0</v>
      </c>
      <c r="Z1183" s="8">
        <v>5</v>
      </c>
      <c r="AA1183">
        <v>2.5</v>
      </c>
      <c r="AB1183">
        <v>0</v>
      </c>
      <c r="AC1183">
        <v>2</v>
      </c>
      <c r="AD1183" s="1">
        <v>72</v>
      </c>
      <c r="AE1183" s="2">
        <v>46320</v>
      </c>
      <c r="AF1183" s="2">
        <v>46328</v>
      </c>
      <c r="AG1183" s="2">
        <v>46335</v>
      </c>
      <c r="AH1183">
        <v>3</v>
      </c>
      <c r="AI1183" s="3">
        <v>0.62068965517241381</v>
      </c>
      <c r="AJ1183" s="1">
        <v>116</v>
      </c>
      <c r="AK1183" s="2">
        <v>46379</v>
      </c>
      <c r="AL1183" s="4" t="s">
        <v>1658</v>
      </c>
      <c r="AM1183" s="5" t="s">
        <v>1658</v>
      </c>
      <c r="AN1183" s="4">
        <v>72</v>
      </c>
      <c r="AO1183" t="s">
        <v>1635</v>
      </c>
      <c r="AP1183" s="4" t="s">
        <v>1658</v>
      </c>
      <c r="AQ1183" t="s">
        <v>1619</v>
      </c>
      <c r="AR1183" t="s">
        <v>1620</v>
      </c>
      <c r="AT1183" s="16" t="str">
        <f>_xlfn.XLOOKUP(B1183,'SWiSH Demand Forecast Sep-26'!D:D,'SWiSH Demand Forecast Sep-26'!G:G,"Not Exist")</f>
        <v>Not Exist</v>
      </c>
    </row>
    <row r="1184" spans="1:46" x14ac:dyDescent="0.3">
      <c r="A1184">
        <v>106800222</v>
      </c>
      <c r="B1184" t="s">
        <v>3059</v>
      </c>
      <c r="C1184" t="s">
        <v>10</v>
      </c>
      <c r="D1184" t="s">
        <v>1613</v>
      </c>
      <c r="E1184" t="s">
        <v>1926</v>
      </c>
      <c r="F1184" t="s">
        <v>1664</v>
      </c>
      <c r="G1184" t="s">
        <v>1624</v>
      </c>
      <c r="H1184" t="s">
        <v>1665</v>
      </c>
      <c r="I1184" t="s">
        <v>1634</v>
      </c>
      <c r="J1184" t="s">
        <v>10</v>
      </c>
      <c r="K1184">
        <v>4.0000000000000001E-3</v>
      </c>
      <c r="L1184">
        <v>48</v>
      </c>
      <c r="M1184" s="1">
        <v>7</v>
      </c>
      <c r="N1184">
        <v>0</v>
      </c>
      <c r="O1184">
        <v>0</v>
      </c>
      <c r="P1184">
        <v>12000</v>
      </c>
      <c r="Q1184" s="1">
        <v>12000</v>
      </c>
      <c r="R1184">
        <v>4.0000000000000001E-3</v>
      </c>
      <c r="S1184" s="2">
        <v>45957</v>
      </c>
      <c r="T1184" s="2">
        <v>46254</v>
      </c>
      <c r="U1184">
        <v>2000</v>
      </c>
      <c r="V1184">
        <v>5000</v>
      </c>
      <c r="W1184">
        <v>1000</v>
      </c>
      <c r="X1184">
        <v>2000</v>
      </c>
      <c r="Y1184">
        <v>1000</v>
      </c>
      <c r="Z1184" s="8">
        <v>5000</v>
      </c>
      <c r="AA1184">
        <v>2500</v>
      </c>
      <c r="AB1184">
        <v>0.4</v>
      </c>
      <c r="AC1184">
        <v>2</v>
      </c>
      <c r="AD1184" s="1">
        <v>72</v>
      </c>
      <c r="AE1184" s="2">
        <v>46320</v>
      </c>
      <c r="AF1184" s="2">
        <v>46328</v>
      </c>
      <c r="AG1184" s="2">
        <v>46335</v>
      </c>
      <c r="AH1184">
        <v>2000</v>
      </c>
      <c r="AI1184" s="3">
        <v>0.4137931034482758</v>
      </c>
      <c r="AJ1184" s="1">
        <v>174</v>
      </c>
      <c r="AK1184" s="2">
        <v>46437</v>
      </c>
      <c r="AL1184" s="4">
        <v>30</v>
      </c>
      <c r="AM1184" s="5">
        <v>15</v>
      </c>
      <c r="AN1184" s="4">
        <v>72</v>
      </c>
      <c r="AO1184">
        <v>2068.9655172413791</v>
      </c>
      <c r="AP1184" s="4">
        <v>1</v>
      </c>
      <c r="AQ1184" t="s">
        <v>1619</v>
      </c>
      <c r="AR1184" t="s">
        <v>1620</v>
      </c>
      <c r="AT1184" s="16" t="str">
        <f>_xlfn.XLOOKUP(B1184,'SWiSH Demand Forecast Sep-26'!D:D,'SWiSH Demand Forecast Sep-26'!G:G,"Not Exist")</f>
        <v>Not Exist</v>
      </c>
    </row>
    <row r="1185" spans="1:46" x14ac:dyDescent="0.3">
      <c r="A1185">
        <v>100400117</v>
      </c>
      <c r="B1185" t="s">
        <v>3060</v>
      </c>
      <c r="C1185" t="s">
        <v>10</v>
      </c>
      <c r="D1185" t="s">
        <v>1613</v>
      </c>
      <c r="E1185" t="s">
        <v>1796</v>
      </c>
      <c r="F1185" t="s">
        <v>1664</v>
      </c>
      <c r="G1185" t="s">
        <v>1624</v>
      </c>
      <c r="H1185" t="s">
        <v>1810</v>
      </c>
      <c r="I1185" t="s">
        <v>1634</v>
      </c>
      <c r="J1185" t="s">
        <v>10</v>
      </c>
      <c r="K1185">
        <v>1.34792E-2</v>
      </c>
      <c r="L1185">
        <v>548.60343999999998</v>
      </c>
      <c r="M1185" s="1">
        <v>3</v>
      </c>
      <c r="N1185">
        <v>0</v>
      </c>
      <c r="O1185">
        <v>500</v>
      </c>
      <c r="P1185">
        <v>40700</v>
      </c>
      <c r="Q1185" s="1">
        <v>40200</v>
      </c>
      <c r="R1185">
        <v>1.4999999999999999E-2</v>
      </c>
      <c r="S1185" s="2">
        <v>46257</v>
      </c>
      <c r="T1185" s="2">
        <v>46263</v>
      </c>
      <c r="U1185">
        <v>14000</v>
      </c>
      <c r="V1185">
        <v>12300</v>
      </c>
      <c r="W1185">
        <v>16700</v>
      </c>
      <c r="X1185">
        <v>15150</v>
      </c>
      <c r="Y1185">
        <v>12300</v>
      </c>
      <c r="Z1185" s="8">
        <v>16700</v>
      </c>
      <c r="AA1185">
        <v>14537.5</v>
      </c>
      <c r="AB1185">
        <v>0.84608770421324164</v>
      </c>
      <c r="AC1185">
        <v>1.1487532244196044</v>
      </c>
      <c r="AD1185" s="1">
        <v>72</v>
      </c>
      <c r="AE1185" s="2">
        <v>46320</v>
      </c>
      <c r="AF1185" s="2">
        <v>46328</v>
      </c>
      <c r="AG1185" s="2">
        <v>46335</v>
      </c>
      <c r="AH1185">
        <v>13000</v>
      </c>
      <c r="AI1185" s="3">
        <v>0.80528597976460869</v>
      </c>
      <c r="AJ1185" s="1">
        <v>89</v>
      </c>
      <c r="AK1185" s="2">
        <v>46352</v>
      </c>
      <c r="AL1185" s="4">
        <v>30</v>
      </c>
      <c r="AM1185" s="5">
        <v>15</v>
      </c>
      <c r="AN1185" s="4">
        <v>72</v>
      </c>
      <c r="AO1185">
        <v>13448.275862068966</v>
      </c>
      <c r="AP1185" s="4">
        <v>1</v>
      </c>
      <c r="AQ1185">
        <v>51800</v>
      </c>
      <c r="AR1185" t="s">
        <v>3061</v>
      </c>
      <c r="AS1185" t="s">
        <v>1666</v>
      </c>
      <c r="AT1185" s="16" t="str">
        <f>_xlfn.XLOOKUP(B1185,'SWiSH Demand Forecast Sep-26'!D:D,'SWiSH Demand Forecast Sep-26'!G:G,"Not Exist")</f>
        <v>Not Exist</v>
      </c>
    </row>
    <row r="1186" spans="1:46" hidden="1" x14ac:dyDescent="0.3">
      <c r="A1186">
        <v>100400175</v>
      </c>
      <c r="B1186" t="s">
        <v>354</v>
      </c>
      <c r="C1186" t="s">
        <v>10</v>
      </c>
      <c r="D1186" t="s">
        <v>1613</v>
      </c>
      <c r="E1186" t="s">
        <v>2147</v>
      </c>
      <c r="F1186" t="s">
        <v>1664</v>
      </c>
      <c r="G1186" t="s">
        <v>1624</v>
      </c>
      <c r="H1186" t="s">
        <v>1810</v>
      </c>
      <c r="I1186" t="s">
        <v>1634</v>
      </c>
      <c r="J1186" t="s">
        <v>10</v>
      </c>
      <c r="K1186">
        <v>4.8000149999999998E-2</v>
      </c>
      <c r="L1186">
        <v>1891.2059099999999</v>
      </c>
      <c r="M1186" s="1">
        <v>30</v>
      </c>
      <c r="N1186">
        <v>0</v>
      </c>
      <c r="O1186">
        <v>100</v>
      </c>
      <c r="P1186">
        <v>39400</v>
      </c>
      <c r="Q1186" s="1">
        <v>39300</v>
      </c>
      <c r="R1186">
        <v>5.2999999999999999E-2</v>
      </c>
      <c r="S1186" s="2">
        <v>46247</v>
      </c>
      <c r="T1186" s="2">
        <v>46263</v>
      </c>
      <c r="U1186">
        <v>8700</v>
      </c>
      <c r="V1186">
        <v>16280</v>
      </c>
      <c r="W1186">
        <v>12900</v>
      </c>
      <c r="X1186">
        <v>11480</v>
      </c>
      <c r="Y1186">
        <v>8700</v>
      </c>
      <c r="Z1186" s="8">
        <v>16280</v>
      </c>
      <c r="AA1186">
        <v>12340</v>
      </c>
      <c r="AB1186">
        <v>0.70502431118314424</v>
      </c>
      <c r="AC1186">
        <v>1.3192868719611022</v>
      </c>
      <c r="AD1186" s="1">
        <v>72</v>
      </c>
      <c r="AE1186" s="2">
        <v>46320</v>
      </c>
      <c r="AF1186" s="2">
        <v>46328</v>
      </c>
      <c r="AG1186" s="2">
        <v>46335</v>
      </c>
      <c r="AH1186">
        <v>8450</v>
      </c>
      <c r="AI1186" s="3">
        <v>0.53693976107769215</v>
      </c>
      <c r="AJ1186" s="1">
        <v>134</v>
      </c>
      <c r="AK1186" s="2">
        <v>46397</v>
      </c>
      <c r="AL1186" s="4">
        <v>10</v>
      </c>
      <c r="AM1186" s="5">
        <v>10</v>
      </c>
      <c r="AN1186" s="4">
        <v>72</v>
      </c>
      <c r="AO1186">
        <v>2913.7931034482758</v>
      </c>
      <c r="AP1186" s="4">
        <v>3</v>
      </c>
      <c r="AQ1186">
        <v>50000</v>
      </c>
      <c r="AR1186" t="s">
        <v>2377</v>
      </c>
      <c r="AT1186" s="16">
        <f>_xlfn.XLOOKUP(B1186,'SWiSH Demand Forecast Sep-26'!D:D,'SWiSH Demand Forecast Sep-26'!G:G,"Not Exist")</f>
        <v>3548</v>
      </c>
    </row>
    <row r="1187" spans="1:46" hidden="1" x14ac:dyDescent="0.3">
      <c r="A1187">
        <v>106200136</v>
      </c>
      <c r="B1187" t="s">
        <v>1106</v>
      </c>
      <c r="C1187" t="s">
        <v>240</v>
      </c>
      <c r="D1187" t="s">
        <v>1613</v>
      </c>
      <c r="E1187" t="s">
        <v>1832</v>
      </c>
      <c r="F1187" t="s">
        <v>1671</v>
      </c>
      <c r="G1187" t="s">
        <v>1616</v>
      </c>
      <c r="H1187" t="s">
        <v>1672</v>
      </c>
      <c r="I1187" t="s">
        <v>1618</v>
      </c>
      <c r="J1187" t="s">
        <v>3062</v>
      </c>
      <c r="K1187">
        <v>4.3939393899999999</v>
      </c>
      <c r="L1187">
        <v>2092.7454526691999</v>
      </c>
      <c r="M1187" s="1">
        <v>3</v>
      </c>
      <c r="N1187">
        <v>0</v>
      </c>
      <c r="O1187">
        <v>0</v>
      </c>
      <c r="P1187">
        <v>476.28</v>
      </c>
      <c r="Q1187" s="1">
        <v>476.28</v>
      </c>
      <c r="R1187">
        <v>14.5</v>
      </c>
      <c r="S1187" s="2">
        <v>46260</v>
      </c>
      <c r="T1187" s="2">
        <v>46252</v>
      </c>
      <c r="U1187">
        <v>10.8</v>
      </c>
      <c r="V1187">
        <v>7.2</v>
      </c>
      <c r="W1187">
        <v>193.85</v>
      </c>
      <c r="X1187">
        <v>95.95</v>
      </c>
      <c r="Y1187">
        <v>7.2</v>
      </c>
      <c r="Z1187" s="8">
        <v>193.85</v>
      </c>
      <c r="AA1187">
        <v>76.95</v>
      </c>
      <c r="AB1187">
        <v>9.3567251461988299E-2</v>
      </c>
      <c r="AC1187">
        <v>2.5191682910981155</v>
      </c>
      <c r="AD1187" s="1">
        <v>73</v>
      </c>
      <c r="AE1187" s="2">
        <v>46321</v>
      </c>
      <c r="AF1187" s="2">
        <v>46329</v>
      </c>
      <c r="AG1187" s="2">
        <v>46336</v>
      </c>
      <c r="AH1187">
        <v>166.32</v>
      </c>
      <c r="AI1187" s="3">
        <v>0.8875685964085277</v>
      </c>
      <c r="AJ1187" s="1">
        <v>83</v>
      </c>
      <c r="AK1187" s="2">
        <v>46346</v>
      </c>
      <c r="AL1187" s="4">
        <v>30</v>
      </c>
      <c r="AM1187" s="5">
        <v>15</v>
      </c>
      <c r="AN1187" s="4">
        <v>73</v>
      </c>
      <c r="AO1187">
        <v>172.05517241379309</v>
      </c>
      <c r="AP1187" s="4">
        <v>1</v>
      </c>
      <c r="AQ1187" t="s">
        <v>1619</v>
      </c>
      <c r="AR1187" t="s">
        <v>1620</v>
      </c>
      <c r="AT1187" s="16">
        <f>_xlfn.XLOOKUP(B1187,'SWiSH Demand Forecast Sep-26'!D:D,'SWiSH Demand Forecast Sep-26'!G:G,"Not Exist")</f>
        <v>101.63625</v>
      </c>
    </row>
    <row r="1188" spans="1:46" hidden="1" x14ac:dyDescent="0.3">
      <c r="A1188">
        <v>106600091</v>
      </c>
      <c r="B1188" t="s">
        <v>457</v>
      </c>
      <c r="C1188" t="s">
        <v>10</v>
      </c>
      <c r="D1188" t="s">
        <v>1613</v>
      </c>
      <c r="E1188" t="s">
        <v>1926</v>
      </c>
      <c r="F1188" t="s">
        <v>1664</v>
      </c>
      <c r="G1188" t="s">
        <v>1624</v>
      </c>
      <c r="H1188" t="s">
        <v>1723</v>
      </c>
      <c r="I1188" t="s">
        <v>1634</v>
      </c>
      <c r="J1188" t="s">
        <v>10</v>
      </c>
      <c r="K1188">
        <v>5.3182200000000002E-3</v>
      </c>
      <c r="L1188">
        <v>324.943242</v>
      </c>
      <c r="M1188" s="1">
        <v>15</v>
      </c>
      <c r="N1188">
        <v>0</v>
      </c>
      <c r="O1188">
        <v>0</v>
      </c>
      <c r="P1188">
        <v>61100</v>
      </c>
      <c r="Q1188" s="1">
        <v>61100</v>
      </c>
      <c r="R1188">
        <v>5.4000000000000003E-3</v>
      </c>
      <c r="S1188" s="2">
        <v>46253</v>
      </c>
      <c r="T1188" s="2">
        <v>46239</v>
      </c>
      <c r="U1188">
        <v>25000</v>
      </c>
      <c r="V1188">
        <v>5000</v>
      </c>
      <c r="W1188">
        <v>20000</v>
      </c>
      <c r="X1188">
        <v>15000</v>
      </c>
      <c r="Y1188">
        <v>5000</v>
      </c>
      <c r="Z1188" s="8">
        <v>25000</v>
      </c>
      <c r="AA1188">
        <v>16250</v>
      </c>
      <c r="AB1188">
        <v>0.30769230769230771</v>
      </c>
      <c r="AC1188">
        <v>1.5384615384615385</v>
      </c>
      <c r="AD1188" s="1">
        <v>73</v>
      </c>
      <c r="AE1188" s="2">
        <v>46321</v>
      </c>
      <c r="AF1188" s="2">
        <v>46329</v>
      </c>
      <c r="AG1188" s="2">
        <v>46336</v>
      </c>
      <c r="AH1188">
        <v>10000</v>
      </c>
      <c r="AI1188" s="3">
        <v>0.41379310344827586</v>
      </c>
      <c r="AJ1188" s="1">
        <v>177</v>
      </c>
      <c r="AK1188" s="2">
        <v>46440</v>
      </c>
      <c r="AL1188" s="4">
        <v>30</v>
      </c>
      <c r="AM1188" s="5">
        <v>15</v>
      </c>
      <c r="AN1188" s="4">
        <v>73</v>
      </c>
      <c r="AO1188">
        <v>10344.827586206897</v>
      </c>
      <c r="AP1188" s="4">
        <v>1</v>
      </c>
      <c r="AQ1188">
        <v>25000</v>
      </c>
      <c r="AR1188" t="s">
        <v>2034</v>
      </c>
      <c r="AT1188" s="16">
        <f>_xlfn.XLOOKUP(B1188,'SWiSH Demand Forecast Sep-26'!D:D,'SWiSH Demand Forecast Sep-26'!G:G,"Not Exist")</f>
        <v>1991</v>
      </c>
    </row>
    <row r="1189" spans="1:46" x14ac:dyDescent="0.3">
      <c r="A1189">
        <v>100400249</v>
      </c>
      <c r="B1189" t="s">
        <v>3063</v>
      </c>
      <c r="C1189" t="s">
        <v>10</v>
      </c>
      <c r="D1189" t="s">
        <v>1613</v>
      </c>
      <c r="E1189" t="s">
        <v>1663</v>
      </c>
      <c r="F1189" t="s">
        <v>1664</v>
      </c>
      <c r="G1189" t="s">
        <v>1624</v>
      </c>
      <c r="H1189" t="s">
        <v>1810</v>
      </c>
      <c r="I1189" t="s">
        <v>1634</v>
      </c>
      <c r="J1189" t="s">
        <v>10</v>
      </c>
      <c r="K1189">
        <v>1.7999999999999999E-2</v>
      </c>
      <c r="L1189">
        <v>998.99999999999989</v>
      </c>
      <c r="M1189" s="1">
        <v>7</v>
      </c>
      <c r="N1189">
        <v>0</v>
      </c>
      <c r="O1189">
        <v>0</v>
      </c>
      <c r="P1189">
        <v>55500</v>
      </c>
      <c r="Q1189" s="1">
        <v>55500</v>
      </c>
      <c r="R1189">
        <v>1.7999999999999999E-2</v>
      </c>
      <c r="S1189" s="2">
        <v>46177</v>
      </c>
      <c r="T1189" s="2">
        <v>46236</v>
      </c>
      <c r="U1189">
        <v>0</v>
      </c>
      <c r="V1189">
        <v>22500</v>
      </c>
      <c r="W1189">
        <v>8500</v>
      </c>
      <c r="X1189">
        <v>12000</v>
      </c>
      <c r="Y1189">
        <v>0</v>
      </c>
      <c r="Z1189" s="8">
        <v>22500</v>
      </c>
      <c r="AA1189">
        <v>10750</v>
      </c>
      <c r="AB1189">
        <v>0</v>
      </c>
      <c r="AC1189">
        <v>2.0930232558139537</v>
      </c>
      <c r="AD1189" s="1">
        <v>74</v>
      </c>
      <c r="AE1189" s="2">
        <v>46322</v>
      </c>
      <c r="AF1189" s="2">
        <v>46330</v>
      </c>
      <c r="AG1189" s="2">
        <v>46337</v>
      </c>
      <c r="AH1189">
        <v>1500</v>
      </c>
      <c r="AI1189" s="3">
        <v>6.8965517241379309E-2</v>
      </c>
      <c r="AJ1189" s="1">
        <v>1073</v>
      </c>
      <c r="AK1189" s="2">
        <v>47336</v>
      </c>
      <c r="AL1189" s="4">
        <v>30</v>
      </c>
      <c r="AM1189" s="5">
        <v>15</v>
      </c>
      <c r="AN1189" s="4">
        <v>74</v>
      </c>
      <c r="AO1189">
        <v>1551.7241379310344</v>
      </c>
      <c r="AP1189" s="4">
        <v>1</v>
      </c>
      <c r="AQ1189">
        <v>25000</v>
      </c>
      <c r="AR1189" t="s">
        <v>2215</v>
      </c>
      <c r="AT1189" s="16" t="str">
        <f>_xlfn.XLOOKUP(B1189,'SWiSH Demand Forecast Sep-26'!D:D,'SWiSH Demand Forecast Sep-26'!G:G,"Not Exist")</f>
        <v>Not Exist</v>
      </c>
    </row>
    <row r="1190" spans="1:46" x14ac:dyDescent="0.3">
      <c r="A1190">
        <v>100400039</v>
      </c>
      <c r="B1190" t="s">
        <v>3064</v>
      </c>
      <c r="C1190" t="s">
        <v>10</v>
      </c>
      <c r="D1190" t="s">
        <v>1613</v>
      </c>
      <c r="E1190" t="s">
        <v>2075</v>
      </c>
      <c r="F1190" t="s">
        <v>1664</v>
      </c>
      <c r="G1190" t="s">
        <v>1624</v>
      </c>
      <c r="H1190" t="s">
        <v>1810</v>
      </c>
      <c r="I1190" t="s">
        <v>1634</v>
      </c>
      <c r="J1190" t="s">
        <v>10</v>
      </c>
      <c r="K1190">
        <v>0.25800000000000001</v>
      </c>
      <c r="L1190">
        <v>335.40000000000003</v>
      </c>
      <c r="M1190" s="1">
        <v>30</v>
      </c>
      <c r="N1190">
        <v>0</v>
      </c>
      <c r="O1190">
        <v>0</v>
      </c>
      <c r="P1190">
        <v>1300</v>
      </c>
      <c r="Q1190" s="1">
        <v>1300</v>
      </c>
      <c r="R1190">
        <v>0.25800000000000001</v>
      </c>
      <c r="S1190" s="2">
        <v>45819</v>
      </c>
      <c r="T1190" s="2">
        <v>46254</v>
      </c>
      <c r="U1190">
        <v>0</v>
      </c>
      <c r="V1190">
        <v>525</v>
      </c>
      <c r="W1190">
        <v>475</v>
      </c>
      <c r="X1190">
        <v>150</v>
      </c>
      <c r="Y1190">
        <v>0</v>
      </c>
      <c r="Z1190" s="8">
        <v>525</v>
      </c>
      <c r="AA1190">
        <v>287.5</v>
      </c>
      <c r="AB1190">
        <v>0</v>
      </c>
      <c r="AC1190">
        <v>1.826086956521739</v>
      </c>
      <c r="AD1190" s="1">
        <v>74</v>
      </c>
      <c r="AE1190" s="2">
        <v>46322</v>
      </c>
      <c r="AF1190" s="2">
        <v>46330</v>
      </c>
      <c r="AG1190" s="2">
        <v>46337</v>
      </c>
      <c r="AH1190">
        <v>450</v>
      </c>
      <c r="AI1190" s="3">
        <v>0.88669950738916259</v>
      </c>
      <c r="AJ1190" s="1">
        <v>83</v>
      </c>
      <c r="AK1190" s="2">
        <v>46346</v>
      </c>
      <c r="AL1190" s="4">
        <v>30</v>
      </c>
      <c r="AM1190" s="5">
        <v>15</v>
      </c>
      <c r="AN1190" s="4">
        <v>74</v>
      </c>
      <c r="AO1190">
        <v>465.51724137931035</v>
      </c>
      <c r="AP1190" s="4">
        <v>1</v>
      </c>
      <c r="AQ1190" t="s">
        <v>1619</v>
      </c>
      <c r="AR1190" t="s">
        <v>1620</v>
      </c>
      <c r="AT1190" s="16" t="str">
        <f>_xlfn.XLOOKUP(B1190,'SWiSH Demand Forecast Sep-26'!D:D,'SWiSH Demand Forecast Sep-26'!G:G,"Not Exist")</f>
        <v>Not Exist</v>
      </c>
    </row>
    <row r="1191" spans="1:46" hidden="1" x14ac:dyDescent="0.3">
      <c r="A1191">
        <v>101800027</v>
      </c>
      <c r="B1191" t="s">
        <v>116</v>
      </c>
      <c r="C1191" t="s">
        <v>10</v>
      </c>
      <c r="D1191" t="s">
        <v>1613</v>
      </c>
      <c r="E1191" t="s">
        <v>1655</v>
      </c>
      <c r="F1191" t="s">
        <v>1664</v>
      </c>
      <c r="G1191" t="s">
        <v>1624</v>
      </c>
      <c r="H1191" t="s">
        <v>2144</v>
      </c>
      <c r="I1191" t="s">
        <v>1634</v>
      </c>
      <c r="J1191" t="s">
        <v>10</v>
      </c>
      <c r="K1191">
        <v>7.0000000000000001E-3</v>
      </c>
      <c r="L1191">
        <v>294</v>
      </c>
      <c r="M1191" s="1">
        <v>30</v>
      </c>
      <c r="N1191">
        <v>0</v>
      </c>
      <c r="O1191">
        <v>0</v>
      </c>
      <c r="P1191">
        <v>42000</v>
      </c>
      <c r="Q1191" s="1">
        <v>42000</v>
      </c>
      <c r="R1191">
        <v>3.5</v>
      </c>
      <c r="S1191" s="2">
        <v>46200</v>
      </c>
      <c r="T1191" s="2">
        <v>46261</v>
      </c>
      <c r="U1191">
        <v>15500</v>
      </c>
      <c r="V1191">
        <v>17000</v>
      </c>
      <c r="W1191">
        <v>16000</v>
      </c>
      <c r="X1191">
        <v>10500</v>
      </c>
      <c r="Y1191">
        <v>10500</v>
      </c>
      <c r="Z1191" s="8">
        <v>17000</v>
      </c>
      <c r="AA1191">
        <v>14750</v>
      </c>
      <c r="AB1191">
        <v>0.71186440677966101</v>
      </c>
      <c r="AC1191">
        <v>1.152542372881356</v>
      </c>
      <c r="AD1191" s="1">
        <v>74</v>
      </c>
      <c r="AE1191" s="2">
        <v>46322</v>
      </c>
      <c r="AF1191" s="2">
        <v>46330</v>
      </c>
      <c r="AG1191" s="2">
        <v>46337</v>
      </c>
      <c r="AH1191">
        <v>14000</v>
      </c>
      <c r="AI1191" s="3">
        <v>0.85192697768762682</v>
      </c>
      <c r="AJ1191" s="1">
        <v>87</v>
      </c>
      <c r="AK1191" s="2">
        <v>46350</v>
      </c>
      <c r="AL1191" s="4">
        <v>30</v>
      </c>
      <c r="AM1191" s="5">
        <v>15</v>
      </c>
      <c r="AN1191" s="4">
        <v>74</v>
      </c>
      <c r="AO1191">
        <v>14482.758620689656</v>
      </c>
      <c r="AP1191" s="4">
        <v>1</v>
      </c>
      <c r="AQ1191">
        <v>35</v>
      </c>
      <c r="AR1191" t="s">
        <v>2150</v>
      </c>
      <c r="AT1191" s="16">
        <f>_xlfn.XLOOKUP(B1191,'SWiSH Demand Forecast Sep-26'!D:D,'SWiSH Demand Forecast Sep-26'!G:G,"Not Exist")</f>
        <v>16993</v>
      </c>
    </row>
    <row r="1192" spans="1:46" x14ac:dyDescent="0.3">
      <c r="A1192">
        <v>106700107</v>
      </c>
      <c r="B1192" t="s">
        <v>3065</v>
      </c>
      <c r="C1192" t="s">
        <v>10</v>
      </c>
      <c r="D1192" t="s">
        <v>1613</v>
      </c>
      <c r="E1192" t="s">
        <v>1685</v>
      </c>
      <c r="F1192" t="s">
        <v>1664</v>
      </c>
      <c r="G1192" t="s">
        <v>1624</v>
      </c>
      <c r="H1192" t="s">
        <v>1651</v>
      </c>
      <c r="I1192" t="s">
        <v>1634</v>
      </c>
      <c r="J1192" t="s">
        <v>10</v>
      </c>
      <c r="K1192">
        <v>7.4999999999999997E-3</v>
      </c>
      <c r="L1192">
        <v>18.75</v>
      </c>
      <c r="M1192" s="1">
        <v>3</v>
      </c>
      <c r="N1192">
        <v>0</v>
      </c>
      <c r="O1192">
        <v>0</v>
      </c>
      <c r="P1192">
        <v>2500</v>
      </c>
      <c r="Q1192" s="1">
        <v>2500</v>
      </c>
      <c r="R1192">
        <v>3.75</v>
      </c>
      <c r="S1192" s="2">
        <v>46263</v>
      </c>
      <c r="T1192" s="2">
        <v>46245</v>
      </c>
      <c r="U1192">
        <v>0</v>
      </c>
      <c r="V1192">
        <v>0</v>
      </c>
      <c r="W1192">
        <v>0</v>
      </c>
      <c r="X1192">
        <v>1000</v>
      </c>
      <c r="Y1192">
        <v>0</v>
      </c>
      <c r="Z1192" s="8">
        <v>1000</v>
      </c>
      <c r="AA1192">
        <v>250</v>
      </c>
      <c r="AB1192">
        <v>0</v>
      </c>
      <c r="AC1192">
        <v>4</v>
      </c>
      <c r="AD1192" s="1">
        <v>75</v>
      </c>
      <c r="AE1192" s="2">
        <v>46323</v>
      </c>
      <c r="AF1192" s="2">
        <v>46331</v>
      </c>
      <c r="AG1192" s="2">
        <v>46338</v>
      </c>
      <c r="AH1192">
        <v>500</v>
      </c>
      <c r="AI1192" s="3">
        <v>0.51724137931034475</v>
      </c>
      <c r="AJ1192" s="1">
        <v>145</v>
      </c>
      <c r="AK1192" s="2">
        <v>46408</v>
      </c>
      <c r="AL1192" s="4">
        <v>30</v>
      </c>
      <c r="AM1192" s="5">
        <v>15</v>
      </c>
      <c r="AN1192" s="4">
        <v>75</v>
      </c>
      <c r="AO1192">
        <v>517.24137931034477</v>
      </c>
      <c r="AP1192" s="4">
        <v>1</v>
      </c>
      <c r="AQ1192" t="s">
        <v>1619</v>
      </c>
      <c r="AR1192" t="s">
        <v>1620</v>
      </c>
      <c r="AT1192" s="16" t="str">
        <f>_xlfn.XLOOKUP(B1192,'SWiSH Demand Forecast Sep-26'!D:D,'SWiSH Demand Forecast Sep-26'!G:G,"Not Exist")</f>
        <v>Not Exist</v>
      </c>
    </row>
    <row r="1193" spans="1:46" x14ac:dyDescent="0.3">
      <c r="A1193">
        <v>106700031</v>
      </c>
      <c r="B1193" t="s">
        <v>3066</v>
      </c>
      <c r="C1193" t="s">
        <v>10</v>
      </c>
      <c r="D1193" t="s">
        <v>1613</v>
      </c>
      <c r="E1193" t="s">
        <v>3067</v>
      </c>
      <c r="F1193" t="s">
        <v>1650</v>
      </c>
      <c r="G1193" t="s">
        <v>1624</v>
      </c>
      <c r="H1193" t="s">
        <v>1651</v>
      </c>
      <c r="I1193" t="s">
        <v>1634</v>
      </c>
      <c r="J1193" t="s">
        <v>10</v>
      </c>
      <c r="K1193">
        <v>0.35</v>
      </c>
      <c r="L1193">
        <v>7</v>
      </c>
      <c r="M1193" s="1">
        <v>3</v>
      </c>
      <c r="N1193">
        <v>0</v>
      </c>
      <c r="O1193">
        <v>0</v>
      </c>
      <c r="P1193">
        <v>20</v>
      </c>
      <c r="Q1193" s="1">
        <v>20</v>
      </c>
      <c r="R1193">
        <v>0.35</v>
      </c>
      <c r="S1193" s="2">
        <v>46254</v>
      </c>
      <c r="T1193" s="2">
        <v>46251</v>
      </c>
      <c r="U1193">
        <v>2</v>
      </c>
      <c r="V1193">
        <v>8</v>
      </c>
      <c r="W1193">
        <v>5</v>
      </c>
      <c r="X1193">
        <v>3</v>
      </c>
      <c r="Y1193">
        <v>2</v>
      </c>
      <c r="Z1193" s="8">
        <v>8</v>
      </c>
      <c r="AA1193">
        <v>4.5</v>
      </c>
      <c r="AB1193">
        <v>0.44444444444444442</v>
      </c>
      <c r="AC1193">
        <v>1.7777777777777777</v>
      </c>
      <c r="AD1193" s="1">
        <v>75</v>
      </c>
      <c r="AE1193" s="2">
        <v>46323</v>
      </c>
      <c r="AF1193" s="2">
        <v>46331</v>
      </c>
      <c r="AG1193" s="2">
        <v>46338</v>
      </c>
      <c r="AH1193">
        <v>11</v>
      </c>
      <c r="AI1193" s="3">
        <v>1.4224137931034482</v>
      </c>
      <c r="AJ1193" s="1">
        <v>52</v>
      </c>
      <c r="AK1193" s="2">
        <v>46315</v>
      </c>
      <c r="AL1193" s="4">
        <v>30</v>
      </c>
      <c r="AM1193" s="5">
        <v>15</v>
      </c>
      <c r="AN1193" s="4">
        <v>52</v>
      </c>
      <c r="AO1193">
        <v>11.379310344827585</v>
      </c>
      <c r="AP1193" s="4">
        <v>1</v>
      </c>
      <c r="AQ1193" t="s">
        <v>1619</v>
      </c>
      <c r="AR1193" t="s">
        <v>1620</v>
      </c>
      <c r="AT1193" s="16" t="str">
        <f>_xlfn.XLOOKUP(B1193,'SWiSH Demand Forecast Sep-26'!D:D,'SWiSH Demand Forecast Sep-26'!G:G,"Not Exist")</f>
        <v>Not Exist</v>
      </c>
    </row>
    <row r="1194" spans="1:46" x14ac:dyDescent="0.3">
      <c r="A1194">
        <v>103700104</v>
      </c>
      <c r="B1194" t="s">
        <v>3068</v>
      </c>
      <c r="C1194" t="s">
        <v>136</v>
      </c>
      <c r="D1194" t="s">
        <v>1613</v>
      </c>
      <c r="E1194" t="s">
        <v>1732</v>
      </c>
      <c r="F1194" t="s">
        <v>1615</v>
      </c>
      <c r="G1194" t="s">
        <v>1616</v>
      </c>
      <c r="H1194" t="s">
        <v>1617</v>
      </c>
      <c r="I1194" t="s">
        <v>1618</v>
      </c>
      <c r="J1194" t="s">
        <v>2181</v>
      </c>
      <c r="K1194">
        <v>3.3925000000000001</v>
      </c>
      <c r="L1194">
        <v>25.443750000000001</v>
      </c>
      <c r="M1194" s="1">
        <v>3</v>
      </c>
      <c r="N1194">
        <v>0</v>
      </c>
      <c r="O1194">
        <v>0</v>
      </c>
      <c r="P1194">
        <v>7.5</v>
      </c>
      <c r="Q1194" s="1">
        <v>7.5</v>
      </c>
      <c r="R1194">
        <v>0.46</v>
      </c>
      <c r="S1194" s="2">
        <v>46223</v>
      </c>
      <c r="T1194" s="2">
        <v>46211</v>
      </c>
      <c r="U1194">
        <v>2.6</v>
      </c>
      <c r="V1194">
        <v>0</v>
      </c>
      <c r="W1194">
        <v>0</v>
      </c>
      <c r="X1194">
        <v>3</v>
      </c>
      <c r="Y1194">
        <v>0</v>
      </c>
      <c r="Z1194" s="8">
        <v>3</v>
      </c>
      <c r="AA1194">
        <v>1.4</v>
      </c>
      <c r="AB1194">
        <v>0</v>
      </c>
      <c r="AC1194">
        <v>2.1428571428571428</v>
      </c>
      <c r="AD1194" s="1">
        <v>75</v>
      </c>
      <c r="AE1194" s="2">
        <v>46323</v>
      </c>
      <c r="AF1194" s="2">
        <v>46331</v>
      </c>
      <c r="AG1194" s="2">
        <v>46338</v>
      </c>
      <c r="AH1194">
        <v>0</v>
      </c>
      <c r="AI1194" s="3">
        <v>0</v>
      </c>
      <c r="AJ1194" s="1" t="s">
        <v>1635</v>
      </c>
      <c r="AK1194" s="2" t="s">
        <v>1635</v>
      </c>
      <c r="AL1194" s="4">
        <v>30</v>
      </c>
      <c r="AM1194" s="5">
        <v>15</v>
      </c>
      <c r="AN1194" s="4">
        <v>75</v>
      </c>
      <c r="AO1194">
        <v>0</v>
      </c>
      <c r="AP1194" s="4">
        <v>1</v>
      </c>
      <c r="AQ1194" t="s">
        <v>1619</v>
      </c>
      <c r="AR1194" t="s">
        <v>1620</v>
      </c>
      <c r="AT1194" s="16" t="str">
        <f>_xlfn.XLOOKUP(B1194,'SWiSH Demand Forecast Sep-26'!D:D,'SWiSH Demand Forecast Sep-26'!G:G,"Not Exist")</f>
        <v>Not Exist</v>
      </c>
    </row>
    <row r="1195" spans="1:46" x14ac:dyDescent="0.3">
      <c r="A1195">
        <v>103700096</v>
      </c>
      <c r="B1195" t="s">
        <v>3069</v>
      </c>
      <c r="C1195" t="s">
        <v>136</v>
      </c>
      <c r="D1195" t="s">
        <v>1613</v>
      </c>
      <c r="E1195" t="s">
        <v>1832</v>
      </c>
      <c r="F1195" t="s">
        <v>1615</v>
      </c>
      <c r="G1195" t="s">
        <v>1616</v>
      </c>
      <c r="H1195" t="s">
        <v>1617</v>
      </c>
      <c r="I1195" t="s">
        <v>1618</v>
      </c>
      <c r="J1195" t="s">
        <v>136</v>
      </c>
      <c r="K1195">
        <v>2.25</v>
      </c>
      <c r="L1195">
        <v>11.25</v>
      </c>
      <c r="M1195" s="1">
        <v>3</v>
      </c>
      <c r="N1195">
        <v>0</v>
      </c>
      <c r="O1195">
        <v>0</v>
      </c>
      <c r="P1195">
        <v>5</v>
      </c>
      <c r="Q1195" s="1">
        <v>5</v>
      </c>
      <c r="R1195">
        <v>3.25</v>
      </c>
      <c r="S1195" s="2">
        <v>46139</v>
      </c>
      <c r="T1195" s="2">
        <v>46224</v>
      </c>
      <c r="U1195">
        <v>2</v>
      </c>
      <c r="V1195">
        <v>1</v>
      </c>
      <c r="W1195">
        <v>2</v>
      </c>
      <c r="X1195">
        <v>2</v>
      </c>
      <c r="Y1195">
        <v>1</v>
      </c>
      <c r="Z1195" s="8">
        <v>2</v>
      </c>
      <c r="AA1195">
        <v>1.75</v>
      </c>
      <c r="AB1195">
        <v>0.5714285714285714</v>
      </c>
      <c r="AC1195">
        <v>1.1428571428571428</v>
      </c>
      <c r="AD1195" s="1">
        <v>75</v>
      </c>
      <c r="AE1195" s="2">
        <v>46323</v>
      </c>
      <c r="AF1195" s="2">
        <v>46331</v>
      </c>
      <c r="AG1195" s="2">
        <v>46338</v>
      </c>
      <c r="AH1195">
        <v>0</v>
      </c>
      <c r="AI1195" s="3">
        <v>0</v>
      </c>
      <c r="AJ1195" s="1" t="s">
        <v>1635</v>
      </c>
      <c r="AK1195" s="2" t="s">
        <v>1635</v>
      </c>
      <c r="AL1195" s="4">
        <v>30</v>
      </c>
      <c r="AM1195" s="5">
        <v>15</v>
      </c>
      <c r="AN1195" s="4">
        <v>75</v>
      </c>
      <c r="AO1195">
        <v>0</v>
      </c>
      <c r="AP1195" s="4">
        <v>1</v>
      </c>
      <c r="AQ1195" t="s">
        <v>1619</v>
      </c>
      <c r="AR1195" t="s">
        <v>1620</v>
      </c>
      <c r="AT1195" s="16" t="str">
        <f>_xlfn.XLOOKUP(B1195,'SWiSH Demand Forecast Sep-26'!D:D,'SWiSH Demand Forecast Sep-26'!G:G,"Not Exist")</f>
        <v>Not Exist</v>
      </c>
    </row>
    <row r="1196" spans="1:46" x14ac:dyDescent="0.3">
      <c r="A1196">
        <v>105000036</v>
      </c>
      <c r="B1196" t="s">
        <v>3070</v>
      </c>
      <c r="C1196" t="s">
        <v>136</v>
      </c>
      <c r="D1196" t="s">
        <v>1613</v>
      </c>
      <c r="E1196" t="s">
        <v>1732</v>
      </c>
      <c r="F1196" t="s">
        <v>1671</v>
      </c>
      <c r="G1196" t="s">
        <v>1616</v>
      </c>
      <c r="H1196" t="s">
        <v>2002</v>
      </c>
      <c r="I1196" t="s">
        <v>1618</v>
      </c>
      <c r="J1196" t="s">
        <v>2806</v>
      </c>
      <c r="K1196">
        <v>0.75</v>
      </c>
      <c r="L1196">
        <v>60</v>
      </c>
      <c r="M1196" s="1">
        <v>3</v>
      </c>
      <c r="N1196">
        <v>0</v>
      </c>
      <c r="O1196">
        <v>0</v>
      </c>
      <c r="P1196">
        <v>80</v>
      </c>
      <c r="Q1196" s="1">
        <v>80</v>
      </c>
      <c r="R1196">
        <v>12</v>
      </c>
      <c r="S1196" s="2">
        <v>46105</v>
      </c>
      <c r="T1196" s="2">
        <v>46244</v>
      </c>
      <c r="U1196">
        <v>0</v>
      </c>
      <c r="V1196">
        <v>32</v>
      </c>
      <c r="W1196">
        <v>32</v>
      </c>
      <c r="X1196">
        <v>0</v>
      </c>
      <c r="Y1196">
        <v>0</v>
      </c>
      <c r="Z1196" s="8">
        <v>32</v>
      </c>
      <c r="AA1196">
        <v>16</v>
      </c>
      <c r="AB1196">
        <v>0</v>
      </c>
      <c r="AC1196">
        <v>2</v>
      </c>
      <c r="AD1196" s="1">
        <v>75</v>
      </c>
      <c r="AE1196" s="2">
        <v>46323</v>
      </c>
      <c r="AF1196" s="2">
        <v>46331</v>
      </c>
      <c r="AG1196" s="2">
        <v>46338</v>
      </c>
      <c r="AH1196">
        <v>16</v>
      </c>
      <c r="AI1196" s="3">
        <v>0.51724137931034486</v>
      </c>
      <c r="AJ1196" s="1">
        <v>145</v>
      </c>
      <c r="AK1196" s="2">
        <v>46408</v>
      </c>
      <c r="AL1196" s="4">
        <v>30</v>
      </c>
      <c r="AM1196" s="5">
        <v>15</v>
      </c>
      <c r="AN1196" s="4">
        <v>75</v>
      </c>
      <c r="AO1196">
        <v>16.551724137931036</v>
      </c>
      <c r="AP1196" s="4">
        <v>1</v>
      </c>
      <c r="AQ1196" t="s">
        <v>1619</v>
      </c>
      <c r="AR1196" t="s">
        <v>1620</v>
      </c>
      <c r="AT1196" s="16" t="str">
        <f>_xlfn.XLOOKUP(B1196,'SWiSH Demand Forecast Sep-26'!D:D,'SWiSH Demand Forecast Sep-26'!G:G,"Not Exist")</f>
        <v>Not Exist</v>
      </c>
    </row>
    <row r="1197" spans="1:46" x14ac:dyDescent="0.3">
      <c r="A1197">
        <v>104900025</v>
      </c>
      <c r="B1197" t="s">
        <v>3071</v>
      </c>
      <c r="C1197" t="s">
        <v>10</v>
      </c>
      <c r="D1197" t="s">
        <v>1613</v>
      </c>
      <c r="E1197" t="s">
        <v>2587</v>
      </c>
      <c r="F1197" t="s">
        <v>1664</v>
      </c>
      <c r="G1197" t="s">
        <v>1624</v>
      </c>
      <c r="H1197" t="s">
        <v>1759</v>
      </c>
      <c r="I1197" t="s">
        <v>1634</v>
      </c>
      <c r="J1197" t="s">
        <v>10</v>
      </c>
      <c r="K1197">
        <v>8.6E-3</v>
      </c>
      <c r="L1197">
        <v>43</v>
      </c>
      <c r="M1197" s="1">
        <v>15</v>
      </c>
      <c r="N1197">
        <v>0</v>
      </c>
      <c r="O1197">
        <v>0</v>
      </c>
      <c r="P1197">
        <v>5000</v>
      </c>
      <c r="Q1197" s="1">
        <v>5000</v>
      </c>
      <c r="R1197">
        <v>8.6</v>
      </c>
      <c r="S1197" s="2">
        <v>46236</v>
      </c>
      <c r="T1197" s="2">
        <v>46252</v>
      </c>
      <c r="U1197">
        <v>2000</v>
      </c>
      <c r="V1197">
        <v>2000</v>
      </c>
      <c r="W1197">
        <v>2000</v>
      </c>
      <c r="X1197">
        <v>1000</v>
      </c>
      <c r="Y1197">
        <v>1000</v>
      </c>
      <c r="Z1197" s="8">
        <v>2000</v>
      </c>
      <c r="AA1197">
        <v>1750</v>
      </c>
      <c r="AB1197">
        <v>0.5714285714285714</v>
      </c>
      <c r="AC1197">
        <v>1.1428571428571428</v>
      </c>
      <c r="AD1197" s="1">
        <v>75</v>
      </c>
      <c r="AE1197" s="2">
        <v>46323</v>
      </c>
      <c r="AF1197" s="2">
        <v>46331</v>
      </c>
      <c r="AG1197" s="2">
        <v>46338</v>
      </c>
      <c r="AH1197">
        <v>2000</v>
      </c>
      <c r="AI1197" s="3">
        <v>1.0344827586206895</v>
      </c>
      <c r="AJ1197" s="1">
        <v>72</v>
      </c>
      <c r="AK1197" s="2">
        <v>46335</v>
      </c>
      <c r="AL1197" s="4">
        <v>30</v>
      </c>
      <c r="AM1197" s="5">
        <v>15</v>
      </c>
      <c r="AN1197" s="4">
        <v>72</v>
      </c>
      <c r="AO1197">
        <v>2068.9655172413791</v>
      </c>
      <c r="AP1197" s="4">
        <v>1</v>
      </c>
      <c r="AQ1197" t="s">
        <v>1619</v>
      </c>
      <c r="AR1197" t="s">
        <v>1620</v>
      </c>
      <c r="AT1197" s="16" t="str">
        <f>_xlfn.XLOOKUP(B1197,'SWiSH Demand Forecast Sep-26'!D:D,'SWiSH Demand Forecast Sep-26'!G:G,"Not Exist")</f>
        <v>Not Exist</v>
      </c>
    </row>
    <row r="1198" spans="1:46" x14ac:dyDescent="0.3">
      <c r="A1198">
        <v>106800239</v>
      </c>
      <c r="B1198" t="s">
        <v>3072</v>
      </c>
      <c r="C1198" t="s">
        <v>10</v>
      </c>
      <c r="D1198" t="s">
        <v>1699</v>
      </c>
      <c r="E1198" t="s">
        <v>1663</v>
      </c>
      <c r="F1198" t="s">
        <v>1664</v>
      </c>
      <c r="G1198" t="s">
        <v>1624</v>
      </c>
      <c r="H1198" t="s">
        <v>1665</v>
      </c>
      <c r="I1198" t="s">
        <v>1634</v>
      </c>
      <c r="J1198" t="s">
        <v>10</v>
      </c>
      <c r="K1198">
        <v>3.0000000000000001E-3</v>
      </c>
      <c r="L1198">
        <v>37.5</v>
      </c>
      <c r="M1198" s="1">
        <v>15</v>
      </c>
      <c r="N1198">
        <v>0</v>
      </c>
      <c r="O1198">
        <v>0</v>
      </c>
      <c r="P1198">
        <v>12500</v>
      </c>
      <c r="Q1198" s="1">
        <v>12500</v>
      </c>
      <c r="R1198">
        <v>3.0000000000000001E-3</v>
      </c>
      <c r="S1198" s="2">
        <v>46244</v>
      </c>
      <c r="T1198" s="2">
        <v>46143</v>
      </c>
      <c r="U1198">
        <v>5000</v>
      </c>
      <c r="V1198">
        <v>2500</v>
      </c>
      <c r="W1198">
        <v>0</v>
      </c>
      <c r="X1198">
        <v>0</v>
      </c>
      <c r="Y1198">
        <v>0</v>
      </c>
      <c r="Z1198" s="8">
        <v>5000</v>
      </c>
      <c r="AA1198">
        <v>1875</v>
      </c>
      <c r="AB1198">
        <v>0</v>
      </c>
      <c r="AC1198">
        <v>2.6666666666666665</v>
      </c>
      <c r="AD1198" s="1">
        <v>75</v>
      </c>
      <c r="AE1198" s="2">
        <v>46323</v>
      </c>
      <c r="AF1198" s="2">
        <v>46331</v>
      </c>
      <c r="AG1198" s="2">
        <v>46338</v>
      </c>
      <c r="AH1198">
        <v>0</v>
      </c>
      <c r="AI1198" s="3">
        <v>0</v>
      </c>
      <c r="AJ1198" s="1" t="s">
        <v>1635</v>
      </c>
      <c r="AK1198" s="2" t="s">
        <v>1635</v>
      </c>
      <c r="AL1198" s="4" t="s">
        <v>1658</v>
      </c>
      <c r="AM1198" s="5" t="s">
        <v>1658</v>
      </c>
      <c r="AN1198" s="4">
        <v>75</v>
      </c>
      <c r="AO1198" t="s">
        <v>1635</v>
      </c>
      <c r="AP1198" s="4" t="s">
        <v>1658</v>
      </c>
      <c r="AQ1198" t="s">
        <v>1619</v>
      </c>
      <c r="AR1198" t="s">
        <v>1620</v>
      </c>
      <c r="AT1198" s="16" t="str">
        <f>_xlfn.XLOOKUP(B1198,'SWiSH Demand Forecast Sep-26'!D:D,'SWiSH Demand Forecast Sep-26'!G:G,"Not Exist")</f>
        <v>Not Exist</v>
      </c>
    </row>
    <row r="1199" spans="1:46" x14ac:dyDescent="0.3">
      <c r="A1199">
        <v>106600007</v>
      </c>
      <c r="B1199" t="s">
        <v>3073</v>
      </c>
      <c r="C1199" t="s">
        <v>10</v>
      </c>
      <c r="D1199" t="s">
        <v>1699</v>
      </c>
      <c r="E1199" t="s">
        <v>2587</v>
      </c>
      <c r="F1199" t="s">
        <v>1664</v>
      </c>
      <c r="G1199" t="s">
        <v>1624</v>
      </c>
      <c r="H1199" t="s">
        <v>1723</v>
      </c>
      <c r="I1199" t="s">
        <v>1634</v>
      </c>
      <c r="J1199" t="s">
        <v>10</v>
      </c>
      <c r="K1199">
        <v>0.02</v>
      </c>
      <c r="L1199">
        <v>25</v>
      </c>
      <c r="M1199" s="1">
        <v>15</v>
      </c>
      <c r="N1199">
        <v>0</v>
      </c>
      <c r="O1199">
        <v>0</v>
      </c>
      <c r="P1199">
        <v>1250</v>
      </c>
      <c r="Q1199" s="1">
        <v>1250</v>
      </c>
      <c r="R1199">
        <v>0.02</v>
      </c>
      <c r="S1199" s="2">
        <v>45978</v>
      </c>
      <c r="T1199" s="2">
        <v>46187</v>
      </c>
      <c r="U1199">
        <v>250</v>
      </c>
      <c r="V1199">
        <v>0</v>
      </c>
      <c r="W1199">
        <v>500</v>
      </c>
      <c r="X1199">
        <v>0</v>
      </c>
      <c r="Y1199">
        <v>0</v>
      </c>
      <c r="Z1199" s="8">
        <v>500</v>
      </c>
      <c r="AA1199">
        <v>187.5</v>
      </c>
      <c r="AB1199">
        <v>0</v>
      </c>
      <c r="AC1199">
        <v>2.6666666666666665</v>
      </c>
      <c r="AD1199" s="1">
        <v>75</v>
      </c>
      <c r="AE1199" s="2">
        <v>46323</v>
      </c>
      <c r="AF1199" s="2">
        <v>46331</v>
      </c>
      <c r="AG1199" s="2">
        <v>46338</v>
      </c>
      <c r="AH1199">
        <v>0</v>
      </c>
      <c r="AI1199" s="3">
        <v>0</v>
      </c>
      <c r="AJ1199" s="1" t="s">
        <v>1635</v>
      </c>
      <c r="AK1199" s="2" t="s">
        <v>1635</v>
      </c>
      <c r="AL1199" s="4" t="s">
        <v>1658</v>
      </c>
      <c r="AM1199" s="5" t="s">
        <v>1658</v>
      </c>
      <c r="AN1199" s="4">
        <v>75</v>
      </c>
      <c r="AO1199" t="s">
        <v>1635</v>
      </c>
      <c r="AP1199" s="4" t="s">
        <v>1658</v>
      </c>
      <c r="AQ1199" t="s">
        <v>1619</v>
      </c>
      <c r="AR1199" t="s">
        <v>1620</v>
      </c>
      <c r="AT1199" s="16" t="str">
        <f>_xlfn.XLOOKUP(B1199,'SWiSH Demand Forecast Sep-26'!D:D,'SWiSH Demand Forecast Sep-26'!G:G,"Not Exist")</f>
        <v>Not Exist</v>
      </c>
    </row>
    <row r="1200" spans="1:46" x14ac:dyDescent="0.3">
      <c r="A1200">
        <v>106600003</v>
      </c>
      <c r="B1200" t="s">
        <v>3074</v>
      </c>
      <c r="C1200" t="s">
        <v>10</v>
      </c>
      <c r="D1200" t="s">
        <v>1613</v>
      </c>
      <c r="E1200" t="s">
        <v>2587</v>
      </c>
      <c r="F1200" t="s">
        <v>1664</v>
      </c>
      <c r="G1200" t="s">
        <v>1624</v>
      </c>
      <c r="H1200" t="s">
        <v>1723</v>
      </c>
      <c r="I1200" t="s">
        <v>1634</v>
      </c>
      <c r="J1200" t="s">
        <v>10</v>
      </c>
      <c r="K1200">
        <v>0.02</v>
      </c>
      <c r="L1200">
        <v>25</v>
      </c>
      <c r="M1200" s="1">
        <v>15</v>
      </c>
      <c r="N1200">
        <v>0</v>
      </c>
      <c r="O1200">
        <v>0</v>
      </c>
      <c r="P1200">
        <v>1250</v>
      </c>
      <c r="Q1200" s="1">
        <v>1250</v>
      </c>
      <c r="R1200">
        <v>0.02</v>
      </c>
      <c r="S1200" s="2">
        <v>45978</v>
      </c>
      <c r="T1200" s="2">
        <v>46188</v>
      </c>
      <c r="U1200">
        <v>0</v>
      </c>
      <c r="V1200">
        <v>0</v>
      </c>
      <c r="W1200">
        <v>500</v>
      </c>
      <c r="X1200">
        <v>0</v>
      </c>
      <c r="Y1200">
        <v>0</v>
      </c>
      <c r="Z1200" s="8">
        <v>500</v>
      </c>
      <c r="AA1200">
        <v>125</v>
      </c>
      <c r="AB1200">
        <v>0</v>
      </c>
      <c r="AC1200">
        <v>4</v>
      </c>
      <c r="AD1200" s="1">
        <v>75</v>
      </c>
      <c r="AE1200" s="2">
        <v>46323</v>
      </c>
      <c r="AF1200" s="2">
        <v>46331</v>
      </c>
      <c r="AG1200" s="2">
        <v>46338</v>
      </c>
      <c r="AH1200">
        <v>0</v>
      </c>
      <c r="AI1200" s="3">
        <v>0</v>
      </c>
      <c r="AJ1200" s="1" t="s">
        <v>1635</v>
      </c>
      <c r="AK1200" s="2" t="s">
        <v>1635</v>
      </c>
      <c r="AL1200" s="4">
        <v>30</v>
      </c>
      <c r="AM1200" s="5">
        <v>15</v>
      </c>
      <c r="AN1200" s="4">
        <v>75</v>
      </c>
      <c r="AO1200">
        <v>0</v>
      </c>
      <c r="AP1200" s="4">
        <v>1</v>
      </c>
      <c r="AQ1200" t="s">
        <v>1619</v>
      </c>
      <c r="AR1200" t="s">
        <v>1620</v>
      </c>
      <c r="AT1200" s="16" t="str">
        <f>_xlfn.XLOOKUP(B1200,'SWiSH Demand Forecast Sep-26'!D:D,'SWiSH Demand Forecast Sep-26'!G:G,"Not Exist")</f>
        <v>Not Exist</v>
      </c>
    </row>
    <row r="1201" spans="1:46" hidden="1" x14ac:dyDescent="0.3">
      <c r="A1201">
        <v>106800311</v>
      </c>
      <c r="B1201" t="s">
        <v>485</v>
      </c>
      <c r="C1201" t="s">
        <v>10</v>
      </c>
      <c r="D1201" t="s">
        <v>1613</v>
      </c>
      <c r="E1201" t="s">
        <v>1701</v>
      </c>
      <c r="F1201" t="s">
        <v>1664</v>
      </c>
      <c r="G1201" t="s">
        <v>1624</v>
      </c>
      <c r="H1201" t="s">
        <v>1665</v>
      </c>
      <c r="I1201" t="s">
        <v>1634</v>
      </c>
      <c r="J1201" t="s">
        <v>10</v>
      </c>
      <c r="K1201">
        <v>1.2E-2</v>
      </c>
      <c r="L1201">
        <v>120</v>
      </c>
      <c r="M1201" s="1">
        <v>7</v>
      </c>
      <c r="N1201">
        <v>0</v>
      </c>
      <c r="O1201">
        <v>0</v>
      </c>
      <c r="P1201">
        <v>10000</v>
      </c>
      <c r="Q1201" s="1">
        <v>10000</v>
      </c>
      <c r="R1201">
        <v>1.2E-2</v>
      </c>
      <c r="S1201" s="2">
        <v>45870</v>
      </c>
      <c r="T1201" s="2">
        <v>46253</v>
      </c>
      <c r="U1201">
        <v>4000</v>
      </c>
      <c r="V1201">
        <v>1000</v>
      </c>
      <c r="W1201">
        <v>4000</v>
      </c>
      <c r="X1201">
        <v>1000</v>
      </c>
      <c r="Y1201">
        <v>1000</v>
      </c>
      <c r="Z1201" s="8">
        <v>4000</v>
      </c>
      <c r="AA1201">
        <v>2500</v>
      </c>
      <c r="AB1201">
        <v>0.4</v>
      </c>
      <c r="AC1201">
        <v>1.6</v>
      </c>
      <c r="AD1201" s="1">
        <v>75</v>
      </c>
      <c r="AE1201" s="2">
        <v>46323</v>
      </c>
      <c r="AF1201" s="2">
        <v>46331</v>
      </c>
      <c r="AG1201" s="2">
        <v>46338</v>
      </c>
      <c r="AH1201">
        <v>1000</v>
      </c>
      <c r="AI1201" s="3">
        <v>0.25862068965517238</v>
      </c>
      <c r="AJ1201" s="1">
        <v>290</v>
      </c>
      <c r="AK1201" s="2">
        <v>46553</v>
      </c>
      <c r="AL1201" s="4">
        <v>30</v>
      </c>
      <c r="AM1201" s="5">
        <v>15</v>
      </c>
      <c r="AN1201" s="4">
        <v>75</v>
      </c>
      <c r="AO1201">
        <v>1034.4827586206895</v>
      </c>
      <c r="AP1201" s="4">
        <v>1</v>
      </c>
      <c r="AQ1201" t="s">
        <v>1619</v>
      </c>
      <c r="AR1201" t="s">
        <v>1620</v>
      </c>
      <c r="AT1201" s="16">
        <f>_xlfn.XLOOKUP(B1201,'SWiSH Demand Forecast Sep-26'!D:D,'SWiSH Demand Forecast Sep-26'!G:G,"Not Exist")</f>
        <v>1687</v>
      </c>
    </row>
    <row r="1202" spans="1:46" x14ac:dyDescent="0.3">
      <c r="A1202">
        <v>104200054</v>
      </c>
      <c r="B1202" t="s">
        <v>3075</v>
      </c>
      <c r="C1202" t="s">
        <v>10</v>
      </c>
      <c r="D1202" t="s">
        <v>1613</v>
      </c>
      <c r="E1202" t="s">
        <v>1775</v>
      </c>
      <c r="F1202" t="s">
        <v>1664</v>
      </c>
      <c r="G1202" t="s">
        <v>1624</v>
      </c>
      <c r="H1202" t="s">
        <v>1633</v>
      </c>
      <c r="I1202" t="s">
        <v>1634</v>
      </c>
      <c r="J1202" t="s">
        <v>10</v>
      </c>
      <c r="K1202">
        <v>5.4950399999999996E-3</v>
      </c>
      <c r="L1202">
        <v>27.475199999999997</v>
      </c>
      <c r="M1202" s="1">
        <v>3</v>
      </c>
      <c r="N1202">
        <v>0</v>
      </c>
      <c r="O1202">
        <v>0</v>
      </c>
      <c r="P1202">
        <v>5000</v>
      </c>
      <c r="Q1202" s="1">
        <v>5000</v>
      </c>
      <c r="R1202">
        <v>8.0000000000000002E-3</v>
      </c>
      <c r="S1202" s="2">
        <v>46070</v>
      </c>
      <c r="T1202" s="2">
        <v>46255</v>
      </c>
      <c r="U1202">
        <v>2000</v>
      </c>
      <c r="V1202">
        <v>1500</v>
      </c>
      <c r="W1202">
        <v>2000</v>
      </c>
      <c r="X1202">
        <v>500</v>
      </c>
      <c r="Y1202">
        <v>500</v>
      </c>
      <c r="Z1202" s="8">
        <v>2000</v>
      </c>
      <c r="AA1202">
        <v>1333.3333333333333</v>
      </c>
      <c r="AB1202">
        <v>0.375</v>
      </c>
      <c r="AC1202">
        <v>1.5</v>
      </c>
      <c r="AD1202" s="1">
        <v>75</v>
      </c>
      <c r="AE1202" s="2">
        <v>46323</v>
      </c>
      <c r="AF1202" s="2">
        <v>46331</v>
      </c>
      <c r="AG1202" s="2">
        <v>46338</v>
      </c>
      <c r="AH1202">
        <v>1500</v>
      </c>
      <c r="AI1202" s="3">
        <v>0.77586206896551724</v>
      </c>
      <c r="AJ1202" s="1">
        <v>96</v>
      </c>
      <c r="AK1202" s="2">
        <v>46359</v>
      </c>
      <c r="AL1202" s="4">
        <v>30</v>
      </c>
      <c r="AM1202" s="5">
        <v>15</v>
      </c>
      <c r="AN1202" s="4">
        <v>75</v>
      </c>
      <c r="AO1202">
        <v>1551.7241379310346</v>
      </c>
      <c r="AP1202" s="4">
        <v>1</v>
      </c>
      <c r="AQ1202" t="s">
        <v>1619</v>
      </c>
      <c r="AR1202" t="s">
        <v>1620</v>
      </c>
      <c r="AT1202" s="16" t="str">
        <f>_xlfn.XLOOKUP(B1202,'SWiSH Demand Forecast Sep-26'!D:D,'SWiSH Demand Forecast Sep-26'!G:G,"Not Exist")</f>
        <v>Not Exist</v>
      </c>
    </row>
    <row r="1203" spans="1:46" hidden="1" x14ac:dyDescent="0.3">
      <c r="A1203">
        <v>107400076</v>
      </c>
      <c r="B1203" t="s">
        <v>210</v>
      </c>
      <c r="C1203" t="s">
        <v>10</v>
      </c>
      <c r="D1203" t="s">
        <v>1613</v>
      </c>
      <c r="E1203" t="s">
        <v>1638</v>
      </c>
      <c r="F1203" t="s">
        <v>1664</v>
      </c>
      <c r="G1203" t="s">
        <v>1624</v>
      </c>
      <c r="H1203" t="s">
        <v>2016</v>
      </c>
      <c r="I1203" t="s">
        <v>1634</v>
      </c>
      <c r="J1203" t="s">
        <v>10</v>
      </c>
      <c r="K1203">
        <v>7.6451599999999998E-3</v>
      </c>
      <c r="L1203">
        <v>267.5806</v>
      </c>
      <c r="M1203" s="1">
        <v>15</v>
      </c>
      <c r="N1203">
        <v>0</v>
      </c>
      <c r="O1203">
        <v>0</v>
      </c>
      <c r="P1203">
        <v>35000</v>
      </c>
      <c r="Q1203" s="1">
        <v>35000</v>
      </c>
      <c r="R1203">
        <v>8.0000000000000002E-3</v>
      </c>
      <c r="S1203" s="2">
        <v>46161</v>
      </c>
      <c r="T1203" s="2">
        <v>46259</v>
      </c>
      <c r="U1203">
        <v>14000</v>
      </c>
      <c r="V1203">
        <v>9000</v>
      </c>
      <c r="W1203">
        <v>7000</v>
      </c>
      <c r="X1203">
        <v>9000</v>
      </c>
      <c r="Y1203">
        <v>7000</v>
      </c>
      <c r="Z1203" s="8">
        <v>14000</v>
      </c>
      <c r="AA1203">
        <v>9750</v>
      </c>
      <c r="AB1203">
        <v>0.71794871794871795</v>
      </c>
      <c r="AC1203">
        <v>1.4358974358974359</v>
      </c>
      <c r="AD1203" s="1">
        <v>75</v>
      </c>
      <c r="AE1203" s="2">
        <v>46323</v>
      </c>
      <c r="AF1203" s="2">
        <v>46331</v>
      </c>
      <c r="AG1203" s="2">
        <v>46338</v>
      </c>
      <c r="AH1203">
        <v>7000</v>
      </c>
      <c r="AI1203" s="3">
        <v>0.51724137931034486</v>
      </c>
      <c r="AJ1203" s="1">
        <v>145</v>
      </c>
      <c r="AK1203" s="2">
        <v>46408</v>
      </c>
      <c r="AL1203" s="4">
        <v>30</v>
      </c>
      <c r="AM1203" s="5">
        <v>15</v>
      </c>
      <c r="AN1203" s="4">
        <v>75</v>
      </c>
      <c r="AO1203">
        <v>7241.3793103448279</v>
      </c>
      <c r="AP1203" s="4">
        <v>1</v>
      </c>
      <c r="AQ1203" t="s">
        <v>1619</v>
      </c>
      <c r="AR1203" t="s">
        <v>1620</v>
      </c>
      <c r="AT1203" s="16">
        <f>_xlfn.XLOOKUP(B1203,'SWiSH Demand Forecast Sep-26'!D:D,'SWiSH Demand Forecast Sep-26'!G:G,"Not Exist")</f>
        <v>7988</v>
      </c>
    </row>
    <row r="1204" spans="1:46" x14ac:dyDescent="0.3">
      <c r="A1204">
        <v>106800363</v>
      </c>
      <c r="B1204" t="s">
        <v>3076</v>
      </c>
      <c r="C1204" t="s">
        <v>10</v>
      </c>
      <c r="D1204" t="s">
        <v>1613</v>
      </c>
      <c r="E1204" t="s">
        <v>1638</v>
      </c>
      <c r="F1204" t="s">
        <v>1664</v>
      </c>
      <c r="G1204" t="s">
        <v>1624</v>
      </c>
      <c r="H1204" t="s">
        <v>1665</v>
      </c>
      <c r="I1204" t="s">
        <v>1634</v>
      </c>
      <c r="J1204" t="s">
        <v>10</v>
      </c>
      <c r="K1204">
        <v>6.0000000000000001E-3</v>
      </c>
      <c r="L1204">
        <v>2712</v>
      </c>
      <c r="M1204" s="1">
        <v>7</v>
      </c>
      <c r="N1204">
        <v>0</v>
      </c>
      <c r="O1204">
        <v>1000</v>
      </c>
      <c r="P1204">
        <v>452000</v>
      </c>
      <c r="Q1204" s="1">
        <v>451000</v>
      </c>
      <c r="R1204">
        <v>6.0000000000000001E-3</v>
      </c>
      <c r="S1204" s="2">
        <v>46231</v>
      </c>
      <c r="T1204" s="2">
        <v>46263</v>
      </c>
      <c r="U1204">
        <v>0</v>
      </c>
      <c r="V1204">
        <v>79000</v>
      </c>
      <c r="W1204">
        <v>147000</v>
      </c>
      <c r="X1204">
        <v>179000</v>
      </c>
      <c r="Y1204">
        <v>0</v>
      </c>
      <c r="Z1204" s="8">
        <v>179000</v>
      </c>
      <c r="AA1204">
        <v>101250</v>
      </c>
      <c r="AB1204">
        <v>0</v>
      </c>
      <c r="AC1204">
        <v>1.7679012345679013</v>
      </c>
      <c r="AD1204" s="1">
        <v>75</v>
      </c>
      <c r="AE1204" s="2">
        <v>46323</v>
      </c>
      <c r="AF1204" s="2">
        <v>46331</v>
      </c>
      <c r="AG1204" s="2">
        <v>46338</v>
      </c>
      <c r="AH1204">
        <v>144000</v>
      </c>
      <c r="AI1204" s="3">
        <v>0.83220959352725865</v>
      </c>
      <c r="AJ1204" s="1">
        <v>90</v>
      </c>
      <c r="AK1204" s="2">
        <v>46353</v>
      </c>
      <c r="AL1204" s="4">
        <v>30</v>
      </c>
      <c r="AM1204" s="5">
        <v>15</v>
      </c>
      <c r="AN1204" s="4">
        <v>75</v>
      </c>
      <c r="AO1204">
        <v>148965.5172413793</v>
      </c>
      <c r="AP1204" s="4">
        <v>1</v>
      </c>
      <c r="AQ1204">
        <v>1810</v>
      </c>
      <c r="AR1204" t="s">
        <v>2285</v>
      </c>
      <c r="AT1204" s="16" t="str">
        <f>_xlfn.XLOOKUP(B1204,'SWiSH Demand Forecast Sep-26'!D:D,'SWiSH Demand Forecast Sep-26'!G:G,"Not Exist")</f>
        <v>Not Exist</v>
      </c>
    </row>
    <row r="1205" spans="1:46" x14ac:dyDescent="0.3">
      <c r="A1205">
        <v>105100004</v>
      </c>
      <c r="B1205" t="s">
        <v>3077</v>
      </c>
      <c r="C1205" t="s">
        <v>10</v>
      </c>
      <c r="D1205" t="s">
        <v>1613</v>
      </c>
      <c r="E1205" t="s">
        <v>1655</v>
      </c>
      <c r="F1205" t="s">
        <v>1631</v>
      </c>
      <c r="G1205" t="s">
        <v>1624</v>
      </c>
      <c r="H1205" t="s">
        <v>1985</v>
      </c>
      <c r="I1205" t="s">
        <v>1634</v>
      </c>
      <c r="J1205" t="s">
        <v>2487</v>
      </c>
      <c r="K1205">
        <v>0.73261697999999997</v>
      </c>
      <c r="L1205">
        <v>457.88561249999998</v>
      </c>
      <c r="M1205" s="1">
        <v>30</v>
      </c>
      <c r="N1205">
        <v>0</v>
      </c>
      <c r="O1205">
        <v>0</v>
      </c>
      <c r="P1205">
        <v>625</v>
      </c>
      <c r="Q1205" s="1">
        <v>625</v>
      </c>
      <c r="R1205">
        <v>71.147800000000004</v>
      </c>
      <c r="S1205" s="2">
        <v>46258</v>
      </c>
      <c r="T1205" s="2">
        <v>46261</v>
      </c>
      <c r="U1205">
        <v>0</v>
      </c>
      <c r="V1205">
        <v>99</v>
      </c>
      <c r="W1205">
        <v>0</v>
      </c>
      <c r="X1205">
        <v>245</v>
      </c>
      <c r="Y1205">
        <v>0</v>
      </c>
      <c r="Z1205" s="8">
        <v>245</v>
      </c>
      <c r="AA1205">
        <v>86</v>
      </c>
      <c r="AB1205">
        <v>0</v>
      </c>
      <c r="AC1205">
        <v>2.8488372093023258</v>
      </c>
      <c r="AD1205" s="1">
        <v>76</v>
      </c>
      <c r="AE1205" s="2">
        <v>46324</v>
      </c>
      <c r="AF1205" s="2">
        <v>46332</v>
      </c>
      <c r="AG1205" s="2">
        <v>46339</v>
      </c>
      <c r="AH1205">
        <v>130</v>
      </c>
      <c r="AI1205" s="3">
        <v>0.5489092188599578</v>
      </c>
      <c r="AJ1205" s="1">
        <v>139</v>
      </c>
      <c r="AK1205" s="2">
        <v>46402</v>
      </c>
      <c r="AL1205" s="4">
        <v>30</v>
      </c>
      <c r="AM1205" s="5">
        <v>15</v>
      </c>
      <c r="AN1205" s="4">
        <v>76</v>
      </c>
      <c r="AO1205">
        <v>134.48275862068965</v>
      </c>
      <c r="AP1205" s="4">
        <v>1</v>
      </c>
      <c r="AQ1205" t="s">
        <v>1619</v>
      </c>
      <c r="AR1205" t="s">
        <v>1620</v>
      </c>
      <c r="AT1205" s="16" t="str">
        <f>_xlfn.XLOOKUP(B1205,'SWiSH Demand Forecast Sep-26'!D:D,'SWiSH Demand Forecast Sep-26'!G:G,"Not Exist")</f>
        <v>Not Exist</v>
      </c>
    </row>
    <row r="1206" spans="1:46" x14ac:dyDescent="0.3">
      <c r="A1206">
        <v>100400115</v>
      </c>
      <c r="B1206" t="s">
        <v>3078</v>
      </c>
      <c r="C1206" t="s">
        <v>10</v>
      </c>
      <c r="D1206" t="s">
        <v>1613</v>
      </c>
      <c r="E1206" t="s">
        <v>1796</v>
      </c>
      <c r="F1206" t="s">
        <v>1664</v>
      </c>
      <c r="G1206" t="s">
        <v>1616</v>
      </c>
      <c r="H1206" t="s">
        <v>1810</v>
      </c>
      <c r="I1206" t="s">
        <v>1634</v>
      </c>
      <c r="J1206" t="s">
        <v>10</v>
      </c>
      <c r="K1206">
        <v>2.999009E-2</v>
      </c>
      <c r="L1206">
        <v>1412.5332390000001</v>
      </c>
      <c r="M1206" s="1">
        <v>30</v>
      </c>
      <c r="N1206">
        <v>0</v>
      </c>
      <c r="O1206">
        <v>0</v>
      </c>
      <c r="P1206">
        <v>47100</v>
      </c>
      <c r="Q1206" s="1">
        <v>47100</v>
      </c>
      <c r="R1206">
        <v>0.03</v>
      </c>
      <c r="S1206" s="2">
        <v>46247</v>
      </c>
      <c r="T1206" s="2">
        <v>46262</v>
      </c>
      <c r="U1206">
        <v>12150</v>
      </c>
      <c r="V1206">
        <v>14770</v>
      </c>
      <c r="W1206">
        <v>18450</v>
      </c>
      <c r="X1206">
        <v>12700</v>
      </c>
      <c r="Y1206">
        <v>12150</v>
      </c>
      <c r="Z1206" s="8">
        <v>18450</v>
      </c>
      <c r="AA1206">
        <v>14517.5</v>
      </c>
      <c r="AB1206">
        <v>0.83692095746512829</v>
      </c>
      <c r="AC1206">
        <v>1.2708799724470468</v>
      </c>
      <c r="AD1206" s="1">
        <v>76</v>
      </c>
      <c r="AE1206" s="2">
        <v>46324</v>
      </c>
      <c r="AF1206" s="2">
        <v>46332</v>
      </c>
      <c r="AG1206" s="2">
        <v>46339</v>
      </c>
      <c r="AH1206">
        <v>11050</v>
      </c>
      <c r="AI1206" s="3">
        <v>0.61956826464816372</v>
      </c>
      <c r="AJ1206" s="1">
        <v>123</v>
      </c>
      <c r="AK1206" s="2">
        <v>46386</v>
      </c>
      <c r="AL1206" s="4">
        <v>30</v>
      </c>
      <c r="AM1206" s="5">
        <v>15</v>
      </c>
      <c r="AN1206" s="4">
        <v>76</v>
      </c>
      <c r="AO1206">
        <v>11431.034482758621</v>
      </c>
      <c r="AP1206" s="4">
        <v>1</v>
      </c>
      <c r="AQ1206">
        <v>20000</v>
      </c>
      <c r="AR1206" t="s">
        <v>2377</v>
      </c>
      <c r="AS1206" t="s">
        <v>1666</v>
      </c>
      <c r="AT1206" s="16" t="str">
        <f>_xlfn.XLOOKUP(B1206,'SWiSH Demand Forecast Sep-26'!D:D,'SWiSH Demand Forecast Sep-26'!G:G,"Not Exist")</f>
        <v>Not Exist</v>
      </c>
    </row>
    <row r="1207" spans="1:46" hidden="1" x14ac:dyDescent="0.3">
      <c r="A1207">
        <v>101600011</v>
      </c>
      <c r="B1207" t="s">
        <v>967</v>
      </c>
      <c r="C1207" t="s">
        <v>10</v>
      </c>
      <c r="D1207" t="s">
        <v>1613</v>
      </c>
      <c r="E1207" t="s">
        <v>1775</v>
      </c>
      <c r="F1207" t="s">
        <v>1631</v>
      </c>
      <c r="G1207" t="s">
        <v>1624</v>
      </c>
      <c r="H1207" t="s">
        <v>1768</v>
      </c>
      <c r="I1207" t="s">
        <v>1634</v>
      </c>
      <c r="J1207" t="s">
        <v>3079</v>
      </c>
      <c r="K1207">
        <v>0.11125364</v>
      </c>
      <c r="L1207">
        <v>93.453057599999994</v>
      </c>
      <c r="M1207" s="1">
        <v>30</v>
      </c>
      <c r="N1207">
        <v>0</v>
      </c>
      <c r="O1207">
        <v>0</v>
      </c>
      <c r="P1207">
        <v>840</v>
      </c>
      <c r="Q1207" s="1">
        <v>840</v>
      </c>
      <c r="R1207">
        <v>42</v>
      </c>
      <c r="S1207" s="2">
        <v>46057</v>
      </c>
      <c r="T1207" s="2">
        <v>46262</v>
      </c>
      <c r="U1207">
        <v>226</v>
      </c>
      <c r="V1207">
        <v>324</v>
      </c>
      <c r="W1207">
        <v>216</v>
      </c>
      <c r="X1207">
        <v>222</v>
      </c>
      <c r="Y1207">
        <v>216</v>
      </c>
      <c r="Z1207" s="8">
        <v>324</v>
      </c>
      <c r="AA1207">
        <v>247</v>
      </c>
      <c r="AB1207">
        <v>0.87449392712550611</v>
      </c>
      <c r="AC1207">
        <v>1.3117408906882591</v>
      </c>
      <c r="AD1207" s="1">
        <v>77</v>
      </c>
      <c r="AE1207" s="2">
        <v>46325</v>
      </c>
      <c r="AF1207" s="2">
        <v>46333</v>
      </c>
      <c r="AG1207" s="2">
        <v>46340</v>
      </c>
      <c r="AH1207">
        <v>240</v>
      </c>
      <c r="AI1207" s="3">
        <v>0.76628352490421459</v>
      </c>
      <c r="AJ1207" s="1">
        <v>101</v>
      </c>
      <c r="AK1207" s="2">
        <v>46364</v>
      </c>
      <c r="AL1207" s="4">
        <v>30</v>
      </c>
      <c r="AM1207" s="5">
        <v>15</v>
      </c>
      <c r="AN1207" s="4">
        <v>77</v>
      </c>
      <c r="AO1207">
        <v>248.27586206896552</v>
      </c>
      <c r="AP1207" s="4">
        <v>1</v>
      </c>
      <c r="AQ1207" t="s">
        <v>1619</v>
      </c>
      <c r="AR1207" t="s">
        <v>1620</v>
      </c>
      <c r="AT1207" s="16">
        <f>_xlfn.XLOOKUP(B1207,'SWiSH Demand Forecast Sep-26'!D:D,'SWiSH Demand Forecast Sep-26'!G:G,"Not Exist")</f>
        <v>180</v>
      </c>
    </row>
    <row r="1208" spans="1:46" x14ac:dyDescent="0.3">
      <c r="A1208">
        <v>104200020</v>
      </c>
      <c r="B1208" t="s">
        <v>3080</v>
      </c>
      <c r="C1208" t="s">
        <v>10</v>
      </c>
      <c r="D1208" t="s">
        <v>1613</v>
      </c>
      <c r="E1208" t="s">
        <v>3081</v>
      </c>
      <c r="F1208" t="s">
        <v>1631</v>
      </c>
      <c r="G1208" t="s">
        <v>1624</v>
      </c>
      <c r="H1208" t="s">
        <v>1633</v>
      </c>
      <c r="I1208" t="s">
        <v>1634</v>
      </c>
      <c r="J1208" t="s">
        <v>10</v>
      </c>
      <c r="K1208">
        <v>3.234737E-2</v>
      </c>
      <c r="L1208">
        <v>16.62654818</v>
      </c>
      <c r="M1208" s="1">
        <v>3</v>
      </c>
      <c r="N1208">
        <v>0</v>
      </c>
      <c r="O1208">
        <v>0</v>
      </c>
      <c r="P1208">
        <v>514</v>
      </c>
      <c r="Q1208" s="1">
        <v>514</v>
      </c>
      <c r="R1208">
        <v>14</v>
      </c>
      <c r="S1208" s="2">
        <v>46144</v>
      </c>
      <c r="T1208" s="2">
        <v>46263</v>
      </c>
      <c r="U1208">
        <v>140</v>
      </c>
      <c r="V1208">
        <v>0</v>
      </c>
      <c r="W1208">
        <v>200</v>
      </c>
      <c r="X1208">
        <v>40</v>
      </c>
      <c r="Y1208">
        <v>0</v>
      </c>
      <c r="Z1208" s="8">
        <v>200</v>
      </c>
      <c r="AA1208">
        <v>95</v>
      </c>
      <c r="AB1208">
        <v>0</v>
      </c>
      <c r="AC1208">
        <v>2.1052631578947367</v>
      </c>
      <c r="AD1208" s="1">
        <v>77</v>
      </c>
      <c r="AE1208" s="2">
        <v>46325</v>
      </c>
      <c r="AF1208" s="2">
        <v>46333</v>
      </c>
      <c r="AG1208" s="2">
        <v>46340</v>
      </c>
      <c r="AH1208">
        <v>340</v>
      </c>
      <c r="AI1208" s="3">
        <v>1.7586206896551724</v>
      </c>
      <c r="AJ1208" s="1">
        <v>43</v>
      </c>
      <c r="AK1208" s="2">
        <v>46306</v>
      </c>
      <c r="AL1208" s="4">
        <v>30</v>
      </c>
      <c r="AM1208" s="5">
        <v>15</v>
      </c>
      <c r="AN1208" s="4">
        <v>43</v>
      </c>
      <c r="AO1208">
        <v>351.72413793103448</v>
      </c>
      <c r="AP1208" s="4">
        <v>1</v>
      </c>
      <c r="AQ1208" t="s">
        <v>1619</v>
      </c>
      <c r="AR1208" t="s">
        <v>1620</v>
      </c>
      <c r="AT1208" s="16" t="str">
        <f>_xlfn.XLOOKUP(B1208,'SWiSH Demand Forecast Sep-26'!D:D,'SWiSH Demand Forecast Sep-26'!G:G,"Not Exist")</f>
        <v>Not Exist</v>
      </c>
    </row>
    <row r="1209" spans="1:46" hidden="1" x14ac:dyDescent="0.3">
      <c r="A1209">
        <v>106600119</v>
      </c>
      <c r="B1209" t="s">
        <v>178</v>
      </c>
      <c r="C1209" t="s">
        <v>10</v>
      </c>
      <c r="D1209" t="s">
        <v>1613</v>
      </c>
      <c r="E1209" t="s">
        <v>1663</v>
      </c>
      <c r="F1209" t="s">
        <v>1664</v>
      </c>
      <c r="G1209" t="s">
        <v>1624</v>
      </c>
      <c r="H1209" t="s">
        <v>1723</v>
      </c>
      <c r="I1209" t="s">
        <v>1634</v>
      </c>
      <c r="J1209" t="s">
        <v>10</v>
      </c>
      <c r="K1209">
        <v>5.0000000000000001E-3</v>
      </c>
      <c r="L1209">
        <v>260</v>
      </c>
      <c r="M1209" s="1">
        <v>30</v>
      </c>
      <c r="N1209">
        <v>0</v>
      </c>
      <c r="O1209">
        <v>0</v>
      </c>
      <c r="P1209">
        <v>52000</v>
      </c>
      <c r="Q1209" s="1">
        <v>52000</v>
      </c>
      <c r="R1209">
        <v>5.0000000000000001E-3</v>
      </c>
      <c r="S1209" s="2">
        <v>46237</v>
      </c>
      <c r="T1209" s="2">
        <v>46228</v>
      </c>
      <c r="U1209">
        <v>20000</v>
      </c>
      <c r="V1209">
        <v>0</v>
      </c>
      <c r="W1209">
        <v>12000</v>
      </c>
      <c r="X1209">
        <v>20000</v>
      </c>
      <c r="Y1209">
        <v>0</v>
      </c>
      <c r="Z1209" s="8">
        <v>20000</v>
      </c>
      <c r="AA1209">
        <v>13000</v>
      </c>
      <c r="AB1209">
        <v>0</v>
      </c>
      <c r="AC1209">
        <v>1.5384615384615385</v>
      </c>
      <c r="AD1209" s="1">
        <v>78</v>
      </c>
      <c r="AE1209" s="2">
        <v>46326</v>
      </c>
      <c r="AF1209" s="2">
        <v>46334</v>
      </c>
      <c r="AG1209" s="2">
        <v>46341</v>
      </c>
      <c r="AH1209">
        <v>0</v>
      </c>
      <c r="AI1209" s="3">
        <v>0</v>
      </c>
      <c r="AJ1209" s="1" t="s">
        <v>1635</v>
      </c>
      <c r="AK1209" s="2" t="s">
        <v>1635</v>
      </c>
      <c r="AL1209" s="4">
        <v>30</v>
      </c>
      <c r="AM1209" s="5">
        <v>15</v>
      </c>
      <c r="AN1209" s="4">
        <v>78</v>
      </c>
      <c r="AO1209">
        <v>0</v>
      </c>
      <c r="AP1209" s="4">
        <v>1</v>
      </c>
      <c r="AQ1209">
        <v>3000</v>
      </c>
      <c r="AR1209" t="s">
        <v>2032</v>
      </c>
      <c r="AT1209" s="16">
        <f>_xlfn.XLOOKUP(B1209,'SWiSH Demand Forecast Sep-26'!D:D,'SWiSH Demand Forecast Sep-26'!G:G,"Not Exist")</f>
        <v>9912</v>
      </c>
    </row>
    <row r="1210" spans="1:46" x14ac:dyDescent="0.3">
      <c r="A1210">
        <v>106800161</v>
      </c>
      <c r="B1210" t="s">
        <v>3082</v>
      </c>
      <c r="C1210" t="s">
        <v>10</v>
      </c>
      <c r="D1210" t="s">
        <v>1613</v>
      </c>
      <c r="E1210" t="s">
        <v>1685</v>
      </c>
      <c r="F1210" t="s">
        <v>1664</v>
      </c>
      <c r="G1210" t="s">
        <v>1624</v>
      </c>
      <c r="H1210" t="s">
        <v>1665</v>
      </c>
      <c r="I1210" t="s">
        <v>1634</v>
      </c>
      <c r="J1210" t="s">
        <v>10</v>
      </c>
      <c r="K1210">
        <v>3.5000000000000003E-2</v>
      </c>
      <c r="L1210">
        <v>1260.0000000000002</v>
      </c>
      <c r="M1210" s="1">
        <v>7</v>
      </c>
      <c r="N1210">
        <v>0</v>
      </c>
      <c r="O1210">
        <v>0</v>
      </c>
      <c r="P1210">
        <v>36000</v>
      </c>
      <c r="Q1210" s="1">
        <v>36000</v>
      </c>
      <c r="R1210">
        <v>3.5000000000000003E-2</v>
      </c>
      <c r="S1210" s="2">
        <v>46239</v>
      </c>
      <c r="T1210" s="2">
        <v>46228</v>
      </c>
      <c r="U1210">
        <v>12500</v>
      </c>
      <c r="V1210">
        <v>13750</v>
      </c>
      <c r="W1210">
        <v>6750</v>
      </c>
      <c r="X1210">
        <v>6000</v>
      </c>
      <c r="Y1210">
        <v>6000</v>
      </c>
      <c r="Z1210" s="8">
        <v>13750</v>
      </c>
      <c r="AA1210">
        <v>9750</v>
      </c>
      <c r="AB1210">
        <v>0.61538461538461542</v>
      </c>
      <c r="AC1210">
        <v>1.4102564102564104</v>
      </c>
      <c r="AD1210" s="1">
        <v>78</v>
      </c>
      <c r="AE1210" s="2">
        <v>46326</v>
      </c>
      <c r="AF1210" s="2">
        <v>46334</v>
      </c>
      <c r="AG1210" s="2">
        <v>46341</v>
      </c>
      <c r="AH1210">
        <v>0</v>
      </c>
      <c r="AI1210" s="3">
        <v>0</v>
      </c>
      <c r="AJ1210" s="1" t="s">
        <v>1635</v>
      </c>
      <c r="AK1210" s="2" t="s">
        <v>1635</v>
      </c>
      <c r="AL1210" s="4">
        <v>30</v>
      </c>
      <c r="AM1210" s="5">
        <v>15</v>
      </c>
      <c r="AN1210" s="4">
        <v>78</v>
      </c>
      <c r="AO1210">
        <v>0</v>
      </c>
      <c r="AP1210" s="4">
        <v>1</v>
      </c>
      <c r="AQ1210">
        <v>20000</v>
      </c>
      <c r="AR1210" t="s">
        <v>1829</v>
      </c>
      <c r="AS1210" t="s">
        <v>1666</v>
      </c>
      <c r="AT1210" s="16" t="str">
        <f>_xlfn.XLOOKUP(B1210,'SWiSH Demand Forecast Sep-26'!D:D,'SWiSH Demand Forecast Sep-26'!G:G,"Not Exist")</f>
        <v>Not Exist</v>
      </c>
    </row>
    <row r="1211" spans="1:46" x14ac:dyDescent="0.3">
      <c r="A1211">
        <v>106800373</v>
      </c>
      <c r="B1211" t="s">
        <v>3083</v>
      </c>
      <c r="C1211" t="s">
        <v>10</v>
      </c>
      <c r="D1211" t="s">
        <v>1613</v>
      </c>
      <c r="E1211" t="s">
        <v>1701</v>
      </c>
      <c r="F1211" t="s">
        <v>1664</v>
      </c>
      <c r="G1211" t="s">
        <v>1624</v>
      </c>
      <c r="H1211" t="s">
        <v>1665</v>
      </c>
      <c r="I1211" t="s">
        <v>1634</v>
      </c>
      <c r="J1211" t="s">
        <v>10</v>
      </c>
      <c r="K1211">
        <v>8.0000000000000002E-3</v>
      </c>
      <c r="L1211">
        <v>104</v>
      </c>
      <c r="M1211" s="1">
        <v>7</v>
      </c>
      <c r="N1211">
        <v>0</v>
      </c>
      <c r="O1211">
        <v>0</v>
      </c>
      <c r="P1211">
        <v>13000</v>
      </c>
      <c r="Q1211" s="1">
        <v>13000</v>
      </c>
      <c r="R1211">
        <v>8.0000000000000002E-3</v>
      </c>
      <c r="S1211" s="2">
        <v>46211</v>
      </c>
      <c r="T1211" s="2">
        <v>46252</v>
      </c>
      <c r="U1211">
        <v>0</v>
      </c>
      <c r="V1211">
        <v>0</v>
      </c>
      <c r="W1211">
        <v>5000</v>
      </c>
      <c r="X1211">
        <v>0</v>
      </c>
      <c r="Y1211">
        <v>0</v>
      </c>
      <c r="Z1211" s="8">
        <v>5000</v>
      </c>
      <c r="AA1211">
        <v>1250</v>
      </c>
      <c r="AB1211">
        <v>0</v>
      </c>
      <c r="AC1211">
        <v>4</v>
      </c>
      <c r="AD1211" s="1">
        <v>78</v>
      </c>
      <c r="AE1211" s="2">
        <v>46326</v>
      </c>
      <c r="AF1211" s="2">
        <v>46334</v>
      </c>
      <c r="AG1211" s="2">
        <v>46341</v>
      </c>
      <c r="AH1211">
        <v>2000</v>
      </c>
      <c r="AI1211" s="3">
        <v>0.4137931034482758</v>
      </c>
      <c r="AJ1211" s="1">
        <v>188</v>
      </c>
      <c r="AK1211" s="2">
        <v>46451</v>
      </c>
      <c r="AL1211" s="4">
        <v>30</v>
      </c>
      <c r="AM1211" s="5">
        <v>15</v>
      </c>
      <c r="AN1211" s="4">
        <v>78</v>
      </c>
      <c r="AO1211">
        <v>2068.9655172413791</v>
      </c>
      <c r="AP1211" s="4">
        <v>1</v>
      </c>
      <c r="AQ1211" t="s">
        <v>1619</v>
      </c>
      <c r="AR1211" t="s">
        <v>1620</v>
      </c>
      <c r="AT1211" s="16" t="str">
        <f>_xlfn.XLOOKUP(B1211,'SWiSH Demand Forecast Sep-26'!D:D,'SWiSH Demand Forecast Sep-26'!G:G,"Not Exist")</f>
        <v>Not Exist</v>
      </c>
    </row>
    <row r="1212" spans="1:46" x14ac:dyDescent="0.3">
      <c r="A1212">
        <v>100400007</v>
      </c>
      <c r="B1212" t="s">
        <v>3084</v>
      </c>
      <c r="C1212" t="s">
        <v>10</v>
      </c>
      <c r="D1212" t="s">
        <v>1613</v>
      </c>
      <c r="E1212" t="s">
        <v>1638</v>
      </c>
      <c r="F1212" t="s">
        <v>1664</v>
      </c>
      <c r="G1212" t="s">
        <v>1624</v>
      </c>
      <c r="H1212" t="s">
        <v>1810</v>
      </c>
      <c r="I1212" t="s">
        <v>1634</v>
      </c>
      <c r="J1212" t="s">
        <v>10</v>
      </c>
      <c r="K1212">
        <v>0.05</v>
      </c>
      <c r="L1212">
        <v>1045</v>
      </c>
      <c r="M1212" s="1">
        <v>30</v>
      </c>
      <c r="N1212">
        <v>0</v>
      </c>
      <c r="O1212">
        <v>0</v>
      </c>
      <c r="P1212">
        <v>20900</v>
      </c>
      <c r="Q1212" s="1">
        <v>20900</v>
      </c>
      <c r="R1212">
        <v>0.05</v>
      </c>
      <c r="S1212" s="2">
        <v>46238</v>
      </c>
      <c r="T1212" s="2">
        <v>46260</v>
      </c>
      <c r="U1212">
        <v>8000</v>
      </c>
      <c r="V1212">
        <v>3700</v>
      </c>
      <c r="W1212">
        <v>3200</v>
      </c>
      <c r="X1212">
        <v>7800</v>
      </c>
      <c r="Y1212">
        <v>3200</v>
      </c>
      <c r="Z1212" s="8">
        <v>8000</v>
      </c>
      <c r="AA1212">
        <v>5675</v>
      </c>
      <c r="AB1212">
        <v>0.56387665198237891</v>
      </c>
      <c r="AC1212">
        <v>1.4096916299559472</v>
      </c>
      <c r="AD1212" s="1">
        <v>78</v>
      </c>
      <c r="AE1212" s="2">
        <v>46326</v>
      </c>
      <c r="AF1212" s="2">
        <v>46334</v>
      </c>
      <c r="AG1212" s="2">
        <v>46341</v>
      </c>
      <c r="AH1212">
        <v>2800</v>
      </c>
      <c r="AI1212" s="3">
        <v>0.36206896551724138</v>
      </c>
      <c r="AJ1212" s="1">
        <v>216</v>
      </c>
      <c r="AK1212" s="2">
        <v>46479</v>
      </c>
      <c r="AL1212" s="4">
        <v>30</v>
      </c>
      <c r="AM1212" s="5">
        <v>15</v>
      </c>
      <c r="AN1212" s="4">
        <v>78</v>
      </c>
      <c r="AO1212">
        <v>2896.5517241379312</v>
      </c>
      <c r="AP1212" s="4">
        <v>1</v>
      </c>
      <c r="AQ1212">
        <v>30000</v>
      </c>
      <c r="AR1212" t="s">
        <v>2076</v>
      </c>
      <c r="AT1212" s="16" t="str">
        <f>_xlfn.XLOOKUP(B1212,'SWiSH Demand Forecast Sep-26'!D:D,'SWiSH Demand Forecast Sep-26'!G:G,"Not Exist")</f>
        <v>Not Exist</v>
      </c>
    </row>
    <row r="1213" spans="1:46" hidden="1" x14ac:dyDescent="0.3">
      <c r="A1213">
        <v>106300070</v>
      </c>
      <c r="B1213" t="s">
        <v>1355</v>
      </c>
      <c r="C1213" t="s">
        <v>136</v>
      </c>
      <c r="D1213" t="s">
        <v>1613</v>
      </c>
      <c r="E1213" t="s">
        <v>1732</v>
      </c>
      <c r="F1213" t="s">
        <v>1927</v>
      </c>
      <c r="G1213" t="s">
        <v>1616</v>
      </c>
      <c r="H1213" t="s">
        <v>1860</v>
      </c>
      <c r="I1213" t="s">
        <v>1618</v>
      </c>
      <c r="J1213" t="s">
        <v>136</v>
      </c>
      <c r="K1213">
        <v>0.6875</v>
      </c>
      <c r="L1213">
        <v>178.75</v>
      </c>
      <c r="M1213" s="1">
        <v>3</v>
      </c>
      <c r="N1213">
        <v>0</v>
      </c>
      <c r="O1213">
        <v>0</v>
      </c>
      <c r="P1213">
        <v>260</v>
      </c>
      <c r="Q1213" s="1">
        <v>260</v>
      </c>
      <c r="R1213">
        <v>3.4375</v>
      </c>
      <c r="S1213" s="2">
        <v>46174</v>
      </c>
      <c r="T1213" s="2">
        <v>46261</v>
      </c>
      <c r="U1213">
        <v>80</v>
      </c>
      <c r="V1213">
        <v>80</v>
      </c>
      <c r="W1213">
        <v>80</v>
      </c>
      <c r="X1213">
        <v>100</v>
      </c>
      <c r="Y1213">
        <v>80</v>
      </c>
      <c r="Z1213" s="8">
        <v>100</v>
      </c>
      <c r="AA1213">
        <v>85</v>
      </c>
      <c r="AB1213">
        <v>0.94117647058823528</v>
      </c>
      <c r="AC1213">
        <v>1.1764705882352942</v>
      </c>
      <c r="AD1213" s="1">
        <v>78</v>
      </c>
      <c r="AE1213" s="2">
        <v>46326</v>
      </c>
      <c r="AF1213" s="2">
        <v>46334</v>
      </c>
      <c r="AG1213" s="2">
        <v>46341</v>
      </c>
      <c r="AH1213">
        <v>20</v>
      </c>
      <c r="AI1213" s="3">
        <v>0.20689655172413793</v>
      </c>
      <c r="AJ1213" s="1">
        <v>377</v>
      </c>
      <c r="AK1213" s="2">
        <v>46640</v>
      </c>
      <c r="AL1213" s="4">
        <v>30</v>
      </c>
      <c r="AM1213" s="5">
        <v>15</v>
      </c>
      <c r="AN1213" s="4">
        <v>78</v>
      </c>
      <c r="AO1213">
        <v>20.689655172413794</v>
      </c>
      <c r="AP1213" s="4">
        <v>1</v>
      </c>
      <c r="AQ1213" t="s">
        <v>1619</v>
      </c>
      <c r="AR1213" t="s">
        <v>1620</v>
      </c>
      <c r="AT1213" s="16">
        <f>_xlfn.XLOOKUP(B1213,'SWiSH Demand Forecast Sep-26'!D:D,'SWiSH Demand Forecast Sep-26'!G:G,"Not Exist")</f>
        <v>22.466666666666601</v>
      </c>
    </row>
    <row r="1214" spans="1:46" hidden="1" x14ac:dyDescent="0.3">
      <c r="A1214">
        <v>101600045</v>
      </c>
      <c r="B1214" t="s">
        <v>421</v>
      </c>
      <c r="C1214" t="s">
        <v>10</v>
      </c>
      <c r="D1214" t="s">
        <v>1613</v>
      </c>
      <c r="E1214" t="s">
        <v>1663</v>
      </c>
      <c r="F1214" t="s">
        <v>1631</v>
      </c>
      <c r="G1214" t="s">
        <v>1624</v>
      </c>
      <c r="H1214" t="s">
        <v>1768</v>
      </c>
      <c r="I1214" t="s">
        <v>1634</v>
      </c>
      <c r="J1214" t="s">
        <v>3085</v>
      </c>
      <c r="K1214">
        <v>3.3333330000000001E-2</v>
      </c>
      <c r="L1214">
        <v>489.99995100000001</v>
      </c>
      <c r="M1214" s="1">
        <v>7</v>
      </c>
      <c r="N1214">
        <v>0</v>
      </c>
      <c r="O1214">
        <v>0</v>
      </c>
      <c r="P1214">
        <v>14700</v>
      </c>
      <c r="Q1214" s="1">
        <v>14700</v>
      </c>
      <c r="R1214">
        <v>6</v>
      </c>
      <c r="S1214" s="2">
        <v>46203</v>
      </c>
      <c r="T1214" s="2">
        <v>46263</v>
      </c>
      <c r="U1214">
        <v>4200</v>
      </c>
      <c r="V1214">
        <v>5550</v>
      </c>
      <c r="W1214">
        <v>5100</v>
      </c>
      <c r="X1214">
        <v>4200</v>
      </c>
      <c r="Y1214">
        <v>4200</v>
      </c>
      <c r="Z1214" s="8">
        <v>5550</v>
      </c>
      <c r="AA1214">
        <v>4762.5</v>
      </c>
      <c r="AB1214">
        <v>0.88188976377952755</v>
      </c>
      <c r="AC1214">
        <v>1.1653543307086613</v>
      </c>
      <c r="AD1214" s="1">
        <v>79</v>
      </c>
      <c r="AE1214" s="2">
        <v>46327</v>
      </c>
      <c r="AF1214" s="2">
        <v>46335</v>
      </c>
      <c r="AG1214" s="2">
        <v>46342</v>
      </c>
      <c r="AH1214">
        <v>4650</v>
      </c>
      <c r="AI1214" s="3">
        <v>0.86672879776328049</v>
      </c>
      <c r="AJ1214" s="1">
        <v>91</v>
      </c>
      <c r="AK1214" s="2">
        <v>46354</v>
      </c>
      <c r="AL1214" s="4">
        <v>10</v>
      </c>
      <c r="AM1214" s="5">
        <v>10</v>
      </c>
      <c r="AN1214" s="4">
        <v>79</v>
      </c>
      <c r="AO1214">
        <v>1603.4482758620688</v>
      </c>
      <c r="AP1214" s="4">
        <v>3</v>
      </c>
      <c r="AQ1214" t="s">
        <v>1619</v>
      </c>
      <c r="AR1214" t="s">
        <v>1620</v>
      </c>
      <c r="AT1214" s="16">
        <f>_xlfn.XLOOKUP(B1214,'SWiSH Demand Forecast Sep-26'!D:D,'SWiSH Demand Forecast Sep-26'!G:G,"Not Exist")</f>
        <v>2405</v>
      </c>
    </row>
    <row r="1215" spans="1:46" hidden="1" x14ac:dyDescent="0.3">
      <c r="A1215">
        <v>103100008</v>
      </c>
      <c r="B1215" t="s">
        <v>935</v>
      </c>
      <c r="C1215" t="s">
        <v>10</v>
      </c>
      <c r="D1215" t="s">
        <v>1613</v>
      </c>
      <c r="E1215" t="s">
        <v>2313</v>
      </c>
      <c r="F1215" t="s">
        <v>1752</v>
      </c>
      <c r="G1215" t="s">
        <v>1616</v>
      </c>
      <c r="H1215" t="s">
        <v>1869</v>
      </c>
      <c r="I1215" t="s">
        <v>1754</v>
      </c>
      <c r="J1215" t="s">
        <v>10</v>
      </c>
      <c r="K1215">
        <v>7.8888890000000003E-2</v>
      </c>
      <c r="L1215">
        <v>205.9000029</v>
      </c>
      <c r="M1215" s="1">
        <v>3</v>
      </c>
      <c r="N1215">
        <v>0</v>
      </c>
      <c r="O1215">
        <v>0</v>
      </c>
      <c r="P1215">
        <v>2610</v>
      </c>
      <c r="Q1215" s="1">
        <v>2610</v>
      </c>
      <c r="R1215">
        <v>7.1</v>
      </c>
      <c r="S1215" s="2">
        <v>46257</v>
      </c>
      <c r="T1215" s="2">
        <v>46263</v>
      </c>
      <c r="U1215">
        <v>906</v>
      </c>
      <c r="V1215">
        <v>990</v>
      </c>
      <c r="W1215">
        <v>990</v>
      </c>
      <c r="X1215">
        <v>900</v>
      </c>
      <c r="Y1215">
        <v>900</v>
      </c>
      <c r="Z1215" s="8">
        <v>990</v>
      </c>
      <c r="AA1215">
        <v>946.5</v>
      </c>
      <c r="AB1215">
        <v>0.95087163232963545</v>
      </c>
      <c r="AC1215">
        <v>1.0459587955625991</v>
      </c>
      <c r="AD1215" s="1">
        <v>79</v>
      </c>
      <c r="AE1215" s="2">
        <v>46327</v>
      </c>
      <c r="AF1215" s="2">
        <v>46335</v>
      </c>
      <c r="AG1215" s="2">
        <v>46342</v>
      </c>
      <c r="AH1215">
        <v>2250</v>
      </c>
      <c r="AI1215" s="3">
        <v>2.3510971786833856</v>
      </c>
      <c r="AJ1215" s="1">
        <v>33</v>
      </c>
      <c r="AK1215" s="2">
        <v>46296</v>
      </c>
      <c r="AL1215" s="4">
        <v>30</v>
      </c>
      <c r="AM1215" s="5">
        <v>15</v>
      </c>
      <c r="AN1215" s="4">
        <v>33</v>
      </c>
      <c r="AO1215">
        <v>2327.5862068965516</v>
      </c>
      <c r="AP1215" s="4">
        <v>1</v>
      </c>
      <c r="AQ1215">
        <v>1</v>
      </c>
      <c r="AR1215" t="s">
        <v>1849</v>
      </c>
      <c r="AT1215" s="16">
        <f>_xlfn.XLOOKUP(B1215,'SWiSH Demand Forecast Sep-26'!D:D,'SWiSH Demand Forecast Sep-26'!G:G,"Not Exist")</f>
        <v>211</v>
      </c>
    </row>
    <row r="1216" spans="1:46" x14ac:dyDescent="0.3">
      <c r="A1216">
        <v>100700002</v>
      </c>
      <c r="B1216" t="s">
        <v>3086</v>
      </c>
      <c r="C1216" t="s">
        <v>136</v>
      </c>
      <c r="D1216" t="s">
        <v>1699</v>
      </c>
      <c r="E1216" t="s">
        <v>1677</v>
      </c>
      <c r="F1216" t="s">
        <v>1875</v>
      </c>
      <c r="G1216" t="s">
        <v>1616</v>
      </c>
      <c r="H1216" t="s">
        <v>1867</v>
      </c>
      <c r="I1216" t="s">
        <v>1618</v>
      </c>
      <c r="J1216" t="s">
        <v>3087</v>
      </c>
      <c r="K1216">
        <v>3.0077437300000001</v>
      </c>
      <c r="L1216">
        <v>164.00625010944</v>
      </c>
      <c r="M1216" s="1">
        <v>3</v>
      </c>
      <c r="N1216">
        <v>0</v>
      </c>
      <c r="O1216">
        <v>0</v>
      </c>
      <c r="P1216">
        <v>54.527999999999999</v>
      </c>
      <c r="Q1216" s="1">
        <v>54.527999999999999</v>
      </c>
      <c r="R1216">
        <v>20.5</v>
      </c>
      <c r="S1216" s="2">
        <v>46135</v>
      </c>
      <c r="T1216" s="2">
        <v>46114</v>
      </c>
      <c r="U1216">
        <v>20.448</v>
      </c>
      <c r="V1216">
        <v>0</v>
      </c>
      <c r="W1216">
        <v>0</v>
      </c>
      <c r="X1216">
        <v>0</v>
      </c>
      <c r="Y1216">
        <v>0</v>
      </c>
      <c r="Z1216" s="8">
        <v>20.448</v>
      </c>
      <c r="AA1216">
        <v>5.1120000000000001</v>
      </c>
      <c r="AB1216">
        <v>0</v>
      </c>
      <c r="AC1216">
        <v>4</v>
      </c>
      <c r="AD1216" s="1">
        <v>80</v>
      </c>
      <c r="AE1216" s="2">
        <v>46328</v>
      </c>
      <c r="AF1216" s="2">
        <v>46336</v>
      </c>
      <c r="AG1216" s="2">
        <v>46343</v>
      </c>
      <c r="AH1216">
        <v>0</v>
      </c>
      <c r="AI1216" s="3">
        <v>0</v>
      </c>
      <c r="AJ1216" s="1" t="s">
        <v>1635</v>
      </c>
      <c r="AK1216" s="2" t="s">
        <v>1635</v>
      </c>
      <c r="AL1216" s="4" t="s">
        <v>1658</v>
      </c>
      <c r="AM1216" s="5" t="s">
        <v>1658</v>
      </c>
      <c r="AN1216" s="4">
        <v>80</v>
      </c>
      <c r="AO1216" t="s">
        <v>1635</v>
      </c>
      <c r="AP1216" s="4" t="s">
        <v>1658</v>
      </c>
      <c r="AQ1216" t="s">
        <v>1619</v>
      </c>
      <c r="AR1216" t="s">
        <v>1620</v>
      </c>
      <c r="AT1216" s="16" t="str">
        <f>_xlfn.XLOOKUP(B1216,'SWiSH Demand Forecast Sep-26'!D:D,'SWiSH Demand Forecast Sep-26'!G:G,"Not Exist")</f>
        <v>Not Exist</v>
      </c>
    </row>
    <row r="1217" spans="1:46" x14ac:dyDescent="0.3">
      <c r="A1217">
        <v>106600058</v>
      </c>
      <c r="B1217" t="s">
        <v>3088</v>
      </c>
      <c r="C1217" t="s">
        <v>10</v>
      </c>
      <c r="D1217" t="s">
        <v>1613</v>
      </c>
      <c r="E1217" t="s">
        <v>1685</v>
      </c>
      <c r="F1217" t="s">
        <v>1664</v>
      </c>
      <c r="G1217" t="s">
        <v>1624</v>
      </c>
      <c r="H1217" t="s">
        <v>1723</v>
      </c>
      <c r="I1217" t="s">
        <v>1634</v>
      </c>
      <c r="J1217" t="s">
        <v>10</v>
      </c>
      <c r="K1217">
        <v>1.0999999999999999E-2</v>
      </c>
      <c r="L1217">
        <v>38.5</v>
      </c>
      <c r="M1217" s="1">
        <v>15</v>
      </c>
      <c r="N1217">
        <v>0</v>
      </c>
      <c r="O1217">
        <v>0</v>
      </c>
      <c r="P1217">
        <v>3500</v>
      </c>
      <c r="Q1217" s="1">
        <v>3500</v>
      </c>
      <c r="R1217">
        <v>1.0999999999999999E-2</v>
      </c>
      <c r="S1217" s="2">
        <v>46099</v>
      </c>
      <c r="T1217" s="2">
        <v>46212</v>
      </c>
      <c r="U1217">
        <v>1000</v>
      </c>
      <c r="V1217">
        <v>900</v>
      </c>
      <c r="W1217">
        <v>1300</v>
      </c>
      <c r="X1217">
        <v>400</v>
      </c>
      <c r="Y1217">
        <v>400</v>
      </c>
      <c r="Z1217" s="8">
        <v>1300</v>
      </c>
      <c r="AA1217">
        <v>900</v>
      </c>
      <c r="AB1217">
        <v>0.44444444444444442</v>
      </c>
      <c r="AC1217">
        <v>1.4444444444444444</v>
      </c>
      <c r="AD1217" s="1">
        <v>80</v>
      </c>
      <c r="AE1217" s="2">
        <v>46328</v>
      </c>
      <c r="AF1217" s="2">
        <v>46336</v>
      </c>
      <c r="AG1217" s="2">
        <v>46343</v>
      </c>
      <c r="AH1217">
        <v>0</v>
      </c>
      <c r="AI1217" s="3">
        <v>0</v>
      </c>
      <c r="AJ1217" s="1" t="s">
        <v>1635</v>
      </c>
      <c r="AK1217" s="2" t="s">
        <v>1635</v>
      </c>
      <c r="AL1217" s="4">
        <v>30</v>
      </c>
      <c r="AM1217" s="5">
        <v>15</v>
      </c>
      <c r="AN1217" s="4">
        <v>80</v>
      </c>
      <c r="AO1217">
        <v>0</v>
      </c>
      <c r="AP1217" s="4">
        <v>1</v>
      </c>
      <c r="AQ1217" t="s">
        <v>1619</v>
      </c>
      <c r="AR1217" t="s">
        <v>1620</v>
      </c>
      <c r="AT1217" s="16" t="str">
        <f>_xlfn.XLOOKUP(B1217,'SWiSH Demand Forecast Sep-26'!D:D,'SWiSH Demand Forecast Sep-26'!G:G,"Not Exist")</f>
        <v>Not Exist</v>
      </c>
    </row>
    <row r="1218" spans="1:46" hidden="1" x14ac:dyDescent="0.3">
      <c r="A1218">
        <v>106800186</v>
      </c>
      <c r="B1218" t="s">
        <v>313</v>
      </c>
      <c r="C1218" t="s">
        <v>10</v>
      </c>
      <c r="D1218" t="s">
        <v>1613</v>
      </c>
      <c r="E1218" t="s">
        <v>1638</v>
      </c>
      <c r="F1218" t="s">
        <v>1664</v>
      </c>
      <c r="G1218" t="s">
        <v>1624</v>
      </c>
      <c r="H1218" t="s">
        <v>1665</v>
      </c>
      <c r="I1218" t="s">
        <v>1634</v>
      </c>
      <c r="J1218" t="s">
        <v>10</v>
      </c>
      <c r="K1218">
        <v>3.0000000000000001E-3</v>
      </c>
      <c r="L1218">
        <v>240</v>
      </c>
      <c r="M1218" s="1">
        <v>7</v>
      </c>
      <c r="N1218">
        <v>0</v>
      </c>
      <c r="O1218">
        <v>0</v>
      </c>
      <c r="P1218">
        <v>80000</v>
      </c>
      <c r="Q1218" s="1">
        <v>80000</v>
      </c>
      <c r="R1218">
        <v>3.0000000000000001E-3</v>
      </c>
      <c r="S1218" s="2">
        <v>46179</v>
      </c>
      <c r="T1218" s="2">
        <v>46256</v>
      </c>
      <c r="U1218">
        <v>30000</v>
      </c>
      <c r="V1218">
        <v>17500</v>
      </c>
      <c r="W1218">
        <v>15000</v>
      </c>
      <c r="X1218">
        <v>15000</v>
      </c>
      <c r="Y1218">
        <v>15000</v>
      </c>
      <c r="Z1218" s="8">
        <v>30000</v>
      </c>
      <c r="AA1218">
        <v>19375</v>
      </c>
      <c r="AB1218">
        <v>0.77419354838709675</v>
      </c>
      <c r="AC1218">
        <v>1.5483870967741935</v>
      </c>
      <c r="AD1218" s="1">
        <v>80</v>
      </c>
      <c r="AE1218" s="2">
        <v>46328</v>
      </c>
      <c r="AF1218" s="2">
        <v>46336</v>
      </c>
      <c r="AG1218" s="2">
        <v>46343</v>
      </c>
      <c r="AH1218">
        <v>10000</v>
      </c>
      <c r="AI1218" s="3">
        <v>0.34482758620689657</v>
      </c>
      <c r="AJ1218" s="1">
        <v>232</v>
      </c>
      <c r="AK1218" s="2">
        <v>46495</v>
      </c>
      <c r="AL1218" s="4">
        <v>30</v>
      </c>
      <c r="AM1218" s="5">
        <v>15</v>
      </c>
      <c r="AN1218" s="4">
        <v>80</v>
      </c>
      <c r="AO1218">
        <v>10344.827586206897</v>
      </c>
      <c r="AP1218" s="4">
        <v>1</v>
      </c>
      <c r="AQ1218" t="s">
        <v>1619</v>
      </c>
      <c r="AR1218" t="s">
        <v>1620</v>
      </c>
      <c r="AT1218" s="16">
        <f>_xlfn.XLOOKUP(B1218,'SWiSH Demand Forecast Sep-26'!D:D,'SWiSH Demand Forecast Sep-26'!G:G,"Not Exist")</f>
        <v>4478</v>
      </c>
    </row>
    <row r="1219" spans="1:46" x14ac:dyDescent="0.3">
      <c r="A1219">
        <v>103800013</v>
      </c>
      <c r="B1219" t="s">
        <v>3089</v>
      </c>
      <c r="C1219" t="s">
        <v>136</v>
      </c>
      <c r="D1219" t="s">
        <v>1613</v>
      </c>
      <c r="E1219" t="s">
        <v>1832</v>
      </c>
      <c r="F1219" t="s">
        <v>1615</v>
      </c>
      <c r="G1219" t="s">
        <v>1616</v>
      </c>
      <c r="H1219" t="s">
        <v>1822</v>
      </c>
      <c r="I1219" t="s">
        <v>1618</v>
      </c>
      <c r="J1219" t="s">
        <v>136</v>
      </c>
      <c r="K1219">
        <v>1.25</v>
      </c>
      <c r="L1219">
        <v>10</v>
      </c>
      <c r="M1219" s="1">
        <v>3</v>
      </c>
      <c r="N1219">
        <v>0</v>
      </c>
      <c r="O1219">
        <v>0</v>
      </c>
      <c r="P1219">
        <v>8</v>
      </c>
      <c r="Q1219" s="1">
        <v>8</v>
      </c>
      <c r="R1219">
        <v>1.25</v>
      </c>
      <c r="S1219" s="2">
        <v>46134</v>
      </c>
      <c r="T1219" s="2">
        <v>46226</v>
      </c>
      <c r="U1219">
        <v>1</v>
      </c>
      <c r="V1219">
        <v>3</v>
      </c>
      <c r="W1219">
        <v>2</v>
      </c>
      <c r="X1219">
        <v>2</v>
      </c>
      <c r="Y1219">
        <v>1</v>
      </c>
      <c r="Z1219" s="8">
        <v>3</v>
      </c>
      <c r="AA1219">
        <v>2</v>
      </c>
      <c r="AB1219">
        <v>0.5</v>
      </c>
      <c r="AC1219">
        <v>1.5</v>
      </c>
      <c r="AD1219" s="1">
        <v>80</v>
      </c>
      <c r="AE1219" s="2">
        <v>46328</v>
      </c>
      <c r="AF1219" s="2">
        <v>46336</v>
      </c>
      <c r="AG1219" s="2">
        <v>46343</v>
      </c>
      <c r="AH1219">
        <v>0</v>
      </c>
      <c r="AI1219" s="3">
        <v>0</v>
      </c>
      <c r="AJ1219" s="1" t="s">
        <v>1635</v>
      </c>
      <c r="AK1219" s="2" t="s">
        <v>1635</v>
      </c>
      <c r="AL1219" s="4">
        <v>30</v>
      </c>
      <c r="AM1219" s="5">
        <v>15</v>
      </c>
      <c r="AN1219" s="4">
        <v>80</v>
      </c>
      <c r="AO1219">
        <v>0</v>
      </c>
      <c r="AP1219" s="4">
        <v>1</v>
      </c>
      <c r="AQ1219" t="s">
        <v>1619</v>
      </c>
      <c r="AR1219" t="s">
        <v>1620</v>
      </c>
      <c r="AT1219" s="16" t="str">
        <f>_xlfn.XLOOKUP(B1219,'SWiSH Demand Forecast Sep-26'!D:D,'SWiSH Demand Forecast Sep-26'!G:G,"Not Exist")</f>
        <v>Not Exist</v>
      </c>
    </row>
    <row r="1220" spans="1:46" x14ac:dyDescent="0.3">
      <c r="A1220">
        <v>106700083</v>
      </c>
      <c r="B1220" t="s">
        <v>3090</v>
      </c>
      <c r="C1220" t="s">
        <v>10</v>
      </c>
      <c r="D1220" t="s">
        <v>1613</v>
      </c>
      <c r="E1220" t="s">
        <v>1685</v>
      </c>
      <c r="F1220" t="s">
        <v>1650</v>
      </c>
      <c r="G1220" t="s">
        <v>1624</v>
      </c>
      <c r="H1220" t="s">
        <v>1651</v>
      </c>
      <c r="I1220" t="s">
        <v>1634</v>
      </c>
      <c r="J1220" t="s">
        <v>10</v>
      </c>
      <c r="K1220">
        <v>0.15</v>
      </c>
      <c r="L1220">
        <v>4.5</v>
      </c>
      <c r="M1220" s="1">
        <v>3</v>
      </c>
      <c r="N1220">
        <v>0</v>
      </c>
      <c r="O1220">
        <v>0</v>
      </c>
      <c r="P1220">
        <v>30</v>
      </c>
      <c r="Q1220" s="1">
        <v>30</v>
      </c>
      <c r="R1220">
        <v>0.15</v>
      </c>
      <c r="S1220" s="2">
        <v>46189</v>
      </c>
      <c r="T1220" s="2">
        <v>46160</v>
      </c>
      <c r="U1220">
        <v>8</v>
      </c>
      <c r="V1220">
        <v>11</v>
      </c>
      <c r="W1220">
        <v>0</v>
      </c>
      <c r="X1220">
        <v>0</v>
      </c>
      <c r="Y1220">
        <v>0</v>
      </c>
      <c r="Z1220" s="8">
        <v>11</v>
      </c>
      <c r="AA1220">
        <v>4.75</v>
      </c>
      <c r="AB1220">
        <v>0</v>
      </c>
      <c r="AC1220">
        <v>2.3157894736842106</v>
      </c>
      <c r="AD1220" s="1">
        <v>81</v>
      </c>
      <c r="AE1220" s="2">
        <v>46329</v>
      </c>
      <c r="AF1220" s="2">
        <v>46337</v>
      </c>
      <c r="AG1220" s="2">
        <v>46344</v>
      </c>
      <c r="AH1220">
        <v>0</v>
      </c>
      <c r="AI1220" s="3">
        <v>0</v>
      </c>
      <c r="AJ1220" s="1" t="s">
        <v>1635</v>
      </c>
      <c r="AK1220" s="2" t="s">
        <v>1635</v>
      </c>
      <c r="AL1220" s="4">
        <v>30</v>
      </c>
      <c r="AM1220" s="5">
        <v>15</v>
      </c>
      <c r="AN1220" s="4">
        <v>81</v>
      </c>
      <c r="AO1220">
        <v>0</v>
      </c>
      <c r="AP1220" s="4">
        <v>1</v>
      </c>
      <c r="AQ1220" t="s">
        <v>1619</v>
      </c>
      <c r="AR1220" t="s">
        <v>1620</v>
      </c>
      <c r="AT1220" s="16" t="str">
        <f>_xlfn.XLOOKUP(B1220,'SWiSH Demand Forecast Sep-26'!D:D,'SWiSH Demand Forecast Sep-26'!G:G,"Not Exist")</f>
        <v>Not Exist</v>
      </c>
    </row>
    <row r="1221" spans="1:46" x14ac:dyDescent="0.3">
      <c r="A1221">
        <v>104900010</v>
      </c>
      <c r="B1221" t="s">
        <v>3091</v>
      </c>
      <c r="C1221" t="s">
        <v>10</v>
      </c>
      <c r="D1221" t="s">
        <v>1613</v>
      </c>
      <c r="E1221" t="s">
        <v>1655</v>
      </c>
      <c r="F1221" t="s">
        <v>1664</v>
      </c>
      <c r="G1221" t="s">
        <v>1624</v>
      </c>
      <c r="H1221" t="s">
        <v>1759</v>
      </c>
      <c r="I1221" t="s">
        <v>1634</v>
      </c>
      <c r="J1221" t="s">
        <v>2113</v>
      </c>
      <c r="K1221">
        <v>8.5651600000000005E-3</v>
      </c>
      <c r="L1221">
        <v>162.73804000000001</v>
      </c>
      <c r="M1221" s="1">
        <v>3</v>
      </c>
      <c r="N1221">
        <v>0</v>
      </c>
      <c r="O1221">
        <v>0</v>
      </c>
      <c r="P1221">
        <v>19000</v>
      </c>
      <c r="Q1221" s="1">
        <v>19000</v>
      </c>
      <c r="R1221">
        <v>8.6</v>
      </c>
      <c r="S1221" s="2">
        <v>46179</v>
      </c>
      <c r="T1221" s="2">
        <v>46239</v>
      </c>
      <c r="U1221">
        <v>4000</v>
      </c>
      <c r="V1221">
        <v>2000</v>
      </c>
      <c r="W1221">
        <v>7000</v>
      </c>
      <c r="X1221">
        <v>0</v>
      </c>
      <c r="Y1221">
        <v>0</v>
      </c>
      <c r="Z1221" s="8">
        <v>7000</v>
      </c>
      <c r="AA1221">
        <v>3250</v>
      </c>
      <c r="AB1221">
        <v>0</v>
      </c>
      <c r="AC1221">
        <v>2.1538461538461537</v>
      </c>
      <c r="AD1221" s="1">
        <v>81</v>
      </c>
      <c r="AE1221" s="2">
        <v>46329</v>
      </c>
      <c r="AF1221" s="2">
        <v>46337</v>
      </c>
      <c r="AG1221" s="2">
        <v>46344</v>
      </c>
      <c r="AH1221">
        <v>1000</v>
      </c>
      <c r="AI1221" s="3">
        <v>0.14778325123152708</v>
      </c>
      <c r="AJ1221" s="1">
        <v>551</v>
      </c>
      <c r="AK1221" s="2">
        <v>46814</v>
      </c>
      <c r="AL1221" s="4">
        <v>30</v>
      </c>
      <c r="AM1221" s="5">
        <v>15</v>
      </c>
      <c r="AN1221" s="4">
        <v>81</v>
      </c>
      <c r="AO1221">
        <v>1034.4827586206895</v>
      </c>
      <c r="AP1221" s="4">
        <v>1</v>
      </c>
      <c r="AQ1221" t="s">
        <v>1619</v>
      </c>
      <c r="AR1221" t="s">
        <v>1620</v>
      </c>
      <c r="AT1221" s="16" t="str">
        <f>_xlfn.XLOOKUP(B1221,'SWiSH Demand Forecast Sep-26'!D:D,'SWiSH Demand Forecast Sep-26'!G:G,"Not Exist")</f>
        <v>Not Exist</v>
      </c>
    </row>
    <row r="1222" spans="1:46" x14ac:dyDescent="0.3">
      <c r="A1222">
        <v>105600036</v>
      </c>
      <c r="B1222" t="s">
        <v>3092</v>
      </c>
      <c r="C1222" t="s">
        <v>136</v>
      </c>
      <c r="D1222" t="s">
        <v>1613</v>
      </c>
      <c r="E1222" t="s">
        <v>1677</v>
      </c>
      <c r="F1222" t="s">
        <v>1631</v>
      </c>
      <c r="G1222" t="s">
        <v>1624</v>
      </c>
      <c r="H1222" t="s">
        <v>1679</v>
      </c>
      <c r="I1222" t="s">
        <v>1634</v>
      </c>
      <c r="J1222" t="s">
        <v>136</v>
      </c>
      <c r="K1222">
        <v>2</v>
      </c>
      <c r="L1222">
        <v>54</v>
      </c>
      <c r="M1222" s="1">
        <v>30</v>
      </c>
      <c r="N1222">
        <v>0</v>
      </c>
      <c r="O1222">
        <v>0</v>
      </c>
      <c r="P1222">
        <v>27</v>
      </c>
      <c r="Q1222" s="1">
        <v>27</v>
      </c>
      <c r="R1222">
        <v>2</v>
      </c>
      <c r="S1222" s="2">
        <v>46167</v>
      </c>
      <c r="T1222" s="2">
        <v>46240</v>
      </c>
      <c r="U1222">
        <v>10</v>
      </c>
      <c r="V1222">
        <v>0</v>
      </c>
      <c r="W1222">
        <v>10</v>
      </c>
      <c r="X1222">
        <v>0</v>
      </c>
      <c r="Y1222">
        <v>0</v>
      </c>
      <c r="Z1222" s="8">
        <v>10</v>
      </c>
      <c r="AA1222">
        <v>5</v>
      </c>
      <c r="AB1222">
        <v>0</v>
      </c>
      <c r="AC1222">
        <v>2</v>
      </c>
      <c r="AD1222" s="1">
        <v>81</v>
      </c>
      <c r="AE1222" s="2">
        <v>46329</v>
      </c>
      <c r="AF1222" s="2">
        <v>46337</v>
      </c>
      <c r="AG1222" s="2">
        <v>46344</v>
      </c>
      <c r="AH1222">
        <v>20</v>
      </c>
      <c r="AI1222" s="3">
        <v>2.0689655172413794</v>
      </c>
      <c r="AJ1222" s="1">
        <v>39</v>
      </c>
      <c r="AK1222" s="2">
        <v>46302</v>
      </c>
      <c r="AL1222" s="4">
        <v>30</v>
      </c>
      <c r="AM1222" s="5">
        <v>15</v>
      </c>
      <c r="AN1222" s="4">
        <v>39</v>
      </c>
      <c r="AO1222">
        <v>20.689655172413794</v>
      </c>
      <c r="AP1222" s="4">
        <v>1</v>
      </c>
      <c r="AQ1222" t="s">
        <v>1619</v>
      </c>
      <c r="AR1222" t="s">
        <v>1620</v>
      </c>
      <c r="AT1222" s="16" t="str">
        <f>_xlfn.XLOOKUP(B1222,'SWiSH Demand Forecast Sep-26'!D:D,'SWiSH Demand Forecast Sep-26'!G:G,"Not Exist")</f>
        <v>Not Exist</v>
      </c>
    </row>
    <row r="1223" spans="1:46" x14ac:dyDescent="0.3">
      <c r="A1223">
        <v>106200106</v>
      </c>
      <c r="B1223" t="s">
        <v>3093</v>
      </c>
      <c r="C1223" t="s">
        <v>240</v>
      </c>
      <c r="D1223" t="s">
        <v>1613</v>
      </c>
      <c r="E1223" t="s">
        <v>2111</v>
      </c>
      <c r="F1223" t="s">
        <v>1671</v>
      </c>
      <c r="G1223" t="s">
        <v>1616</v>
      </c>
      <c r="H1223" t="s">
        <v>1672</v>
      </c>
      <c r="I1223" t="s">
        <v>1618</v>
      </c>
      <c r="J1223" t="s">
        <v>3094</v>
      </c>
      <c r="K1223">
        <v>3.1666666700000001</v>
      </c>
      <c r="L1223">
        <v>76.950000080999999</v>
      </c>
      <c r="M1223" s="1">
        <v>3</v>
      </c>
      <c r="N1223">
        <v>0</v>
      </c>
      <c r="O1223">
        <v>0</v>
      </c>
      <c r="P1223">
        <v>24.3</v>
      </c>
      <c r="Q1223" s="1">
        <v>24.3</v>
      </c>
      <c r="R1223">
        <v>2.8</v>
      </c>
      <c r="S1223" s="2">
        <v>46060</v>
      </c>
      <c r="T1223" s="2">
        <v>46260</v>
      </c>
      <c r="U1223">
        <v>0</v>
      </c>
      <c r="V1223">
        <v>0</v>
      </c>
      <c r="W1223">
        <v>9</v>
      </c>
      <c r="X1223">
        <v>2.7</v>
      </c>
      <c r="Y1223">
        <v>0</v>
      </c>
      <c r="Z1223" s="8">
        <v>9</v>
      </c>
      <c r="AA1223">
        <v>2.9249999999999998</v>
      </c>
      <c r="AB1223">
        <v>0</v>
      </c>
      <c r="AC1223">
        <v>3.0769230769230771</v>
      </c>
      <c r="AD1223" s="1">
        <v>81</v>
      </c>
      <c r="AE1223" s="2">
        <v>46329</v>
      </c>
      <c r="AF1223" s="2">
        <v>46337</v>
      </c>
      <c r="AG1223" s="2">
        <v>46344</v>
      </c>
      <c r="AH1223">
        <v>9.9</v>
      </c>
      <c r="AI1223" s="3">
        <v>1.1379310344827587</v>
      </c>
      <c r="AJ1223" s="1">
        <v>71</v>
      </c>
      <c r="AK1223" s="2">
        <v>46334</v>
      </c>
      <c r="AL1223" s="4">
        <v>30</v>
      </c>
      <c r="AM1223" s="5">
        <v>15</v>
      </c>
      <c r="AN1223" s="4">
        <v>71</v>
      </c>
      <c r="AO1223">
        <v>10.241379310344827</v>
      </c>
      <c r="AP1223" s="4">
        <v>1</v>
      </c>
      <c r="AQ1223" t="s">
        <v>1619</v>
      </c>
      <c r="AR1223" t="s">
        <v>1620</v>
      </c>
      <c r="AT1223" s="16" t="str">
        <f>_xlfn.XLOOKUP(B1223,'SWiSH Demand Forecast Sep-26'!D:D,'SWiSH Demand Forecast Sep-26'!G:G,"Not Exist")</f>
        <v>Not Exist</v>
      </c>
    </row>
    <row r="1224" spans="1:46" x14ac:dyDescent="0.3">
      <c r="A1224">
        <v>106700076</v>
      </c>
      <c r="B1224" t="s">
        <v>3095</v>
      </c>
      <c r="C1224" t="s">
        <v>10</v>
      </c>
      <c r="D1224" t="s">
        <v>1613</v>
      </c>
      <c r="E1224" t="s">
        <v>1796</v>
      </c>
      <c r="F1224" t="s">
        <v>1650</v>
      </c>
      <c r="G1224" t="s">
        <v>1624</v>
      </c>
      <c r="H1224" t="s">
        <v>1651</v>
      </c>
      <c r="I1224" t="s">
        <v>1634</v>
      </c>
      <c r="J1224" t="s">
        <v>10</v>
      </c>
      <c r="K1224">
        <v>1.5</v>
      </c>
      <c r="L1224">
        <v>16.5</v>
      </c>
      <c r="M1224" s="1">
        <v>3</v>
      </c>
      <c r="N1224">
        <v>0</v>
      </c>
      <c r="O1224">
        <v>0</v>
      </c>
      <c r="P1224">
        <v>11</v>
      </c>
      <c r="Q1224" s="1">
        <v>11</v>
      </c>
      <c r="R1224">
        <v>1.5</v>
      </c>
      <c r="S1224" s="2">
        <v>46259</v>
      </c>
      <c r="T1224" s="2">
        <v>46251</v>
      </c>
      <c r="U1224">
        <v>3</v>
      </c>
      <c r="V1224">
        <v>1</v>
      </c>
      <c r="W1224">
        <v>4</v>
      </c>
      <c r="X1224">
        <v>0</v>
      </c>
      <c r="Y1224">
        <v>0</v>
      </c>
      <c r="Z1224" s="8">
        <v>4</v>
      </c>
      <c r="AA1224">
        <v>2</v>
      </c>
      <c r="AB1224">
        <v>0</v>
      </c>
      <c r="AC1224">
        <v>2</v>
      </c>
      <c r="AD1224" s="1">
        <v>82</v>
      </c>
      <c r="AE1224" s="2">
        <v>46330</v>
      </c>
      <c r="AF1224" s="2">
        <v>46338</v>
      </c>
      <c r="AG1224" s="2">
        <v>46345</v>
      </c>
      <c r="AH1224">
        <v>4</v>
      </c>
      <c r="AI1224" s="3">
        <v>1.0344827586206897</v>
      </c>
      <c r="AJ1224" s="1">
        <v>79</v>
      </c>
      <c r="AK1224" s="2">
        <v>46342</v>
      </c>
      <c r="AL1224" s="4">
        <v>30</v>
      </c>
      <c r="AM1224" s="5">
        <v>15</v>
      </c>
      <c r="AN1224" s="4">
        <v>79</v>
      </c>
      <c r="AO1224">
        <v>4.1379310344827589</v>
      </c>
      <c r="AP1224" s="4">
        <v>1</v>
      </c>
      <c r="AQ1224" t="s">
        <v>1619</v>
      </c>
      <c r="AR1224" t="s">
        <v>1620</v>
      </c>
      <c r="AT1224" s="16" t="str">
        <f>_xlfn.XLOOKUP(B1224,'SWiSH Demand Forecast Sep-26'!D:D,'SWiSH Demand Forecast Sep-26'!G:G,"Not Exist")</f>
        <v>Not Exist</v>
      </c>
    </row>
    <row r="1225" spans="1:46" x14ac:dyDescent="0.3">
      <c r="A1225">
        <v>106800023</v>
      </c>
      <c r="B1225" t="s">
        <v>3096</v>
      </c>
      <c r="C1225" t="s">
        <v>10</v>
      </c>
      <c r="D1225" t="s">
        <v>1613</v>
      </c>
      <c r="E1225" t="s">
        <v>1685</v>
      </c>
      <c r="F1225" t="s">
        <v>1664</v>
      </c>
      <c r="G1225" t="s">
        <v>1624</v>
      </c>
      <c r="H1225" t="s">
        <v>1665</v>
      </c>
      <c r="I1225" t="s">
        <v>1634</v>
      </c>
      <c r="J1225" t="s">
        <v>10</v>
      </c>
      <c r="K1225">
        <v>1.0999999999999999E-2</v>
      </c>
      <c r="L1225">
        <v>242</v>
      </c>
      <c r="M1225" s="1">
        <v>7</v>
      </c>
      <c r="N1225">
        <v>0</v>
      </c>
      <c r="O1225">
        <v>0</v>
      </c>
      <c r="P1225">
        <v>22000</v>
      </c>
      <c r="Q1225" s="1">
        <v>22000</v>
      </c>
      <c r="R1225">
        <v>1.0999999999999999E-2</v>
      </c>
      <c r="S1225" s="2">
        <v>46089</v>
      </c>
      <c r="T1225" s="2">
        <v>46242</v>
      </c>
      <c r="U1225">
        <v>8000</v>
      </c>
      <c r="V1225">
        <v>8000</v>
      </c>
      <c r="W1225">
        <v>4000</v>
      </c>
      <c r="X1225">
        <v>4000</v>
      </c>
      <c r="Y1225">
        <v>4000</v>
      </c>
      <c r="Z1225" s="8">
        <v>8000</v>
      </c>
      <c r="AA1225">
        <v>6000</v>
      </c>
      <c r="AB1225">
        <v>0.66666666666666663</v>
      </c>
      <c r="AC1225">
        <v>1.3333333333333333</v>
      </c>
      <c r="AD1225" s="1">
        <v>82</v>
      </c>
      <c r="AE1225" s="2">
        <v>46330</v>
      </c>
      <c r="AF1225" s="2">
        <v>46338</v>
      </c>
      <c r="AG1225" s="2">
        <v>46345</v>
      </c>
      <c r="AH1225">
        <v>2000</v>
      </c>
      <c r="AI1225" s="3">
        <v>0.25862068965517238</v>
      </c>
      <c r="AJ1225" s="1">
        <v>319</v>
      </c>
      <c r="AK1225" s="2">
        <v>46582</v>
      </c>
      <c r="AL1225" s="4">
        <v>30</v>
      </c>
      <c r="AM1225" s="5">
        <v>15</v>
      </c>
      <c r="AN1225" s="4">
        <v>82</v>
      </c>
      <c r="AO1225">
        <v>2068.9655172413791</v>
      </c>
      <c r="AP1225" s="4">
        <v>1</v>
      </c>
      <c r="AQ1225" t="s">
        <v>1619</v>
      </c>
      <c r="AR1225" t="s">
        <v>1620</v>
      </c>
      <c r="AT1225" s="16" t="str">
        <f>_xlfn.XLOOKUP(B1225,'SWiSH Demand Forecast Sep-26'!D:D,'SWiSH Demand Forecast Sep-26'!G:G,"Not Exist")</f>
        <v>Not Exist</v>
      </c>
    </row>
    <row r="1226" spans="1:46" hidden="1" x14ac:dyDescent="0.3">
      <c r="A1226">
        <v>106200111</v>
      </c>
      <c r="B1226" t="s">
        <v>1480</v>
      </c>
      <c r="C1226" t="s">
        <v>240</v>
      </c>
      <c r="D1226" t="s">
        <v>1613</v>
      </c>
      <c r="E1226" t="s">
        <v>1732</v>
      </c>
      <c r="F1226" t="s">
        <v>1671</v>
      </c>
      <c r="G1226" t="s">
        <v>1616</v>
      </c>
      <c r="H1226" t="s">
        <v>1672</v>
      </c>
      <c r="I1226" t="s">
        <v>1618</v>
      </c>
      <c r="J1226" t="s">
        <v>1880</v>
      </c>
      <c r="K1226">
        <v>1.7195767200000001</v>
      </c>
      <c r="L1226">
        <v>52.000000012800001</v>
      </c>
      <c r="M1226" s="1">
        <v>3</v>
      </c>
      <c r="N1226">
        <v>0</v>
      </c>
      <c r="O1226">
        <v>0</v>
      </c>
      <c r="P1226">
        <v>30.24</v>
      </c>
      <c r="Q1226" s="1">
        <v>30.24</v>
      </c>
      <c r="R1226">
        <v>26</v>
      </c>
      <c r="S1226" s="2">
        <v>46214</v>
      </c>
      <c r="T1226" s="2">
        <v>46260</v>
      </c>
      <c r="U1226">
        <v>10.992000000000001</v>
      </c>
      <c r="V1226">
        <v>3.1080000000000001</v>
      </c>
      <c r="W1226">
        <v>0</v>
      </c>
      <c r="X1226">
        <v>7.56</v>
      </c>
      <c r="Y1226">
        <v>0</v>
      </c>
      <c r="Z1226" s="8">
        <v>10.992000000000001</v>
      </c>
      <c r="AA1226">
        <v>5.415</v>
      </c>
      <c r="AB1226">
        <v>0</v>
      </c>
      <c r="AC1226">
        <v>2.0299168975069253</v>
      </c>
      <c r="AD1226" s="1">
        <v>82</v>
      </c>
      <c r="AE1226" s="2">
        <v>46330</v>
      </c>
      <c r="AF1226" s="2">
        <v>46338</v>
      </c>
      <c r="AG1226" s="2">
        <v>46345</v>
      </c>
      <c r="AH1226">
        <v>7.56</v>
      </c>
      <c r="AI1226" s="3">
        <v>0.71148923354916416</v>
      </c>
      <c r="AJ1226" s="1">
        <v>116</v>
      </c>
      <c r="AK1226" s="2">
        <v>46379</v>
      </c>
      <c r="AL1226" s="4">
        <v>30</v>
      </c>
      <c r="AM1226" s="5">
        <v>15</v>
      </c>
      <c r="AN1226" s="4">
        <v>82</v>
      </c>
      <c r="AO1226">
        <v>7.820689655172413</v>
      </c>
      <c r="AP1226" s="4">
        <v>1</v>
      </c>
      <c r="AQ1226" t="s">
        <v>1619</v>
      </c>
      <c r="AR1226" t="s">
        <v>1620</v>
      </c>
      <c r="AT1226" s="16">
        <f>_xlfn.XLOOKUP(B1226,'SWiSH Demand Forecast Sep-26'!D:D,'SWiSH Demand Forecast Sep-26'!G:G,"Not Exist")</f>
        <v>4.6075438357938303</v>
      </c>
    </row>
    <row r="1227" spans="1:46" hidden="1" x14ac:dyDescent="0.3">
      <c r="A1227">
        <v>101200017</v>
      </c>
      <c r="B1227" t="s">
        <v>639</v>
      </c>
      <c r="C1227" t="s">
        <v>136</v>
      </c>
      <c r="D1227" t="s">
        <v>1613</v>
      </c>
      <c r="E1227" t="s">
        <v>3097</v>
      </c>
      <c r="F1227" t="s">
        <v>1833</v>
      </c>
      <c r="G1227" t="s">
        <v>1616</v>
      </c>
      <c r="H1227" t="s">
        <v>1625</v>
      </c>
      <c r="I1227" t="s">
        <v>1626</v>
      </c>
      <c r="J1227" t="s">
        <v>2489</v>
      </c>
      <c r="K1227">
        <v>3.375</v>
      </c>
      <c r="L1227">
        <v>17038.62</v>
      </c>
      <c r="M1227" s="1">
        <v>3</v>
      </c>
      <c r="N1227">
        <v>0</v>
      </c>
      <c r="O1227">
        <v>0</v>
      </c>
      <c r="P1227">
        <v>5048.4799999999996</v>
      </c>
      <c r="Q1227" s="1">
        <v>5048.4799999999996</v>
      </c>
      <c r="R1227">
        <v>15.3225</v>
      </c>
      <c r="S1227" s="2">
        <v>46258</v>
      </c>
      <c r="T1227" s="2">
        <v>46263</v>
      </c>
      <c r="U1227">
        <v>1820.54</v>
      </c>
      <c r="V1227">
        <v>1661.64</v>
      </c>
      <c r="W1227">
        <v>1507.2799999999997</v>
      </c>
      <c r="X1227">
        <v>1144.08</v>
      </c>
      <c r="Y1227">
        <v>1144.08</v>
      </c>
      <c r="Z1227" s="8">
        <v>1820.54</v>
      </c>
      <c r="AA1227">
        <v>1533.385</v>
      </c>
      <c r="AB1227">
        <v>0.74611398963730569</v>
      </c>
      <c r="AC1227">
        <v>1.1872686898593634</v>
      </c>
      <c r="AD1227" s="1">
        <v>83</v>
      </c>
      <c r="AE1227" s="2">
        <v>46331</v>
      </c>
      <c r="AF1227" s="2">
        <v>46339</v>
      </c>
      <c r="AG1227" s="2">
        <v>46346</v>
      </c>
      <c r="AH1227">
        <v>848.98</v>
      </c>
      <c r="AI1227" s="3">
        <v>0.48241465302261594</v>
      </c>
      <c r="AJ1227" s="1">
        <v>172</v>
      </c>
      <c r="AK1227" s="2">
        <v>46435</v>
      </c>
      <c r="AL1227" s="4">
        <v>30</v>
      </c>
      <c r="AM1227" s="5">
        <v>15</v>
      </c>
      <c r="AN1227" s="4">
        <v>83</v>
      </c>
      <c r="AO1227">
        <v>878.25517241379316</v>
      </c>
      <c r="AP1227" s="4">
        <v>1</v>
      </c>
      <c r="AQ1227" t="s">
        <v>1619</v>
      </c>
      <c r="AR1227" t="s">
        <v>1620</v>
      </c>
      <c r="AT1227" s="16">
        <f>_xlfn.XLOOKUP(B1227,'SWiSH Demand Forecast Sep-26'!D:D,'SWiSH Demand Forecast Sep-26'!G:G,"Not Exist")</f>
        <v>836.66242345000001</v>
      </c>
    </row>
    <row r="1228" spans="1:46" x14ac:dyDescent="0.3">
      <c r="A1228">
        <v>107400035</v>
      </c>
      <c r="B1228" t="s">
        <v>3098</v>
      </c>
      <c r="C1228" t="s">
        <v>10</v>
      </c>
      <c r="D1228" t="s">
        <v>1613</v>
      </c>
      <c r="E1228" t="s">
        <v>1655</v>
      </c>
      <c r="F1228" t="s">
        <v>1664</v>
      </c>
      <c r="G1228" t="s">
        <v>1624</v>
      </c>
      <c r="H1228" t="s">
        <v>2016</v>
      </c>
      <c r="I1228" t="s">
        <v>1634</v>
      </c>
      <c r="J1228" t="s">
        <v>10</v>
      </c>
      <c r="K1228">
        <v>8.9999999999999993E-3</v>
      </c>
      <c r="L1228">
        <v>355.5</v>
      </c>
      <c r="M1228" s="1">
        <v>30</v>
      </c>
      <c r="N1228">
        <v>0</v>
      </c>
      <c r="O1228">
        <v>0</v>
      </c>
      <c r="P1228">
        <v>39500</v>
      </c>
      <c r="Q1228" s="1">
        <v>39500</v>
      </c>
      <c r="R1228">
        <v>8.9999999999999993E-3</v>
      </c>
      <c r="S1228" s="2">
        <v>46207</v>
      </c>
      <c r="T1228" s="2">
        <v>46261</v>
      </c>
      <c r="U1228">
        <v>11750</v>
      </c>
      <c r="V1228">
        <v>14250</v>
      </c>
      <c r="W1228">
        <v>9000</v>
      </c>
      <c r="X1228">
        <v>7000</v>
      </c>
      <c r="Y1228">
        <v>7000</v>
      </c>
      <c r="Z1228" s="8">
        <v>14250</v>
      </c>
      <c r="AA1228">
        <v>10500</v>
      </c>
      <c r="AB1228">
        <v>0.66666666666666663</v>
      </c>
      <c r="AC1228">
        <v>1.3571428571428572</v>
      </c>
      <c r="AD1228" s="1">
        <v>83</v>
      </c>
      <c r="AE1228" s="2">
        <v>46331</v>
      </c>
      <c r="AF1228" s="2">
        <v>46339</v>
      </c>
      <c r="AG1228" s="2">
        <v>46346</v>
      </c>
      <c r="AH1228">
        <v>7500</v>
      </c>
      <c r="AI1228" s="3">
        <v>0.54446460980036293</v>
      </c>
      <c r="AJ1228" s="1">
        <v>152</v>
      </c>
      <c r="AK1228" s="2">
        <v>46415</v>
      </c>
      <c r="AL1228" s="4">
        <v>30</v>
      </c>
      <c r="AM1228" s="5">
        <v>15</v>
      </c>
      <c r="AN1228" s="4">
        <v>83</v>
      </c>
      <c r="AO1228">
        <v>7758.6206896551721</v>
      </c>
      <c r="AP1228" s="4">
        <v>1</v>
      </c>
      <c r="AQ1228" t="s">
        <v>1619</v>
      </c>
      <c r="AR1228" t="s">
        <v>1620</v>
      </c>
      <c r="AT1228" s="16" t="str">
        <f>_xlfn.XLOOKUP(B1228,'SWiSH Demand Forecast Sep-26'!D:D,'SWiSH Demand Forecast Sep-26'!G:G,"Not Exist")</f>
        <v>Not Exist</v>
      </c>
    </row>
    <row r="1229" spans="1:46" x14ac:dyDescent="0.3">
      <c r="A1229">
        <v>101400060</v>
      </c>
      <c r="B1229" t="s">
        <v>3099</v>
      </c>
      <c r="C1229" t="s">
        <v>10</v>
      </c>
      <c r="D1229" t="s">
        <v>1613</v>
      </c>
      <c r="E1229" t="s">
        <v>1638</v>
      </c>
      <c r="F1229" t="s">
        <v>1644</v>
      </c>
      <c r="G1229" t="s">
        <v>1624</v>
      </c>
      <c r="H1229" t="s">
        <v>1693</v>
      </c>
      <c r="I1229" t="s">
        <v>1634</v>
      </c>
      <c r="J1229" t="s">
        <v>2487</v>
      </c>
      <c r="K1229">
        <v>0.39214285999999998</v>
      </c>
      <c r="L1229">
        <v>54.900000399999996</v>
      </c>
      <c r="M1229" s="1">
        <v>3</v>
      </c>
      <c r="N1229">
        <v>0</v>
      </c>
      <c r="O1229">
        <v>0</v>
      </c>
      <c r="P1229">
        <v>140</v>
      </c>
      <c r="Q1229" s="1">
        <v>140</v>
      </c>
      <c r="R1229">
        <v>40.5</v>
      </c>
      <c r="S1229" s="2">
        <v>46161</v>
      </c>
      <c r="T1229" s="2">
        <v>46248</v>
      </c>
      <c r="U1229">
        <v>30</v>
      </c>
      <c r="V1229">
        <v>30</v>
      </c>
      <c r="W1229">
        <v>50</v>
      </c>
      <c r="X1229">
        <v>15</v>
      </c>
      <c r="Y1229">
        <v>15</v>
      </c>
      <c r="Z1229" s="8">
        <v>50</v>
      </c>
      <c r="AA1229">
        <v>31.25</v>
      </c>
      <c r="AB1229">
        <v>0.48</v>
      </c>
      <c r="AC1229">
        <v>1.6</v>
      </c>
      <c r="AD1229" s="1">
        <v>84</v>
      </c>
      <c r="AE1229" s="2">
        <v>46332</v>
      </c>
      <c r="AF1229" s="2">
        <v>46340</v>
      </c>
      <c r="AG1229" s="2">
        <v>46347</v>
      </c>
      <c r="AH1229">
        <v>55</v>
      </c>
      <c r="AI1229" s="3">
        <v>1.1379310344827587</v>
      </c>
      <c r="AJ1229" s="1">
        <v>73</v>
      </c>
      <c r="AK1229" s="2">
        <v>46336</v>
      </c>
      <c r="AL1229" s="4">
        <v>30</v>
      </c>
      <c r="AM1229" s="5">
        <v>15</v>
      </c>
      <c r="AN1229" s="4">
        <v>73</v>
      </c>
      <c r="AO1229">
        <v>56.896551724137936</v>
      </c>
      <c r="AP1229" s="4">
        <v>1</v>
      </c>
      <c r="AQ1229" t="s">
        <v>1619</v>
      </c>
      <c r="AR1229" t="s">
        <v>1620</v>
      </c>
      <c r="AT1229" s="16" t="str">
        <f>_xlfn.XLOOKUP(B1229,'SWiSH Demand Forecast Sep-26'!D:D,'SWiSH Demand Forecast Sep-26'!G:G,"Not Exist")</f>
        <v>Not Exist</v>
      </c>
    </row>
    <row r="1230" spans="1:46" hidden="1" x14ac:dyDescent="0.3">
      <c r="A1230">
        <v>100400227</v>
      </c>
      <c r="B1230" t="s">
        <v>159</v>
      </c>
      <c r="C1230" t="s">
        <v>10</v>
      </c>
      <c r="D1230" t="s">
        <v>1613</v>
      </c>
      <c r="E1230" t="s">
        <v>2147</v>
      </c>
      <c r="F1230" t="s">
        <v>1664</v>
      </c>
      <c r="G1230" t="s">
        <v>1624</v>
      </c>
      <c r="H1230" t="s">
        <v>1810</v>
      </c>
      <c r="I1230" t="s">
        <v>1634</v>
      </c>
      <c r="J1230" t="s">
        <v>10</v>
      </c>
      <c r="K1230">
        <v>6.5000000000000002E-2</v>
      </c>
      <c r="L1230">
        <v>1428.7</v>
      </c>
      <c r="M1230" s="1">
        <v>30</v>
      </c>
      <c r="N1230">
        <v>0</v>
      </c>
      <c r="O1230">
        <v>200</v>
      </c>
      <c r="P1230">
        <v>21980</v>
      </c>
      <c r="Q1230" s="1">
        <v>21780</v>
      </c>
      <c r="R1230">
        <v>7.1999999999999995E-2</v>
      </c>
      <c r="S1230" s="2">
        <v>46260</v>
      </c>
      <c r="T1230" s="2">
        <v>46263</v>
      </c>
      <c r="U1230">
        <v>4440</v>
      </c>
      <c r="V1230">
        <v>7600</v>
      </c>
      <c r="W1230">
        <v>5400</v>
      </c>
      <c r="X1230">
        <v>5500</v>
      </c>
      <c r="Y1230">
        <v>4440</v>
      </c>
      <c r="Z1230" s="8">
        <v>7600</v>
      </c>
      <c r="AA1230">
        <v>5735</v>
      </c>
      <c r="AB1230">
        <v>0.77419354838709675</v>
      </c>
      <c r="AC1230">
        <v>1.3251961639058414</v>
      </c>
      <c r="AD1230" s="1">
        <v>85</v>
      </c>
      <c r="AE1230" s="2">
        <v>46333</v>
      </c>
      <c r="AF1230" s="2">
        <v>46341</v>
      </c>
      <c r="AG1230" s="2">
        <v>46348</v>
      </c>
      <c r="AH1230">
        <v>6550</v>
      </c>
      <c r="AI1230" s="3">
        <v>0.89156079854809434</v>
      </c>
      <c r="AJ1230" s="1">
        <v>96</v>
      </c>
      <c r="AK1230" s="2">
        <v>46359</v>
      </c>
      <c r="AL1230" s="4">
        <v>10</v>
      </c>
      <c r="AM1230" s="5">
        <v>10</v>
      </c>
      <c r="AN1230" s="4">
        <v>85</v>
      </c>
      <c r="AO1230">
        <v>2258.6206896551726</v>
      </c>
      <c r="AP1230" s="4">
        <v>3</v>
      </c>
      <c r="AQ1230">
        <v>28000</v>
      </c>
      <c r="AR1230" t="s">
        <v>2377</v>
      </c>
      <c r="AT1230" s="16">
        <f>_xlfn.XLOOKUP(B1230,'SWiSH Demand Forecast Sep-26'!D:D,'SWiSH Demand Forecast Sep-26'!G:G,"Not Exist")</f>
        <v>11703</v>
      </c>
    </row>
    <row r="1231" spans="1:46" hidden="1" x14ac:dyDescent="0.3">
      <c r="A1231">
        <v>101200045</v>
      </c>
      <c r="B1231" t="s">
        <v>1213</v>
      </c>
      <c r="C1231" t="s">
        <v>136</v>
      </c>
      <c r="D1231" t="s">
        <v>1613</v>
      </c>
      <c r="E1231" t="s">
        <v>1732</v>
      </c>
      <c r="F1231" t="s">
        <v>1833</v>
      </c>
      <c r="G1231" t="s">
        <v>1616</v>
      </c>
      <c r="H1231" t="s">
        <v>1625</v>
      </c>
      <c r="I1231" t="s">
        <v>1626</v>
      </c>
      <c r="J1231" t="s">
        <v>2125</v>
      </c>
      <c r="K1231">
        <v>3.0839056500000002</v>
      </c>
      <c r="L1231">
        <v>832.65452550000009</v>
      </c>
      <c r="M1231" s="1">
        <v>3</v>
      </c>
      <c r="N1231">
        <v>0</v>
      </c>
      <c r="O1231">
        <v>0</v>
      </c>
      <c r="P1231">
        <v>270</v>
      </c>
      <c r="Q1231" s="1">
        <v>270</v>
      </c>
      <c r="R1231">
        <v>41.305</v>
      </c>
      <c r="S1231" s="2">
        <v>46127</v>
      </c>
      <c r="T1231" s="2">
        <v>46257</v>
      </c>
      <c r="U1231">
        <v>94.5</v>
      </c>
      <c r="V1231">
        <v>94.5</v>
      </c>
      <c r="W1231">
        <v>54</v>
      </c>
      <c r="X1231">
        <v>54</v>
      </c>
      <c r="Y1231">
        <v>54</v>
      </c>
      <c r="Z1231" s="8">
        <v>94.5</v>
      </c>
      <c r="AA1231">
        <v>74.25</v>
      </c>
      <c r="AB1231">
        <v>0.72727272727272729</v>
      </c>
      <c r="AC1231">
        <v>1.2727272727272727</v>
      </c>
      <c r="AD1231" s="1">
        <v>85</v>
      </c>
      <c r="AE1231" s="2">
        <v>46333</v>
      </c>
      <c r="AF1231" s="2">
        <v>46341</v>
      </c>
      <c r="AG1231" s="2">
        <v>46348</v>
      </c>
      <c r="AH1231">
        <v>54</v>
      </c>
      <c r="AI1231" s="3">
        <v>0.59113300492610832</v>
      </c>
      <c r="AJ1231" s="1">
        <v>145</v>
      </c>
      <c r="AK1231" s="2">
        <v>46408</v>
      </c>
      <c r="AL1231" s="4">
        <v>15</v>
      </c>
      <c r="AM1231" s="5">
        <v>15</v>
      </c>
      <c r="AN1231" s="4">
        <v>85</v>
      </c>
      <c r="AO1231">
        <v>27.931034482758619</v>
      </c>
      <c r="AP1231" s="4">
        <v>2</v>
      </c>
      <c r="AQ1231" t="s">
        <v>1619</v>
      </c>
      <c r="AR1231" t="s">
        <v>1620</v>
      </c>
      <c r="AT1231" s="16">
        <f>_xlfn.XLOOKUP(B1231,'SWiSH Demand Forecast Sep-26'!D:D,'SWiSH Demand Forecast Sep-26'!G:G,"Not Exist")</f>
        <v>52.621124454148401</v>
      </c>
    </row>
    <row r="1232" spans="1:46" hidden="1" x14ac:dyDescent="0.3">
      <c r="A1232">
        <v>101200033</v>
      </c>
      <c r="B1232" t="s">
        <v>1107</v>
      </c>
      <c r="C1232" t="s">
        <v>136</v>
      </c>
      <c r="D1232" t="s">
        <v>1613</v>
      </c>
      <c r="E1232" t="s">
        <v>3100</v>
      </c>
      <c r="F1232" t="s">
        <v>1833</v>
      </c>
      <c r="G1232" t="s">
        <v>1616</v>
      </c>
      <c r="H1232" t="s">
        <v>1625</v>
      </c>
      <c r="I1232" t="s">
        <v>1626</v>
      </c>
      <c r="J1232" t="s">
        <v>136</v>
      </c>
      <c r="K1232">
        <v>1.67951542</v>
      </c>
      <c r="L1232">
        <v>648.12500057799991</v>
      </c>
      <c r="M1232" s="1">
        <v>3</v>
      </c>
      <c r="N1232">
        <v>0</v>
      </c>
      <c r="O1232">
        <v>2.27</v>
      </c>
      <c r="P1232">
        <v>385.9</v>
      </c>
      <c r="Q1232" s="1">
        <v>383.63</v>
      </c>
      <c r="R1232">
        <v>30.5</v>
      </c>
      <c r="S1232" s="2">
        <v>46223</v>
      </c>
      <c r="T1232" s="2">
        <v>46263</v>
      </c>
      <c r="U1232">
        <v>106.68999999999997</v>
      </c>
      <c r="V1232">
        <v>133.92999999999995</v>
      </c>
      <c r="W1232">
        <v>99.879999999999981</v>
      </c>
      <c r="X1232">
        <v>99.88</v>
      </c>
      <c r="Y1232">
        <v>99.879999999999981</v>
      </c>
      <c r="Z1232" s="8">
        <v>133.92999999999995</v>
      </c>
      <c r="AA1232">
        <v>110.09499999999997</v>
      </c>
      <c r="AB1232">
        <v>0.90721649484536093</v>
      </c>
      <c r="AC1232">
        <v>1.2164948453608246</v>
      </c>
      <c r="AD1232" s="1">
        <v>85</v>
      </c>
      <c r="AE1232" s="2">
        <v>46333</v>
      </c>
      <c r="AF1232" s="2">
        <v>46341</v>
      </c>
      <c r="AG1232" s="2">
        <v>46348</v>
      </c>
      <c r="AH1232">
        <v>59.020000000000024</v>
      </c>
      <c r="AI1232" s="3">
        <v>0.45587375803623648</v>
      </c>
      <c r="AJ1232" s="1">
        <v>188</v>
      </c>
      <c r="AK1232" s="2">
        <v>46451</v>
      </c>
      <c r="AL1232" s="4">
        <v>15</v>
      </c>
      <c r="AM1232" s="5">
        <v>15</v>
      </c>
      <c r="AN1232" s="4">
        <v>85</v>
      </c>
      <c r="AO1232">
        <v>30.527586206896565</v>
      </c>
      <c r="AP1232" s="4">
        <v>2</v>
      </c>
      <c r="AQ1232" t="s">
        <v>1619</v>
      </c>
      <c r="AR1232" t="s">
        <v>1620</v>
      </c>
      <c r="AT1232" s="16">
        <f>_xlfn.XLOOKUP(B1232,'SWiSH Demand Forecast Sep-26'!D:D,'SWiSH Demand Forecast Sep-26'!G:G,"Not Exist")</f>
        <v>101.208</v>
      </c>
    </row>
    <row r="1233" spans="1:46" x14ac:dyDescent="0.3">
      <c r="A1233">
        <v>105600024</v>
      </c>
      <c r="B1233" t="s">
        <v>3101</v>
      </c>
      <c r="C1233" t="s">
        <v>136</v>
      </c>
      <c r="D1233" t="s">
        <v>1613</v>
      </c>
      <c r="E1233" t="s">
        <v>1663</v>
      </c>
      <c r="F1233" t="s">
        <v>1664</v>
      </c>
      <c r="G1233" t="s">
        <v>1624</v>
      </c>
      <c r="H1233" t="s">
        <v>1679</v>
      </c>
      <c r="I1233" t="s">
        <v>1634</v>
      </c>
      <c r="J1233" t="s">
        <v>136</v>
      </c>
      <c r="K1233">
        <v>0.49812561</v>
      </c>
      <c r="L1233">
        <v>2659.9907573999999</v>
      </c>
      <c r="M1233" s="1">
        <v>30</v>
      </c>
      <c r="N1233">
        <v>0</v>
      </c>
      <c r="O1233">
        <v>40</v>
      </c>
      <c r="P1233">
        <v>5340</v>
      </c>
      <c r="Q1233" s="1">
        <v>5300</v>
      </c>
      <c r="R1233">
        <v>0.48</v>
      </c>
      <c r="S1233" s="2">
        <v>46219</v>
      </c>
      <c r="T1233" s="2">
        <v>46263</v>
      </c>
      <c r="U1233">
        <v>1135</v>
      </c>
      <c r="V1233">
        <v>1820</v>
      </c>
      <c r="W1233">
        <v>780</v>
      </c>
      <c r="X1233">
        <v>479.8</v>
      </c>
      <c r="Y1233">
        <v>479.8</v>
      </c>
      <c r="Z1233" s="8">
        <v>1820</v>
      </c>
      <c r="AA1233">
        <v>1053.7</v>
      </c>
      <c r="AB1233">
        <v>0.45534782196070989</v>
      </c>
      <c r="AC1233">
        <v>1.7272468444528803</v>
      </c>
      <c r="AD1233" s="1">
        <v>87</v>
      </c>
      <c r="AE1233" s="2">
        <v>46335</v>
      </c>
      <c r="AF1233" s="2">
        <v>46343</v>
      </c>
      <c r="AG1233" s="2">
        <v>46350</v>
      </c>
      <c r="AH1233">
        <v>528</v>
      </c>
      <c r="AI1233" s="3">
        <v>0.30011367942402428</v>
      </c>
      <c r="AJ1233" s="1">
        <v>291</v>
      </c>
      <c r="AK1233" s="2">
        <v>46554</v>
      </c>
      <c r="AL1233" s="4">
        <v>15</v>
      </c>
      <c r="AM1233" s="5">
        <v>15</v>
      </c>
      <c r="AN1233" s="4">
        <v>87</v>
      </c>
      <c r="AO1233">
        <v>273.10344827586209</v>
      </c>
      <c r="AP1233" s="4">
        <v>2</v>
      </c>
      <c r="AQ1233" t="s">
        <v>1619</v>
      </c>
      <c r="AR1233" t="s">
        <v>1620</v>
      </c>
      <c r="AT1233" s="16" t="str">
        <f>_xlfn.XLOOKUP(B1233,'SWiSH Demand Forecast Sep-26'!D:D,'SWiSH Demand Forecast Sep-26'!G:G,"Not Exist")</f>
        <v>Not Exist</v>
      </c>
    </row>
    <row r="1234" spans="1:46" hidden="1" x14ac:dyDescent="0.3">
      <c r="A1234">
        <v>101600012</v>
      </c>
      <c r="B1234" t="s">
        <v>283</v>
      </c>
      <c r="C1234" t="s">
        <v>10</v>
      </c>
      <c r="D1234" t="s">
        <v>1613</v>
      </c>
      <c r="E1234" t="s">
        <v>2595</v>
      </c>
      <c r="F1234" t="s">
        <v>1664</v>
      </c>
      <c r="G1234" t="s">
        <v>1624</v>
      </c>
      <c r="H1234" t="s">
        <v>1768</v>
      </c>
      <c r="I1234" t="s">
        <v>1634</v>
      </c>
      <c r="J1234" t="s">
        <v>2113</v>
      </c>
      <c r="K1234">
        <v>8.5000000000000006E-3</v>
      </c>
      <c r="L1234">
        <v>399.50000000000006</v>
      </c>
      <c r="M1234" s="1">
        <v>7</v>
      </c>
      <c r="N1234">
        <v>0</v>
      </c>
      <c r="O1234">
        <v>0</v>
      </c>
      <c r="P1234">
        <v>47000</v>
      </c>
      <c r="Q1234" s="1">
        <v>47000</v>
      </c>
      <c r="R1234">
        <v>8.5</v>
      </c>
      <c r="S1234" s="2">
        <v>46261</v>
      </c>
      <c r="T1234" s="2">
        <v>46263</v>
      </c>
      <c r="U1234">
        <v>14000</v>
      </c>
      <c r="V1234">
        <v>16000</v>
      </c>
      <c r="W1234">
        <v>8000</v>
      </c>
      <c r="X1234">
        <v>14000</v>
      </c>
      <c r="Y1234">
        <v>8000</v>
      </c>
      <c r="Z1234" s="8">
        <v>16000</v>
      </c>
      <c r="AA1234">
        <v>13000</v>
      </c>
      <c r="AB1234">
        <v>0.61538461538461542</v>
      </c>
      <c r="AC1234">
        <v>1.2307692307692308</v>
      </c>
      <c r="AD1234" s="1">
        <v>88</v>
      </c>
      <c r="AE1234" s="2">
        <v>46336</v>
      </c>
      <c r="AF1234" s="2">
        <v>46344</v>
      </c>
      <c r="AG1234" s="2">
        <v>46351</v>
      </c>
      <c r="AH1234">
        <v>10000</v>
      </c>
      <c r="AI1234" s="3">
        <v>0.64655172413793105</v>
      </c>
      <c r="AJ1234" s="1">
        <v>136</v>
      </c>
      <c r="AK1234" s="2">
        <v>46399</v>
      </c>
      <c r="AL1234" s="4">
        <v>30</v>
      </c>
      <c r="AM1234" s="5">
        <v>15</v>
      </c>
      <c r="AN1234" s="4">
        <v>88</v>
      </c>
      <c r="AO1234">
        <v>10344.827586206899</v>
      </c>
      <c r="AP1234" s="4">
        <v>1</v>
      </c>
      <c r="AQ1234">
        <v>25030</v>
      </c>
      <c r="AR1234" t="s">
        <v>2146</v>
      </c>
      <c r="AT1234" s="16">
        <f>_xlfn.XLOOKUP(B1234,'SWiSH Demand Forecast Sep-26'!D:D,'SWiSH Demand Forecast Sep-26'!G:G,"Not Exist")</f>
        <v>5496</v>
      </c>
    </row>
    <row r="1235" spans="1:46" hidden="1" x14ac:dyDescent="0.3">
      <c r="A1235">
        <v>105600021</v>
      </c>
      <c r="B1235" t="s">
        <v>1277</v>
      </c>
      <c r="C1235" t="s">
        <v>136</v>
      </c>
      <c r="D1235" t="s">
        <v>1613</v>
      </c>
      <c r="E1235" t="s">
        <v>2834</v>
      </c>
      <c r="F1235" t="s">
        <v>1664</v>
      </c>
      <c r="G1235" t="s">
        <v>1624</v>
      </c>
      <c r="H1235" t="s">
        <v>1679</v>
      </c>
      <c r="I1235" t="s">
        <v>1634</v>
      </c>
      <c r="J1235" t="s">
        <v>136</v>
      </c>
      <c r="K1235">
        <v>0.59601799</v>
      </c>
      <c r="L1235">
        <v>703.89724619000003</v>
      </c>
      <c r="M1235" s="1">
        <v>30</v>
      </c>
      <c r="N1235">
        <v>0</v>
      </c>
      <c r="O1235">
        <v>0</v>
      </c>
      <c r="P1235">
        <v>1181</v>
      </c>
      <c r="Q1235" s="1">
        <v>1181</v>
      </c>
      <c r="R1235">
        <v>0</v>
      </c>
      <c r="S1235" s="2">
        <v>0</v>
      </c>
      <c r="T1235" s="2">
        <v>46261</v>
      </c>
      <c r="U1235">
        <v>240</v>
      </c>
      <c r="V1235">
        <v>400</v>
      </c>
      <c r="W1235">
        <v>240</v>
      </c>
      <c r="X1235">
        <v>300</v>
      </c>
      <c r="Y1235">
        <v>240</v>
      </c>
      <c r="Z1235" s="8">
        <v>400</v>
      </c>
      <c r="AA1235">
        <v>295</v>
      </c>
      <c r="AB1235">
        <v>0.81355932203389836</v>
      </c>
      <c r="AC1235">
        <v>1.3559322033898304</v>
      </c>
      <c r="AD1235" s="1">
        <v>88</v>
      </c>
      <c r="AE1235" s="2">
        <v>46336</v>
      </c>
      <c r="AF1235" s="2">
        <v>46344</v>
      </c>
      <c r="AG1235" s="2">
        <v>46351</v>
      </c>
      <c r="AH1235">
        <v>268</v>
      </c>
      <c r="AI1235" s="3">
        <v>0.69310344827586201</v>
      </c>
      <c r="AJ1235" s="1">
        <v>127</v>
      </c>
      <c r="AK1235" s="2">
        <v>46390</v>
      </c>
      <c r="AL1235" s="4">
        <v>30</v>
      </c>
      <c r="AM1235" s="5">
        <v>15</v>
      </c>
      <c r="AN1235" s="4">
        <v>88</v>
      </c>
      <c r="AO1235">
        <v>277.24137931034483</v>
      </c>
      <c r="AP1235" s="4">
        <v>1</v>
      </c>
      <c r="AQ1235" t="s">
        <v>1619</v>
      </c>
      <c r="AR1235" t="s">
        <v>1620</v>
      </c>
      <c r="AT1235" s="16">
        <f>_xlfn.XLOOKUP(B1235,'SWiSH Demand Forecast Sep-26'!D:D,'SWiSH Demand Forecast Sep-26'!G:G,"Not Exist")</f>
        <v>36.169999999999902</v>
      </c>
    </row>
    <row r="1236" spans="1:46" x14ac:dyDescent="0.3">
      <c r="A1236">
        <v>100400031</v>
      </c>
      <c r="B1236" t="s">
        <v>3102</v>
      </c>
      <c r="C1236" t="s">
        <v>10</v>
      </c>
      <c r="D1236" t="s">
        <v>1613</v>
      </c>
      <c r="E1236" t="s">
        <v>1949</v>
      </c>
      <c r="F1236" t="s">
        <v>1664</v>
      </c>
      <c r="G1236" t="s">
        <v>1624</v>
      </c>
      <c r="H1236" t="s">
        <v>1810</v>
      </c>
      <c r="I1236" t="s">
        <v>1634</v>
      </c>
      <c r="J1236" t="s">
        <v>10</v>
      </c>
      <c r="K1236">
        <v>6.0000000000000001E-3</v>
      </c>
      <c r="L1236">
        <v>89.7</v>
      </c>
      <c r="M1236" s="1">
        <v>30</v>
      </c>
      <c r="N1236">
        <v>0</v>
      </c>
      <c r="O1236">
        <v>0</v>
      </c>
      <c r="P1236">
        <v>14950</v>
      </c>
      <c r="Q1236" s="1">
        <v>14950</v>
      </c>
      <c r="R1236">
        <v>6.0000000000000001E-3</v>
      </c>
      <c r="S1236" s="2">
        <v>46235</v>
      </c>
      <c r="T1236" s="2">
        <v>46253</v>
      </c>
      <c r="U1236">
        <v>2500</v>
      </c>
      <c r="V1236">
        <v>0</v>
      </c>
      <c r="W1236">
        <v>5000</v>
      </c>
      <c r="X1236">
        <v>0</v>
      </c>
      <c r="Y1236">
        <v>0</v>
      </c>
      <c r="Z1236" s="8">
        <v>5000</v>
      </c>
      <c r="AA1236">
        <v>1875</v>
      </c>
      <c r="AB1236">
        <v>0</v>
      </c>
      <c r="AC1236">
        <v>2.6666666666666665</v>
      </c>
      <c r="AD1236" s="1">
        <v>89</v>
      </c>
      <c r="AE1236" s="2">
        <v>46337</v>
      </c>
      <c r="AF1236" s="2">
        <v>46345</v>
      </c>
      <c r="AG1236" s="2">
        <v>46352</v>
      </c>
      <c r="AH1236">
        <v>2550</v>
      </c>
      <c r="AI1236" s="3">
        <v>0.52758620689655167</v>
      </c>
      <c r="AJ1236" s="1">
        <v>170</v>
      </c>
      <c r="AK1236" s="2">
        <v>46433</v>
      </c>
      <c r="AL1236" s="4">
        <v>30</v>
      </c>
      <c r="AM1236" s="5">
        <v>15</v>
      </c>
      <c r="AN1236" s="4">
        <v>89</v>
      </c>
      <c r="AO1236">
        <v>2637.9310344827582</v>
      </c>
      <c r="AP1236" s="4">
        <v>1</v>
      </c>
      <c r="AQ1236" t="s">
        <v>1619</v>
      </c>
      <c r="AR1236" t="s">
        <v>1620</v>
      </c>
      <c r="AT1236" s="16" t="str">
        <f>_xlfn.XLOOKUP(B1236,'SWiSH Demand Forecast Sep-26'!D:D,'SWiSH Demand Forecast Sep-26'!G:G,"Not Exist")</f>
        <v>Not Exist</v>
      </c>
    </row>
    <row r="1237" spans="1:46" x14ac:dyDescent="0.3">
      <c r="A1237">
        <v>103700012</v>
      </c>
      <c r="B1237" t="s">
        <v>3103</v>
      </c>
      <c r="C1237" t="s">
        <v>136</v>
      </c>
      <c r="D1237" t="s">
        <v>1629</v>
      </c>
      <c r="E1237" t="e">
        <v>#N/A</v>
      </c>
      <c r="F1237" t="s">
        <v>1615</v>
      </c>
      <c r="G1237" t="s">
        <v>1704</v>
      </c>
      <c r="H1237" t="s">
        <v>1617</v>
      </c>
      <c r="I1237" t="s">
        <v>1618</v>
      </c>
      <c r="J1237" t="s">
        <v>2125</v>
      </c>
      <c r="K1237">
        <v>2</v>
      </c>
      <c r="L1237">
        <v>2.4000000000000004</v>
      </c>
      <c r="M1237" s="1">
        <v>3</v>
      </c>
      <c r="N1237">
        <v>0</v>
      </c>
      <c r="O1237">
        <v>0</v>
      </c>
      <c r="P1237">
        <v>1.2000000000000002</v>
      </c>
      <c r="Q1237" s="1">
        <v>1.2000000000000002</v>
      </c>
      <c r="R1237">
        <v>0.8</v>
      </c>
      <c r="S1237" s="2">
        <v>46076</v>
      </c>
      <c r="T1237" s="2">
        <v>46167</v>
      </c>
      <c r="U1237">
        <v>0</v>
      </c>
      <c r="V1237">
        <v>0.4</v>
      </c>
      <c r="W1237">
        <v>0</v>
      </c>
      <c r="X1237">
        <v>0</v>
      </c>
      <c r="Y1237">
        <v>0</v>
      </c>
      <c r="Z1237" s="8">
        <v>0.4</v>
      </c>
      <c r="AA1237">
        <v>0.1</v>
      </c>
      <c r="AB1237">
        <v>0</v>
      </c>
      <c r="AC1237">
        <v>4</v>
      </c>
      <c r="AD1237" s="1">
        <v>90</v>
      </c>
      <c r="AE1237" s="2">
        <v>46338</v>
      </c>
      <c r="AF1237" s="2">
        <v>46346</v>
      </c>
      <c r="AG1237" s="2">
        <v>46353</v>
      </c>
      <c r="AH1237">
        <v>0</v>
      </c>
      <c r="AI1237" s="3">
        <v>0</v>
      </c>
      <c r="AJ1237" s="1" t="s">
        <v>1635</v>
      </c>
      <c r="AK1237" s="2" t="s">
        <v>1635</v>
      </c>
      <c r="AL1237" s="4" t="s">
        <v>1636</v>
      </c>
      <c r="AM1237" s="5" t="s">
        <v>1636</v>
      </c>
      <c r="AN1237" s="4">
        <v>90</v>
      </c>
      <c r="AO1237" t="s">
        <v>1635</v>
      </c>
      <c r="AP1237" s="4" t="s">
        <v>1636</v>
      </c>
      <c r="AQ1237" t="s">
        <v>1619</v>
      </c>
      <c r="AR1237" t="s">
        <v>1620</v>
      </c>
      <c r="AT1237" s="16" t="str">
        <f>_xlfn.XLOOKUP(B1237,'SWiSH Demand Forecast Sep-26'!D:D,'SWiSH Demand Forecast Sep-26'!G:G,"Not Exist")</f>
        <v>Not Exist</v>
      </c>
    </row>
    <row r="1238" spans="1:46" hidden="1" x14ac:dyDescent="0.3">
      <c r="A1238">
        <v>103700020</v>
      </c>
      <c r="B1238" t="s">
        <v>1549</v>
      </c>
      <c r="C1238" t="s">
        <v>136</v>
      </c>
      <c r="D1238" t="s">
        <v>1699</v>
      </c>
      <c r="E1238" t="s">
        <v>1832</v>
      </c>
      <c r="F1238" t="s">
        <v>1615</v>
      </c>
      <c r="G1238" t="s">
        <v>1616</v>
      </c>
      <c r="H1238" t="s">
        <v>1617</v>
      </c>
      <c r="I1238" t="s">
        <v>1618</v>
      </c>
      <c r="J1238" t="s">
        <v>3104</v>
      </c>
      <c r="K1238">
        <v>2.9166249999999998</v>
      </c>
      <c r="L1238">
        <v>41.999400000000001</v>
      </c>
      <c r="M1238" s="1">
        <v>3</v>
      </c>
      <c r="N1238">
        <v>0</v>
      </c>
      <c r="O1238">
        <v>0</v>
      </c>
      <c r="P1238">
        <v>14.4</v>
      </c>
      <c r="Q1238" s="1">
        <v>14.4</v>
      </c>
      <c r="R1238">
        <v>13.5</v>
      </c>
      <c r="S1238" s="2">
        <v>46135</v>
      </c>
      <c r="T1238" s="2">
        <v>46117</v>
      </c>
      <c r="U1238">
        <v>4.8</v>
      </c>
      <c r="V1238">
        <v>0</v>
      </c>
      <c r="W1238">
        <v>0</v>
      </c>
      <c r="X1238">
        <v>0</v>
      </c>
      <c r="Y1238">
        <v>0</v>
      </c>
      <c r="Z1238" s="8">
        <v>4.8</v>
      </c>
      <c r="AA1238">
        <v>1.2</v>
      </c>
      <c r="AB1238">
        <v>0</v>
      </c>
      <c r="AC1238">
        <v>4</v>
      </c>
      <c r="AD1238" s="1">
        <v>90</v>
      </c>
      <c r="AE1238" s="2">
        <v>46338</v>
      </c>
      <c r="AF1238" s="2">
        <v>46346</v>
      </c>
      <c r="AG1238" s="2">
        <v>46353</v>
      </c>
      <c r="AH1238">
        <v>0</v>
      </c>
      <c r="AI1238" s="3">
        <v>0</v>
      </c>
      <c r="AJ1238" s="1" t="s">
        <v>1635</v>
      </c>
      <c r="AK1238" s="2" t="s">
        <v>1635</v>
      </c>
      <c r="AL1238" s="4" t="s">
        <v>1658</v>
      </c>
      <c r="AM1238" s="5" t="s">
        <v>1658</v>
      </c>
      <c r="AN1238" s="4">
        <v>90</v>
      </c>
      <c r="AO1238" t="s">
        <v>1635</v>
      </c>
      <c r="AP1238" s="4" t="s">
        <v>1658</v>
      </c>
      <c r="AQ1238" t="s">
        <v>1619</v>
      </c>
      <c r="AR1238" t="s">
        <v>1620</v>
      </c>
      <c r="AT1238" s="16">
        <f>_xlfn.XLOOKUP(B1238,'SWiSH Demand Forecast Sep-26'!D:D,'SWiSH Demand Forecast Sep-26'!G:G,"Not Exist")</f>
        <v>0.519064748201438</v>
      </c>
    </row>
    <row r="1239" spans="1:46" x14ac:dyDescent="0.3">
      <c r="A1239">
        <v>106800032</v>
      </c>
      <c r="B1239" t="s">
        <v>3105</v>
      </c>
      <c r="C1239" t="s">
        <v>10</v>
      </c>
      <c r="D1239" t="s">
        <v>1613</v>
      </c>
      <c r="E1239" t="s">
        <v>1685</v>
      </c>
      <c r="F1239" t="s">
        <v>1664</v>
      </c>
      <c r="G1239" t="s">
        <v>1624</v>
      </c>
      <c r="H1239" t="s">
        <v>1665</v>
      </c>
      <c r="I1239" t="s">
        <v>1634</v>
      </c>
      <c r="J1239" t="s">
        <v>10</v>
      </c>
      <c r="K1239">
        <v>1.079051E-2</v>
      </c>
      <c r="L1239">
        <v>64.74306</v>
      </c>
      <c r="M1239" s="1">
        <v>7</v>
      </c>
      <c r="N1239">
        <v>0</v>
      </c>
      <c r="O1239">
        <v>0</v>
      </c>
      <c r="P1239">
        <v>6000</v>
      </c>
      <c r="Q1239" s="1">
        <v>6000</v>
      </c>
      <c r="R1239">
        <v>1.0999999999999999E-2</v>
      </c>
      <c r="S1239" s="2">
        <v>46130</v>
      </c>
      <c r="T1239" s="2">
        <v>46210</v>
      </c>
      <c r="U1239">
        <v>0</v>
      </c>
      <c r="V1239">
        <v>0</v>
      </c>
      <c r="W1239">
        <v>2000</v>
      </c>
      <c r="X1239">
        <v>2000</v>
      </c>
      <c r="Y1239">
        <v>0</v>
      </c>
      <c r="Z1239" s="8">
        <v>2000</v>
      </c>
      <c r="AA1239">
        <v>1000</v>
      </c>
      <c r="AB1239">
        <v>0</v>
      </c>
      <c r="AC1239">
        <v>2</v>
      </c>
      <c r="AD1239" s="1">
        <v>90</v>
      </c>
      <c r="AE1239" s="2">
        <v>46338</v>
      </c>
      <c r="AF1239" s="2">
        <v>46346</v>
      </c>
      <c r="AG1239" s="2">
        <v>46353</v>
      </c>
      <c r="AH1239">
        <v>0</v>
      </c>
      <c r="AI1239" s="3">
        <v>0</v>
      </c>
      <c r="AJ1239" s="1" t="s">
        <v>1635</v>
      </c>
      <c r="AK1239" s="2" t="s">
        <v>1635</v>
      </c>
      <c r="AL1239" s="4">
        <v>30</v>
      </c>
      <c r="AM1239" s="5">
        <v>15</v>
      </c>
      <c r="AN1239" s="4">
        <v>90</v>
      </c>
      <c r="AO1239">
        <v>0</v>
      </c>
      <c r="AP1239" s="4">
        <v>1</v>
      </c>
      <c r="AQ1239" t="s">
        <v>1619</v>
      </c>
      <c r="AR1239" t="s">
        <v>1620</v>
      </c>
      <c r="AT1239" s="16" t="str">
        <f>_xlfn.XLOOKUP(B1239,'SWiSH Demand Forecast Sep-26'!D:D,'SWiSH Demand Forecast Sep-26'!G:G,"Not Exist")</f>
        <v>Not Exist</v>
      </c>
    </row>
    <row r="1240" spans="1:46" hidden="1" x14ac:dyDescent="0.3">
      <c r="A1240">
        <v>103700113</v>
      </c>
      <c r="B1240" t="s">
        <v>1502</v>
      </c>
      <c r="C1240" t="s">
        <v>136</v>
      </c>
      <c r="D1240" t="s">
        <v>1629</v>
      </c>
      <c r="E1240" t="s">
        <v>1677</v>
      </c>
      <c r="F1240" t="s">
        <v>1615</v>
      </c>
      <c r="G1240" t="s">
        <v>1616</v>
      </c>
      <c r="H1240" t="s">
        <v>1617</v>
      </c>
      <c r="I1240" t="s">
        <v>1618</v>
      </c>
      <c r="J1240" t="s">
        <v>136</v>
      </c>
      <c r="K1240">
        <v>3.5</v>
      </c>
      <c r="L1240">
        <v>94.5</v>
      </c>
      <c r="M1240" s="1">
        <v>3</v>
      </c>
      <c r="N1240">
        <v>0</v>
      </c>
      <c r="O1240">
        <v>0</v>
      </c>
      <c r="P1240">
        <v>27</v>
      </c>
      <c r="Q1240" s="1">
        <v>27</v>
      </c>
      <c r="R1240">
        <v>3.5</v>
      </c>
      <c r="S1240" s="2">
        <v>46135</v>
      </c>
      <c r="T1240" s="2">
        <v>46185</v>
      </c>
      <c r="U1240">
        <v>9</v>
      </c>
      <c r="V1240">
        <v>8</v>
      </c>
      <c r="W1240">
        <v>4</v>
      </c>
      <c r="X1240">
        <v>0</v>
      </c>
      <c r="Y1240">
        <v>0</v>
      </c>
      <c r="Z1240" s="8">
        <v>9</v>
      </c>
      <c r="AA1240">
        <v>5.25</v>
      </c>
      <c r="AB1240">
        <v>0</v>
      </c>
      <c r="AC1240">
        <v>1.7142857142857142</v>
      </c>
      <c r="AD1240" s="1">
        <v>90</v>
      </c>
      <c r="AE1240" s="2">
        <v>46338</v>
      </c>
      <c r="AF1240" s="2">
        <v>46346</v>
      </c>
      <c r="AG1240" s="2">
        <v>46353</v>
      </c>
      <c r="AH1240">
        <v>0</v>
      </c>
      <c r="AI1240" s="3">
        <v>0</v>
      </c>
      <c r="AJ1240" s="1" t="s">
        <v>1635</v>
      </c>
      <c r="AK1240" s="2" t="s">
        <v>1635</v>
      </c>
      <c r="AL1240" s="4" t="s">
        <v>1636</v>
      </c>
      <c r="AM1240" s="5" t="s">
        <v>1636</v>
      </c>
      <c r="AN1240" s="4">
        <v>90</v>
      </c>
      <c r="AO1240" t="s">
        <v>1635</v>
      </c>
      <c r="AP1240" s="4" t="s">
        <v>1636</v>
      </c>
      <c r="AQ1240" t="s">
        <v>1619</v>
      </c>
      <c r="AR1240" t="s">
        <v>1855</v>
      </c>
      <c r="AT1240" s="16">
        <f>_xlfn.XLOOKUP(B1240,'SWiSH Demand Forecast Sep-26'!D:D,'SWiSH Demand Forecast Sep-26'!G:G,"Not Exist")</f>
        <v>3.2984174582814401</v>
      </c>
    </row>
    <row r="1241" spans="1:46" x14ac:dyDescent="0.3">
      <c r="A1241">
        <v>106800376</v>
      </c>
      <c r="B1241" t="s">
        <v>3106</v>
      </c>
      <c r="C1241" t="s">
        <v>10</v>
      </c>
      <c r="D1241" t="s">
        <v>1613</v>
      </c>
      <c r="E1241" t="s">
        <v>1701</v>
      </c>
      <c r="F1241" t="s">
        <v>1664</v>
      </c>
      <c r="G1241" t="s">
        <v>1624</v>
      </c>
      <c r="H1241" t="s">
        <v>1665</v>
      </c>
      <c r="I1241" t="s">
        <v>1634</v>
      </c>
      <c r="J1241" t="s">
        <v>10</v>
      </c>
      <c r="K1241">
        <v>8.0000000000000002E-3</v>
      </c>
      <c r="L1241">
        <v>120</v>
      </c>
      <c r="M1241" s="1">
        <v>7</v>
      </c>
      <c r="N1241">
        <v>0</v>
      </c>
      <c r="O1241">
        <v>0</v>
      </c>
      <c r="P1241">
        <v>15000</v>
      </c>
      <c r="Q1241" s="1">
        <v>15000</v>
      </c>
      <c r="R1241">
        <v>8.0000000000000002E-3</v>
      </c>
      <c r="S1241" s="2">
        <v>46211</v>
      </c>
      <c r="T1241" s="2">
        <v>46188</v>
      </c>
      <c r="U1241">
        <v>0</v>
      </c>
      <c r="V1241">
        <v>0</v>
      </c>
      <c r="W1241">
        <v>5000</v>
      </c>
      <c r="X1241">
        <v>0</v>
      </c>
      <c r="Y1241">
        <v>0</v>
      </c>
      <c r="Z1241" s="8">
        <v>5000</v>
      </c>
      <c r="AA1241">
        <v>1250</v>
      </c>
      <c r="AB1241">
        <v>0</v>
      </c>
      <c r="AC1241">
        <v>4</v>
      </c>
      <c r="AD1241" s="1">
        <v>90</v>
      </c>
      <c r="AE1241" s="2">
        <v>46338</v>
      </c>
      <c r="AF1241" s="2">
        <v>46346</v>
      </c>
      <c r="AG1241" s="2">
        <v>46353</v>
      </c>
      <c r="AH1241">
        <v>0</v>
      </c>
      <c r="AI1241" s="3">
        <v>0</v>
      </c>
      <c r="AJ1241" s="1" t="s">
        <v>1635</v>
      </c>
      <c r="AK1241" s="2" t="s">
        <v>1635</v>
      </c>
      <c r="AL1241" s="4">
        <v>30</v>
      </c>
      <c r="AM1241" s="5">
        <v>15</v>
      </c>
      <c r="AN1241" s="4">
        <v>90</v>
      </c>
      <c r="AO1241">
        <v>0</v>
      </c>
      <c r="AP1241" s="4">
        <v>1</v>
      </c>
      <c r="AQ1241" t="s">
        <v>1619</v>
      </c>
      <c r="AR1241" t="s">
        <v>1620</v>
      </c>
      <c r="AT1241" s="16" t="str">
        <f>_xlfn.XLOOKUP(B1241,'SWiSH Demand Forecast Sep-26'!D:D,'SWiSH Demand Forecast Sep-26'!G:G,"Not Exist")</f>
        <v>Not Exist</v>
      </c>
    </row>
    <row r="1242" spans="1:46" hidden="1" x14ac:dyDescent="0.3">
      <c r="A1242">
        <v>106800218</v>
      </c>
      <c r="B1242" t="s">
        <v>569</v>
      </c>
      <c r="C1242" t="s">
        <v>10</v>
      </c>
      <c r="D1242" t="s">
        <v>1613</v>
      </c>
      <c r="E1242" t="s">
        <v>1926</v>
      </c>
      <c r="F1242" t="s">
        <v>1664</v>
      </c>
      <c r="G1242" t="s">
        <v>1624</v>
      </c>
      <c r="H1242" t="s">
        <v>1665</v>
      </c>
      <c r="I1242" t="s">
        <v>1634</v>
      </c>
      <c r="J1242" t="s">
        <v>10</v>
      </c>
      <c r="K1242">
        <v>4.0000000000000001E-3</v>
      </c>
      <c r="L1242">
        <v>60</v>
      </c>
      <c r="M1242" s="1">
        <v>7</v>
      </c>
      <c r="N1242">
        <v>0</v>
      </c>
      <c r="O1242">
        <v>0</v>
      </c>
      <c r="P1242">
        <v>15000</v>
      </c>
      <c r="Q1242" s="1">
        <v>15000</v>
      </c>
      <c r="R1242">
        <v>4.0000000000000001E-3</v>
      </c>
      <c r="S1242" s="2">
        <v>45963</v>
      </c>
      <c r="T1242" s="2">
        <v>46222</v>
      </c>
      <c r="U1242">
        <v>500</v>
      </c>
      <c r="V1242">
        <v>1000</v>
      </c>
      <c r="W1242">
        <v>0</v>
      </c>
      <c r="X1242">
        <v>5000</v>
      </c>
      <c r="Y1242">
        <v>0</v>
      </c>
      <c r="Z1242" s="8">
        <v>5000</v>
      </c>
      <c r="AA1242">
        <v>1625</v>
      </c>
      <c r="AB1242">
        <v>0</v>
      </c>
      <c r="AC1242">
        <v>3.0769230769230771</v>
      </c>
      <c r="AD1242" s="1">
        <v>90</v>
      </c>
      <c r="AE1242" s="2">
        <v>46338</v>
      </c>
      <c r="AF1242" s="2">
        <v>46346</v>
      </c>
      <c r="AG1242" s="2">
        <v>46353</v>
      </c>
      <c r="AH1242">
        <v>0</v>
      </c>
      <c r="AI1242" s="3">
        <v>0</v>
      </c>
      <c r="AJ1242" s="1" t="s">
        <v>1635</v>
      </c>
      <c r="AK1242" s="2" t="s">
        <v>1635</v>
      </c>
      <c r="AL1242" s="4">
        <v>30</v>
      </c>
      <c r="AM1242" s="5">
        <v>15</v>
      </c>
      <c r="AN1242" s="4">
        <v>90</v>
      </c>
      <c r="AO1242">
        <v>0</v>
      </c>
      <c r="AP1242" s="4">
        <v>1</v>
      </c>
      <c r="AQ1242" t="s">
        <v>1619</v>
      </c>
      <c r="AR1242" t="s">
        <v>1620</v>
      </c>
      <c r="AT1242" s="16">
        <f>_xlfn.XLOOKUP(B1242,'SWiSH Demand Forecast Sep-26'!D:D,'SWiSH Demand Forecast Sep-26'!G:G,"Not Exist")</f>
        <v>1147</v>
      </c>
    </row>
    <row r="1243" spans="1:46" x14ac:dyDescent="0.3">
      <c r="A1243">
        <v>102200007</v>
      </c>
      <c r="B1243" t="s">
        <v>3107</v>
      </c>
      <c r="C1243" t="s">
        <v>10</v>
      </c>
      <c r="D1243" t="s">
        <v>1613</v>
      </c>
      <c r="E1243" t="s">
        <v>1926</v>
      </c>
      <c r="F1243" t="s">
        <v>1631</v>
      </c>
      <c r="G1243" t="s">
        <v>1624</v>
      </c>
      <c r="H1243" t="s">
        <v>2329</v>
      </c>
      <c r="I1243" t="s">
        <v>1634</v>
      </c>
      <c r="J1243" t="s">
        <v>10</v>
      </c>
      <c r="K1243">
        <v>174.86444</v>
      </c>
      <c r="L1243">
        <v>524.59331999999995</v>
      </c>
      <c r="M1243" s="1">
        <v>90</v>
      </c>
      <c r="N1243">
        <v>0</v>
      </c>
      <c r="O1243">
        <v>0</v>
      </c>
      <c r="P1243">
        <v>3</v>
      </c>
      <c r="Q1243" s="1">
        <v>3</v>
      </c>
      <c r="R1243">
        <v>150</v>
      </c>
      <c r="S1243" s="2">
        <v>45777</v>
      </c>
      <c r="T1243" s="2">
        <v>46213</v>
      </c>
      <c r="U1243">
        <v>0</v>
      </c>
      <c r="V1243">
        <v>1</v>
      </c>
      <c r="W1243">
        <v>0</v>
      </c>
      <c r="X1243">
        <v>1</v>
      </c>
      <c r="Y1243">
        <v>0</v>
      </c>
      <c r="Z1243" s="8">
        <v>1</v>
      </c>
      <c r="AA1243">
        <v>0.5</v>
      </c>
      <c r="AB1243">
        <v>0</v>
      </c>
      <c r="AC1243">
        <v>2</v>
      </c>
      <c r="AD1243" s="1">
        <v>90</v>
      </c>
      <c r="AE1243" s="2">
        <v>46338</v>
      </c>
      <c r="AF1243" s="2">
        <v>46346</v>
      </c>
      <c r="AG1243" s="2">
        <v>46353</v>
      </c>
      <c r="AH1243">
        <v>0</v>
      </c>
      <c r="AI1243" s="3">
        <v>0</v>
      </c>
      <c r="AJ1243" s="1" t="s">
        <v>1635</v>
      </c>
      <c r="AK1243" s="2" t="s">
        <v>1635</v>
      </c>
      <c r="AL1243" s="4">
        <v>120</v>
      </c>
      <c r="AM1243" s="5">
        <v>100</v>
      </c>
      <c r="AN1243" s="4">
        <v>90</v>
      </c>
      <c r="AO1243">
        <v>0</v>
      </c>
      <c r="AP1243" s="4">
        <v>1</v>
      </c>
      <c r="AQ1243" t="s">
        <v>1619</v>
      </c>
      <c r="AR1243" t="s">
        <v>1620</v>
      </c>
      <c r="AT1243" s="16" t="str">
        <f>_xlfn.XLOOKUP(B1243,'SWiSH Demand Forecast Sep-26'!D:D,'SWiSH Demand Forecast Sep-26'!G:G,"Not Exist")</f>
        <v>Not Exist</v>
      </c>
    </row>
    <row r="1244" spans="1:46" x14ac:dyDescent="0.3">
      <c r="A1244">
        <v>106800155</v>
      </c>
      <c r="B1244" t="s">
        <v>3108</v>
      </c>
      <c r="C1244" t="s">
        <v>10</v>
      </c>
      <c r="D1244" t="s">
        <v>1613</v>
      </c>
      <c r="E1244" t="s">
        <v>2587</v>
      </c>
      <c r="F1244" t="s">
        <v>1664</v>
      </c>
      <c r="G1244" t="s">
        <v>1624</v>
      </c>
      <c r="H1244" t="s">
        <v>1665</v>
      </c>
      <c r="I1244" t="s">
        <v>1634</v>
      </c>
      <c r="J1244" t="s">
        <v>10</v>
      </c>
      <c r="K1244">
        <v>4.0000000000000001E-3</v>
      </c>
      <c r="L1244">
        <v>60</v>
      </c>
      <c r="M1244" s="1">
        <v>7</v>
      </c>
      <c r="N1244">
        <v>0</v>
      </c>
      <c r="O1244">
        <v>0</v>
      </c>
      <c r="P1244">
        <v>15000</v>
      </c>
      <c r="Q1244" s="1">
        <v>15000</v>
      </c>
      <c r="R1244">
        <v>4.0000000000000001E-3</v>
      </c>
      <c r="S1244" s="2">
        <v>46089</v>
      </c>
      <c r="T1244" s="2">
        <v>46243</v>
      </c>
      <c r="U1244">
        <v>2500</v>
      </c>
      <c r="V1244">
        <v>5000</v>
      </c>
      <c r="W1244">
        <v>0</v>
      </c>
      <c r="X1244">
        <v>2500</v>
      </c>
      <c r="Y1244">
        <v>0</v>
      </c>
      <c r="Z1244" s="8">
        <v>5000</v>
      </c>
      <c r="AA1244">
        <v>2500</v>
      </c>
      <c r="AB1244">
        <v>0</v>
      </c>
      <c r="AC1244">
        <v>2</v>
      </c>
      <c r="AD1244" s="1">
        <v>90</v>
      </c>
      <c r="AE1244" s="2">
        <v>46338</v>
      </c>
      <c r="AF1244" s="2">
        <v>46346</v>
      </c>
      <c r="AG1244" s="2">
        <v>46353</v>
      </c>
      <c r="AH1244">
        <v>2500</v>
      </c>
      <c r="AI1244" s="3">
        <v>0.51724137931034486</v>
      </c>
      <c r="AJ1244" s="1">
        <v>174</v>
      </c>
      <c r="AK1244" s="2">
        <v>46437</v>
      </c>
      <c r="AL1244" s="4">
        <v>30</v>
      </c>
      <c r="AM1244" s="5">
        <v>15</v>
      </c>
      <c r="AN1244" s="4">
        <v>90</v>
      </c>
      <c r="AO1244">
        <v>2586.2068965517242</v>
      </c>
      <c r="AP1244" s="4">
        <v>1</v>
      </c>
      <c r="AQ1244" t="s">
        <v>1619</v>
      </c>
      <c r="AR1244" t="s">
        <v>1620</v>
      </c>
      <c r="AT1244" s="16" t="str">
        <f>_xlfn.XLOOKUP(B1244,'SWiSH Demand Forecast Sep-26'!D:D,'SWiSH Demand Forecast Sep-26'!G:G,"Not Exist")</f>
        <v>Not Exist</v>
      </c>
    </row>
    <row r="1245" spans="1:46" hidden="1" x14ac:dyDescent="0.3">
      <c r="A1245">
        <v>106800064</v>
      </c>
      <c r="B1245" t="s">
        <v>478</v>
      </c>
      <c r="C1245" t="s">
        <v>10</v>
      </c>
      <c r="D1245" t="s">
        <v>1613</v>
      </c>
      <c r="E1245" t="s">
        <v>1663</v>
      </c>
      <c r="F1245" t="s">
        <v>1664</v>
      </c>
      <c r="G1245" t="s">
        <v>1624</v>
      </c>
      <c r="H1245" t="s">
        <v>1665</v>
      </c>
      <c r="I1245" t="s">
        <v>1634</v>
      </c>
      <c r="J1245" t="s">
        <v>10</v>
      </c>
      <c r="K1245">
        <v>3.0000000000000001E-3</v>
      </c>
      <c r="L1245">
        <v>90</v>
      </c>
      <c r="M1245" s="1">
        <v>7</v>
      </c>
      <c r="N1245">
        <v>0</v>
      </c>
      <c r="O1245">
        <v>0</v>
      </c>
      <c r="P1245">
        <v>30000</v>
      </c>
      <c r="Q1245" s="1">
        <v>30000</v>
      </c>
      <c r="R1245">
        <v>3.0000000000000001E-3</v>
      </c>
      <c r="S1245" s="2">
        <v>46020</v>
      </c>
      <c r="T1245" s="2">
        <v>46246</v>
      </c>
      <c r="U1245">
        <v>10000</v>
      </c>
      <c r="V1245">
        <v>5000</v>
      </c>
      <c r="W1245">
        <v>10000</v>
      </c>
      <c r="X1245">
        <v>0</v>
      </c>
      <c r="Y1245">
        <v>0</v>
      </c>
      <c r="Z1245" s="8">
        <v>10000</v>
      </c>
      <c r="AA1245">
        <v>6250</v>
      </c>
      <c r="AB1245">
        <v>0</v>
      </c>
      <c r="AC1245">
        <v>1.6</v>
      </c>
      <c r="AD1245" s="1">
        <v>90</v>
      </c>
      <c r="AE1245" s="2">
        <v>46338</v>
      </c>
      <c r="AF1245" s="2">
        <v>46346</v>
      </c>
      <c r="AG1245" s="2">
        <v>46353</v>
      </c>
      <c r="AH1245">
        <v>5000</v>
      </c>
      <c r="AI1245" s="3">
        <v>0.51724137931034486</v>
      </c>
      <c r="AJ1245" s="1">
        <v>174</v>
      </c>
      <c r="AK1245" s="2">
        <v>46437</v>
      </c>
      <c r="AL1245" s="4">
        <v>30</v>
      </c>
      <c r="AM1245" s="5">
        <v>15</v>
      </c>
      <c r="AN1245" s="4">
        <v>90</v>
      </c>
      <c r="AO1245">
        <v>5172.4137931034484</v>
      </c>
      <c r="AP1245" s="4">
        <v>1</v>
      </c>
      <c r="AQ1245" t="s">
        <v>1619</v>
      </c>
      <c r="AR1245" t="s">
        <v>1620</v>
      </c>
      <c r="AT1245" s="16">
        <f>_xlfn.XLOOKUP(B1245,'SWiSH Demand Forecast Sep-26'!D:D,'SWiSH Demand Forecast Sep-26'!G:G,"Not Exist")</f>
        <v>1754</v>
      </c>
    </row>
    <row r="1246" spans="1:46" hidden="1" x14ac:dyDescent="0.3">
      <c r="A1246">
        <v>106800251</v>
      </c>
      <c r="B1246" t="s">
        <v>558</v>
      </c>
      <c r="C1246" t="s">
        <v>10</v>
      </c>
      <c r="D1246" t="s">
        <v>1613</v>
      </c>
      <c r="E1246" t="s">
        <v>1926</v>
      </c>
      <c r="F1246" t="s">
        <v>1664</v>
      </c>
      <c r="G1246" t="s">
        <v>1624</v>
      </c>
      <c r="H1246" t="s">
        <v>1665</v>
      </c>
      <c r="I1246" t="s">
        <v>1634</v>
      </c>
      <c r="J1246" t="s">
        <v>10</v>
      </c>
      <c r="K1246">
        <v>4.0000000000000001E-3</v>
      </c>
      <c r="L1246">
        <v>60</v>
      </c>
      <c r="M1246" s="1">
        <v>7</v>
      </c>
      <c r="N1246">
        <v>0</v>
      </c>
      <c r="O1246">
        <v>0</v>
      </c>
      <c r="P1246">
        <v>15000</v>
      </c>
      <c r="Q1246" s="1">
        <v>15000</v>
      </c>
      <c r="R1246">
        <v>4.0000000000000001E-3</v>
      </c>
      <c r="S1246" s="2">
        <v>45963</v>
      </c>
      <c r="T1246" s="2">
        <v>46211</v>
      </c>
      <c r="U1246">
        <v>2500</v>
      </c>
      <c r="V1246">
        <v>5000</v>
      </c>
      <c r="W1246">
        <v>0</v>
      </c>
      <c r="X1246">
        <v>500</v>
      </c>
      <c r="Y1246">
        <v>0</v>
      </c>
      <c r="Z1246" s="8">
        <v>5000</v>
      </c>
      <c r="AA1246">
        <v>2000</v>
      </c>
      <c r="AB1246">
        <v>0</v>
      </c>
      <c r="AC1246">
        <v>2.5</v>
      </c>
      <c r="AD1246" s="1">
        <v>90</v>
      </c>
      <c r="AE1246" s="2">
        <v>46338</v>
      </c>
      <c r="AF1246" s="2">
        <v>46346</v>
      </c>
      <c r="AG1246" s="2">
        <v>46353</v>
      </c>
      <c r="AH1246">
        <v>0</v>
      </c>
      <c r="AI1246" s="3">
        <v>0</v>
      </c>
      <c r="AJ1246" s="1" t="s">
        <v>1635</v>
      </c>
      <c r="AK1246" s="2" t="s">
        <v>1635</v>
      </c>
      <c r="AL1246" s="4">
        <v>30</v>
      </c>
      <c r="AM1246" s="5">
        <v>15</v>
      </c>
      <c r="AN1246" s="4">
        <v>90</v>
      </c>
      <c r="AO1246">
        <v>0</v>
      </c>
      <c r="AP1246" s="4">
        <v>1</v>
      </c>
      <c r="AQ1246" t="s">
        <v>1619</v>
      </c>
      <c r="AR1246" t="s">
        <v>1620</v>
      </c>
      <c r="AT1246" s="16">
        <f>_xlfn.XLOOKUP(B1246,'SWiSH Demand Forecast Sep-26'!D:D,'SWiSH Demand Forecast Sep-26'!G:G,"Not Exist")</f>
        <v>1213</v>
      </c>
    </row>
    <row r="1247" spans="1:46" hidden="1" x14ac:dyDescent="0.3">
      <c r="A1247">
        <v>106200115</v>
      </c>
      <c r="B1247" t="s">
        <v>1395</v>
      </c>
      <c r="C1247" t="s">
        <v>240</v>
      </c>
      <c r="D1247" t="s">
        <v>1613</v>
      </c>
      <c r="E1247" t="s">
        <v>1677</v>
      </c>
      <c r="F1247" t="s">
        <v>1840</v>
      </c>
      <c r="G1247" t="s">
        <v>1616</v>
      </c>
      <c r="H1247" t="s">
        <v>1672</v>
      </c>
      <c r="I1247" t="s">
        <v>1618</v>
      </c>
      <c r="J1247" t="s">
        <v>240</v>
      </c>
      <c r="K1247">
        <v>1.6354187499999999</v>
      </c>
      <c r="L1247">
        <v>141.30018000000001</v>
      </c>
      <c r="M1247" s="1">
        <v>3</v>
      </c>
      <c r="N1247">
        <v>0</v>
      </c>
      <c r="O1247">
        <v>0</v>
      </c>
      <c r="P1247">
        <v>86.4</v>
      </c>
      <c r="Q1247" s="1">
        <v>86.4</v>
      </c>
      <c r="R1247">
        <v>2.6166700000000001</v>
      </c>
      <c r="S1247" s="2">
        <v>46145</v>
      </c>
      <c r="T1247" s="2">
        <v>46212</v>
      </c>
      <c r="U1247">
        <v>28.799999999999997</v>
      </c>
      <c r="V1247">
        <v>28.799999999999997</v>
      </c>
      <c r="W1247">
        <v>19.2</v>
      </c>
      <c r="X1247">
        <v>14.4</v>
      </c>
      <c r="Y1247">
        <v>14.4</v>
      </c>
      <c r="Z1247" s="8">
        <v>28.799999999999997</v>
      </c>
      <c r="AA1247">
        <v>22.8</v>
      </c>
      <c r="AB1247">
        <v>0.63157894736842102</v>
      </c>
      <c r="AC1247">
        <v>1.263157894736842</v>
      </c>
      <c r="AD1247" s="1">
        <v>90</v>
      </c>
      <c r="AE1247" s="2">
        <v>46338</v>
      </c>
      <c r="AF1247" s="2">
        <v>46346</v>
      </c>
      <c r="AG1247" s="2">
        <v>46353</v>
      </c>
      <c r="AH1247">
        <v>0</v>
      </c>
      <c r="AI1247" s="3">
        <v>0</v>
      </c>
      <c r="AJ1247" s="1" t="s">
        <v>1635</v>
      </c>
      <c r="AK1247" s="2" t="s">
        <v>1635</v>
      </c>
      <c r="AL1247" s="4">
        <v>30</v>
      </c>
      <c r="AM1247" s="5">
        <v>15</v>
      </c>
      <c r="AN1247" s="4">
        <v>90</v>
      </c>
      <c r="AO1247">
        <v>0</v>
      </c>
      <c r="AP1247" s="4">
        <v>1</v>
      </c>
      <c r="AQ1247" t="s">
        <v>1619</v>
      </c>
      <c r="AR1247" t="s">
        <v>1620</v>
      </c>
      <c r="AT1247" s="16">
        <f>_xlfn.XLOOKUP(B1247,'SWiSH Demand Forecast Sep-26'!D:D,'SWiSH Demand Forecast Sep-26'!G:G,"Not Exist")</f>
        <v>14.319539604314899</v>
      </c>
    </row>
    <row r="1248" spans="1:46" hidden="1" x14ac:dyDescent="0.3">
      <c r="A1248">
        <v>100400088</v>
      </c>
      <c r="B1248" t="s">
        <v>611</v>
      </c>
      <c r="C1248" t="s">
        <v>10</v>
      </c>
      <c r="D1248" t="s">
        <v>1613</v>
      </c>
      <c r="E1248" t="s">
        <v>1775</v>
      </c>
      <c r="F1248" t="s">
        <v>1664</v>
      </c>
      <c r="G1248" t="s">
        <v>1624</v>
      </c>
      <c r="H1248" t="s">
        <v>1810</v>
      </c>
      <c r="I1248" t="s">
        <v>1634</v>
      </c>
      <c r="J1248" t="s">
        <v>10</v>
      </c>
      <c r="K1248">
        <v>5.3999999999999999E-2</v>
      </c>
      <c r="L1248">
        <v>375.3</v>
      </c>
      <c r="M1248" s="1">
        <v>30</v>
      </c>
      <c r="N1248">
        <v>0</v>
      </c>
      <c r="O1248">
        <v>0</v>
      </c>
      <c r="P1248">
        <v>6950</v>
      </c>
      <c r="Q1248" s="1">
        <v>6950</v>
      </c>
      <c r="R1248">
        <v>5.3999999999999999E-2</v>
      </c>
      <c r="S1248" s="2">
        <v>46238</v>
      </c>
      <c r="T1248" s="2">
        <v>46259</v>
      </c>
      <c r="U1248">
        <v>900</v>
      </c>
      <c r="V1248">
        <v>300</v>
      </c>
      <c r="W1248">
        <v>1500</v>
      </c>
      <c r="X1248">
        <v>2300</v>
      </c>
      <c r="Y1248">
        <v>300</v>
      </c>
      <c r="Z1248" s="8">
        <v>2300</v>
      </c>
      <c r="AA1248">
        <v>1250</v>
      </c>
      <c r="AB1248">
        <v>0.24</v>
      </c>
      <c r="AC1248">
        <v>1.84</v>
      </c>
      <c r="AD1248" s="1">
        <v>90</v>
      </c>
      <c r="AE1248" s="2">
        <v>46338</v>
      </c>
      <c r="AF1248" s="2">
        <v>46346</v>
      </c>
      <c r="AG1248" s="2">
        <v>46353</v>
      </c>
      <c r="AH1248">
        <v>2600</v>
      </c>
      <c r="AI1248" s="3">
        <v>1.169415292353823</v>
      </c>
      <c r="AJ1248" s="1">
        <v>77</v>
      </c>
      <c r="AK1248" s="2">
        <v>46340</v>
      </c>
      <c r="AL1248" s="4">
        <v>30</v>
      </c>
      <c r="AM1248" s="5">
        <v>15</v>
      </c>
      <c r="AN1248" s="4">
        <v>77</v>
      </c>
      <c r="AO1248">
        <v>2689.655172413793</v>
      </c>
      <c r="AP1248" s="4">
        <v>1</v>
      </c>
      <c r="AQ1248" t="s">
        <v>1619</v>
      </c>
      <c r="AR1248" t="s">
        <v>3109</v>
      </c>
      <c r="AT1248" s="16">
        <f>_xlfn.XLOOKUP(B1248,'SWiSH Demand Forecast Sep-26'!D:D,'SWiSH Demand Forecast Sep-26'!G:G,"Not Exist")</f>
        <v>971</v>
      </c>
    </row>
    <row r="1249" spans="1:46" hidden="1" x14ac:dyDescent="0.3">
      <c r="A1249">
        <v>106800070</v>
      </c>
      <c r="B1249" t="s">
        <v>300</v>
      </c>
      <c r="C1249" t="s">
        <v>10</v>
      </c>
      <c r="D1249" t="s">
        <v>1613</v>
      </c>
      <c r="E1249" t="s">
        <v>1655</v>
      </c>
      <c r="F1249" t="s">
        <v>1664</v>
      </c>
      <c r="G1249" t="s">
        <v>1624</v>
      </c>
      <c r="H1249" t="s">
        <v>1665</v>
      </c>
      <c r="I1249" t="s">
        <v>1634</v>
      </c>
      <c r="J1249" t="s">
        <v>10</v>
      </c>
      <c r="K1249">
        <v>5.0000000000000001E-3</v>
      </c>
      <c r="L1249">
        <v>90</v>
      </c>
      <c r="M1249" s="1">
        <v>7</v>
      </c>
      <c r="N1249">
        <v>0</v>
      </c>
      <c r="O1249">
        <v>0</v>
      </c>
      <c r="P1249">
        <v>18000</v>
      </c>
      <c r="Q1249" s="1">
        <v>18000</v>
      </c>
      <c r="R1249">
        <v>5.0000000000000001E-3</v>
      </c>
      <c r="S1249" s="2">
        <v>46167</v>
      </c>
      <c r="T1249" s="2">
        <v>46257</v>
      </c>
      <c r="U1249">
        <v>5000</v>
      </c>
      <c r="V1249">
        <v>4000</v>
      </c>
      <c r="W1249">
        <v>6000</v>
      </c>
      <c r="X1249">
        <v>5000</v>
      </c>
      <c r="Y1249">
        <v>4000</v>
      </c>
      <c r="Z1249" s="8">
        <v>6000</v>
      </c>
      <c r="AA1249">
        <v>5000</v>
      </c>
      <c r="AB1249">
        <v>0.8</v>
      </c>
      <c r="AC1249">
        <v>1.2</v>
      </c>
      <c r="AD1249" s="1">
        <v>90</v>
      </c>
      <c r="AE1249" s="2">
        <v>46338</v>
      </c>
      <c r="AF1249" s="2">
        <v>46346</v>
      </c>
      <c r="AG1249" s="2">
        <v>46353</v>
      </c>
      <c r="AH1249">
        <v>5000</v>
      </c>
      <c r="AI1249" s="3">
        <v>0.86206896551724144</v>
      </c>
      <c r="AJ1249" s="1">
        <v>104</v>
      </c>
      <c r="AK1249" s="2">
        <v>46367</v>
      </c>
      <c r="AL1249" s="4">
        <v>30</v>
      </c>
      <c r="AM1249" s="5">
        <v>15</v>
      </c>
      <c r="AN1249" s="4">
        <v>90</v>
      </c>
      <c r="AO1249">
        <v>5172.4137931034484</v>
      </c>
      <c r="AP1249" s="4">
        <v>1</v>
      </c>
      <c r="AQ1249" t="s">
        <v>1619</v>
      </c>
      <c r="AR1249" t="s">
        <v>1620</v>
      </c>
      <c r="AT1249" s="16">
        <f>_xlfn.XLOOKUP(B1249,'SWiSH Demand Forecast Sep-26'!D:D,'SWiSH Demand Forecast Sep-26'!G:G,"Not Exist")</f>
        <v>4990</v>
      </c>
    </row>
    <row r="1250" spans="1:46" x14ac:dyDescent="0.3">
      <c r="A1250">
        <v>105200003</v>
      </c>
      <c r="B1250" t="s">
        <v>3110</v>
      </c>
      <c r="C1250" t="s">
        <v>10</v>
      </c>
      <c r="D1250" t="s">
        <v>1613</v>
      </c>
      <c r="E1250" t="s">
        <v>1926</v>
      </c>
      <c r="F1250" t="s">
        <v>1664</v>
      </c>
      <c r="G1250" t="s">
        <v>1624</v>
      </c>
      <c r="H1250" t="s">
        <v>1779</v>
      </c>
      <c r="I1250" t="s">
        <v>1634</v>
      </c>
      <c r="J1250" t="s">
        <v>10</v>
      </c>
      <c r="K1250">
        <v>3.6586670000000002E-2</v>
      </c>
      <c r="L1250">
        <v>603.68005500000004</v>
      </c>
      <c r="M1250" s="1">
        <v>30</v>
      </c>
      <c r="N1250">
        <v>0</v>
      </c>
      <c r="O1250">
        <v>0</v>
      </c>
      <c r="P1250">
        <v>16500</v>
      </c>
      <c r="Q1250" s="1">
        <v>16500</v>
      </c>
      <c r="R1250">
        <v>0.04</v>
      </c>
      <c r="S1250" s="2">
        <v>46246</v>
      </c>
      <c r="T1250" s="2">
        <v>46263</v>
      </c>
      <c r="U1250">
        <v>4750</v>
      </c>
      <c r="V1250">
        <v>5500</v>
      </c>
      <c r="W1250">
        <v>5350</v>
      </c>
      <c r="X1250">
        <v>4000</v>
      </c>
      <c r="Y1250">
        <v>4000</v>
      </c>
      <c r="Z1250" s="8">
        <v>5500</v>
      </c>
      <c r="AA1250">
        <v>4900</v>
      </c>
      <c r="AB1250">
        <v>0.81632653061224492</v>
      </c>
      <c r="AC1250">
        <v>1.1224489795918366</v>
      </c>
      <c r="AD1250" s="1">
        <v>90</v>
      </c>
      <c r="AE1250" s="2">
        <v>46338</v>
      </c>
      <c r="AF1250" s="2">
        <v>46346</v>
      </c>
      <c r="AG1250" s="2">
        <v>46353</v>
      </c>
      <c r="AH1250">
        <v>4000</v>
      </c>
      <c r="AI1250" s="3">
        <v>0.75235109717868331</v>
      </c>
      <c r="AJ1250" s="1">
        <v>119</v>
      </c>
      <c r="AK1250" s="2">
        <v>46382</v>
      </c>
      <c r="AL1250" s="4">
        <v>30</v>
      </c>
      <c r="AM1250" s="5">
        <v>15</v>
      </c>
      <c r="AN1250" s="4">
        <v>90</v>
      </c>
      <c r="AO1250">
        <v>4137.9310344827582</v>
      </c>
      <c r="AP1250" s="4">
        <v>1</v>
      </c>
      <c r="AQ1250">
        <v>400</v>
      </c>
      <c r="AR1250" t="s">
        <v>2032</v>
      </c>
      <c r="AT1250" s="16" t="str">
        <f>_xlfn.XLOOKUP(B1250,'SWiSH Demand Forecast Sep-26'!D:D,'SWiSH Demand Forecast Sep-26'!G:G,"Not Exist")</f>
        <v>Not Exist</v>
      </c>
    </row>
    <row r="1251" spans="1:46" hidden="1" x14ac:dyDescent="0.3">
      <c r="A1251">
        <v>101600029</v>
      </c>
      <c r="B1251" t="s">
        <v>703</v>
      </c>
      <c r="C1251" t="s">
        <v>10</v>
      </c>
      <c r="D1251" t="s">
        <v>1613</v>
      </c>
      <c r="E1251" t="s">
        <v>3111</v>
      </c>
      <c r="F1251" t="s">
        <v>1631</v>
      </c>
      <c r="G1251" t="s">
        <v>1624</v>
      </c>
      <c r="H1251" t="s">
        <v>1768</v>
      </c>
      <c r="I1251" t="s">
        <v>1634</v>
      </c>
      <c r="J1251" t="s">
        <v>2226</v>
      </c>
      <c r="K1251">
        <v>1.8009259999999999E-2</v>
      </c>
      <c r="L1251">
        <v>97.25000399999999</v>
      </c>
      <c r="M1251" s="1">
        <v>3</v>
      </c>
      <c r="N1251">
        <v>0</v>
      </c>
      <c r="O1251">
        <v>0</v>
      </c>
      <c r="P1251">
        <v>5400</v>
      </c>
      <c r="Q1251" s="1">
        <v>5400</v>
      </c>
      <c r="R1251">
        <v>5.75</v>
      </c>
      <c r="S1251" s="2">
        <v>46181</v>
      </c>
      <c r="T1251" s="2">
        <v>46261</v>
      </c>
      <c r="U1251">
        <v>1800</v>
      </c>
      <c r="V1251">
        <v>1500</v>
      </c>
      <c r="W1251">
        <v>900</v>
      </c>
      <c r="X1251">
        <v>300</v>
      </c>
      <c r="Y1251">
        <v>300</v>
      </c>
      <c r="Z1251" s="8">
        <v>1800</v>
      </c>
      <c r="AA1251">
        <v>1125</v>
      </c>
      <c r="AB1251">
        <v>0.26666666666666666</v>
      </c>
      <c r="AC1251">
        <v>1.6</v>
      </c>
      <c r="AD1251" s="1">
        <v>90</v>
      </c>
      <c r="AE1251" s="2">
        <v>46338</v>
      </c>
      <c r="AF1251" s="2">
        <v>46346</v>
      </c>
      <c r="AG1251" s="2">
        <v>46353</v>
      </c>
      <c r="AH1251">
        <v>900</v>
      </c>
      <c r="AI1251" s="3">
        <v>0.51724137931034486</v>
      </c>
      <c r="AJ1251" s="1">
        <v>174</v>
      </c>
      <c r="AK1251" s="2">
        <v>46437</v>
      </c>
      <c r="AL1251" s="4">
        <v>15</v>
      </c>
      <c r="AM1251" s="5">
        <v>15</v>
      </c>
      <c r="AN1251" s="4">
        <v>90</v>
      </c>
      <c r="AO1251">
        <v>465.51724137931035</v>
      </c>
      <c r="AP1251" s="4">
        <v>2</v>
      </c>
      <c r="AQ1251" t="s">
        <v>1619</v>
      </c>
      <c r="AR1251" t="s">
        <v>1620</v>
      </c>
      <c r="AT1251" s="16">
        <f>_xlfn.XLOOKUP(B1251,'SWiSH Demand Forecast Sep-26'!D:D,'SWiSH Demand Forecast Sep-26'!G:G,"Not Exist")</f>
        <v>618</v>
      </c>
    </row>
    <row r="1252" spans="1:46" hidden="1" x14ac:dyDescent="0.3">
      <c r="A1252">
        <v>100400220</v>
      </c>
      <c r="B1252" t="s">
        <v>459</v>
      </c>
      <c r="C1252" t="s">
        <v>10</v>
      </c>
      <c r="D1252" t="s">
        <v>1613</v>
      </c>
      <c r="E1252" t="s">
        <v>1775</v>
      </c>
      <c r="F1252" t="s">
        <v>1664</v>
      </c>
      <c r="G1252" t="s">
        <v>1624</v>
      </c>
      <c r="H1252" t="s">
        <v>1810</v>
      </c>
      <c r="I1252" t="s">
        <v>1634</v>
      </c>
      <c r="J1252" t="s">
        <v>10</v>
      </c>
      <c r="K1252">
        <v>5.9978699999999998E-3</v>
      </c>
      <c r="L1252">
        <v>175.43769749999998</v>
      </c>
      <c r="M1252" s="1">
        <v>30</v>
      </c>
      <c r="N1252">
        <v>0</v>
      </c>
      <c r="O1252">
        <v>0</v>
      </c>
      <c r="P1252">
        <v>29250</v>
      </c>
      <c r="Q1252" s="1">
        <v>29250</v>
      </c>
      <c r="R1252">
        <v>6.0000000000000001E-3</v>
      </c>
      <c r="S1252" s="2">
        <v>46235</v>
      </c>
      <c r="T1252" s="2">
        <v>46263</v>
      </c>
      <c r="U1252">
        <v>9200</v>
      </c>
      <c r="V1252">
        <v>9650.4</v>
      </c>
      <c r="W1252">
        <v>7800</v>
      </c>
      <c r="X1252">
        <v>1950</v>
      </c>
      <c r="Y1252">
        <v>1950</v>
      </c>
      <c r="Z1252" s="8">
        <v>9650.4</v>
      </c>
      <c r="AA1252">
        <v>7150.1</v>
      </c>
      <c r="AB1252">
        <v>0.27272345841316903</v>
      </c>
      <c r="AC1252">
        <v>1.3496874169592032</v>
      </c>
      <c r="AD1252" s="1">
        <v>90</v>
      </c>
      <c r="AE1252" s="2">
        <v>46338</v>
      </c>
      <c r="AF1252" s="2">
        <v>46346</v>
      </c>
      <c r="AG1252" s="2">
        <v>46353</v>
      </c>
      <c r="AH1252">
        <v>1950</v>
      </c>
      <c r="AI1252" s="3">
        <v>0.2090318929070655</v>
      </c>
      <c r="AJ1252" s="1">
        <v>435</v>
      </c>
      <c r="AK1252" s="2">
        <v>46698</v>
      </c>
      <c r="AL1252" s="4">
        <v>30</v>
      </c>
      <c r="AM1252" s="5">
        <v>15</v>
      </c>
      <c r="AN1252" s="4">
        <v>90</v>
      </c>
      <c r="AO1252">
        <v>2017.2413793103449</v>
      </c>
      <c r="AP1252" s="4">
        <v>1</v>
      </c>
      <c r="AQ1252">
        <v>750</v>
      </c>
      <c r="AR1252" t="s">
        <v>2521</v>
      </c>
      <c r="AT1252" s="16">
        <f>_xlfn.XLOOKUP(B1252,'SWiSH Demand Forecast Sep-26'!D:D,'SWiSH Demand Forecast Sep-26'!G:G,"Not Exist")</f>
        <v>1956.2</v>
      </c>
    </row>
    <row r="1253" spans="1:46" hidden="1" x14ac:dyDescent="0.3">
      <c r="A1253">
        <v>106800098</v>
      </c>
      <c r="B1253" t="s">
        <v>540</v>
      </c>
      <c r="C1253" t="s">
        <v>10</v>
      </c>
      <c r="D1253" t="s">
        <v>1613</v>
      </c>
      <c r="E1253" t="s">
        <v>1655</v>
      </c>
      <c r="F1253" t="s">
        <v>1664</v>
      </c>
      <c r="G1253" t="s">
        <v>1624</v>
      </c>
      <c r="H1253" t="s">
        <v>1665</v>
      </c>
      <c r="I1253" t="s">
        <v>1634</v>
      </c>
      <c r="J1253" t="s">
        <v>10</v>
      </c>
      <c r="K1253">
        <v>4.4999999999999997E-3</v>
      </c>
      <c r="L1253">
        <v>233.99999999999997</v>
      </c>
      <c r="M1253" s="1">
        <v>7</v>
      </c>
      <c r="N1253">
        <v>0</v>
      </c>
      <c r="O1253">
        <v>0</v>
      </c>
      <c r="P1253">
        <v>52000</v>
      </c>
      <c r="Q1253" s="1">
        <v>52000</v>
      </c>
      <c r="R1253">
        <v>4.4999999999999997E-3</v>
      </c>
      <c r="S1253" s="2">
        <v>46250</v>
      </c>
      <c r="T1253" s="2">
        <v>46254</v>
      </c>
      <c r="U1253">
        <v>17000</v>
      </c>
      <c r="V1253">
        <v>17000</v>
      </c>
      <c r="W1253">
        <v>12000</v>
      </c>
      <c r="X1253">
        <v>12000</v>
      </c>
      <c r="Y1253">
        <v>12000</v>
      </c>
      <c r="Z1253" s="8">
        <v>17000</v>
      </c>
      <c r="AA1253">
        <v>14500</v>
      </c>
      <c r="AB1253">
        <v>0.82758620689655171</v>
      </c>
      <c r="AC1253">
        <v>1.1724137931034482</v>
      </c>
      <c r="AD1253" s="1">
        <v>91</v>
      </c>
      <c r="AE1253" s="2">
        <v>46339</v>
      </c>
      <c r="AF1253" s="2">
        <v>46347</v>
      </c>
      <c r="AG1253" s="2">
        <v>46354</v>
      </c>
      <c r="AH1253">
        <v>8000</v>
      </c>
      <c r="AI1253" s="3">
        <v>0.48681541582150095</v>
      </c>
      <c r="AJ1253" s="1">
        <v>188</v>
      </c>
      <c r="AK1253" s="2">
        <v>46451</v>
      </c>
      <c r="AL1253" s="4">
        <v>30</v>
      </c>
      <c r="AM1253" s="5">
        <v>15</v>
      </c>
      <c r="AN1253" s="4">
        <v>91</v>
      </c>
      <c r="AO1253">
        <v>8275.8620689655163</v>
      </c>
      <c r="AP1253" s="4">
        <v>1</v>
      </c>
      <c r="AQ1253">
        <v>70000</v>
      </c>
      <c r="AR1253" t="s">
        <v>1829</v>
      </c>
      <c r="AT1253" s="16">
        <f>_xlfn.XLOOKUP(B1253,'SWiSH Demand Forecast Sep-26'!D:D,'SWiSH Demand Forecast Sep-26'!G:G,"Not Exist")</f>
        <v>1315</v>
      </c>
    </row>
    <row r="1254" spans="1:46" x14ac:dyDescent="0.3">
      <c r="A1254">
        <v>106600057</v>
      </c>
      <c r="B1254" t="s">
        <v>3112</v>
      </c>
      <c r="C1254" t="s">
        <v>10</v>
      </c>
      <c r="D1254" t="s">
        <v>1613</v>
      </c>
      <c r="E1254" t="s">
        <v>1685</v>
      </c>
      <c r="F1254" t="s">
        <v>1664</v>
      </c>
      <c r="G1254" t="s">
        <v>1624</v>
      </c>
      <c r="H1254" t="s">
        <v>1723</v>
      </c>
      <c r="I1254" t="s">
        <v>1634</v>
      </c>
      <c r="J1254" t="s">
        <v>10</v>
      </c>
      <c r="K1254">
        <v>1.0999999999999999E-2</v>
      </c>
      <c r="L1254">
        <v>63.8</v>
      </c>
      <c r="M1254" s="1">
        <v>15</v>
      </c>
      <c r="N1254">
        <v>0</v>
      </c>
      <c r="O1254">
        <v>0</v>
      </c>
      <c r="P1254">
        <v>5800</v>
      </c>
      <c r="Q1254" s="1">
        <v>5800</v>
      </c>
      <c r="R1254">
        <v>1.0999999999999999E-2</v>
      </c>
      <c r="S1254" s="2">
        <v>46243</v>
      </c>
      <c r="T1254" s="2">
        <v>46262</v>
      </c>
      <c r="U1254">
        <v>1500</v>
      </c>
      <c r="V1254">
        <v>1900</v>
      </c>
      <c r="W1254">
        <v>900</v>
      </c>
      <c r="X1254">
        <v>1500</v>
      </c>
      <c r="Y1254">
        <v>900</v>
      </c>
      <c r="Z1254" s="8">
        <v>1900</v>
      </c>
      <c r="AA1254">
        <v>1450</v>
      </c>
      <c r="AB1254">
        <v>0.62068965517241381</v>
      </c>
      <c r="AC1254">
        <v>1.3103448275862069</v>
      </c>
      <c r="AD1254" s="1">
        <v>91</v>
      </c>
      <c r="AE1254" s="2">
        <v>46339</v>
      </c>
      <c r="AF1254" s="2">
        <v>46347</v>
      </c>
      <c r="AG1254" s="2">
        <v>46354</v>
      </c>
      <c r="AH1254">
        <v>1200</v>
      </c>
      <c r="AI1254" s="3">
        <v>0.65335753176043565</v>
      </c>
      <c r="AJ1254" s="1">
        <v>140</v>
      </c>
      <c r="AK1254" s="2">
        <v>46403</v>
      </c>
      <c r="AL1254" s="4">
        <v>30</v>
      </c>
      <c r="AM1254" s="5">
        <v>15</v>
      </c>
      <c r="AN1254" s="4">
        <v>91</v>
      </c>
      <c r="AO1254">
        <v>1241.3793103448277</v>
      </c>
      <c r="AP1254" s="4">
        <v>1</v>
      </c>
      <c r="AQ1254">
        <v>10000</v>
      </c>
      <c r="AR1254" t="s">
        <v>2215</v>
      </c>
      <c r="AT1254" s="16" t="str">
        <f>_xlfn.XLOOKUP(B1254,'SWiSH Demand Forecast Sep-26'!D:D,'SWiSH Demand Forecast Sep-26'!G:G,"Not Exist")</f>
        <v>Not Exist</v>
      </c>
    </row>
    <row r="1255" spans="1:46" hidden="1" x14ac:dyDescent="0.3">
      <c r="A1255">
        <v>100400107</v>
      </c>
      <c r="B1255" t="s">
        <v>592</v>
      </c>
      <c r="C1255" t="s">
        <v>10</v>
      </c>
      <c r="D1255" t="s">
        <v>1613</v>
      </c>
      <c r="E1255" t="s">
        <v>1926</v>
      </c>
      <c r="F1255" t="s">
        <v>1664</v>
      </c>
      <c r="G1255" t="s">
        <v>1624</v>
      </c>
      <c r="H1255" t="s">
        <v>1810</v>
      </c>
      <c r="I1255" t="s">
        <v>1634</v>
      </c>
      <c r="J1255" t="s">
        <v>10</v>
      </c>
      <c r="K1255">
        <v>3.0036009999999998E-2</v>
      </c>
      <c r="L1255">
        <v>102.122434</v>
      </c>
      <c r="M1255" s="1">
        <v>30</v>
      </c>
      <c r="N1255">
        <v>0</v>
      </c>
      <c r="O1255">
        <v>0</v>
      </c>
      <c r="P1255">
        <v>3400</v>
      </c>
      <c r="Q1255" s="1">
        <v>3400</v>
      </c>
      <c r="R1255">
        <v>0.03</v>
      </c>
      <c r="S1255" s="2">
        <v>46149</v>
      </c>
      <c r="T1255" s="2">
        <v>46250</v>
      </c>
      <c r="U1255">
        <v>1100</v>
      </c>
      <c r="V1255">
        <v>1100</v>
      </c>
      <c r="W1255">
        <v>1100</v>
      </c>
      <c r="X1255">
        <v>550</v>
      </c>
      <c r="Y1255">
        <v>550</v>
      </c>
      <c r="Z1255" s="8">
        <v>1100</v>
      </c>
      <c r="AA1255">
        <v>962.5</v>
      </c>
      <c r="AB1255">
        <v>0.5714285714285714</v>
      </c>
      <c r="AC1255">
        <v>1.1428571428571428</v>
      </c>
      <c r="AD1255" s="1">
        <v>92</v>
      </c>
      <c r="AE1255" s="2">
        <v>46340</v>
      </c>
      <c r="AF1255" s="2">
        <v>46348</v>
      </c>
      <c r="AG1255" s="2">
        <v>46355</v>
      </c>
      <c r="AH1255">
        <v>1100</v>
      </c>
      <c r="AI1255" s="3">
        <v>1.0344827586206897</v>
      </c>
      <c r="AJ1255" s="1">
        <v>89</v>
      </c>
      <c r="AK1255" s="2">
        <v>46352</v>
      </c>
      <c r="AL1255" s="4">
        <v>30</v>
      </c>
      <c r="AM1255" s="5">
        <v>15</v>
      </c>
      <c r="AN1255" s="4">
        <v>89</v>
      </c>
      <c r="AO1255">
        <v>1137.9310344827586</v>
      </c>
      <c r="AP1255" s="4">
        <v>1</v>
      </c>
      <c r="AQ1255" t="s">
        <v>1619</v>
      </c>
      <c r="AR1255" t="s">
        <v>1620</v>
      </c>
      <c r="AT1255" s="16">
        <f>_xlfn.XLOOKUP(B1255,'SWiSH Demand Forecast Sep-26'!D:D,'SWiSH Demand Forecast Sep-26'!G:G,"Not Exist")</f>
        <v>1054</v>
      </c>
    </row>
    <row r="1256" spans="1:46" x14ac:dyDescent="0.3">
      <c r="A1256">
        <v>106700094</v>
      </c>
      <c r="B1256" t="s">
        <v>3113</v>
      </c>
      <c r="C1256" t="s">
        <v>10</v>
      </c>
      <c r="D1256" t="s">
        <v>1613</v>
      </c>
      <c r="E1256" t="s">
        <v>1643</v>
      </c>
      <c r="F1256" t="s">
        <v>1650</v>
      </c>
      <c r="G1256" t="s">
        <v>1624</v>
      </c>
      <c r="H1256" t="s">
        <v>1651</v>
      </c>
      <c r="I1256" t="s">
        <v>1634</v>
      </c>
      <c r="J1256" t="s">
        <v>10</v>
      </c>
      <c r="K1256">
        <v>0.6</v>
      </c>
      <c r="L1256">
        <v>37.199999999999996</v>
      </c>
      <c r="M1256" s="1">
        <v>3</v>
      </c>
      <c r="N1256">
        <v>0</v>
      </c>
      <c r="O1256">
        <v>0</v>
      </c>
      <c r="P1256">
        <v>62</v>
      </c>
      <c r="Q1256" s="1">
        <v>62</v>
      </c>
      <c r="R1256">
        <v>0.6</v>
      </c>
      <c r="S1256" s="2">
        <v>46100</v>
      </c>
      <c r="T1256" s="2">
        <v>46197</v>
      </c>
      <c r="U1256">
        <v>0</v>
      </c>
      <c r="V1256">
        <v>0</v>
      </c>
      <c r="W1256">
        <v>20</v>
      </c>
      <c r="X1256">
        <v>0</v>
      </c>
      <c r="Y1256">
        <v>0</v>
      </c>
      <c r="Z1256" s="8">
        <v>20</v>
      </c>
      <c r="AA1256">
        <v>5</v>
      </c>
      <c r="AB1256">
        <v>0</v>
      </c>
      <c r="AC1256">
        <v>4</v>
      </c>
      <c r="AD1256" s="1">
        <v>93</v>
      </c>
      <c r="AE1256" s="2">
        <v>46341</v>
      </c>
      <c r="AF1256" s="2">
        <v>46349</v>
      </c>
      <c r="AG1256" s="2">
        <v>46356</v>
      </c>
      <c r="AH1256">
        <v>0</v>
      </c>
      <c r="AI1256" s="3">
        <v>0</v>
      </c>
      <c r="AJ1256" s="1" t="s">
        <v>1635</v>
      </c>
      <c r="AK1256" s="2" t="s">
        <v>1635</v>
      </c>
      <c r="AL1256" s="4">
        <v>30</v>
      </c>
      <c r="AM1256" s="5">
        <v>15</v>
      </c>
      <c r="AN1256" s="4">
        <v>93</v>
      </c>
      <c r="AO1256">
        <v>0</v>
      </c>
      <c r="AP1256" s="4">
        <v>1</v>
      </c>
      <c r="AQ1256" t="s">
        <v>1619</v>
      </c>
      <c r="AR1256" t="s">
        <v>1620</v>
      </c>
      <c r="AT1256" s="16" t="str">
        <f>_xlfn.XLOOKUP(B1256,'SWiSH Demand Forecast Sep-26'!D:D,'SWiSH Demand Forecast Sep-26'!G:G,"Not Exist")</f>
        <v>Not Exist</v>
      </c>
    </row>
    <row r="1257" spans="1:46" x14ac:dyDescent="0.3">
      <c r="A1257">
        <v>106600060</v>
      </c>
      <c r="B1257" t="s">
        <v>3114</v>
      </c>
      <c r="C1257" t="s">
        <v>10</v>
      </c>
      <c r="D1257" t="s">
        <v>1613</v>
      </c>
      <c r="E1257" t="s">
        <v>1685</v>
      </c>
      <c r="F1257" t="s">
        <v>1664</v>
      </c>
      <c r="G1257" t="s">
        <v>1624</v>
      </c>
      <c r="H1257" t="s">
        <v>1723</v>
      </c>
      <c r="I1257" t="s">
        <v>1634</v>
      </c>
      <c r="J1257" t="s">
        <v>10</v>
      </c>
      <c r="K1257">
        <v>1.0999999999999999E-2</v>
      </c>
      <c r="L1257">
        <v>106.69999999999999</v>
      </c>
      <c r="M1257" s="1">
        <v>15</v>
      </c>
      <c r="N1257">
        <v>0</v>
      </c>
      <c r="O1257">
        <v>0</v>
      </c>
      <c r="P1257">
        <v>9700</v>
      </c>
      <c r="Q1257" s="1">
        <v>9700</v>
      </c>
      <c r="R1257">
        <v>1.0999999999999999E-2</v>
      </c>
      <c r="S1257" s="2">
        <v>46166</v>
      </c>
      <c r="T1257" s="2">
        <v>46256</v>
      </c>
      <c r="U1257">
        <v>3100</v>
      </c>
      <c r="V1257">
        <v>3100</v>
      </c>
      <c r="W1257">
        <v>1000</v>
      </c>
      <c r="X1257">
        <v>1500</v>
      </c>
      <c r="Y1257">
        <v>1000</v>
      </c>
      <c r="Z1257" s="8">
        <v>3100</v>
      </c>
      <c r="AA1257">
        <v>2175</v>
      </c>
      <c r="AB1257">
        <v>0.45977011494252873</v>
      </c>
      <c r="AC1257">
        <v>1.4252873563218391</v>
      </c>
      <c r="AD1257" s="1">
        <v>93</v>
      </c>
      <c r="AE1257" s="2">
        <v>46341</v>
      </c>
      <c r="AF1257" s="2">
        <v>46349</v>
      </c>
      <c r="AG1257" s="2">
        <v>46356</v>
      </c>
      <c r="AH1257">
        <v>1500</v>
      </c>
      <c r="AI1257" s="3">
        <v>0.50055617352614012</v>
      </c>
      <c r="AJ1257" s="1">
        <v>187</v>
      </c>
      <c r="AK1257" s="2">
        <v>46450</v>
      </c>
      <c r="AL1257" s="4">
        <v>30</v>
      </c>
      <c r="AM1257" s="5">
        <v>15</v>
      </c>
      <c r="AN1257" s="4">
        <v>93</v>
      </c>
      <c r="AO1257">
        <v>1551.7241379310344</v>
      </c>
      <c r="AP1257" s="4">
        <v>1</v>
      </c>
      <c r="AQ1257" t="s">
        <v>1619</v>
      </c>
      <c r="AR1257" t="s">
        <v>1620</v>
      </c>
      <c r="AT1257" s="16" t="str">
        <f>_xlfn.XLOOKUP(B1257,'SWiSH Demand Forecast Sep-26'!D:D,'SWiSH Demand Forecast Sep-26'!G:G,"Not Exist")</f>
        <v>Not Exist</v>
      </c>
    </row>
    <row r="1258" spans="1:46" x14ac:dyDescent="0.3">
      <c r="A1258">
        <v>101500000</v>
      </c>
      <c r="B1258" t="s">
        <v>3115</v>
      </c>
      <c r="C1258" t="s">
        <v>10</v>
      </c>
      <c r="D1258" t="s">
        <v>1613</v>
      </c>
      <c r="E1258" t="s">
        <v>1819</v>
      </c>
      <c r="F1258" t="s">
        <v>1631</v>
      </c>
      <c r="G1258" t="s">
        <v>1624</v>
      </c>
      <c r="H1258" t="s">
        <v>1647</v>
      </c>
      <c r="I1258" t="s">
        <v>1634</v>
      </c>
      <c r="J1258" t="s">
        <v>10</v>
      </c>
      <c r="K1258">
        <v>3.1887470599999999</v>
      </c>
      <c r="L1258">
        <v>322.06345305999997</v>
      </c>
      <c r="M1258" s="1">
        <v>3</v>
      </c>
      <c r="N1258">
        <v>0</v>
      </c>
      <c r="O1258">
        <v>0</v>
      </c>
      <c r="P1258">
        <v>101</v>
      </c>
      <c r="Q1258" s="1">
        <v>101</v>
      </c>
      <c r="R1258">
        <v>3</v>
      </c>
      <c r="S1258" s="2">
        <v>46240</v>
      </c>
      <c r="T1258" s="2">
        <v>46261</v>
      </c>
      <c r="U1258">
        <v>21</v>
      </c>
      <c r="V1258">
        <v>22</v>
      </c>
      <c r="W1258">
        <v>15</v>
      </c>
      <c r="X1258">
        <v>32</v>
      </c>
      <c r="Y1258">
        <v>15</v>
      </c>
      <c r="Z1258" s="8">
        <v>32</v>
      </c>
      <c r="AA1258">
        <v>22.5</v>
      </c>
      <c r="AB1258">
        <v>0.66666666666666663</v>
      </c>
      <c r="AC1258">
        <v>1.4222222222222223</v>
      </c>
      <c r="AD1258" s="1">
        <v>94</v>
      </c>
      <c r="AE1258" s="2">
        <v>46342</v>
      </c>
      <c r="AF1258" s="2">
        <v>46350</v>
      </c>
      <c r="AG1258" s="2">
        <v>46357</v>
      </c>
      <c r="AH1258">
        <v>34</v>
      </c>
      <c r="AI1258" s="3">
        <v>1.0991379310344827</v>
      </c>
      <c r="AJ1258" s="1">
        <v>86</v>
      </c>
      <c r="AK1258" s="2">
        <v>46349</v>
      </c>
      <c r="AL1258" s="4">
        <v>30</v>
      </c>
      <c r="AM1258" s="5">
        <v>15</v>
      </c>
      <c r="AN1258" s="4">
        <v>86</v>
      </c>
      <c r="AO1258">
        <v>35.172413793103445</v>
      </c>
      <c r="AP1258" s="4">
        <v>1</v>
      </c>
      <c r="AQ1258" t="s">
        <v>1619</v>
      </c>
      <c r="AR1258" t="s">
        <v>1620</v>
      </c>
      <c r="AT1258" s="16" t="str">
        <f>_xlfn.XLOOKUP(B1258,'SWiSH Demand Forecast Sep-26'!D:D,'SWiSH Demand Forecast Sep-26'!G:G,"Not Exist")</f>
        <v>Not Exist</v>
      </c>
    </row>
    <row r="1259" spans="1:46" x14ac:dyDescent="0.3">
      <c r="A1259">
        <v>102500031</v>
      </c>
      <c r="B1259" t="s">
        <v>3116</v>
      </c>
      <c r="C1259" t="s">
        <v>136</v>
      </c>
      <c r="D1259" t="s">
        <v>1613</v>
      </c>
      <c r="E1259" t="s">
        <v>1832</v>
      </c>
      <c r="F1259" t="s">
        <v>1927</v>
      </c>
      <c r="G1259" t="s">
        <v>1624</v>
      </c>
      <c r="H1259" t="s">
        <v>1928</v>
      </c>
      <c r="I1259" t="s">
        <v>1618</v>
      </c>
      <c r="J1259" t="s">
        <v>3117</v>
      </c>
      <c r="K1259">
        <v>0.52</v>
      </c>
      <c r="L1259">
        <v>455</v>
      </c>
      <c r="M1259" s="1">
        <v>3</v>
      </c>
      <c r="N1259">
        <v>0</v>
      </c>
      <c r="O1259">
        <v>0</v>
      </c>
      <c r="P1259">
        <v>875</v>
      </c>
      <c r="Q1259" s="1">
        <v>875</v>
      </c>
      <c r="R1259">
        <v>12</v>
      </c>
      <c r="S1259" s="2">
        <v>46134</v>
      </c>
      <c r="T1259" s="2">
        <v>46254</v>
      </c>
      <c r="U1259">
        <v>150</v>
      </c>
      <c r="V1259">
        <v>250</v>
      </c>
      <c r="W1259">
        <v>275</v>
      </c>
      <c r="X1259">
        <v>100</v>
      </c>
      <c r="Y1259">
        <v>100</v>
      </c>
      <c r="Z1259" s="8">
        <v>275</v>
      </c>
      <c r="AA1259">
        <v>193.75</v>
      </c>
      <c r="AB1259">
        <v>0.5161290322580645</v>
      </c>
      <c r="AC1259">
        <v>1.4193548387096775</v>
      </c>
      <c r="AD1259" s="1">
        <v>95</v>
      </c>
      <c r="AE1259" s="2">
        <v>46343</v>
      </c>
      <c r="AF1259" s="2">
        <v>46351</v>
      </c>
      <c r="AG1259" s="2">
        <v>46358</v>
      </c>
      <c r="AH1259">
        <v>350</v>
      </c>
      <c r="AI1259" s="3">
        <v>1.3166144200626959</v>
      </c>
      <c r="AJ1259" s="1">
        <v>72</v>
      </c>
      <c r="AK1259" s="2">
        <v>46335</v>
      </c>
      <c r="AL1259" s="4">
        <v>30</v>
      </c>
      <c r="AM1259" s="5">
        <v>15</v>
      </c>
      <c r="AN1259" s="4">
        <v>72</v>
      </c>
      <c r="AO1259">
        <v>362.06896551724139</v>
      </c>
      <c r="AP1259" s="4">
        <v>1</v>
      </c>
      <c r="AQ1259" t="s">
        <v>1619</v>
      </c>
      <c r="AR1259" t="s">
        <v>1620</v>
      </c>
      <c r="AT1259" s="16" t="str">
        <f>_xlfn.XLOOKUP(B1259,'SWiSH Demand Forecast Sep-26'!D:D,'SWiSH Demand Forecast Sep-26'!G:G,"Not Exist")</f>
        <v>Not Exist</v>
      </c>
    </row>
    <row r="1260" spans="1:46" hidden="1" x14ac:dyDescent="0.3">
      <c r="A1260">
        <v>107000005</v>
      </c>
      <c r="B1260" t="s">
        <v>576</v>
      </c>
      <c r="C1260" t="s">
        <v>10</v>
      </c>
      <c r="D1260" t="s">
        <v>1613</v>
      </c>
      <c r="E1260" t="s">
        <v>1638</v>
      </c>
      <c r="F1260" t="s">
        <v>1631</v>
      </c>
      <c r="G1260" t="s">
        <v>1624</v>
      </c>
      <c r="H1260" t="s">
        <v>2305</v>
      </c>
      <c r="I1260" t="s">
        <v>1634</v>
      </c>
      <c r="J1260" t="e">
        <v>#N/A</v>
      </c>
      <c r="K1260">
        <v>3.66695E-3</v>
      </c>
      <c r="L1260">
        <v>27.868819999999999</v>
      </c>
      <c r="M1260" s="1">
        <v>7</v>
      </c>
      <c r="N1260">
        <v>0</v>
      </c>
      <c r="O1260">
        <v>0</v>
      </c>
      <c r="P1260">
        <v>7600</v>
      </c>
      <c r="Q1260" s="1">
        <v>7600</v>
      </c>
      <c r="R1260">
        <v>11.00001</v>
      </c>
      <c r="S1260" s="2">
        <v>46086</v>
      </c>
      <c r="T1260" s="2">
        <v>46263</v>
      </c>
      <c r="U1260">
        <v>2400</v>
      </c>
      <c r="V1260">
        <v>1600</v>
      </c>
      <c r="W1260">
        <v>2200</v>
      </c>
      <c r="X1260">
        <v>2300</v>
      </c>
      <c r="Y1260">
        <v>1600</v>
      </c>
      <c r="Z1260" s="8">
        <v>2400</v>
      </c>
      <c r="AA1260">
        <v>2125</v>
      </c>
      <c r="AB1260">
        <v>0.75294117647058822</v>
      </c>
      <c r="AC1260">
        <v>1.1294117647058823</v>
      </c>
      <c r="AD1260" s="1">
        <v>95</v>
      </c>
      <c r="AE1260" s="2">
        <v>46343</v>
      </c>
      <c r="AF1260" s="2">
        <v>46351</v>
      </c>
      <c r="AG1260" s="2">
        <v>46358</v>
      </c>
      <c r="AH1260">
        <v>2100</v>
      </c>
      <c r="AI1260" s="3">
        <v>0.90517241379310354</v>
      </c>
      <c r="AJ1260" s="1">
        <v>104</v>
      </c>
      <c r="AK1260" s="2">
        <v>46367</v>
      </c>
      <c r="AL1260" s="4">
        <v>30</v>
      </c>
      <c r="AM1260" s="5">
        <v>15</v>
      </c>
      <c r="AN1260" s="4">
        <v>95</v>
      </c>
      <c r="AO1260">
        <v>2172.4137931034484</v>
      </c>
      <c r="AP1260" s="4">
        <v>1</v>
      </c>
      <c r="AQ1260" t="s">
        <v>1619</v>
      </c>
      <c r="AR1260" t="s">
        <v>1620</v>
      </c>
      <c r="AT1260" s="16">
        <f>_xlfn.XLOOKUP(B1260,'SWiSH Demand Forecast Sep-26'!D:D,'SWiSH Demand Forecast Sep-26'!G:G,"Not Exist")</f>
        <v>1129</v>
      </c>
    </row>
    <row r="1261" spans="1:46" x14ac:dyDescent="0.3">
      <c r="A1261">
        <v>106700009</v>
      </c>
      <c r="B1261" t="s">
        <v>3118</v>
      </c>
      <c r="C1261" t="s">
        <v>10</v>
      </c>
      <c r="D1261" t="s">
        <v>1613</v>
      </c>
      <c r="E1261" t="s">
        <v>3119</v>
      </c>
      <c r="F1261" t="s">
        <v>1650</v>
      </c>
      <c r="G1261" t="s">
        <v>1624</v>
      </c>
      <c r="H1261" t="s">
        <v>1651</v>
      </c>
      <c r="I1261" t="s">
        <v>1634</v>
      </c>
      <c r="J1261" t="s">
        <v>10</v>
      </c>
      <c r="K1261">
        <v>7.4999999999999997E-2</v>
      </c>
      <c r="L1261">
        <v>17.625</v>
      </c>
      <c r="M1261" s="1">
        <v>3</v>
      </c>
      <c r="N1261">
        <v>0</v>
      </c>
      <c r="O1261">
        <v>100</v>
      </c>
      <c r="P1261">
        <v>235</v>
      </c>
      <c r="Q1261" s="1">
        <v>135</v>
      </c>
      <c r="R1261">
        <v>7.4999999999999997E-2</v>
      </c>
      <c r="S1261" s="2">
        <v>46162</v>
      </c>
      <c r="T1261" s="2">
        <v>46247</v>
      </c>
      <c r="U1261">
        <v>5</v>
      </c>
      <c r="V1261">
        <v>24</v>
      </c>
      <c r="W1261">
        <v>39</v>
      </c>
      <c r="X1261">
        <v>42</v>
      </c>
      <c r="Y1261">
        <v>5</v>
      </c>
      <c r="Z1261" s="8">
        <v>42</v>
      </c>
      <c r="AA1261">
        <v>27.5</v>
      </c>
      <c r="AB1261">
        <v>0.18181818181818182</v>
      </c>
      <c r="AC1261">
        <v>1.5272727272727273</v>
      </c>
      <c r="AD1261" s="1">
        <v>96</v>
      </c>
      <c r="AE1261" s="2">
        <v>46344</v>
      </c>
      <c r="AF1261" s="2">
        <v>46352</v>
      </c>
      <c r="AG1261" s="2">
        <v>46359</v>
      </c>
      <c r="AH1261">
        <v>5</v>
      </c>
      <c r="AI1261" s="3">
        <v>0.12315270935960591</v>
      </c>
      <c r="AJ1261" s="1">
        <v>783</v>
      </c>
      <c r="AK1261" s="2">
        <v>47046</v>
      </c>
      <c r="AL1261" s="4">
        <v>30</v>
      </c>
      <c r="AM1261" s="5">
        <v>15</v>
      </c>
      <c r="AN1261" s="4">
        <v>96</v>
      </c>
      <c r="AO1261">
        <v>5.1724137931034484</v>
      </c>
      <c r="AP1261" s="4">
        <v>1</v>
      </c>
      <c r="AQ1261" t="s">
        <v>1619</v>
      </c>
      <c r="AR1261" t="s">
        <v>1620</v>
      </c>
      <c r="AT1261" s="16" t="str">
        <f>_xlfn.XLOOKUP(B1261,'SWiSH Demand Forecast Sep-26'!D:D,'SWiSH Demand Forecast Sep-26'!G:G,"Not Exist")</f>
        <v>Not Exist</v>
      </c>
    </row>
    <row r="1262" spans="1:46" hidden="1" x14ac:dyDescent="0.3">
      <c r="A1262">
        <v>106800158</v>
      </c>
      <c r="B1262" t="s">
        <v>312</v>
      </c>
      <c r="C1262" t="s">
        <v>10</v>
      </c>
      <c r="D1262" t="s">
        <v>1613</v>
      </c>
      <c r="E1262" t="s">
        <v>1638</v>
      </c>
      <c r="F1262" t="s">
        <v>1664</v>
      </c>
      <c r="G1262" t="s">
        <v>1624</v>
      </c>
      <c r="H1262" t="s">
        <v>1665</v>
      </c>
      <c r="I1262" t="s">
        <v>1634</v>
      </c>
      <c r="J1262" t="s">
        <v>10</v>
      </c>
      <c r="K1262">
        <v>4.0012399999999997E-3</v>
      </c>
      <c r="L1262">
        <v>180.05579999999998</v>
      </c>
      <c r="M1262" s="1">
        <v>7</v>
      </c>
      <c r="N1262">
        <v>0</v>
      </c>
      <c r="O1262">
        <v>0</v>
      </c>
      <c r="P1262">
        <v>45000</v>
      </c>
      <c r="Q1262" s="1">
        <v>45000</v>
      </c>
      <c r="R1262">
        <v>4.0000000000000001E-3</v>
      </c>
      <c r="S1262" s="2">
        <v>46186</v>
      </c>
      <c r="T1262" s="2">
        <v>46262</v>
      </c>
      <c r="U1262">
        <v>14000</v>
      </c>
      <c r="V1262">
        <v>11000</v>
      </c>
      <c r="W1262">
        <v>2000</v>
      </c>
      <c r="X1262">
        <v>12000</v>
      </c>
      <c r="Y1262">
        <v>2000</v>
      </c>
      <c r="Z1262" s="8">
        <v>14000</v>
      </c>
      <c r="AA1262">
        <v>9750</v>
      </c>
      <c r="AB1262">
        <v>0.20512820512820512</v>
      </c>
      <c r="AC1262">
        <v>1.4358974358974359</v>
      </c>
      <c r="AD1262" s="1">
        <v>96</v>
      </c>
      <c r="AE1262" s="2">
        <v>46344</v>
      </c>
      <c r="AF1262" s="2">
        <v>46352</v>
      </c>
      <c r="AG1262" s="2">
        <v>46359</v>
      </c>
      <c r="AH1262">
        <v>8000</v>
      </c>
      <c r="AI1262" s="3">
        <v>0.59113300492610832</v>
      </c>
      <c r="AJ1262" s="1">
        <v>163</v>
      </c>
      <c r="AK1262" s="2">
        <v>46426</v>
      </c>
      <c r="AL1262" s="4">
        <v>30</v>
      </c>
      <c r="AM1262" s="5">
        <v>15</v>
      </c>
      <c r="AN1262" s="4">
        <v>96</v>
      </c>
      <c r="AO1262">
        <v>8275.8620689655163</v>
      </c>
      <c r="AP1262" s="4">
        <v>1</v>
      </c>
      <c r="AQ1262" t="s">
        <v>1619</v>
      </c>
      <c r="AR1262" t="s">
        <v>1620</v>
      </c>
      <c r="AT1262" s="16">
        <f>_xlfn.XLOOKUP(B1262,'SWiSH Demand Forecast Sep-26'!D:D,'SWiSH Demand Forecast Sep-26'!G:G,"Not Exist")</f>
        <v>4492</v>
      </c>
    </row>
    <row r="1263" spans="1:46" x14ac:dyDescent="0.3">
      <c r="A1263">
        <v>101500028</v>
      </c>
      <c r="B1263" t="s">
        <v>3120</v>
      </c>
      <c r="C1263" t="s">
        <v>10</v>
      </c>
      <c r="D1263" t="s">
        <v>1613</v>
      </c>
      <c r="E1263" t="s">
        <v>2448</v>
      </c>
      <c r="F1263" t="s">
        <v>1631</v>
      </c>
      <c r="G1263" t="s">
        <v>1624</v>
      </c>
      <c r="H1263" t="s">
        <v>1647</v>
      </c>
      <c r="I1263" t="s">
        <v>1634</v>
      </c>
      <c r="J1263" t="s">
        <v>10</v>
      </c>
      <c r="K1263">
        <v>0.56666667000000004</v>
      </c>
      <c r="L1263">
        <v>7.3666667100000005</v>
      </c>
      <c r="M1263" s="1">
        <v>3</v>
      </c>
      <c r="N1263">
        <v>0</v>
      </c>
      <c r="O1263">
        <v>0</v>
      </c>
      <c r="P1263">
        <v>13</v>
      </c>
      <c r="Q1263" s="1">
        <v>13</v>
      </c>
      <c r="R1263">
        <v>0.55000000000000004</v>
      </c>
      <c r="S1263" s="2">
        <v>46184</v>
      </c>
      <c r="T1263" s="2">
        <v>46236</v>
      </c>
      <c r="U1263">
        <v>4</v>
      </c>
      <c r="V1263">
        <v>0</v>
      </c>
      <c r="W1263">
        <v>1</v>
      </c>
      <c r="X1263">
        <v>3</v>
      </c>
      <c r="Y1263">
        <v>0</v>
      </c>
      <c r="Z1263" s="8">
        <v>4</v>
      </c>
      <c r="AA1263">
        <v>2</v>
      </c>
      <c r="AB1263">
        <v>0</v>
      </c>
      <c r="AC1263">
        <v>2</v>
      </c>
      <c r="AD1263" s="1">
        <v>97</v>
      </c>
      <c r="AE1263" s="2">
        <v>46345</v>
      </c>
      <c r="AF1263" s="2">
        <v>46353</v>
      </c>
      <c r="AG1263" s="2">
        <v>46360</v>
      </c>
      <c r="AH1263">
        <v>1</v>
      </c>
      <c r="AI1263" s="3">
        <v>0.25862068965517243</v>
      </c>
      <c r="AJ1263" s="1">
        <v>377</v>
      </c>
      <c r="AK1263" s="2">
        <v>46640</v>
      </c>
      <c r="AL1263" s="4">
        <v>30</v>
      </c>
      <c r="AM1263" s="5">
        <v>15</v>
      </c>
      <c r="AN1263" s="4">
        <v>97</v>
      </c>
      <c r="AO1263">
        <v>1.0344827586206897</v>
      </c>
      <c r="AP1263" s="4">
        <v>1</v>
      </c>
      <c r="AQ1263" t="s">
        <v>1619</v>
      </c>
      <c r="AR1263" t="s">
        <v>1620</v>
      </c>
      <c r="AT1263" s="16" t="str">
        <f>_xlfn.XLOOKUP(B1263,'SWiSH Demand Forecast Sep-26'!D:D,'SWiSH Demand Forecast Sep-26'!G:G,"Not Exist")</f>
        <v>Not Exist</v>
      </c>
    </row>
    <row r="1264" spans="1:46" hidden="1" x14ac:dyDescent="0.3">
      <c r="A1264">
        <v>105300030</v>
      </c>
      <c r="B1264" t="s">
        <v>633</v>
      </c>
      <c r="C1264" t="s">
        <v>10</v>
      </c>
      <c r="D1264" t="s">
        <v>1613</v>
      </c>
      <c r="E1264" t="s">
        <v>1775</v>
      </c>
      <c r="F1264" t="s">
        <v>1664</v>
      </c>
      <c r="G1264" t="s">
        <v>1624</v>
      </c>
      <c r="H1264" t="s">
        <v>1978</v>
      </c>
      <c r="I1264" t="s">
        <v>1634</v>
      </c>
      <c r="J1264" t="s">
        <v>10</v>
      </c>
      <c r="K1264">
        <v>5.5E-2</v>
      </c>
      <c r="L1264">
        <v>357.5</v>
      </c>
      <c r="M1264" s="1">
        <v>30</v>
      </c>
      <c r="N1264">
        <v>0</v>
      </c>
      <c r="O1264">
        <v>0</v>
      </c>
      <c r="P1264">
        <v>6500</v>
      </c>
      <c r="Q1264" s="1">
        <v>6500</v>
      </c>
      <c r="R1264">
        <v>5.5E-2</v>
      </c>
      <c r="S1264" s="2">
        <v>46175</v>
      </c>
      <c r="T1264" s="2">
        <v>46253</v>
      </c>
      <c r="U1264">
        <v>1000</v>
      </c>
      <c r="V1264">
        <v>2000</v>
      </c>
      <c r="W1264">
        <v>1000</v>
      </c>
      <c r="X1264">
        <v>0</v>
      </c>
      <c r="Y1264">
        <v>0</v>
      </c>
      <c r="Z1264" s="8">
        <v>2000</v>
      </c>
      <c r="AA1264">
        <v>1000</v>
      </c>
      <c r="AB1264">
        <v>0</v>
      </c>
      <c r="AC1264">
        <v>2</v>
      </c>
      <c r="AD1264" s="1">
        <v>97</v>
      </c>
      <c r="AE1264" s="2">
        <v>46345</v>
      </c>
      <c r="AF1264" s="2">
        <v>46353</v>
      </c>
      <c r="AG1264" s="2">
        <v>46360</v>
      </c>
      <c r="AH1264">
        <v>2000</v>
      </c>
      <c r="AI1264" s="3">
        <v>1.0344827586206895</v>
      </c>
      <c r="AJ1264" s="1">
        <v>94</v>
      </c>
      <c r="AK1264" s="2">
        <v>46357</v>
      </c>
      <c r="AL1264" s="4">
        <v>30</v>
      </c>
      <c r="AM1264" s="5">
        <v>15</v>
      </c>
      <c r="AN1264" s="4">
        <v>94</v>
      </c>
      <c r="AO1264">
        <v>2068.9655172413791</v>
      </c>
      <c r="AP1264" s="4">
        <v>1</v>
      </c>
      <c r="AQ1264">
        <v>2000</v>
      </c>
      <c r="AR1264" t="s">
        <v>2098</v>
      </c>
      <c r="AT1264" s="16">
        <f>_xlfn.XLOOKUP(B1264,'SWiSH Demand Forecast Sep-26'!D:D,'SWiSH Demand Forecast Sep-26'!G:G,"Not Exist")</f>
        <v>860</v>
      </c>
    </row>
    <row r="1265" spans="1:46" hidden="1" x14ac:dyDescent="0.3">
      <c r="A1265">
        <v>103800004</v>
      </c>
      <c r="B1265" t="s">
        <v>1512</v>
      </c>
      <c r="C1265" t="s">
        <v>136</v>
      </c>
      <c r="D1265" t="s">
        <v>1613</v>
      </c>
      <c r="E1265" t="s">
        <v>3121</v>
      </c>
      <c r="F1265" t="s">
        <v>1615</v>
      </c>
      <c r="G1265" t="s">
        <v>1616</v>
      </c>
      <c r="H1265" t="s">
        <v>1822</v>
      </c>
      <c r="I1265" t="s">
        <v>1618</v>
      </c>
      <c r="J1265" t="s">
        <v>136</v>
      </c>
      <c r="K1265">
        <v>12.46232339</v>
      </c>
      <c r="L1265">
        <v>348.94505492000002</v>
      </c>
      <c r="M1265" s="1">
        <v>3</v>
      </c>
      <c r="N1265">
        <v>0</v>
      </c>
      <c r="O1265">
        <v>0</v>
      </c>
      <c r="P1265">
        <v>28</v>
      </c>
      <c r="Q1265" s="1">
        <v>28</v>
      </c>
      <c r="R1265">
        <v>12.5</v>
      </c>
      <c r="S1265" s="2">
        <v>46186</v>
      </c>
      <c r="T1265" s="2">
        <v>46259</v>
      </c>
      <c r="U1265">
        <v>8.5</v>
      </c>
      <c r="V1265">
        <v>7.5</v>
      </c>
      <c r="W1265">
        <v>7</v>
      </c>
      <c r="X1265">
        <v>8</v>
      </c>
      <c r="Y1265">
        <v>7</v>
      </c>
      <c r="Z1265" s="8">
        <v>8.5</v>
      </c>
      <c r="AA1265">
        <v>7.75</v>
      </c>
      <c r="AB1265">
        <v>0.90322580645161288</v>
      </c>
      <c r="AC1265">
        <v>1.096774193548387</v>
      </c>
      <c r="AD1265" s="1">
        <v>98</v>
      </c>
      <c r="AE1265" s="2">
        <v>46346</v>
      </c>
      <c r="AF1265" s="2">
        <v>46354</v>
      </c>
      <c r="AG1265" s="2">
        <v>46361</v>
      </c>
      <c r="AH1265">
        <v>2</v>
      </c>
      <c r="AI1265" s="3">
        <v>0.24340770791075053</v>
      </c>
      <c r="AJ1265" s="1">
        <v>406</v>
      </c>
      <c r="AK1265" s="2">
        <v>46669</v>
      </c>
      <c r="AL1265" s="4">
        <v>30</v>
      </c>
      <c r="AM1265" s="5">
        <v>15</v>
      </c>
      <c r="AN1265" s="4">
        <v>98</v>
      </c>
      <c r="AO1265">
        <v>2.0689655172413794</v>
      </c>
      <c r="AP1265" s="4">
        <v>1</v>
      </c>
      <c r="AQ1265" t="s">
        <v>1619</v>
      </c>
      <c r="AR1265" t="s">
        <v>1855</v>
      </c>
      <c r="AT1265" s="16">
        <f>_xlfn.XLOOKUP(B1265,'SWiSH Demand Forecast Sep-26'!D:D,'SWiSH Demand Forecast Sep-26'!G:G,"Not Exist")</f>
        <v>2.5953237410071899</v>
      </c>
    </row>
    <row r="1266" spans="1:46" x14ac:dyDescent="0.3">
      <c r="A1266">
        <v>105200093</v>
      </c>
      <c r="B1266" t="s">
        <v>3122</v>
      </c>
      <c r="C1266" t="s">
        <v>10</v>
      </c>
      <c r="D1266" t="s">
        <v>1613</v>
      </c>
      <c r="E1266" t="s">
        <v>1796</v>
      </c>
      <c r="F1266" t="s">
        <v>1664</v>
      </c>
      <c r="G1266" t="s">
        <v>1624</v>
      </c>
      <c r="H1266" t="s">
        <v>1779</v>
      </c>
      <c r="I1266" t="s">
        <v>1634</v>
      </c>
      <c r="J1266" t="s">
        <v>10</v>
      </c>
      <c r="K1266">
        <v>2.7E-2</v>
      </c>
      <c r="L1266">
        <v>1317.6</v>
      </c>
      <c r="M1266" s="1">
        <v>30</v>
      </c>
      <c r="N1266">
        <v>0</v>
      </c>
      <c r="O1266">
        <v>0</v>
      </c>
      <c r="P1266">
        <v>48800</v>
      </c>
      <c r="Q1266" s="1">
        <v>48800</v>
      </c>
      <c r="R1266">
        <v>2.7E-2</v>
      </c>
      <c r="S1266" s="2">
        <v>46257</v>
      </c>
      <c r="T1266" s="2">
        <v>46263</v>
      </c>
      <c r="U1266">
        <v>10000</v>
      </c>
      <c r="V1266">
        <v>6250</v>
      </c>
      <c r="W1266">
        <v>13800</v>
      </c>
      <c r="X1266">
        <v>14700</v>
      </c>
      <c r="Y1266">
        <v>6250</v>
      </c>
      <c r="Z1266" s="8">
        <v>14700</v>
      </c>
      <c r="AA1266">
        <v>11187.5</v>
      </c>
      <c r="AB1266">
        <v>0.55865921787709494</v>
      </c>
      <c r="AC1266">
        <v>1.3139664804469273</v>
      </c>
      <c r="AD1266" s="1">
        <v>99</v>
      </c>
      <c r="AE1266" s="2">
        <v>46347</v>
      </c>
      <c r="AF1266" s="2">
        <v>46355</v>
      </c>
      <c r="AG1266" s="2">
        <v>46362</v>
      </c>
      <c r="AH1266">
        <v>16800</v>
      </c>
      <c r="AI1266" s="3">
        <v>1.1822660098522169</v>
      </c>
      <c r="AJ1266" s="1">
        <v>84</v>
      </c>
      <c r="AK1266" s="2">
        <v>46347</v>
      </c>
      <c r="AL1266" s="4">
        <v>30</v>
      </c>
      <c r="AM1266" s="5">
        <v>15</v>
      </c>
      <c r="AN1266" s="4">
        <v>84</v>
      </c>
      <c r="AO1266">
        <v>17379.310344827587</v>
      </c>
      <c r="AP1266" s="4">
        <v>1</v>
      </c>
      <c r="AQ1266">
        <v>40000</v>
      </c>
      <c r="AR1266" t="s">
        <v>2863</v>
      </c>
      <c r="AS1266" t="s">
        <v>1666</v>
      </c>
      <c r="AT1266" s="16" t="str">
        <f>_xlfn.XLOOKUP(B1266,'SWiSH Demand Forecast Sep-26'!D:D,'SWiSH Demand Forecast Sep-26'!G:G,"Not Exist")</f>
        <v>Not Exist</v>
      </c>
    </row>
    <row r="1267" spans="1:46" hidden="1" x14ac:dyDescent="0.3">
      <c r="A1267">
        <v>106800076</v>
      </c>
      <c r="B1267" t="s">
        <v>387</v>
      </c>
      <c r="C1267" t="s">
        <v>10</v>
      </c>
      <c r="D1267" t="s">
        <v>1613</v>
      </c>
      <c r="E1267" t="s">
        <v>1655</v>
      </c>
      <c r="F1267" t="s">
        <v>1664</v>
      </c>
      <c r="G1267" t="s">
        <v>1624</v>
      </c>
      <c r="H1267" t="s">
        <v>1665</v>
      </c>
      <c r="I1267" t="s">
        <v>1634</v>
      </c>
      <c r="J1267" t="s">
        <v>10</v>
      </c>
      <c r="K1267">
        <v>7.9528600000000008E-3</v>
      </c>
      <c r="L1267">
        <v>159.05720000000002</v>
      </c>
      <c r="M1267" s="1">
        <v>7</v>
      </c>
      <c r="N1267">
        <v>0</v>
      </c>
      <c r="O1267">
        <v>0</v>
      </c>
      <c r="P1267">
        <v>20000</v>
      </c>
      <c r="Q1267" s="1">
        <v>20000</v>
      </c>
      <c r="R1267">
        <v>8.0000000000000002E-3</v>
      </c>
      <c r="S1267" s="2">
        <v>46186</v>
      </c>
      <c r="T1267" s="2">
        <v>46247</v>
      </c>
      <c r="U1267">
        <v>6000</v>
      </c>
      <c r="V1267">
        <v>4000</v>
      </c>
      <c r="W1267">
        <v>3000</v>
      </c>
      <c r="X1267">
        <v>4000</v>
      </c>
      <c r="Y1267">
        <v>3000</v>
      </c>
      <c r="Z1267" s="8">
        <v>6000</v>
      </c>
      <c r="AA1267">
        <v>4250</v>
      </c>
      <c r="AB1267">
        <v>0.70588235294117652</v>
      </c>
      <c r="AC1267">
        <v>1.411764705882353</v>
      </c>
      <c r="AD1267" s="1">
        <v>100</v>
      </c>
      <c r="AE1267" s="2">
        <v>46348</v>
      </c>
      <c r="AF1267" s="2">
        <v>46356</v>
      </c>
      <c r="AG1267" s="2">
        <v>46363</v>
      </c>
      <c r="AH1267">
        <v>2000</v>
      </c>
      <c r="AI1267" s="3">
        <v>0.34482758620689652</v>
      </c>
      <c r="AJ1267" s="1">
        <v>290</v>
      </c>
      <c r="AK1267" s="2">
        <v>46553</v>
      </c>
      <c r="AL1267" s="4">
        <v>30</v>
      </c>
      <c r="AM1267" s="5">
        <v>15</v>
      </c>
      <c r="AN1267" s="4">
        <v>100</v>
      </c>
      <c r="AO1267">
        <v>2068.9655172413791</v>
      </c>
      <c r="AP1267" s="4">
        <v>1</v>
      </c>
      <c r="AQ1267" t="s">
        <v>1619</v>
      </c>
      <c r="AR1267" t="s">
        <v>1620</v>
      </c>
      <c r="AT1267" s="16">
        <f>_xlfn.XLOOKUP(B1267,'SWiSH Demand Forecast Sep-26'!D:D,'SWiSH Demand Forecast Sep-26'!G:G,"Not Exist")</f>
        <v>2890</v>
      </c>
    </row>
    <row r="1268" spans="1:46" x14ac:dyDescent="0.3">
      <c r="A1268">
        <v>105600018</v>
      </c>
      <c r="B1268" t="s">
        <v>3123</v>
      </c>
      <c r="C1268" t="s">
        <v>136</v>
      </c>
      <c r="D1268" t="s">
        <v>1613</v>
      </c>
      <c r="E1268" t="s">
        <v>1775</v>
      </c>
      <c r="F1268" t="s">
        <v>1664</v>
      </c>
      <c r="G1268" t="s">
        <v>1624</v>
      </c>
      <c r="H1268" t="s">
        <v>1679</v>
      </c>
      <c r="I1268" t="s">
        <v>1634</v>
      </c>
      <c r="J1268" t="s">
        <v>136</v>
      </c>
      <c r="K1268">
        <v>0.60599670000000005</v>
      </c>
      <c r="L1268">
        <v>507.82523460000004</v>
      </c>
      <c r="M1268" s="1">
        <v>30</v>
      </c>
      <c r="N1268">
        <v>0</v>
      </c>
      <c r="O1268">
        <v>0</v>
      </c>
      <c r="P1268">
        <v>838</v>
      </c>
      <c r="Q1268" s="1">
        <v>838</v>
      </c>
      <c r="R1268">
        <v>0.57999999999999996</v>
      </c>
      <c r="S1268" s="2">
        <v>46238</v>
      </c>
      <c r="T1268" s="2">
        <v>46261</v>
      </c>
      <c r="U1268">
        <v>230</v>
      </c>
      <c r="V1268">
        <v>250</v>
      </c>
      <c r="W1268">
        <v>190</v>
      </c>
      <c r="X1268">
        <v>85</v>
      </c>
      <c r="Y1268">
        <v>85</v>
      </c>
      <c r="Z1268" s="8">
        <v>250</v>
      </c>
      <c r="AA1268">
        <v>188.75</v>
      </c>
      <c r="AB1268">
        <v>0.45033112582781459</v>
      </c>
      <c r="AC1268">
        <v>1.3245033112582782</v>
      </c>
      <c r="AD1268" s="1">
        <v>100</v>
      </c>
      <c r="AE1268" s="2">
        <v>46348</v>
      </c>
      <c r="AF1268" s="2">
        <v>46356</v>
      </c>
      <c r="AG1268" s="2">
        <v>46363</v>
      </c>
      <c r="AH1268">
        <v>95</v>
      </c>
      <c r="AI1268" s="3">
        <v>0.39310344827586208</v>
      </c>
      <c r="AJ1268" s="1">
        <v>255</v>
      </c>
      <c r="AK1268" s="2">
        <v>46518</v>
      </c>
      <c r="AL1268" s="4">
        <v>30</v>
      </c>
      <c r="AM1268" s="5">
        <v>15</v>
      </c>
      <c r="AN1268" s="4">
        <v>100</v>
      </c>
      <c r="AO1268">
        <v>98.275862068965537</v>
      </c>
      <c r="AP1268" s="4">
        <v>1</v>
      </c>
      <c r="AQ1268">
        <v>57</v>
      </c>
      <c r="AR1268" t="s">
        <v>3124</v>
      </c>
      <c r="AT1268" s="16" t="str">
        <f>_xlfn.XLOOKUP(B1268,'SWiSH Demand Forecast Sep-26'!D:D,'SWiSH Demand Forecast Sep-26'!G:G,"Not Exist")</f>
        <v>Not Exist</v>
      </c>
    </row>
    <row r="1269" spans="1:46" x14ac:dyDescent="0.3">
      <c r="A1269">
        <v>102200002</v>
      </c>
      <c r="B1269" t="s">
        <v>3125</v>
      </c>
      <c r="C1269" t="s">
        <v>10</v>
      </c>
      <c r="D1269" t="s">
        <v>1613</v>
      </c>
      <c r="E1269" t="s">
        <v>3126</v>
      </c>
      <c r="F1269" t="s">
        <v>1650</v>
      </c>
      <c r="G1269" t="s">
        <v>1624</v>
      </c>
      <c r="H1269" t="s">
        <v>2329</v>
      </c>
      <c r="I1269" t="s">
        <v>1634</v>
      </c>
      <c r="J1269" t="s">
        <v>1688</v>
      </c>
      <c r="K1269">
        <v>0.1875</v>
      </c>
      <c r="L1269">
        <v>52.125</v>
      </c>
      <c r="M1269" s="1">
        <v>3</v>
      </c>
      <c r="N1269">
        <v>0</v>
      </c>
      <c r="O1269">
        <v>6</v>
      </c>
      <c r="P1269">
        <v>278</v>
      </c>
      <c r="Q1269" s="1">
        <v>272</v>
      </c>
      <c r="R1269">
        <v>2.25</v>
      </c>
      <c r="S1269" s="2">
        <v>46083</v>
      </c>
      <c r="T1269" s="2">
        <v>46259</v>
      </c>
      <c r="U1269">
        <v>56</v>
      </c>
      <c r="V1269">
        <v>81</v>
      </c>
      <c r="W1269">
        <v>33</v>
      </c>
      <c r="X1269">
        <v>42</v>
      </c>
      <c r="Y1269">
        <v>33</v>
      </c>
      <c r="Z1269" s="8">
        <v>81</v>
      </c>
      <c r="AA1269">
        <v>53</v>
      </c>
      <c r="AB1269">
        <v>0.62264150943396224</v>
      </c>
      <c r="AC1269">
        <v>1.5283018867924529</v>
      </c>
      <c r="AD1269" s="1">
        <v>100</v>
      </c>
      <c r="AE1269" s="2">
        <v>46348</v>
      </c>
      <c r="AF1269" s="2">
        <v>46356</v>
      </c>
      <c r="AG1269" s="2">
        <v>46363</v>
      </c>
      <c r="AH1269">
        <v>51</v>
      </c>
      <c r="AI1269" s="3">
        <v>0.65134099616858243</v>
      </c>
      <c r="AJ1269" s="1">
        <v>154</v>
      </c>
      <c r="AK1269" s="2">
        <v>46417</v>
      </c>
      <c r="AL1269" s="4">
        <v>30</v>
      </c>
      <c r="AM1269" s="5">
        <v>15</v>
      </c>
      <c r="AN1269" s="4">
        <v>100</v>
      </c>
      <c r="AO1269">
        <v>52.758620689655174</v>
      </c>
      <c r="AP1269" s="4">
        <v>1</v>
      </c>
      <c r="AQ1269" t="s">
        <v>1619</v>
      </c>
      <c r="AR1269" t="s">
        <v>1620</v>
      </c>
      <c r="AT1269" s="16" t="str">
        <f>_xlfn.XLOOKUP(B1269,'SWiSH Demand Forecast Sep-26'!D:D,'SWiSH Demand Forecast Sep-26'!G:G,"Not Exist")</f>
        <v>Not Exist</v>
      </c>
    </row>
    <row r="1270" spans="1:46" x14ac:dyDescent="0.3">
      <c r="A1270">
        <v>106700064</v>
      </c>
      <c r="B1270" t="s">
        <v>3127</v>
      </c>
      <c r="C1270" t="s">
        <v>10</v>
      </c>
      <c r="D1270" t="s">
        <v>1613</v>
      </c>
      <c r="E1270" t="s">
        <v>3128</v>
      </c>
      <c r="F1270" t="s">
        <v>1650</v>
      </c>
      <c r="G1270" t="s">
        <v>1624</v>
      </c>
      <c r="H1270" t="s">
        <v>1651</v>
      </c>
      <c r="I1270" t="s">
        <v>1634</v>
      </c>
      <c r="J1270" t="s">
        <v>2487</v>
      </c>
      <c r="K1270">
        <v>2.5000000000000001E-2</v>
      </c>
      <c r="L1270">
        <v>42.5</v>
      </c>
      <c r="M1270" s="1">
        <v>3</v>
      </c>
      <c r="N1270">
        <v>0</v>
      </c>
      <c r="O1270">
        <v>0</v>
      </c>
      <c r="P1270">
        <v>1700</v>
      </c>
      <c r="Q1270" s="1">
        <v>1700</v>
      </c>
      <c r="R1270">
        <v>2.5</v>
      </c>
      <c r="S1270" s="2">
        <v>46188</v>
      </c>
      <c r="T1270" s="2">
        <v>46237</v>
      </c>
      <c r="U1270">
        <v>500</v>
      </c>
      <c r="V1270">
        <v>500</v>
      </c>
      <c r="W1270">
        <v>0</v>
      </c>
      <c r="X1270">
        <v>0</v>
      </c>
      <c r="Y1270">
        <v>0</v>
      </c>
      <c r="Z1270" s="8">
        <v>500</v>
      </c>
      <c r="AA1270">
        <v>250</v>
      </c>
      <c r="AB1270">
        <v>0</v>
      </c>
      <c r="AC1270">
        <v>2</v>
      </c>
      <c r="AD1270" s="1">
        <v>102</v>
      </c>
      <c r="AE1270" s="2">
        <v>46350</v>
      </c>
      <c r="AF1270" s="2">
        <v>46358</v>
      </c>
      <c r="AG1270" s="2">
        <v>46365</v>
      </c>
      <c r="AH1270">
        <v>200</v>
      </c>
      <c r="AI1270" s="3">
        <v>0.41379310344827586</v>
      </c>
      <c r="AJ1270" s="1">
        <v>246</v>
      </c>
      <c r="AK1270" s="2">
        <v>46509</v>
      </c>
      <c r="AL1270" s="4">
        <v>30</v>
      </c>
      <c r="AM1270" s="5">
        <v>15</v>
      </c>
      <c r="AN1270" s="4">
        <v>102</v>
      </c>
      <c r="AO1270">
        <v>206.89655172413796</v>
      </c>
      <c r="AP1270" s="4">
        <v>1</v>
      </c>
      <c r="AQ1270" t="s">
        <v>1619</v>
      </c>
      <c r="AR1270" t="s">
        <v>1620</v>
      </c>
      <c r="AT1270" s="16" t="str">
        <f>_xlfn.XLOOKUP(B1270,'SWiSH Demand Forecast Sep-26'!D:D,'SWiSH Demand Forecast Sep-26'!G:G,"Not Exist")</f>
        <v>Not Exist</v>
      </c>
    </row>
    <row r="1271" spans="1:46" x14ac:dyDescent="0.3">
      <c r="A1271">
        <v>105600067</v>
      </c>
      <c r="B1271" t="s">
        <v>3129</v>
      </c>
      <c r="C1271" t="s">
        <v>136</v>
      </c>
      <c r="D1271" t="s">
        <v>1613</v>
      </c>
      <c r="E1271" t="s">
        <v>1685</v>
      </c>
      <c r="F1271" t="s">
        <v>1664</v>
      </c>
      <c r="G1271" t="s">
        <v>1624</v>
      </c>
      <c r="H1271" t="s">
        <v>1679</v>
      </c>
      <c r="I1271" t="s">
        <v>1634</v>
      </c>
      <c r="J1271" t="s">
        <v>136</v>
      </c>
      <c r="K1271">
        <v>0.57999999999999996</v>
      </c>
      <c r="L1271">
        <v>127.6</v>
      </c>
      <c r="M1271" s="1">
        <v>30</v>
      </c>
      <c r="N1271">
        <v>0</v>
      </c>
      <c r="O1271">
        <v>0</v>
      </c>
      <c r="P1271">
        <v>220</v>
      </c>
      <c r="Q1271" s="1">
        <v>220</v>
      </c>
      <c r="R1271">
        <v>0.57999999999999996</v>
      </c>
      <c r="S1271" s="2">
        <v>46218</v>
      </c>
      <c r="T1271" s="2">
        <v>46213</v>
      </c>
      <c r="U1271">
        <v>0</v>
      </c>
      <c r="V1271">
        <v>0</v>
      </c>
      <c r="W1271">
        <v>64.5</v>
      </c>
      <c r="X1271">
        <v>0</v>
      </c>
      <c r="Y1271">
        <v>0</v>
      </c>
      <c r="Z1271" s="8">
        <v>64.5</v>
      </c>
      <c r="AA1271">
        <v>16.125</v>
      </c>
      <c r="AB1271">
        <v>0</v>
      </c>
      <c r="AC1271">
        <v>4</v>
      </c>
      <c r="AD1271" s="1">
        <v>102</v>
      </c>
      <c r="AE1271" s="2">
        <v>46350</v>
      </c>
      <c r="AF1271" s="2">
        <v>46358</v>
      </c>
      <c r="AG1271" s="2">
        <v>46365</v>
      </c>
      <c r="AH1271">
        <v>0</v>
      </c>
      <c r="AI1271" s="3">
        <v>0</v>
      </c>
      <c r="AJ1271" s="1" t="s">
        <v>1635</v>
      </c>
      <c r="AK1271" s="2" t="s">
        <v>1635</v>
      </c>
      <c r="AL1271" s="4">
        <v>30</v>
      </c>
      <c r="AM1271" s="5">
        <v>15</v>
      </c>
      <c r="AN1271" s="4">
        <v>102</v>
      </c>
      <c r="AO1271">
        <v>0</v>
      </c>
      <c r="AP1271" s="4">
        <v>1</v>
      </c>
      <c r="AQ1271">
        <v>20.5</v>
      </c>
      <c r="AR1271" t="s">
        <v>2860</v>
      </c>
      <c r="AT1271" s="16" t="str">
        <f>_xlfn.XLOOKUP(B1271,'SWiSH Demand Forecast Sep-26'!D:D,'SWiSH Demand Forecast Sep-26'!G:G,"Not Exist")</f>
        <v>Not Exist</v>
      </c>
    </row>
    <row r="1272" spans="1:46" x14ac:dyDescent="0.3">
      <c r="A1272">
        <v>106800337</v>
      </c>
      <c r="B1272" t="s">
        <v>3130</v>
      </c>
      <c r="C1272" t="s">
        <v>10</v>
      </c>
      <c r="D1272" t="s">
        <v>1613</v>
      </c>
      <c r="E1272" t="s">
        <v>1663</v>
      </c>
      <c r="F1272" t="s">
        <v>1664</v>
      </c>
      <c r="G1272" t="s">
        <v>1624</v>
      </c>
      <c r="H1272" t="s">
        <v>1665</v>
      </c>
      <c r="I1272" t="s">
        <v>1634</v>
      </c>
      <c r="J1272" t="s">
        <v>10</v>
      </c>
      <c r="K1272">
        <v>4.7000000000000002E-3</v>
      </c>
      <c r="L1272">
        <v>164.5</v>
      </c>
      <c r="M1272" s="1">
        <v>7</v>
      </c>
      <c r="N1272">
        <v>0</v>
      </c>
      <c r="O1272">
        <v>0</v>
      </c>
      <c r="P1272">
        <v>35000</v>
      </c>
      <c r="Q1272" s="1">
        <v>35000</v>
      </c>
      <c r="R1272">
        <v>4.7000000000000002E-3</v>
      </c>
      <c r="S1272" s="2">
        <v>46146</v>
      </c>
      <c r="T1272" s="2">
        <v>46196</v>
      </c>
      <c r="U1272">
        <v>0</v>
      </c>
      <c r="V1272">
        <v>10250</v>
      </c>
      <c r="W1272">
        <v>2500</v>
      </c>
      <c r="X1272">
        <v>0</v>
      </c>
      <c r="Y1272">
        <v>0</v>
      </c>
      <c r="Z1272" s="8">
        <v>10250</v>
      </c>
      <c r="AA1272">
        <v>3187.5</v>
      </c>
      <c r="AB1272">
        <v>0</v>
      </c>
      <c r="AC1272">
        <v>3.215686274509804</v>
      </c>
      <c r="AD1272" s="1">
        <v>102</v>
      </c>
      <c r="AE1272" s="2">
        <v>46350</v>
      </c>
      <c r="AF1272" s="2">
        <v>46358</v>
      </c>
      <c r="AG1272" s="2">
        <v>46365</v>
      </c>
      <c r="AH1272">
        <v>0</v>
      </c>
      <c r="AI1272" s="3">
        <v>0</v>
      </c>
      <c r="AJ1272" s="1" t="s">
        <v>1635</v>
      </c>
      <c r="AK1272" s="2" t="s">
        <v>1635</v>
      </c>
      <c r="AL1272" s="4">
        <v>30</v>
      </c>
      <c r="AM1272" s="5">
        <v>15</v>
      </c>
      <c r="AN1272" s="4">
        <v>102</v>
      </c>
      <c r="AO1272">
        <v>0</v>
      </c>
      <c r="AP1272" s="4">
        <v>1</v>
      </c>
      <c r="AQ1272" t="s">
        <v>1619</v>
      </c>
      <c r="AR1272" t="s">
        <v>1620</v>
      </c>
      <c r="AS1272" t="s">
        <v>1666</v>
      </c>
      <c r="AT1272" s="16" t="str">
        <f>_xlfn.XLOOKUP(B1272,'SWiSH Demand Forecast Sep-26'!D:D,'SWiSH Demand Forecast Sep-26'!G:G,"Not Exist")</f>
        <v>Not Exist</v>
      </c>
    </row>
    <row r="1273" spans="1:46" x14ac:dyDescent="0.3">
      <c r="A1273">
        <v>101200013</v>
      </c>
      <c r="B1273" t="s">
        <v>3131</v>
      </c>
      <c r="C1273" t="s">
        <v>136</v>
      </c>
      <c r="D1273" t="s">
        <v>1613</v>
      </c>
      <c r="E1273" t="s">
        <v>2164</v>
      </c>
      <c r="F1273" t="s">
        <v>1833</v>
      </c>
      <c r="G1273" t="s">
        <v>1616</v>
      </c>
      <c r="H1273" t="s">
        <v>1625</v>
      </c>
      <c r="I1273" t="s">
        <v>1626</v>
      </c>
      <c r="J1273" t="s">
        <v>136</v>
      </c>
      <c r="K1273">
        <v>2.6</v>
      </c>
      <c r="L1273">
        <v>559</v>
      </c>
      <c r="M1273" s="1">
        <v>3</v>
      </c>
      <c r="N1273">
        <v>0</v>
      </c>
      <c r="O1273">
        <v>0.75</v>
      </c>
      <c r="P1273">
        <v>215</v>
      </c>
      <c r="Q1273" s="1">
        <v>214.25</v>
      </c>
      <c r="R1273">
        <v>0.625</v>
      </c>
      <c r="S1273" s="2">
        <v>46046</v>
      </c>
      <c r="T1273" s="2">
        <v>46263</v>
      </c>
      <c r="U1273">
        <v>62.75</v>
      </c>
      <c r="V1273">
        <v>41</v>
      </c>
      <c r="W1273">
        <v>37.25</v>
      </c>
      <c r="X1273">
        <v>30</v>
      </c>
      <c r="Y1273">
        <v>30</v>
      </c>
      <c r="Z1273" s="8">
        <v>62.75</v>
      </c>
      <c r="AA1273">
        <v>42.75</v>
      </c>
      <c r="AB1273">
        <v>0.70175438596491224</v>
      </c>
      <c r="AC1273">
        <v>1.4678362573099415</v>
      </c>
      <c r="AD1273" s="1">
        <v>102</v>
      </c>
      <c r="AE1273" s="2">
        <v>46350</v>
      </c>
      <c r="AF1273" s="2">
        <v>46358</v>
      </c>
      <c r="AG1273" s="2">
        <v>46365</v>
      </c>
      <c r="AH1273">
        <v>24.75</v>
      </c>
      <c r="AI1273" s="3">
        <v>0.40802308009341942</v>
      </c>
      <c r="AJ1273" s="1">
        <v>251</v>
      </c>
      <c r="AK1273" s="2">
        <v>46514</v>
      </c>
      <c r="AL1273" s="4">
        <v>30</v>
      </c>
      <c r="AM1273" s="5">
        <v>15</v>
      </c>
      <c r="AN1273" s="4">
        <v>102</v>
      </c>
      <c r="AO1273">
        <v>25.603448275862068</v>
      </c>
      <c r="AP1273" s="4">
        <v>1</v>
      </c>
      <c r="AQ1273" t="s">
        <v>1619</v>
      </c>
      <c r="AR1273" t="s">
        <v>1620</v>
      </c>
      <c r="AT1273" s="16" t="str">
        <f>_xlfn.XLOOKUP(B1273,'SWiSH Demand Forecast Sep-26'!D:D,'SWiSH Demand Forecast Sep-26'!G:G,"Not Exist")</f>
        <v>Not Exist</v>
      </c>
    </row>
    <row r="1274" spans="1:46" hidden="1" x14ac:dyDescent="0.3">
      <c r="A1274">
        <v>106800079</v>
      </c>
      <c r="B1274" t="s">
        <v>187</v>
      </c>
      <c r="C1274" t="s">
        <v>10</v>
      </c>
      <c r="D1274" t="s">
        <v>1613</v>
      </c>
      <c r="E1274" t="s">
        <v>1655</v>
      </c>
      <c r="F1274" t="s">
        <v>1664</v>
      </c>
      <c r="G1274" t="s">
        <v>1624</v>
      </c>
      <c r="H1274" t="s">
        <v>1665</v>
      </c>
      <c r="I1274" t="s">
        <v>1634</v>
      </c>
      <c r="J1274" t="s">
        <v>10</v>
      </c>
      <c r="K1274">
        <v>3.0067900000000001E-3</v>
      </c>
      <c r="L1274">
        <v>126.28518</v>
      </c>
      <c r="M1274" s="1">
        <v>7</v>
      </c>
      <c r="N1274">
        <v>0</v>
      </c>
      <c r="O1274">
        <v>1000</v>
      </c>
      <c r="P1274">
        <v>42000</v>
      </c>
      <c r="Q1274" s="1">
        <v>41000</v>
      </c>
      <c r="R1274">
        <v>3.0000000000000001E-3</v>
      </c>
      <c r="S1274" s="2">
        <v>46216</v>
      </c>
      <c r="T1274" s="2">
        <v>46257</v>
      </c>
      <c r="U1274">
        <v>4000</v>
      </c>
      <c r="V1274">
        <v>5000</v>
      </c>
      <c r="W1274">
        <v>8000</v>
      </c>
      <c r="X1274">
        <v>12000</v>
      </c>
      <c r="Y1274">
        <v>4000</v>
      </c>
      <c r="Z1274" s="8">
        <v>12000</v>
      </c>
      <c r="AA1274">
        <v>7250</v>
      </c>
      <c r="AB1274">
        <v>0.55172413793103448</v>
      </c>
      <c r="AC1274">
        <v>1.6551724137931034</v>
      </c>
      <c r="AD1274" s="1">
        <v>102</v>
      </c>
      <c r="AE1274" s="2">
        <v>46350</v>
      </c>
      <c r="AF1274" s="2">
        <v>46358</v>
      </c>
      <c r="AG1274" s="2">
        <v>46365</v>
      </c>
      <c r="AH1274">
        <v>11000</v>
      </c>
      <c r="AI1274" s="3">
        <v>0.94827586206896552</v>
      </c>
      <c r="AJ1274" s="1">
        <v>108</v>
      </c>
      <c r="AK1274" s="2">
        <v>46371</v>
      </c>
      <c r="AL1274" s="4">
        <v>30</v>
      </c>
      <c r="AM1274" s="5">
        <v>15</v>
      </c>
      <c r="AN1274" s="4">
        <v>102</v>
      </c>
      <c r="AO1274">
        <v>11379.310344827587</v>
      </c>
      <c r="AP1274" s="4">
        <v>1</v>
      </c>
      <c r="AQ1274">
        <v>30000</v>
      </c>
      <c r="AR1274" t="s">
        <v>1829</v>
      </c>
      <c r="AT1274" s="16">
        <f>_xlfn.XLOOKUP(B1274,'SWiSH Demand Forecast Sep-26'!D:D,'SWiSH Demand Forecast Sep-26'!G:G,"Not Exist")</f>
        <v>9238</v>
      </c>
    </row>
    <row r="1275" spans="1:46" x14ac:dyDescent="0.3">
      <c r="A1275">
        <v>105900014</v>
      </c>
      <c r="B1275" t="s">
        <v>3132</v>
      </c>
      <c r="C1275" t="s">
        <v>10</v>
      </c>
      <c r="D1275" t="s">
        <v>1613</v>
      </c>
      <c r="E1275" t="s">
        <v>1732</v>
      </c>
      <c r="F1275" t="s">
        <v>1664</v>
      </c>
      <c r="G1275" t="s">
        <v>1616</v>
      </c>
      <c r="H1275" t="s">
        <v>1729</v>
      </c>
      <c r="I1275" t="s">
        <v>1634</v>
      </c>
      <c r="J1275" t="s">
        <v>1733</v>
      </c>
      <c r="K1275">
        <v>3.7799999999999999E-3</v>
      </c>
      <c r="L1275">
        <v>77.111999999999995</v>
      </c>
      <c r="M1275" s="1">
        <v>90</v>
      </c>
      <c r="N1275">
        <v>0</v>
      </c>
      <c r="O1275">
        <v>0</v>
      </c>
      <c r="P1275">
        <v>20400</v>
      </c>
      <c r="Q1275" s="1">
        <v>20400</v>
      </c>
      <c r="R1275">
        <v>3.78</v>
      </c>
      <c r="S1275" s="2">
        <v>46132</v>
      </c>
      <c r="T1275" s="2">
        <v>46263</v>
      </c>
      <c r="U1275">
        <v>3400</v>
      </c>
      <c r="V1275">
        <v>5900</v>
      </c>
      <c r="W1275">
        <v>5100</v>
      </c>
      <c r="X1275">
        <v>3400</v>
      </c>
      <c r="Y1275">
        <v>3400</v>
      </c>
      <c r="Z1275" s="8">
        <v>5900</v>
      </c>
      <c r="AA1275">
        <v>4450</v>
      </c>
      <c r="AB1275">
        <v>0.7640449438202247</v>
      </c>
      <c r="AC1275">
        <v>1.3258426966292134</v>
      </c>
      <c r="AD1275" s="1">
        <v>103</v>
      </c>
      <c r="AE1275" s="2">
        <v>46351</v>
      </c>
      <c r="AF1275" s="2">
        <v>46359</v>
      </c>
      <c r="AG1275" s="2">
        <v>46366</v>
      </c>
      <c r="AH1275">
        <v>6800</v>
      </c>
      <c r="AI1275" s="3">
        <v>1.1922852133255406</v>
      </c>
      <c r="AJ1275" s="1">
        <v>87</v>
      </c>
      <c r="AK1275" s="2">
        <v>46350</v>
      </c>
      <c r="AL1275" s="4">
        <v>120</v>
      </c>
      <c r="AM1275" s="5">
        <v>100</v>
      </c>
      <c r="AN1275" s="4">
        <v>87</v>
      </c>
      <c r="AO1275">
        <v>28137.931034482757</v>
      </c>
      <c r="AP1275" s="4">
        <v>1</v>
      </c>
      <c r="AQ1275" t="s">
        <v>1619</v>
      </c>
      <c r="AR1275" t="s">
        <v>1620</v>
      </c>
      <c r="AT1275" s="16" t="str">
        <f>_xlfn.XLOOKUP(B1275,'SWiSH Demand Forecast Sep-26'!D:D,'SWiSH Demand Forecast Sep-26'!G:G,"Not Exist")</f>
        <v>Not Exist</v>
      </c>
    </row>
    <row r="1276" spans="1:46" x14ac:dyDescent="0.3">
      <c r="A1276">
        <v>104200029</v>
      </c>
      <c r="B1276" t="s">
        <v>3133</v>
      </c>
      <c r="C1276" t="s">
        <v>10</v>
      </c>
      <c r="D1276" t="s">
        <v>1613</v>
      </c>
      <c r="E1276" t="s">
        <v>3134</v>
      </c>
      <c r="F1276" t="s">
        <v>1631</v>
      </c>
      <c r="G1276" t="s">
        <v>1624</v>
      </c>
      <c r="H1276" t="s">
        <v>1633</v>
      </c>
      <c r="I1276" t="s">
        <v>1634</v>
      </c>
      <c r="J1276" t="s">
        <v>3135</v>
      </c>
      <c r="K1276">
        <v>0.14567695999999999</v>
      </c>
      <c r="L1276">
        <v>109.40339695999999</v>
      </c>
      <c r="M1276" s="1">
        <v>3</v>
      </c>
      <c r="N1276">
        <v>0</v>
      </c>
      <c r="O1276">
        <v>10</v>
      </c>
      <c r="P1276">
        <v>751</v>
      </c>
      <c r="Q1276" s="1">
        <v>741</v>
      </c>
      <c r="R1276">
        <v>3.5</v>
      </c>
      <c r="S1276" s="2">
        <v>46161</v>
      </c>
      <c r="T1276" s="2">
        <v>46261</v>
      </c>
      <c r="U1276">
        <v>92</v>
      </c>
      <c r="V1276">
        <v>120</v>
      </c>
      <c r="W1276">
        <v>118</v>
      </c>
      <c r="X1276">
        <v>213</v>
      </c>
      <c r="Y1276">
        <v>92</v>
      </c>
      <c r="Z1276" s="8">
        <v>213</v>
      </c>
      <c r="AA1276">
        <v>135.75</v>
      </c>
      <c r="AB1276">
        <v>0.67771639042357279</v>
      </c>
      <c r="AC1276">
        <v>1.569060773480663</v>
      </c>
      <c r="AD1276" s="1">
        <v>104</v>
      </c>
      <c r="AE1276" s="2">
        <v>46352</v>
      </c>
      <c r="AF1276" s="2">
        <v>46360</v>
      </c>
      <c r="AG1276" s="2">
        <v>46367</v>
      </c>
      <c r="AH1276">
        <v>118</v>
      </c>
      <c r="AI1276" s="3">
        <v>0.57309373482272952</v>
      </c>
      <c r="AJ1276" s="1">
        <v>182</v>
      </c>
      <c r="AK1276" s="2">
        <v>46445</v>
      </c>
      <c r="AL1276" s="4">
        <v>30</v>
      </c>
      <c r="AM1276" s="5">
        <v>15</v>
      </c>
      <c r="AN1276" s="4">
        <v>104</v>
      </c>
      <c r="AO1276">
        <v>122.06896551724138</v>
      </c>
      <c r="AP1276" s="4">
        <v>1</v>
      </c>
      <c r="AQ1276" t="s">
        <v>1619</v>
      </c>
      <c r="AR1276" t="s">
        <v>1620</v>
      </c>
      <c r="AT1276" s="16" t="str">
        <f>_xlfn.XLOOKUP(B1276,'SWiSH Demand Forecast Sep-26'!D:D,'SWiSH Demand Forecast Sep-26'!G:G,"Not Exist")</f>
        <v>Not Exist</v>
      </c>
    </row>
    <row r="1277" spans="1:46" hidden="1" x14ac:dyDescent="0.3">
      <c r="A1277">
        <v>100400142</v>
      </c>
      <c r="B1277" t="s">
        <v>704</v>
      </c>
      <c r="C1277" t="s">
        <v>10</v>
      </c>
      <c r="D1277" t="s">
        <v>1613</v>
      </c>
      <c r="E1277" t="s">
        <v>2587</v>
      </c>
      <c r="F1277" t="s">
        <v>1664</v>
      </c>
      <c r="G1277" t="s">
        <v>1624</v>
      </c>
      <c r="H1277" t="s">
        <v>1810</v>
      </c>
      <c r="I1277" t="s">
        <v>1634</v>
      </c>
      <c r="J1277" t="s">
        <v>10</v>
      </c>
      <c r="K1277">
        <v>1.8499999999999999E-2</v>
      </c>
      <c r="L1277">
        <v>129.5</v>
      </c>
      <c r="M1277" s="1">
        <v>30</v>
      </c>
      <c r="N1277">
        <v>0</v>
      </c>
      <c r="O1277">
        <v>0</v>
      </c>
      <c r="P1277">
        <v>7000</v>
      </c>
      <c r="Q1277" s="1">
        <v>7000</v>
      </c>
      <c r="R1277">
        <v>2.1999999999999999E-2</v>
      </c>
      <c r="S1277" s="2">
        <v>46210</v>
      </c>
      <c r="T1277" s="2">
        <v>46250</v>
      </c>
      <c r="U1277">
        <v>1000</v>
      </c>
      <c r="V1277">
        <v>2000</v>
      </c>
      <c r="W1277">
        <v>1000</v>
      </c>
      <c r="X1277">
        <v>2000</v>
      </c>
      <c r="Y1277">
        <v>1000</v>
      </c>
      <c r="Z1277" s="8">
        <v>2000</v>
      </c>
      <c r="AA1277">
        <v>1500</v>
      </c>
      <c r="AB1277">
        <v>0.66666666666666663</v>
      </c>
      <c r="AC1277">
        <v>1.3333333333333333</v>
      </c>
      <c r="AD1277" s="1">
        <v>105</v>
      </c>
      <c r="AE1277" s="2">
        <v>46353</v>
      </c>
      <c r="AF1277" s="2">
        <v>46361</v>
      </c>
      <c r="AG1277" s="2">
        <v>46368</v>
      </c>
      <c r="AH1277">
        <v>1000</v>
      </c>
      <c r="AI1277" s="3">
        <v>0.51724137931034475</v>
      </c>
      <c r="AJ1277" s="1">
        <v>203</v>
      </c>
      <c r="AK1277" s="2">
        <v>46466</v>
      </c>
      <c r="AL1277" s="4">
        <v>30</v>
      </c>
      <c r="AM1277" s="5">
        <v>15</v>
      </c>
      <c r="AN1277" s="4">
        <v>105</v>
      </c>
      <c r="AO1277">
        <v>1034.4827586206895</v>
      </c>
      <c r="AP1277" s="4">
        <v>1</v>
      </c>
      <c r="AQ1277">
        <v>15000</v>
      </c>
      <c r="AR1277" t="s">
        <v>2076</v>
      </c>
      <c r="AT1277" s="16">
        <f>_xlfn.XLOOKUP(B1277,'SWiSH Demand Forecast Sep-26'!D:D,'SWiSH Demand Forecast Sep-26'!G:G,"Not Exist")</f>
        <v>617</v>
      </c>
    </row>
    <row r="1278" spans="1:46" x14ac:dyDescent="0.3">
      <c r="A1278">
        <v>101400063</v>
      </c>
      <c r="B1278" t="s">
        <v>3136</v>
      </c>
      <c r="C1278" t="s">
        <v>240</v>
      </c>
      <c r="D1278" t="s">
        <v>1675</v>
      </c>
      <c r="E1278" t="s">
        <v>2602</v>
      </c>
      <c r="F1278" t="s">
        <v>1644</v>
      </c>
      <c r="G1278" t="s">
        <v>1704</v>
      </c>
      <c r="H1278" t="s">
        <v>1693</v>
      </c>
      <c r="I1278" t="s">
        <v>1634</v>
      </c>
      <c r="J1278" t="s">
        <v>2039</v>
      </c>
      <c r="K1278">
        <v>0.9</v>
      </c>
      <c r="L1278">
        <v>63</v>
      </c>
      <c r="M1278" s="1">
        <v>3</v>
      </c>
      <c r="N1278">
        <v>0</v>
      </c>
      <c r="O1278">
        <v>0</v>
      </c>
      <c r="P1278">
        <v>70</v>
      </c>
      <c r="Q1278" s="1">
        <v>70</v>
      </c>
      <c r="R1278">
        <v>18</v>
      </c>
      <c r="S1278" s="2">
        <v>46104</v>
      </c>
      <c r="T1278" s="2">
        <v>46221</v>
      </c>
      <c r="U1278">
        <v>0</v>
      </c>
      <c r="V1278">
        <v>20</v>
      </c>
      <c r="W1278">
        <v>0</v>
      </c>
      <c r="X1278">
        <v>0</v>
      </c>
      <c r="Y1278">
        <v>0</v>
      </c>
      <c r="Z1278" s="8">
        <v>20</v>
      </c>
      <c r="AA1278">
        <v>5</v>
      </c>
      <c r="AB1278">
        <v>0</v>
      </c>
      <c r="AC1278">
        <v>4</v>
      </c>
      <c r="AD1278" s="1">
        <v>105</v>
      </c>
      <c r="AE1278" s="2">
        <v>46353</v>
      </c>
      <c r="AF1278" s="2">
        <v>46361</v>
      </c>
      <c r="AG1278" s="2">
        <v>46368</v>
      </c>
      <c r="AH1278">
        <v>0</v>
      </c>
      <c r="AI1278" s="3">
        <v>0</v>
      </c>
      <c r="AJ1278" s="1" t="s">
        <v>1635</v>
      </c>
      <c r="AK1278" s="2" t="s">
        <v>1635</v>
      </c>
      <c r="AL1278" s="4" t="s">
        <v>1658</v>
      </c>
      <c r="AM1278" s="5" t="s">
        <v>1658</v>
      </c>
      <c r="AN1278" s="4">
        <v>105</v>
      </c>
      <c r="AO1278" t="s">
        <v>1635</v>
      </c>
      <c r="AP1278" s="4" t="s">
        <v>1658</v>
      </c>
      <c r="AQ1278" t="s">
        <v>1619</v>
      </c>
      <c r="AR1278" t="s">
        <v>1620</v>
      </c>
      <c r="AT1278" s="16" t="str">
        <f>_xlfn.XLOOKUP(B1278,'SWiSH Demand Forecast Sep-26'!D:D,'SWiSH Demand Forecast Sep-26'!G:G,"Not Exist")</f>
        <v>Not Exist</v>
      </c>
    </row>
    <row r="1279" spans="1:46" hidden="1" x14ac:dyDescent="0.3">
      <c r="A1279">
        <v>106800136</v>
      </c>
      <c r="B1279" t="s">
        <v>242</v>
      </c>
      <c r="C1279" t="s">
        <v>10</v>
      </c>
      <c r="D1279" t="s">
        <v>1613</v>
      </c>
      <c r="E1279" t="s">
        <v>1638</v>
      </c>
      <c r="F1279" t="s">
        <v>1664</v>
      </c>
      <c r="G1279" t="s">
        <v>1624</v>
      </c>
      <c r="H1279" t="s">
        <v>1665</v>
      </c>
      <c r="I1279" t="s">
        <v>1634</v>
      </c>
      <c r="J1279" t="s">
        <v>10</v>
      </c>
      <c r="K1279">
        <v>3.5999999999999999E-3</v>
      </c>
      <c r="L1279">
        <v>75.959999999999994</v>
      </c>
      <c r="M1279" s="1">
        <v>7</v>
      </c>
      <c r="N1279">
        <v>0</v>
      </c>
      <c r="O1279">
        <v>0</v>
      </c>
      <c r="P1279">
        <v>21100</v>
      </c>
      <c r="Q1279" s="1">
        <v>21100</v>
      </c>
      <c r="R1279">
        <v>3.5999999999999999E-3</v>
      </c>
      <c r="S1279" s="2">
        <v>46099</v>
      </c>
      <c r="T1279" s="2">
        <v>46256</v>
      </c>
      <c r="U1279">
        <v>1000</v>
      </c>
      <c r="V1279">
        <v>4000</v>
      </c>
      <c r="W1279">
        <v>6000</v>
      </c>
      <c r="X1279">
        <v>1000</v>
      </c>
      <c r="Y1279">
        <v>1000</v>
      </c>
      <c r="Z1279" s="8">
        <v>6000</v>
      </c>
      <c r="AA1279">
        <v>3000</v>
      </c>
      <c r="AB1279">
        <v>0.33333333333333331</v>
      </c>
      <c r="AC1279">
        <v>2</v>
      </c>
      <c r="AD1279" s="1">
        <v>105</v>
      </c>
      <c r="AE1279" s="2">
        <v>46353</v>
      </c>
      <c r="AF1279" s="2">
        <v>46361</v>
      </c>
      <c r="AG1279" s="2">
        <v>46368</v>
      </c>
      <c r="AH1279">
        <v>1000</v>
      </c>
      <c r="AI1279" s="3">
        <v>0.17241379310344826</v>
      </c>
      <c r="AJ1279" s="1">
        <v>611</v>
      </c>
      <c r="AK1279" s="2">
        <v>46874</v>
      </c>
      <c r="AL1279" s="4">
        <v>30</v>
      </c>
      <c r="AM1279" s="5">
        <v>15</v>
      </c>
      <c r="AN1279" s="4">
        <v>105</v>
      </c>
      <c r="AO1279">
        <v>1034.4827586206895</v>
      </c>
      <c r="AP1279" s="4">
        <v>1</v>
      </c>
      <c r="AQ1279">
        <v>10000</v>
      </c>
      <c r="AR1279" t="s">
        <v>2215</v>
      </c>
      <c r="AT1279" s="16">
        <f>_xlfn.XLOOKUP(B1279,'SWiSH Demand Forecast Sep-26'!D:D,'SWiSH Demand Forecast Sep-26'!G:G,"Not Exist")</f>
        <v>7195</v>
      </c>
    </row>
    <row r="1280" spans="1:46" hidden="1" x14ac:dyDescent="0.3">
      <c r="A1280">
        <v>106800146</v>
      </c>
      <c r="B1280" t="s">
        <v>279</v>
      </c>
      <c r="C1280" t="s">
        <v>10</v>
      </c>
      <c r="D1280" t="s">
        <v>1613</v>
      </c>
      <c r="E1280" t="s">
        <v>1638</v>
      </c>
      <c r="F1280" t="s">
        <v>1664</v>
      </c>
      <c r="G1280" t="s">
        <v>1624</v>
      </c>
      <c r="H1280" t="s">
        <v>1665</v>
      </c>
      <c r="I1280" t="s">
        <v>1634</v>
      </c>
      <c r="J1280" t="s">
        <v>10</v>
      </c>
      <c r="K1280">
        <v>3.5999999999999999E-3</v>
      </c>
      <c r="L1280">
        <v>51.12</v>
      </c>
      <c r="M1280" s="1">
        <v>7</v>
      </c>
      <c r="N1280">
        <v>0</v>
      </c>
      <c r="O1280">
        <v>0</v>
      </c>
      <c r="P1280">
        <v>14200</v>
      </c>
      <c r="Q1280" s="1">
        <v>14200</v>
      </c>
      <c r="R1280">
        <v>3.5999999999999999E-3</v>
      </c>
      <c r="S1280" s="2">
        <v>46070</v>
      </c>
      <c r="T1280" s="2">
        <v>46256</v>
      </c>
      <c r="U1280">
        <v>1000</v>
      </c>
      <c r="V1280">
        <v>2000</v>
      </c>
      <c r="W1280">
        <v>4000</v>
      </c>
      <c r="X1280">
        <v>2000</v>
      </c>
      <c r="Y1280">
        <v>1000</v>
      </c>
      <c r="Z1280" s="8">
        <v>4000</v>
      </c>
      <c r="AA1280">
        <v>2250</v>
      </c>
      <c r="AB1280">
        <v>0.44444444444444442</v>
      </c>
      <c r="AC1280">
        <v>1.7777777777777777</v>
      </c>
      <c r="AD1280" s="1">
        <v>106</v>
      </c>
      <c r="AE1280" s="2">
        <v>46354</v>
      </c>
      <c r="AF1280" s="2">
        <v>46362</v>
      </c>
      <c r="AG1280" s="2">
        <v>46369</v>
      </c>
      <c r="AH1280">
        <v>1000</v>
      </c>
      <c r="AI1280" s="3">
        <v>0.25862068965517238</v>
      </c>
      <c r="AJ1280" s="1">
        <v>411</v>
      </c>
      <c r="AK1280" s="2">
        <v>46674</v>
      </c>
      <c r="AL1280" s="4">
        <v>30</v>
      </c>
      <c r="AM1280" s="5">
        <v>15</v>
      </c>
      <c r="AN1280" s="4">
        <v>106</v>
      </c>
      <c r="AO1280">
        <v>1034.4827586206895</v>
      </c>
      <c r="AP1280" s="4">
        <v>1</v>
      </c>
      <c r="AQ1280" t="s">
        <v>1619</v>
      </c>
      <c r="AR1280" t="s">
        <v>1620</v>
      </c>
      <c r="AT1280" s="16">
        <f>_xlfn.XLOOKUP(B1280,'SWiSH Demand Forecast Sep-26'!D:D,'SWiSH Demand Forecast Sep-26'!G:G,"Not Exist")</f>
        <v>5664</v>
      </c>
    </row>
    <row r="1281" spans="1:46" hidden="1" x14ac:dyDescent="0.3">
      <c r="A1281">
        <v>100400118</v>
      </c>
      <c r="B1281" t="s">
        <v>179</v>
      </c>
      <c r="C1281" t="s">
        <v>10</v>
      </c>
      <c r="D1281" t="s">
        <v>1613</v>
      </c>
      <c r="E1281" t="s">
        <v>1796</v>
      </c>
      <c r="F1281" t="s">
        <v>1664</v>
      </c>
      <c r="G1281" t="s">
        <v>1624</v>
      </c>
      <c r="H1281" t="s">
        <v>1810</v>
      </c>
      <c r="I1281" t="s">
        <v>1634</v>
      </c>
      <c r="J1281" t="s">
        <v>10</v>
      </c>
      <c r="K1281">
        <v>3.89778E-2</v>
      </c>
      <c r="L1281">
        <v>2284.09908</v>
      </c>
      <c r="M1281" s="1">
        <v>30</v>
      </c>
      <c r="N1281">
        <v>0</v>
      </c>
      <c r="O1281">
        <v>300</v>
      </c>
      <c r="P1281">
        <v>58600</v>
      </c>
      <c r="Q1281" s="1">
        <v>58300</v>
      </c>
      <c r="R1281">
        <v>3.9E-2</v>
      </c>
      <c r="S1281" s="2">
        <v>46247</v>
      </c>
      <c r="T1281" s="2">
        <v>46263</v>
      </c>
      <c r="U1281">
        <v>15700</v>
      </c>
      <c r="V1281">
        <v>15600</v>
      </c>
      <c r="W1281">
        <v>15885</v>
      </c>
      <c r="X1281">
        <v>16230</v>
      </c>
      <c r="Y1281">
        <v>15600</v>
      </c>
      <c r="Z1281" s="8">
        <v>16230</v>
      </c>
      <c r="AA1281">
        <v>15853.75</v>
      </c>
      <c r="AB1281">
        <v>0.98399432310967438</v>
      </c>
      <c r="AC1281">
        <v>1.0237325553891035</v>
      </c>
      <c r="AD1281" s="1">
        <v>107</v>
      </c>
      <c r="AE1281" s="2">
        <v>46355</v>
      </c>
      <c r="AF1281" s="2">
        <v>46363</v>
      </c>
      <c r="AG1281" s="2">
        <v>46370</v>
      </c>
      <c r="AH1281">
        <v>12000</v>
      </c>
      <c r="AI1281" s="3">
        <v>0.76486710434062077</v>
      </c>
      <c r="AJ1281" s="1">
        <v>140</v>
      </c>
      <c r="AK1281" s="2">
        <v>46403</v>
      </c>
      <c r="AL1281" s="4">
        <v>15</v>
      </c>
      <c r="AM1281" s="5">
        <v>15</v>
      </c>
      <c r="AN1281" s="4">
        <v>107</v>
      </c>
      <c r="AO1281">
        <v>6206.8965517241377</v>
      </c>
      <c r="AP1281" s="4">
        <v>2</v>
      </c>
      <c r="AQ1281" t="s">
        <v>1619</v>
      </c>
      <c r="AR1281" t="s">
        <v>1620</v>
      </c>
      <c r="AT1281" s="16">
        <f>_xlfn.XLOOKUP(B1281,'SWiSH Demand Forecast Sep-26'!D:D,'SWiSH Demand Forecast Sep-26'!G:G,"Not Exist")</f>
        <v>9671.5</v>
      </c>
    </row>
    <row r="1282" spans="1:46" x14ac:dyDescent="0.3">
      <c r="A1282">
        <v>107400053</v>
      </c>
      <c r="B1282" t="s">
        <v>3137</v>
      </c>
      <c r="C1282" t="s">
        <v>10</v>
      </c>
      <c r="D1282" t="s">
        <v>1613</v>
      </c>
      <c r="E1282" t="s">
        <v>1663</v>
      </c>
      <c r="F1282" t="s">
        <v>1664</v>
      </c>
      <c r="G1282" t="s">
        <v>1624</v>
      </c>
      <c r="H1282" t="s">
        <v>2016</v>
      </c>
      <c r="I1282" t="s">
        <v>1634</v>
      </c>
      <c r="J1282" t="s">
        <v>10</v>
      </c>
      <c r="K1282">
        <v>6.0000000000000001E-3</v>
      </c>
      <c r="L1282">
        <v>108</v>
      </c>
      <c r="M1282" s="1">
        <v>15</v>
      </c>
      <c r="N1282">
        <v>0</v>
      </c>
      <c r="O1282">
        <v>0</v>
      </c>
      <c r="P1282">
        <v>18000</v>
      </c>
      <c r="Q1282" s="1">
        <v>18000</v>
      </c>
      <c r="R1282">
        <v>6.0000000000000001E-3</v>
      </c>
      <c r="S1282" s="2">
        <v>45922</v>
      </c>
      <c r="T1282" s="2">
        <v>46237</v>
      </c>
      <c r="U1282">
        <v>5000</v>
      </c>
      <c r="V1282">
        <v>1000</v>
      </c>
      <c r="W1282">
        <v>0</v>
      </c>
      <c r="X1282">
        <v>5000</v>
      </c>
      <c r="Y1282">
        <v>0</v>
      </c>
      <c r="Z1282" s="8">
        <v>5000</v>
      </c>
      <c r="AA1282">
        <v>2750</v>
      </c>
      <c r="AB1282">
        <v>0</v>
      </c>
      <c r="AC1282">
        <v>1.8181818181818181</v>
      </c>
      <c r="AD1282" s="1">
        <v>108</v>
      </c>
      <c r="AE1282" s="2">
        <v>46356</v>
      </c>
      <c r="AF1282" s="2">
        <v>46364</v>
      </c>
      <c r="AG1282" s="2">
        <v>46371</v>
      </c>
      <c r="AH1282">
        <v>1000</v>
      </c>
      <c r="AI1282" s="3">
        <v>0.2068965517241379</v>
      </c>
      <c r="AJ1282" s="1">
        <v>522</v>
      </c>
      <c r="AK1282" s="2">
        <v>46785</v>
      </c>
      <c r="AL1282" s="4">
        <v>30</v>
      </c>
      <c r="AM1282" s="5">
        <v>15</v>
      </c>
      <c r="AN1282" s="4">
        <v>108</v>
      </c>
      <c r="AO1282">
        <v>1034.4827586206895</v>
      </c>
      <c r="AP1282" s="4">
        <v>1</v>
      </c>
      <c r="AQ1282">
        <v>25000</v>
      </c>
      <c r="AR1282" t="s">
        <v>2034</v>
      </c>
      <c r="AT1282" s="16" t="str">
        <f>_xlfn.XLOOKUP(B1282,'SWiSH Demand Forecast Sep-26'!D:D,'SWiSH Demand Forecast Sep-26'!G:G,"Not Exist")</f>
        <v>Not Exist</v>
      </c>
    </row>
    <row r="1283" spans="1:46" x14ac:dyDescent="0.3">
      <c r="A1283">
        <v>106800013</v>
      </c>
      <c r="B1283" t="s">
        <v>3138</v>
      </c>
      <c r="C1283" t="s">
        <v>10</v>
      </c>
      <c r="D1283" t="s">
        <v>1613</v>
      </c>
      <c r="E1283" t="s">
        <v>1685</v>
      </c>
      <c r="F1283" t="s">
        <v>1664</v>
      </c>
      <c r="G1283" t="s">
        <v>1624</v>
      </c>
      <c r="H1283" t="s">
        <v>1665</v>
      </c>
      <c r="I1283" t="s">
        <v>1634</v>
      </c>
      <c r="J1283" t="s">
        <v>10</v>
      </c>
      <c r="K1283">
        <v>2E-3</v>
      </c>
      <c r="L1283">
        <v>110</v>
      </c>
      <c r="M1283" s="1">
        <v>7</v>
      </c>
      <c r="N1283">
        <v>0</v>
      </c>
      <c r="O1283">
        <v>0</v>
      </c>
      <c r="P1283">
        <v>55000</v>
      </c>
      <c r="Q1283" s="1">
        <v>55000</v>
      </c>
      <c r="R1283">
        <v>2E-3</v>
      </c>
      <c r="S1283" s="2">
        <v>46211</v>
      </c>
      <c r="T1283" s="2">
        <v>46245</v>
      </c>
      <c r="U1283">
        <v>5000</v>
      </c>
      <c r="V1283">
        <v>5000</v>
      </c>
      <c r="W1283">
        <v>15000</v>
      </c>
      <c r="X1283">
        <v>10000</v>
      </c>
      <c r="Y1283">
        <v>5000</v>
      </c>
      <c r="Z1283" s="8">
        <v>15000</v>
      </c>
      <c r="AA1283">
        <v>8750</v>
      </c>
      <c r="AB1283">
        <v>0.5714285714285714</v>
      </c>
      <c r="AC1283">
        <v>1.7142857142857142</v>
      </c>
      <c r="AD1283" s="1">
        <v>110</v>
      </c>
      <c r="AE1283" s="2">
        <v>46358</v>
      </c>
      <c r="AF1283" s="2">
        <v>46366</v>
      </c>
      <c r="AG1283" s="2">
        <v>46373</v>
      </c>
      <c r="AH1283">
        <v>15000</v>
      </c>
      <c r="AI1283" s="3">
        <v>1.0344827586206897</v>
      </c>
      <c r="AJ1283" s="1">
        <v>106</v>
      </c>
      <c r="AK1283" s="2">
        <v>46369</v>
      </c>
      <c r="AL1283" s="4">
        <v>30</v>
      </c>
      <c r="AM1283" s="5">
        <v>15</v>
      </c>
      <c r="AN1283" s="4">
        <v>106</v>
      </c>
      <c r="AO1283">
        <v>15517.241379310346</v>
      </c>
      <c r="AP1283" s="4">
        <v>1</v>
      </c>
      <c r="AQ1283" t="s">
        <v>1619</v>
      </c>
      <c r="AR1283" t="s">
        <v>1620</v>
      </c>
      <c r="AT1283" s="16" t="str">
        <f>_xlfn.XLOOKUP(B1283,'SWiSH Demand Forecast Sep-26'!D:D,'SWiSH Demand Forecast Sep-26'!G:G,"Not Exist")</f>
        <v>Not Exist</v>
      </c>
    </row>
    <row r="1284" spans="1:46" x14ac:dyDescent="0.3">
      <c r="A1284">
        <v>105000015</v>
      </c>
      <c r="B1284" t="s">
        <v>3139</v>
      </c>
      <c r="C1284" t="s">
        <v>136</v>
      </c>
      <c r="D1284" t="s">
        <v>1613</v>
      </c>
      <c r="E1284" t="s">
        <v>3140</v>
      </c>
      <c r="F1284" t="s">
        <v>1671</v>
      </c>
      <c r="G1284" t="s">
        <v>1616</v>
      </c>
      <c r="H1284" t="s">
        <v>2002</v>
      </c>
      <c r="I1284" t="s">
        <v>1618</v>
      </c>
      <c r="J1284" t="s">
        <v>136</v>
      </c>
      <c r="K1284">
        <v>4.6666699999999999</v>
      </c>
      <c r="L1284">
        <v>410.66696000000002</v>
      </c>
      <c r="M1284" s="1">
        <v>3</v>
      </c>
      <c r="N1284">
        <v>0</v>
      </c>
      <c r="O1284">
        <v>0</v>
      </c>
      <c r="P1284">
        <v>88</v>
      </c>
      <c r="Q1284" s="1">
        <v>88</v>
      </c>
      <c r="R1284">
        <v>55</v>
      </c>
      <c r="S1284" s="2">
        <v>46258</v>
      </c>
      <c r="T1284" s="2">
        <v>46262</v>
      </c>
      <c r="U1284">
        <v>19</v>
      </c>
      <c r="V1284">
        <v>17</v>
      </c>
      <c r="W1284">
        <v>18</v>
      </c>
      <c r="X1284">
        <v>24</v>
      </c>
      <c r="Y1284">
        <v>17</v>
      </c>
      <c r="Z1284" s="8">
        <v>24</v>
      </c>
      <c r="AA1284">
        <v>19.5</v>
      </c>
      <c r="AB1284">
        <v>0.87179487179487181</v>
      </c>
      <c r="AC1284">
        <v>1.2307692307692308</v>
      </c>
      <c r="AD1284" s="1">
        <v>110</v>
      </c>
      <c r="AE1284" s="2">
        <v>46358</v>
      </c>
      <c r="AF1284" s="2">
        <v>46366</v>
      </c>
      <c r="AG1284" s="2">
        <v>46373</v>
      </c>
      <c r="AH1284">
        <v>98</v>
      </c>
      <c r="AI1284" s="3">
        <v>4.2241379310344831</v>
      </c>
      <c r="AJ1284" s="1">
        <v>26</v>
      </c>
      <c r="AK1284" s="2">
        <v>46289</v>
      </c>
      <c r="AL1284" s="4">
        <v>30</v>
      </c>
      <c r="AM1284" s="5">
        <v>15</v>
      </c>
      <c r="AN1284" s="4">
        <v>26</v>
      </c>
      <c r="AO1284">
        <v>101.37931034482759</v>
      </c>
      <c r="AP1284" s="4">
        <v>1</v>
      </c>
      <c r="AQ1284" t="s">
        <v>1619</v>
      </c>
      <c r="AR1284" t="s">
        <v>1620</v>
      </c>
      <c r="AT1284" s="16" t="str">
        <f>_xlfn.XLOOKUP(B1284,'SWiSH Demand Forecast Sep-26'!D:D,'SWiSH Demand Forecast Sep-26'!G:G,"Not Exist")</f>
        <v>Not Exist</v>
      </c>
    </row>
    <row r="1285" spans="1:46" hidden="1" x14ac:dyDescent="0.3">
      <c r="A1285">
        <v>106800126</v>
      </c>
      <c r="B1285" t="s">
        <v>397</v>
      </c>
      <c r="C1285" t="s">
        <v>10</v>
      </c>
      <c r="D1285" t="s">
        <v>1613</v>
      </c>
      <c r="E1285" t="s">
        <v>1926</v>
      </c>
      <c r="F1285" t="s">
        <v>1664</v>
      </c>
      <c r="G1285" t="s">
        <v>1624</v>
      </c>
      <c r="H1285" t="s">
        <v>1665</v>
      </c>
      <c r="I1285" t="s">
        <v>1634</v>
      </c>
      <c r="J1285" t="s">
        <v>10</v>
      </c>
      <c r="K1285">
        <v>4.0000000000000001E-3</v>
      </c>
      <c r="L1285">
        <v>60</v>
      </c>
      <c r="M1285" s="1">
        <v>7</v>
      </c>
      <c r="N1285">
        <v>0</v>
      </c>
      <c r="O1285">
        <v>0</v>
      </c>
      <c r="P1285">
        <v>15000</v>
      </c>
      <c r="Q1285" s="1">
        <v>15000</v>
      </c>
      <c r="R1285">
        <v>4.0000000000000001E-3</v>
      </c>
      <c r="S1285" s="2">
        <v>46100</v>
      </c>
      <c r="T1285" s="2">
        <v>46250</v>
      </c>
      <c r="U1285">
        <v>1000</v>
      </c>
      <c r="V1285">
        <v>2001</v>
      </c>
      <c r="W1285">
        <v>1999</v>
      </c>
      <c r="X1285">
        <v>4000</v>
      </c>
      <c r="Y1285">
        <v>1000</v>
      </c>
      <c r="Z1285" s="8">
        <v>4000</v>
      </c>
      <c r="AA1285">
        <v>2250</v>
      </c>
      <c r="AB1285">
        <v>0.44444444444444442</v>
      </c>
      <c r="AC1285">
        <v>1.7777777777777777</v>
      </c>
      <c r="AD1285" s="1">
        <v>112</v>
      </c>
      <c r="AE1285" s="2">
        <v>46360</v>
      </c>
      <c r="AF1285" s="2">
        <v>46368</v>
      </c>
      <c r="AG1285" s="2">
        <v>46375</v>
      </c>
      <c r="AH1285">
        <v>1000</v>
      </c>
      <c r="AI1285" s="3">
        <v>0.25862068965517238</v>
      </c>
      <c r="AJ1285" s="1">
        <v>435</v>
      </c>
      <c r="AK1285" s="2">
        <v>46698</v>
      </c>
      <c r="AL1285" s="4">
        <v>30</v>
      </c>
      <c r="AM1285" s="5">
        <v>15</v>
      </c>
      <c r="AN1285" s="4">
        <v>112</v>
      </c>
      <c r="AO1285">
        <v>1034.4827586206895</v>
      </c>
      <c r="AP1285" s="4">
        <v>1</v>
      </c>
      <c r="AQ1285" t="s">
        <v>1619</v>
      </c>
      <c r="AR1285" t="s">
        <v>1620</v>
      </c>
      <c r="AT1285" s="16">
        <f>_xlfn.XLOOKUP(B1285,'SWiSH Demand Forecast Sep-26'!D:D,'SWiSH Demand Forecast Sep-26'!G:G,"Not Exist")</f>
        <v>2749</v>
      </c>
    </row>
    <row r="1286" spans="1:46" hidden="1" x14ac:dyDescent="0.3">
      <c r="A1286">
        <v>105900007</v>
      </c>
      <c r="B1286" t="s">
        <v>488</v>
      </c>
      <c r="C1286" t="s">
        <v>10</v>
      </c>
      <c r="D1286" t="s">
        <v>1613</v>
      </c>
      <c r="E1286" t="s">
        <v>1732</v>
      </c>
      <c r="F1286" t="s">
        <v>1664</v>
      </c>
      <c r="G1286" t="s">
        <v>1616</v>
      </c>
      <c r="H1286" t="s">
        <v>1729</v>
      </c>
      <c r="I1286" t="s">
        <v>1634</v>
      </c>
      <c r="J1286" t="s">
        <v>1733</v>
      </c>
      <c r="K1286">
        <v>4.99607E-3</v>
      </c>
      <c r="L1286">
        <v>127.39978499999999</v>
      </c>
      <c r="M1286" s="1">
        <v>90</v>
      </c>
      <c r="N1286">
        <v>0</v>
      </c>
      <c r="O1286">
        <v>0</v>
      </c>
      <c r="P1286">
        <v>25500</v>
      </c>
      <c r="Q1286" s="1">
        <v>25500</v>
      </c>
      <c r="R1286">
        <v>5</v>
      </c>
      <c r="S1286" s="2">
        <v>46132</v>
      </c>
      <c r="T1286" s="2">
        <v>46228</v>
      </c>
      <c r="U1286">
        <v>4000</v>
      </c>
      <c r="V1286">
        <v>4600</v>
      </c>
      <c r="W1286">
        <v>5100</v>
      </c>
      <c r="X1286">
        <v>6800</v>
      </c>
      <c r="Y1286">
        <v>4000</v>
      </c>
      <c r="Z1286" s="8">
        <v>6800</v>
      </c>
      <c r="AA1286">
        <v>5125</v>
      </c>
      <c r="AB1286">
        <v>0.78048780487804881</v>
      </c>
      <c r="AC1286">
        <v>1.326829268292683</v>
      </c>
      <c r="AD1286" s="1">
        <v>112</v>
      </c>
      <c r="AE1286" s="2">
        <v>46360</v>
      </c>
      <c r="AF1286" s="2">
        <v>46368</v>
      </c>
      <c r="AG1286" s="2">
        <v>46375</v>
      </c>
      <c r="AH1286">
        <v>0</v>
      </c>
      <c r="AI1286" s="3">
        <v>0</v>
      </c>
      <c r="AJ1286" s="1" t="s">
        <v>1635</v>
      </c>
      <c r="AK1286" s="2" t="s">
        <v>1635</v>
      </c>
      <c r="AL1286" s="4">
        <v>120</v>
      </c>
      <c r="AM1286" s="5">
        <v>100</v>
      </c>
      <c r="AN1286" s="4">
        <v>112</v>
      </c>
      <c r="AO1286">
        <v>0</v>
      </c>
      <c r="AP1286" s="4">
        <v>1</v>
      </c>
      <c r="AQ1286" t="s">
        <v>1619</v>
      </c>
      <c r="AR1286" t="s">
        <v>1620</v>
      </c>
      <c r="AT1286" s="16">
        <f>_xlfn.XLOOKUP(B1286,'SWiSH Demand Forecast Sep-26'!D:D,'SWiSH Demand Forecast Sep-26'!G:G,"Not Exist")</f>
        <v>1653</v>
      </c>
    </row>
    <row r="1287" spans="1:46" x14ac:dyDescent="0.3">
      <c r="A1287">
        <v>106600053</v>
      </c>
      <c r="B1287" t="s">
        <v>3141</v>
      </c>
      <c r="C1287" t="s">
        <v>10</v>
      </c>
      <c r="D1287" t="s">
        <v>1613</v>
      </c>
      <c r="E1287" t="s">
        <v>1685</v>
      </c>
      <c r="F1287" t="s">
        <v>1664</v>
      </c>
      <c r="G1287" t="s">
        <v>1624</v>
      </c>
      <c r="H1287" t="s">
        <v>1723</v>
      </c>
      <c r="I1287" t="s">
        <v>1634</v>
      </c>
      <c r="J1287" t="s">
        <v>10</v>
      </c>
      <c r="K1287">
        <v>1.0500000000000001E-2</v>
      </c>
      <c r="L1287">
        <v>78.75</v>
      </c>
      <c r="M1287" s="1">
        <v>15</v>
      </c>
      <c r="N1287">
        <v>0</v>
      </c>
      <c r="O1287">
        <v>0</v>
      </c>
      <c r="P1287">
        <v>7500</v>
      </c>
      <c r="Q1287" s="1">
        <v>7500</v>
      </c>
      <c r="R1287">
        <v>8.9999999999999993E-3</v>
      </c>
      <c r="S1287" s="2">
        <v>45911</v>
      </c>
      <c r="T1287" s="2">
        <v>46228</v>
      </c>
      <c r="U1287">
        <v>1000</v>
      </c>
      <c r="V1287">
        <v>2000</v>
      </c>
      <c r="W1287">
        <v>1000</v>
      </c>
      <c r="X1287">
        <v>2000</v>
      </c>
      <c r="Y1287">
        <v>1000</v>
      </c>
      <c r="Z1287" s="8">
        <v>2000</v>
      </c>
      <c r="AA1287">
        <v>1500</v>
      </c>
      <c r="AB1287">
        <v>0.66666666666666663</v>
      </c>
      <c r="AC1287">
        <v>1.3333333333333333</v>
      </c>
      <c r="AD1287" s="1">
        <v>112</v>
      </c>
      <c r="AE1287" s="2">
        <v>46360</v>
      </c>
      <c r="AF1287" s="2">
        <v>46368</v>
      </c>
      <c r="AG1287" s="2">
        <v>46375</v>
      </c>
      <c r="AH1287">
        <v>0</v>
      </c>
      <c r="AI1287" s="3">
        <v>0</v>
      </c>
      <c r="AJ1287" s="1" t="s">
        <v>1635</v>
      </c>
      <c r="AK1287" s="2" t="s">
        <v>1635</v>
      </c>
      <c r="AL1287" s="4">
        <v>30</v>
      </c>
      <c r="AM1287" s="5">
        <v>15</v>
      </c>
      <c r="AN1287" s="4">
        <v>112</v>
      </c>
      <c r="AO1287">
        <v>0</v>
      </c>
      <c r="AP1287" s="4">
        <v>1</v>
      </c>
      <c r="AQ1287" t="s">
        <v>1619</v>
      </c>
      <c r="AR1287" t="s">
        <v>1620</v>
      </c>
      <c r="AT1287" s="16" t="str">
        <f>_xlfn.XLOOKUP(B1287,'SWiSH Demand Forecast Sep-26'!D:D,'SWiSH Demand Forecast Sep-26'!G:G,"Not Exist")</f>
        <v>Not Exist</v>
      </c>
    </row>
    <row r="1288" spans="1:46" x14ac:dyDescent="0.3">
      <c r="A1288">
        <v>105100005</v>
      </c>
      <c r="B1288" t="s">
        <v>3142</v>
      </c>
      <c r="C1288" t="s">
        <v>10</v>
      </c>
      <c r="D1288" t="s">
        <v>1613</v>
      </c>
      <c r="E1288" t="s">
        <v>1796</v>
      </c>
      <c r="F1288" t="s">
        <v>1664</v>
      </c>
      <c r="G1288" t="s">
        <v>1616</v>
      </c>
      <c r="H1288" t="s">
        <v>1985</v>
      </c>
      <c r="I1288" t="s">
        <v>1634</v>
      </c>
      <c r="J1288" t="s">
        <v>10</v>
      </c>
      <c r="K1288">
        <v>0.16655</v>
      </c>
      <c r="L1288">
        <v>12993.8979</v>
      </c>
      <c r="M1288" s="1">
        <v>90</v>
      </c>
      <c r="N1288">
        <v>0</v>
      </c>
      <c r="O1288">
        <v>200</v>
      </c>
      <c r="P1288">
        <v>78018</v>
      </c>
      <c r="Q1288" s="1">
        <v>77818</v>
      </c>
      <c r="R1288">
        <v>0.16655</v>
      </c>
      <c r="S1288" s="2">
        <v>46156</v>
      </c>
      <c r="T1288" s="2">
        <v>46263</v>
      </c>
      <c r="U1288">
        <v>5400</v>
      </c>
      <c r="V1288">
        <v>20575</v>
      </c>
      <c r="W1288">
        <v>18600</v>
      </c>
      <c r="X1288">
        <v>15090</v>
      </c>
      <c r="Y1288">
        <v>5400</v>
      </c>
      <c r="Z1288" s="8">
        <v>20575</v>
      </c>
      <c r="AA1288">
        <v>14916.25</v>
      </c>
      <c r="AB1288">
        <v>0.36202128551076845</v>
      </c>
      <c r="AC1288">
        <v>1.379368138774826</v>
      </c>
      <c r="AD1288" s="1">
        <v>113</v>
      </c>
      <c r="AE1288" s="2">
        <v>46361</v>
      </c>
      <c r="AF1288" s="2">
        <v>46369</v>
      </c>
      <c r="AG1288" s="2">
        <v>46376</v>
      </c>
      <c r="AH1288">
        <v>10800</v>
      </c>
      <c r="AI1288" s="3">
        <v>0.54300917584949926</v>
      </c>
      <c r="AJ1288" s="1">
        <v>208</v>
      </c>
      <c r="AK1288" s="2">
        <v>46471</v>
      </c>
      <c r="AL1288" s="4">
        <v>120</v>
      </c>
      <c r="AM1288" s="5">
        <v>100</v>
      </c>
      <c r="AN1288" s="4">
        <v>113</v>
      </c>
      <c r="AO1288">
        <v>44689.65517241379</v>
      </c>
      <c r="AP1288" s="4">
        <v>1</v>
      </c>
      <c r="AQ1288" t="s">
        <v>1619</v>
      </c>
      <c r="AR1288" t="s">
        <v>1620</v>
      </c>
      <c r="AS1288" t="s">
        <v>1666</v>
      </c>
      <c r="AT1288" s="16" t="str">
        <f>_xlfn.XLOOKUP(B1288,'SWiSH Demand Forecast Sep-26'!D:D,'SWiSH Demand Forecast Sep-26'!G:G,"Not Exist")</f>
        <v>Not Exist</v>
      </c>
    </row>
    <row r="1289" spans="1:46" hidden="1" x14ac:dyDescent="0.3">
      <c r="A1289">
        <v>107400001</v>
      </c>
      <c r="B1289" t="s">
        <v>519</v>
      </c>
      <c r="C1289" t="s">
        <v>10</v>
      </c>
      <c r="D1289" t="s">
        <v>1613</v>
      </c>
      <c r="E1289" t="s">
        <v>1638</v>
      </c>
      <c r="F1289" t="s">
        <v>1664</v>
      </c>
      <c r="G1289" t="s">
        <v>1624</v>
      </c>
      <c r="H1289" t="s">
        <v>2016</v>
      </c>
      <c r="I1289" t="s">
        <v>1634</v>
      </c>
      <c r="J1289" t="s">
        <v>10</v>
      </c>
      <c r="K1289">
        <v>8.0000000000000002E-3</v>
      </c>
      <c r="L1289">
        <v>424</v>
      </c>
      <c r="M1289" s="1">
        <v>15</v>
      </c>
      <c r="N1289">
        <v>0</v>
      </c>
      <c r="O1289">
        <v>0</v>
      </c>
      <c r="P1289">
        <v>53000</v>
      </c>
      <c r="Q1289" s="1">
        <v>53000</v>
      </c>
      <c r="R1289">
        <v>8.0000000000000002E-3</v>
      </c>
      <c r="S1289" s="2">
        <v>46126</v>
      </c>
      <c r="T1289" s="2">
        <v>46263</v>
      </c>
      <c r="U1289">
        <v>14000</v>
      </c>
      <c r="V1289">
        <v>3500</v>
      </c>
      <c r="W1289">
        <v>7000</v>
      </c>
      <c r="X1289">
        <v>2000</v>
      </c>
      <c r="Y1289">
        <v>2000</v>
      </c>
      <c r="Z1289" s="8">
        <v>14000</v>
      </c>
      <c r="AA1289">
        <v>6625</v>
      </c>
      <c r="AB1289">
        <v>0.30188679245283018</v>
      </c>
      <c r="AC1289">
        <v>2.1132075471698113</v>
      </c>
      <c r="AD1289" s="1">
        <v>113</v>
      </c>
      <c r="AE1289" s="2">
        <v>46361</v>
      </c>
      <c r="AF1289" s="2">
        <v>46369</v>
      </c>
      <c r="AG1289" s="2">
        <v>46376</v>
      </c>
      <c r="AH1289">
        <v>7000</v>
      </c>
      <c r="AI1289" s="3">
        <v>0.51724137931034486</v>
      </c>
      <c r="AJ1289" s="1">
        <v>219</v>
      </c>
      <c r="AK1289" s="2">
        <v>46482</v>
      </c>
      <c r="AL1289" s="4">
        <v>30</v>
      </c>
      <c r="AM1289" s="5">
        <v>15</v>
      </c>
      <c r="AN1289" s="4">
        <v>113</v>
      </c>
      <c r="AO1289">
        <v>7241.3793103448279</v>
      </c>
      <c r="AP1289" s="4">
        <v>1</v>
      </c>
      <c r="AQ1289" t="s">
        <v>1619</v>
      </c>
      <c r="AR1289" t="s">
        <v>1620</v>
      </c>
      <c r="AT1289" s="16">
        <f>_xlfn.XLOOKUP(B1289,'SWiSH Demand Forecast Sep-26'!D:D,'SWiSH Demand Forecast Sep-26'!G:G,"Not Exist")</f>
        <v>1406</v>
      </c>
    </row>
    <row r="1290" spans="1:46" hidden="1" x14ac:dyDescent="0.3">
      <c r="A1290">
        <v>105900001</v>
      </c>
      <c r="B1290" t="s">
        <v>577</v>
      </c>
      <c r="C1290" t="s">
        <v>10</v>
      </c>
      <c r="D1290" t="s">
        <v>1613</v>
      </c>
      <c r="E1290" t="s">
        <v>1732</v>
      </c>
      <c r="F1290" t="s">
        <v>1664</v>
      </c>
      <c r="G1290" t="s">
        <v>1616</v>
      </c>
      <c r="H1290" t="s">
        <v>1729</v>
      </c>
      <c r="I1290" t="s">
        <v>1634</v>
      </c>
      <c r="J1290" t="s">
        <v>1733</v>
      </c>
      <c r="K1290">
        <v>4.8826700000000004E-3</v>
      </c>
      <c r="L1290">
        <v>112.30141</v>
      </c>
      <c r="M1290" s="1">
        <v>90</v>
      </c>
      <c r="N1290">
        <v>0</v>
      </c>
      <c r="O1290">
        <v>0</v>
      </c>
      <c r="P1290">
        <v>23000</v>
      </c>
      <c r="Q1290" s="1">
        <v>23000</v>
      </c>
      <c r="R1290">
        <v>4.8037700000000001</v>
      </c>
      <c r="S1290" s="2">
        <v>45743</v>
      </c>
      <c r="T1290" s="2">
        <v>46197</v>
      </c>
      <c r="U1290">
        <v>3000</v>
      </c>
      <c r="V1290">
        <v>2000</v>
      </c>
      <c r="W1290">
        <v>6000</v>
      </c>
      <c r="X1290">
        <v>0</v>
      </c>
      <c r="Y1290">
        <v>0</v>
      </c>
      <c r="Z1290" s="8">
        <v>6000</v>
      </c>
      <c r="AA1290">
        <v>2750</v>
      </c>
      <c r="AB1290">
        <v>0</v>
      </c>
      <c r="AC1290">
        <v>2.1818181818181817</v>
      </c>
      <c r="AD1290" s="1">
        <v>115</v>
      </c>
      <c r="AE1290" s="2">
        <v>46363</v>
      </c>
      <c r="AF1290" s="2">
        <v>46371</v>
      </c>
      <c r="AG1290" s="2">
        <v>46378</v>
      </c>
      <c r="AH1290">
        <v>0</v>
      </c>
      <c r="AI1290" s="3">
        <v>0</v>
      </c>
      <c r="AJ1290" s="1" t="s">
        <v>1635</v>
      </c>
      <c r="AK1290" s="2" t="s">
        <v>1635</v>
      </c>
      <c r="AL1290" s="4">
        <v>120</v>
      </c>
      <c r="AM1290" s="5">
        <v>100</v>
      </c>
      <c r="AN1290" s="4">
        <v>115</v>
      </c>
      <c r="AO1290">
        <v>0</v>
      </c>
      <c r="AP1290" s="4">
        <v>1</v>
      </c>
      <c r="AQ1290" t="s">
        <v>1619</v>
      </c>
      <c r="AR1290" t="s">
        <v>1620</v>
      </c>
      <c r="AT1290" s="16">
        <f>_xlfn.XLOOKUP(B1290,'SWiSH Demand Forecast Sep-26'!D:D,'SWiSH Demand Forecast Sep-26'!G:G,"Not Exist")</f>
        <v>1120</v>
      </c>
    </row>
    <row r="1291" spans="1:46" x14ac:dyDescent="0.3">
      <c r="A1291">
        <v>106600071</v>
      </c>
      <c r="B1291" t="s">
        <v>3143</v>
      </c>
      <c r="C1291" t="s">
        <v>10</v>
      </c>
      <c r="D1291" t="s">
        <v>1675</v>
      </c>
      <c r="E1291" t="s">
        <v>1685</v>
      </c>
      <c r="F1291" t="s">
        <v>1664</v>
      </c>
      <c r="G1291" t="s">
        <v>1704</v>
      </c>
      <c r="H1291" t="s">
        <v>1723</v>
      </c>
      <c r="I1291" t="s">
        <v>1634</v>
      </c>
      <c r="J1291" t="s">
        <v>10</v>
      </c>
      <c r="K1291">
        <v>1.316908E-2</v>
      </c>
      <c r="L1291">
        <v>355.56515999999999</v>
      </c>
      <c r="M1291" s="1">
        <v>15</v>
      </c>
      <c r="N1291">
        <v>0</v>
      </c>
      <c r="O1291">
        <v>0</v>
      </c>
      <c r="P1291">
        <v>27000</v>
      </c>
      <c r="Q1291" s="1">
        <v>27000</v>
      </c>
      <c r="R1291">
        <v>1.2999999999999999E-2</v>
      </c>
      <c r="S1291" s="2">
        <v>45943</v>
      </c>
      <c r="T1291" s="2">
        <v>46221</v>
      </c>
      <c r="U1291">
        <v>7000</v>
      </c>
      <c r="V1291">
        <v>0</v>
      </c>
      <c r="W1291">
        <v>0</v>
      </c>
      <c r="X1291">
        <v>0</v>
      </c>
      <c r="Y1291">
        <v>0</v>
      </c>
      <c r="Z1291" s="8">
        <v>7000</v>
      </c>
      <c r="AA1291">
        <v>1750</v>
      </c>
      <c r="AB1291">
        <v>0</v>
      </c>
      <c r="AC1291">
        <v>4</v>
      </c>
      <c r="AD1291" s="1">
        <v>115</v>
      </c>
      <c r="AE1291" s="2">
        <v>46363</v>
      </c>
      <c r="AF1291" s="2">
        <v>46371</v>
      </c>
      <c r="AG1291" s="2">
        <v>46378</v>
      </c>
      <c r="AH1291">
        <v>0</v>
      </c>
      <c r="AI1291" s="3">
        <v>0</v>
      </c>
      <c r="AJ1291" s="1" t="s">
        <v>1635</v>
      </c>
      <c r="AK1291" s="2" t="s">
        <v>1635</v>
      </c>
      <c r="AL1291" s="4" t="s">
        <v>1658</v>
      </c>
      <c r="AM1291" s="5" t="s">
        <v>1658</v>
      </c>
      <c r="AN1291" s="4">
        <v>115</v>
      </c>
      <c r="AO1291" t="s">
        <v>1635</v>
      </c>
      <c r="AP1291" s="4" t="s">
        <v>1658</v>
      </c>
      <c r="AQ1291" t="s">
        <v>1619</v>
      </c>
      <c r="AR1291" t="s">
        <v>1620</v>
      </c>
      <c r="AT1291" s="16" t="str">
        <f>_xlfn.XLOOKUP(B1291,'SWiSH Demand Forecast Sep-26'!D:D,'SWiSH Demand Forecast Sep-26'!G:G,"Not Exist")</f>
        <v>Not Exist</v>
      </c>
    </row>
    <row r="1292" spans="1:46" x14ac:dyDescent="0.3">
      <c r="A1292">
        <v>105000005</v>
      </c>
      <c r="B1292" t="s">
        <v>3144</v>
      </c>
      <c r="C1292" t="s">
        <v>240</v>
      </c>
      <c r="D1292" t="s">
        <v>1613</v>
      </c>
      <c r="E1292" t="s">
        <v>3145</v>
      </c>
      <c r="F1292" t="s">
        <v>1671</v>
      </c>
      <c r="G1292" t="s">
        <v>1616</v>
      </c>
      <c r="H1292" t="s">
        <v>2002</v>
      </c>
      <c r="I1292" t="s">
        <v>1618</v>
      </c>
      <c r="J1292" t="s">
        <v>3146</v>
      </c>
      <c r="K1292">
        <v>6.11718604</v>
      </c>
      <c r="L1292">
        <v>270.37962296800004</v>
      </c>
      <c r="M1292" s="1">
        <v>3</v>
      </c>
      <c r="N1292">
        <v>0</v>
      </c>
      <c r="O1292">
        <v>0</v>
      </c>
      <c r="P1292">
        <v>44.2</v>
      </c>
      <c r="Q1292" s="1">
        <v>44.2</v>
      </c>
      <c r="R1292">
        <v>1.2230000000000001</v>
      </c>
      <c r="S1292" s="2">
        <v>46147</v>
      </c>
      <c r="T1292" s="2">
        <v>46261</v>
      </c>
      <c r="U1292">
        <v>11.369999999999997</v>
      </c>
      <c r="V1292">
        <v>0.8</v>
      </c>
      <c r="W1292">
        <v>2.8400000000000003</v>
      </c>
      <c r="X1292">
        <v>2.8400000000000003</v>
      </c>
      <c r="Y1292">
        <v>0.8</v>
      </c>
      <c r="Z1292" s="8">
        <v>11.369999999999997</v>
      </c>
      <c r="AA1292">
        <v>4.4624999999999995</v>
      </c>
      <c r="AB1292">
        <v>0.17927170868347342</v>
      </c>
      <c r="AC1292">
        <v>2.5478991596638654</v>
      </c>
      <c r="AD1292" s="1">
        <v>116</v>
      </c>
      <c r="AE1292" s="2">
        <v>46364</v>
      </c>
      <c r="AF1292" s="2">
        <v>46372</v>
      </c>
      <c r="AG1292" s="2">
        <v>46379</v>
      </c>
      <c r="AH1292">
        <v>4.1999999999999993</v>
      </c>
      <c r="AI1292" s="3">
        <v>0.38213083431898831</v>
      </c>
      <c r="AJ1292" s="1">
        <v>305</v>
      </c>
      <c r="AK1292" s="2">
        <v>46568</v>
      </c>
      <c r="AL1292" s="4">
        <v>30</v>
      </c>
      <c r="AM1292" s="5">
        <v>15</v>
      </c>
      <c r="AN1292" s="4">
        <v>116</v>
      </c>
      <c r="AO1292">
        <v>4.3448275862068959</v>
      </c>
      <c r="AP1292" s="4">
        <v>1</v>
      </c>
      <c r="AQ1292" t="s">
        <v>1619</v>
      </c>
      <c r="AR1292" t="s">
        <v>1620</v>
      </c>
      <c r="AT1292" s="16" t="str">
        <f>_xlfn.XLOOKUP(B1292,'SWiSH Demand Forecast Sep-26'!D:D,'SWiSH Demand Forecast Sep-26'!G:G,"Not Exist")</f>
        <v>Not Exist</v>
      </c>
    </row>
    <row r="1293" spans="1:46" hidden="1" x14ac:dyDescent="0.3">
      <c r="A1293">
        <v>106800115</v>
      </c>
      <c r="B1293" t="s">
        <v>89</v>
      </c>
      <c r="C1293" t="s">
        <v>10</v>
      </c>
      <c r="D1293" t="s">
        <v>1613</v>
      </c>
      <c r="E1293" t="s">
        <v>1663</v>
      </c>
      <c r="F1293" t="s">
        <v>1664</v>
      </c>
      <c r="G1293" t="s">
        <v>1624</v>
      </c>
      <c r="H1293" t="s">
        <v>1665</v>
      </c>
      <c r="I1293" t="s">
        <v>1634</v>
      </c>
      <c r="J1293" t="s">
        <v>10</v>
      </c>
      <c r="K1293">
        <v>3.0000000000000001E-3</v>
      </c>
      <c r="L1293">
        <v>517.5</v>
      </c>
      <c r="M1293" s="1">
        <v>7</v>
      </c>
      <c r="N1293">
        <v>0</v>
      </c>
      <c r="O1293">
        <v>0</v>
      </c>
      <c r="P1293">
        <v>172500</v>
      </c>
      <c r="Q1293" s="1">
        <v>172500</v>
      </c>
      <c r="R1293">
        <v>3.0000000000000001E-3</v>
      </c>
      <c r="S1293" s="2">
        <v>46153</v>
      </c>
      <c r="T1293" s="2">
        <v>46251</v>
      </c>
      <c r="U1293">
        <v>22500</v>
      </c>
      <c r="V1293">
        <v>43750</v>
      </c>
      <c r="W1293">
        <v>16250</v>
      </c>
      <c r="X1293">
        <v>7500</v>
      </c>
      <c r="Y1293">
        <v>7500</v>
      </c>
      <c r="Z1293" s="8">
        <v>43750</v>
      </c>
      <c r="AA1293">
        <v>22500</v>
      </c>
      <c r="AB1293">
        <v>0.33333333333333331</v>
      </c>
      <c r="AC1293">
        <v>1.9444444444444444</v>
      </c>
      <c r="AD1293" s="1">
        <v>118</v>
      </c>
      <c r="AE1293" s="2">
        <v>46366</v>
      </c>
      <c r="AF1293" s="2">
        <v>46374</v>
      </c>
      <c r="AG1293" s="2">
        <v>46381</v>
      </c>
      <c r="AH1293">
        <v>5000</v>
      </c>
      <c r="AI1293" s="3">
        <v>0.11822660098522168</v>
      </c>
      <c r="AJ1293" s="1">
        <v>1000</v>
      </c>
      <c r="AK1293" s="2">
        <v>47263</v>
      </c>
      <c r="AL1293" s="4">
        <v>30</v>
      </c>
      <c r="AM1293" s="5">
        <v>15</v>
      </c>
      <c r="AN1293" s="4">
        <v>118</v>
      </c>
      <c r="AO1293">
        <v>5172.4137931034484</v>
      </c>
      <c r="AP1293" s="4">
        <v>1</v>
      </c>
      <c r="AQ1293" t="s">
        <v>1619</v>
      </c>
      <c r="AR1293" t="s">
        <v>1620</v>
      </c>
      <c r="AT1293" s="16">
        <f>_xlfn.XLOOKUP(B1293,'SWiSH Demand Forecast Sep-26'!D:D,'SWiSH Demand Forecast Sep-26'!G:G,"Not Exist")</f>
        <v>24244</v>
      </c>
    </row>
    <row r="1294" spans="1:46" hidden="1" x14ac:dyDescent="0.3">
      <c r="A1294">
        <v>105200024</v>
      </c>
      <c r="B1294" t="s">
        <v>641</v>
      </c>
      <c r="C1294" t="s">
        <v>10</v>
      </c>
      <c r="D1294" t="s">
        <v>1613</v>
      </c>
      <c r="E1294" t="s">
        <v>1745</v>
      </c>
      <c r="F1294" t="s">
        <v>1664</v>
      </c>
      <c r="G1294" t="s">
        <v>1624</v>
      </c>
      <c r="H1294" t="s">
        <v>1779</v>
      </c>
      <c r="I1294" t="s">
        <v>1634</v>
      </c>
      <c r="J1294" t="s">
        <v>10</v>
      </c>
      <c r="K1294">
        <v>1.7500000000000002E-2</v>
      </c>
      <c r="L1294">
        <v>278.25</v>
      </c>
      <c r="M1294" s="1">
        <v>30</v>
      </c>
      <c r="N1294">
        <v>0</v>
      </c>
      <c r="O1294">
        <v>0</v>
      </c>
      <c r="P1294">
        <v>15900</v>
      </c>
      <c r="Q1294" s="1">
        <v>15900</v>
      </c>
      <c r="R1294">
        <v>1.9E-2</v>
      </c>
      <c r="S1294" s="2">
        <v>46253</v>
      </c>
      <c r="T1294" s="2">
        <v>46262</v>
      </c>
      <c r="U1294">
        <v>2900</v>
      </c>
      <c r="V1294">
        <v>4000</v>
      </c>
      <c r="W1294">
        <v>2700</v>
      </c>
      <c r="X1294">
        <v>2600</v>
      </c>
      <c r="Y1294">
        <v>2600</v>
      </c>
      <c r="Z1294" s="8">
        <v>4000</v>
      </c>
      <c r="AA1294">
        <v>3050</v>
      </c>
      <c r="AB1294">
        <v>0.85245901639344257</v>
      </c>
      <c r="AC1294">
        <v>1.3114754098360655</v>
      </c>
      <c r="AD1294" s="1">
        <v>119</v>
      </c>
      <c r="AE1294" s="2">
        <v>46367</v>
      </c>
      <c r="AF1294" s="2">
        <v>46375</v>
      </c>
      <c r="AG1294" s="2">
        <v>46382</v>
      </c>
      <c r="AH1294">
        <v>2100</v>
      </c>
      <c r="AI1294" s="3">
        <v>0.5431034482758621</v>
      </c>
      <c r="AJ1294" s="1">
        <v>219</v>
      </c>
      <c r="AK1294" s="2">
        <v>46482</v>
      </c>
      <c r="AL1294" s="4">
        <v>30</v>
      </c>
      <c r="AM1294" s="5">
        <v>15</v>
      </c>
      <c r="AN1294" s="4">
        <v>119</v>
      </c>
      <c r="AO1294">
        <v>2172.4137931034488</v>
      </c>
      <c r="AP1294" s="4">
        <v>1</v>
      </c>
      <c r="AQ1294" t="s">
        <v>1619</v>
      </c>
      <c r="AR1294" t="s">
        <v>1620</v>
      </c>
      <c r="AT1294" s="16">
        <f>_xlfn.XLOOKUP(B1294,'SWiSH Demand Forecast Sep-26'!D:D,'SWiSH Demand Forecast Sep-26'!G:G,"Not Exist")</f>
        <v>833</v>
      </c>
    </row>
    <row r="1295" spans="1:46" x14ac:dyDescent="0.3">
      <c r="A1295">
        <v>106600005</v>
      </c>
      <c r="B1295" t="s">
        <v>3147</v>
      </c>
      <c r="C1295" t="s">
        <v>10</v>
      </c>
      <c r="D1295" t="s">
        <v>1699</v>
      </c>
      <c r="E1295" t="s">
        <v>2587</v>
      </c>
      <c r="F1295" t="s">
        <v>1664</v>
      </c>
      <c r="G1295" t="s">
        <v>1624</v>
      </c>
      <c r="H1295" t="s">
        <v>1723</v>
      </c>
      <c r="I1295" t="s">
        <v>1634</v>
      </c>
      <c r="J1295" t="s">
        <v>10</v>
      </c>
      <c r="K1295">
        <v>0.02</v>
      </c>
      <c r="L1295">
        <v>20</v>
      </c>
      <c r="M1295" s="1">
        <v>15</v>
      </c>
      <c r="N1295">
        <v>0</v>
      </c>
      <c r="O1295">
        <v>0</v>
      </c>
      <c r="P1295">
        <v>1000</v>
      </c>
      <c r="Q1295" s="1">
        <v>1000</v>
      </c>
      <c r="R1295">
        <v>0.02</v>
      </c>
      <c r="S1295" s="2">
        <v>45978</v>
      </c>
      <c r="T1295" s="2">
        <v>46187</v>
      </c>
      <c r="U1295">
        <v>0</v>
      </c>
      <c r="V1295">
        <v>250</v>
      </c>
      <c r="W1295">
        <v>250</v>
      </c>
      <c r="X1295">
        <v>0</v>
      </c>
      <c r="Y1295">
        <v>0</v>
      </c>
      <c r="Z1295" s="8">
        <v>250</v>
      </c>
      <c r="AA1295">
        <v>125</v>
      </c>
      <c r="AB1295">
        <v>0</v>
      </c>
      <c r="AC1295">
        <v>2</v>
      </c>
      <c r="AD1295" s="1">
        <v>120</v>
      </c>
      <c r="AE1295" s="2">
        <v>46368</v>
      </c>
      <c r="AF1295" s="2">
        <v>46376</v>
      </c>
      <c r="AG1295" s="2">
        <v>46383</v>
      </c>
      <c r="AH1295">
        <v>0</v>
      </c>
      <c r="AI1295" s="3">
        <v>0</v>
      </c>
      <c r="AJ1295" s="1" t="s">
        <v>1635</v>
      </c>
      <c r="AK1295" s="2" t="s">
        <v>1635</v>
      </c>
      <c r="AL1295" s="4" t="s">
        <v>1658</v>
      </c>
      <c r="AM1295" s="5" t="s">
        <v>1658</v>
      </c>
      <c r="AN1295" s="4">
        <v>120</v>
      </c>
      <c r="AO1295" t="s">
        <v>1635</v>
      </c>
      <c r="AP1295" s="4" t="s">
        <v>1658</v>
      </c>
      <c r="AQ1295" t="s">
        <v>1619</v>
      </c>
      <c r="AR1295" t="s">
        <v>1620</v>
      </c>
      <c r="AT1295" s="16" t="str">
        <f>_xlfn.XLOOKUP(B1295,'SWiSH Demand Forecast Sep-26'!D:D,'SWiSH Demand Forecast Sep-26'!G:G,"Not Exist")</f>
        <v>Not Exist</v>
      </c>
    </row>
    <row r="1296" spans="1:46" x14ac:dyDescent="0.3">
      <c r="A1296">
        <v>105200027</v>
      </c>
      <c r="B1296" t="s">
        <v>3148</v>
      </c>
      <c r="C1296" t="s">
        <v>10</v>
      </c>
      <c r="D1296" t="s">
        <v>1613</v>
      </c>
      <c r="E1296" t="s">
        <v>2587</v>
      </c>
      <c r="F1296" t="s">
        <v>1664</v>
      </c>
      <c r="G1296" t="s">
        <v>1624</v>
      </c>
      <c r="H1296" t="s">
        <v>1779</v>
      </c>
      <c r="I1296" t="s">
        <v>1634</v>
      </c>
      <c r="J1296" t="s">
        <v>10</v>
      </c>
      <c r="K1296">
        <v>2.3E-2</v>
      </c>
      <c r="L1296">
        <v>138</v>
      </c>
      <c r="M1296" s="1">
        <v>30</v>
      </c>
      <c r="N1296">
        <v>0</v>
      </c>
      <c r="O1296">
        <v>0</v>
      </c>
      <c r="P1296">
        <v>6000</v>
      </c>
      <c r="Q1296" s="1">
        <v>6000</v>
      </c>
      <c r="R1296">
        <v>2.3E-2</v>
      </c>
      <c r="S1296" s="2">
        <v>45991</v>
      </c>
      <c r="T1296" s="2">
        <v>46251</v>
      </c>
      <c r="U1296">
        <v>500</v>
      </c>
      <c r="V1296">
        <v>1500</v>
      </c>
      <c r="W1296">
        <v>1500</v>
      </c>
      <c r="X1296">
        <v>500</v>
      </c>
      <c r="Y1296">
        <v>500</v>
      </c>
      <c r="Z1296" s="8">
        <v>1500</v>
      </c>
      <c r="AA1296">
        <v>1000</v>
      </c>
      <c r="AB1296">
        <v>0.5</v>
      </c>
      <c r="AC1296">
        <v>1.5</v>
      </c>
      <c r="AD1296" s="1">
        <v>120</v>
      </c>
      <c r="AE1296" s="2">
        <v>46368</v>
      </c>
      <c r="AF1296" s="2">
        <v>46376</v>
      </c>
      <c r="AG1296" s="2">
        <v>46383</v>
      </c>
      <c r="AH1296">
        <v>1000</v>
      </c>
      <c r="AI1296" s="3">
        <v>0.68965517241379304</v>
      </c>
      <c r="AJ1296" s="1">
        <v>174</v>
      </c>
      <c r="AK1296" s="2">
        <v>46437</v>
      </c>
      <c r="AL1296" s="4">
        <v>30</v>
      </c>
      <c r="AM1296" s="5">
        <v>15</v>
      </c>
      <c r="AN1296" s="4">
        <v>120</v>
      </c>
      <c r="AO1296">
        <v>1034.4827586206895</v>
      </c>
      <c r="AP1296" s="4">
        <v>1</v>
      </c>
      <c r="AQ1296" t="s">
        <v>1619</v>
      </c>
      <c r="AR1296" t="s">
        <v>1620</v>
      </c>
      <c r="AT1296" s="16" t="str">
        <f>_xlfn.XLOOKUP(B1296,'SWiSH Demand Forecast Sep-26'!D:D,'SWiSH Demand Forecast Sep-26'!G:G,"Not Exist")</f>
        <v>Not Exist</v>
      </c>
    </row>
    <row r="1297" spans="1:46" x14ac:dyDescent="0.3">
      <c r="A1297">
        <v>106300004</v>
      </c>
      <c r="B1297" t="s">
        <v>3149</v>
      </c>
      <c r="C1297" t="s">
        <v>136</v>
      </c>
      <c r="D1297" t="s">
        <v>1613</v>
      </c>
      <c r="E1297" t="s">
        <v>3150</v>
      </c>
      <c r="F1297" t="s">
        <v>1927</v>
      </c>
      <c r="G1297" t="s">
        <v>1616</v>
      </c>
      <c r="H1297" t="s">
        <v>1860</v>
      </c>
      <c r="I1297" t="s">
        <v>1618</v>
      </c>
      <c r="J1297" t="s">
        <v>136</v>
      </c>
      <c r="K1297">
        <v>1.75</v>
      </c>
      <c r="L1297">
        <v>175</v>
      </c>
      <c r="M1297" s="1">
        <v>3</v>
      </c>
      <c r="N1297">
        <v>0</v>
      </c>
      <c r="O1297">
        <v>0</v>
      </c>
      <c r="P1297">
        <v>100</v>
      </c>
      <c r="Q1297" s="1">
        <v>100</v>
      </c>
      <c r="R1297">
        <v>33</v>
      </c>
      <c r="S1297" s="2">
        <v>46233</v>
      </c>
      <c r="T1297" s="2">
        <v>46163</v>
      </c>
      <c r="U1297">
        <v>25</v>
      </c>
      <c r="V1297">
        <v>10</v>
      </c>
      <c r="W1297">
        <v>0</v>
      </c>
      <c r="X1297">
        <v>0</v>
      </c>
      <c r="Y1297">
        <v>0</v>
      </c>
      <c r="Z1297" s="8">
        <v>25</v>
      </c>
      <c r="AA1297">
        <v>8.75</v>
      </c>
      <c r="AB1297">
        <v>0</v>
      </c>
      <c r="AC1297">
        <v>2.8571428571428572</v>
      </c>
      <c r="AD1297" s="1">
        <v>120</v>
      </c>
      <c r="AE1297" s="2">
        <v>46368</v>
      </c>
      <c r="AF1297" s="2">
        <v>46376</v>
      </c>
      <c r="AG1297" s="2">
        <v>46383</v>
      </c>
      <c r="AH1297">
        <v>0</v>
      </c>
      <c r="AI1297" s="3">
        <v>0</v>
      </c>
      <c r="AJ1297" s="1" t="s">
        <v>1635</v>
      </c>
      <c r="AK1297" s="2" t="s">
        <v>1635</v>
      </c>
      <c r="AL1297" s="4">
        <v>10</v>
      </c>
      <c r="AM1297" s="5">
        <v>10</v>
      </c>
      <c r="AN1297" s="4">
        <v>120</v>
      </c>
      <c r="AO1297">
        <v>0</v>
      </c>
      <c r="AP1297" s="4">
        <v>3</v>
      </c>
      <c r="AQ1297" t="s">
        <v>1619</v>
      </c>
      <c r="AR1297" t="s">
        <v>1620</v>
      </c>
      <c r="AT1297" s="16" t="str">
        <f>_xlfn.XLOOKUP(B1297,'SWiSH Demand Forecast Sep-26'!D:D,'SWiSH Demand Forecast Sep-26'!G:G,"Not Exist")</f>
        <v>Not Exist</v>
      </c>
    </row>
    <row r="1298" spans="1:46" x14ac:dyDescent="0.3">
      <c r="A1298">
        <v>102200014</v>
      </c>
      <c r="B1298" t="s">
        <v>3151</v>
      </c>
      <c r="C1298" t="s">
        <v>10</v>
      </c>
      <c r="D1298" t="s">
        <v>1613</v>
      </c>
      <c r="E1298" t="s">
        <v>1926</v>
      </c>
      <c r="F1298" t="s">
        <v>1631</v>
      </c>
      <c r="G1298" t="s">
        <v>1624</v>
      </c>
      <c r="H1298" t="s">
        <v>2329</v>
      </c>
      <c r="I1298" t="s">
        <v>1634</v>
      </c>
      <c r="J1298" t="s">
        <v>10</v>
      </c>
      <c r="K1298">
        <v>40.356670000000001</v>
      </c>
      <c r="L1298">
        <v>161.42668</v>
      </c>
      <c r="M1298" s="1">
        <v>90</v>
      </c>
      <c r="N1298">
        <v>0</v>
      </c>
      <c r="O1298">
        <v>0</v>
      </c>
      <c r="P1298">
        <v>4</v>
      </c>
      <c r="Q1298" s="1">
        <v>4</v>
      </c>
      <c r="R1298">
        <v>28.933</v>
      </c>
      <c r="S1298" s="2">
        <v>45777</v>
      </c>
      <c r="T1298" s="2">
        <v>46210</v>
      </c>
      <c r="U1298">
        <v>0</v>
      </c>
      <c r="V1298">
        <v>0</v>
      </c>
      <c r="W1298">
        <v>0</v>
      </c>
      <c r="X1298">
        <v>1</v>
      </c>
      <c r="Y1298">
        <v>0</v>
      </c>
      <c r="Z1298" s="8">
        <v>1</v>
      </c>
      <c r="AA1298">
        <v>0.25</v>
      </c>
      <c r="AB1298">
        <v>0</v>
      </c>
      <c r="AC1298">
        <v>4</v>
      </c>
      <c r="AD1298" s="1">
        <v>120</v>
      </c>
      <c r="AE1298" s="2">
        <v>46368</v>
      </c>
      <c r="AF1298" s="2">
        <v>46376</v>
      </c>
      <c r="AG1298" s="2">
        <v>46383</v>
      </c>
      <c r="AH1298">
        <v>0</v>
      </c>
      <c r="AI1298" s="3">
        <v>0</v>
      </c>
      <c r="AJ1298" s="1" t="s">
        <v>1635</v>
      </c>
      <c r="AK1298" s="2" t="s">
        <v>1635</v>
      </c>
      <c r="AL1298" s="4">
        <v>120</v>
      </c>
      <c r="AM1298" s="5">
        <v>100</v>
      </c>
      <c r="AN1298" s="4">
        <v>120</v>
      </c>
      <c r="AO1298">
        <v>0</v>
      </c>
      <c r="AP1298" s="4">
        <v>1</v>
      </c>
      <c r="AQ1298" t="s">
        <v>1619</v>
      </c>
      <c r="AR1298" t="s">
        <v>1620</v>
      </c>
      <c r="AT1298" s="16" t="str">
        <f>_xlfn.XLOOKUP(B1298,'SWiSH Demand Forecast Sep-26'!D:D,'SWiSH Demand Forecast Sep-26'!G:G,"Not Exist")</f>
        <v>Not Exist</v>
      </c>
    </row>
    <row r="1299" spans="1:46" x14ac:dyDescent="0.3">
      <c r="A1299">
        <v>106700062</v>
      </c>
      <c r="B1299" t="s">
        <v>3152</v>
      </c>
      <c r="C1299" t="s">
        <v>10</v>
      </c>
      <c r="D1299" t="s">
        <v>1613</v>
      </c>
      <c r="E1299" t="s">
        <v>1762</v>
      </c>
      <c r="F1299" t="s">
        <v>1664</v>
      </c>
      <c r="G1299" t="s">
        <v>1624</v>
      </c>
      <c r="H1299" t="s">
        <v>1651</v>
      </c>
      <c r="I1299" t="s">
        <v>1634</v>
      </c>
      <c r="J1299" t="s">
        <v>10</v>
      </c>
      <c r="K1299">
        <v>2.4E-2</v>
      </c>
      <c r="L1299">
        <v>96</v>
      </c>
      <c r="M1299" s="1">
        <v>15</v>
      </c>
      <c r="N1299">
        <v>0</v>
      </c>
      <c r="O1299">
        <v>0</v>
      </c>
      <c r="P1299">
        <v>4000</v>
      </c>
      <c r="Q1299" s="1">
        <v>4000</v>
      </c>
      <c r="R1299">
        <v>2.4E-2</v>
      </c>
      <c r="S1299" s="2">
        <v>45773</v>
      </c>
      <c r="T1299" s="2">
        <v>46258</v>
      </c>
      <c r="U1299">
        <v>0</v>
      </c>
      <c r="V1299">
        <v>1000</v>
      </c>
      <c r="W1299">
        <v>0</v>
      </c>
      <c r="X1299">
        <v>0</v>
      </c>
      <c r="Y1299">
        <v>0</v>
      </c>
      <c r="Z1299" s="8">
        <v>1000</v>
      </c>
      <c r="AA1299">
        <v>250</v>
      </c>
      <c r="AB1299">
        <v>0</v>
      </c>
      <c r="AC1299">
        <v>4</v>
      </c>
      <c r="AD1299" s="1">
        <v>120</v>
      </c>
      <c r="AE1299" s="2">
        <v>46368</v>
      </c>
      <c r="AF1299" s="2">
        <v>46376</v>
      </c>
      <c r="AG1299" s="2">
        <v>46383</v>
      </c>
      <c r="AH1299">
        <v>500</v>
      </c>
      <c r="AI1299" s="3">
        <v>0.51724137931034475</v>
      </c>
      <c r="AJ1299" s="1">
        <v>232</v>
      </c>
      <c r="AK1299" s="2">
        <v>46495</v>
      </c>
      <c r="AL1299" s="4">
        <v>30</v>
      </c>
      <c r="AM1299" s="5">
        <v>15</v>
      </c>
      <c r="AN1299" s="4">
        <v>120</v>
      </c>
      <c r="AO1299">
        <v>517.24137931034477</v>
      </c>
      <c r="AP1299" s="4">
        <v>1</v>
      </c>
      <c r="AQ1299" t="s">
        <v>1619</v>
      </c>
      <c r="AR1299" t="s">
        <v>1620</v>
      </c>
      <c r="AT1299" s="16" t="str">
        <f>_xlfn.XLOOKUP(B1299,'SWiSH Demand Forecast Sep-26'!D:D,'SWiSH Demand Forecast Sep-26'!G:G,"Not Exist")</f>
        <v>Not Exist</v>
      </c>
    </row>
    <row r="1300" spans="1:46" x14ac:dyDescent="0.3">
      <c r="A1300">
        <v>100400061</v>
      </c>
      <c r="B1300" t="s">
        <v>3153</v>
      </c>
      <c r="C1300" t="s">
        <v>10</v>
      </c>
      <c r="D1300" t="s">
        <v>1613</v>
      </c>
      <c r="E1300" t="s">
        <v>1732</v>
      </c>
      <c r="F1300" t="s">
        <v>1664</v>
      </c>
      <c r="G1300" t="s">
        <v>1616</v>
      </c>
      <c r="H1300" t="s">
        <v>1810</v>
      </c>
      <c r="I1300" t="s">
        <v>1634</v>
      </c>
      <c r="J1300" t="s">
        <v>10</v>
      </c>
      <c r="K1300">
        <v>0.03</v>
      </c>
      <c r="L1300">
        <v>297</v>
      </c>
      <c r="M1300" s="1">
        <v>30</v>
      </c>
      <c r="N1300">
        <v>0</v>
      </c>
      <c r="O1300">
        <v>0</v>
      </c>
      <c r="P1300">
        <v>9900</v>
      </c>
      <c r="Q1300" s="1">
        <v>9900</v>
      </c>
      <c r="R1300">
        <v>0.03</v>
      </c>
      <c r="S1300" s="2">
        <v>46211</v>
      </c>
      <c r="T1300" s="2">
        <v>46259</v>
      </c>
      <c r="U1300">
        <v>2475</v>
      </c>
      <c r="V1300">
        <v>2250</v>
      </c>
      <c r="W1300">
        <v>1350</v>
      </c>
      <c r="X1300">
        <v>0</v>
      </c>
      <c r="Y1300">
        <v>0</v>
      </c>
      <c r="Z1300" s="8">
        <v>2475</v>
      </c>
      <c r="AA1300">
        <v>1518.75</v>
      </c>
      <c r="AB1300">
        <v>0</v>
      </c>
      <c r="AC1300">
        <v>1.6296296296296295</v>
      </c>
      <c r="AD1300" s="1">
        <v>120</v>
      </c>
      <c r="AE1300" s="2">
        <v>46368</v>
      </c>
      <c r="AF1300" s="2">
        <v>46376</v>
      </c>
      <c r="AG1300" s="2">
        <v>46383</v>
      </c>
      <c r="AH1300">
        <v>3800</v>
      </c>
      <c r="AI1300" s="3">
        <v>1.5882967607105538</v>
      </c>
      <c r="AJ1300" s="1">
        <v>75</v>
      </c>
      <c r="AK1300" s="2">
        <v>46338</v>
      </c>
      <c r="AL1300" s="4">
        <v>30</v>
      </c>
      <c r="AM1300" s="5">
        <v>15</v>
      </c>
      <c r="AN1300" s="4">
        <v>75</v>
      </c>
      <c r="AO1300">
        <v>3931.0344827586205</v>
      </c>
      <c r="AP1300" s="4">
        <v>1</v>
      </c>
      <c r="AQ1300" t="s">
        <v>1619</v>
      </c>
      <c r="AR1300" t="s">
        <v>1620</v>
      </c>
      <c r="AT1300" s="16" t="str">
        <f>_xlfn.XLOOKUP(B1300,'SWiSH Demand Forecast Sep-26'!D:D,'SWiSH Demand Forecast Sep-26'!G:G,"Not Exist")</f>
        <v>Not Exist</v>
      </c>
    </row>
    <row r="1301" spans="1:46" x14ac:dyDescent="0.3">
      <c r="A1301">
        <v>105000016</v>
      </c>
      <c r="B1301" t="s">
        <v>3154</v>
      </c>
      <c r="C1301" t="s">
        <v>240</v>
      </c>
      <c r="D1301" t="s">
        <v>1613</v>
      </c>
      <c r="E1301" t="s">
        <v>1832</v>
      </c>
      <c r="F1301" t="s">
        <v>1671</v>
      </c>
      <c r="G1301" t="s">
        <v>1616</v>
      </c>
      <c r="H1301" t="s">
        <v>2002</v>
      </c>
      <c r="I1301" t="s">
        <v>1618</v>
      </c>
      <c r="J1301" t="s">
        <v>240</v>
      </c>
      <c r="K1301">
        <v>1.45</v>
      </c>
      <c r="L1301">
        <v>11.6</v>
      </c>
      <c r="M1301" s="1">
        <v>3</v>
      </c>
      <c r="N1301">
        <v>0</v>
      </c>
      <c r="O1301">
        <v>0</v>
      </c>
      <c r="P1301">
        <v>8</v>
      </c>
      <c r="Q1301" s="1">
        <v>8</v>
      </c>
      <c r="R1301">
        <v>1.45</v>
      </c>
      <c r="S1301" s="2">
        <v>45879</v>
      </c>
      <c r="T1301" s="2">
        <v>46236</v>
      </c>
      <c r="U1301">
        <v>2</v>
      </c>
      <c r="V1301">
        <v>0</v>
      </c>
      <c r="W1301">
        <v>1</v>
      </c>
      <c r="X1301">
        <v>0</v>
      </c>
      <c r="Y1301">
        <v>0</v>
      </c>
      <c r="Z1301" s="8">
        <v>2</v>
      </c>
      <c r="AA1301">
        <v>0.75</v>
      </c>
      <c r="AB1301">
        <v>0</v>
      </c>
      <c r="AC1301">
        <v>2.6666666666666665</v>
      </c>
      <c r="AD1301" s="1">
        <v>120</v>
      </c>
      <c r="AE1301" s="2">
        <v>46368</v>
      </c>
      <c r="AF1301" s="2">
        <v>46376</v>
      </c>
      <c r="AG1301" s="2">
        <v>46383</v>
      </c>
      <c r="AH1301">
        <v>1</v>
      </c>
      <c r="AI1301" s="3">
        <v>0.51724137931034486</v>
      </c>
      <c r="AJ1301" s="1">
        <v>232</v>
      </c>
      <c r="AK1301" s="2">
        <v>46495</v>
      </c>
      <c r="AL1301" s="4">
        <v>30</v>
      </c>
      <c r="AM1301" s="5">
        <v>15</v>
      </c>
      <c r="AN1301" s="4">
        <v>120</v>
      </c>
      <c r="AO1301">
        <v>1.0344827586206897</v>
      </c>
      <c r="AP1301" s="4">
        <v>1</v>
      </c>
      <c r="AQ1301" t="s">
        <v>1619</v>
      </c>
      <c r="AR1301" t="s">
        <v>1620</v>
      </c>
      <c r="AT1301" s="16" t="str">
        <f>_xlfn.XLOOKUP(B1301,'SWiSH Demand Forecast Sep-26'!D:D,'SWiSH Demand Forecast Sep-26'!G:G,"Not Exist")</f>
        <v>Not Exist</v>
      </c>
    </row>
    <row r="1302" spans="1:46" x14ac:dyDescent="0.3">
      <c r="A1302">
        <v>106800185</v>
      </c>
      <c r="B1302" t="s">
        <v>3155</v>
      </c>
      <c r="C1302" t="s">
        <v>10</v>
      </c>
      <c r="D1302" t="s">
        <v>1613</v>
      </c>
      <c r="E1302" t="s">
        <v>1663</v>
      </c>
      <c r="F1302" t="s">
        <v>1664</v>
      </c>
      <c r="G1302" t="s">
        <v>1624</v>
      </c>
      <c r="H1302" t="s">
        <v>1665</v>
      </c>
      <c r="I1302" t="s">
        <v>1634</v>
      </c>
      <c r="J1302" t="s">
        <v>10</v>
      </c>
      <c r="K1302">
        <v>2.9990500000000001E-3</v>
      </c>
      <c r="L1302">
        <v>2732.1345500000002</v>
      </c>
      <c r="M1302" s="1">
        <v>7</v>
      </c>
      <c r="N1302">
        <v>0</v>
      </c>
      <c r="O1302">
        <v>4000</v>
      </c>
      <c r="P1302">
        <v>911000</v>
      </c>
      <c r="Q1302" s="1">
        <v>907000</v>
      </c>
      <c r="R1302">
        <v>3.0000000000000001E-3</v>
      </c>
      <c r="S1302" s="2">
        <v>46230</v>
      </c>
      <c r="T1302" s="2">
        <v>46263</v>
      </c>
      <c r="U1302">
        <v>194000</v>
      </c>
      <c r="V1302">
        <v>225000</v>
      </c>
      <c r="W1302">
        <v>163000</v>
      </c>
      <c r="X1302">
        <v>180000</v>
      </c>
      <c r="Y1302">
        <v>163000</v>
      </c>
      <c r="Z1302" s="8">
        <v>225000</v>
      </c>
      <c r="AA1302">
        <v>190500</v>
      </c>
      <c r="AB1302">
        <v>0.85564304461942253</v>
      </c>
      <c r="AC1302">
        <v>1.1811023622047243</v>
      </c>
      <c r="AD1302" s="1">
        <v>120</v>
      </c>
      <c r="AE1302" s="2">
        <v>46368</v>
      </c>
      <c r="AF1302" s="2">
        <v>46376</v>
      </c>
      <c r="AG1302" s="2">
        <v>46383</v>
      </c>
      <c r="AH1302">
        <v>165000</v>
      </c>
      <c r="AI1302" s="3">
        <v>0.75862068965517249</v>
      </c>
      <c r="AJ1302" s="1">
        <v>159</v>
      </c>
      <c r="AK1302" s="2">
        <v>46422</v>
      </c>
      <c r="AL1302" s="4">
        <v>30</v>
      </c>
      <c r="AM1302" s="5">
        <v>15</v>
      </c>
      <c r="AN1302" s="4">
        <v>120</v>
      </c>
      <c r="AO1302">
        <v>170689.6551724138</v>
      </c>
      <c r="AP1302" s="4">
        <v>1</v>
      </c>
      <c r="AQ1302">
        <v>1564000</v>
      </c>
      <c r="AR1302" t="s">
        <v>2953</v>
      </c>
      <c r="AT1302" s="16" t="str">
        <f>_xlfn.XLOOKUP(B1302,'SWiSH Demand Forecast Sep-26'!D:D,'SWiSH Demand Forecast Sep-26'!G:G,"Not Exist")</f>
        <v>Not Exist</v>
      </c>
    </row>
    <row r="1303" spans="1:46" x14ac:dyDescent="0.3">
      <c r="A1303">
        <v>105900008</v>
      </c>
      <c r="B1303" t="s">
        <v>3156</v>
      </c>
      <c r="C1303" t="s">
        <v>10</v>
      </c>
      <c r="D1303" t="s">
        <v>1613</v>
      </c>
      <c r="E1303" t="s">
        <v>1732</v>
      </c>
      <c r="F1303" t="s">
        <v>1664</v>
      </c>
      <c r="G1303" t="s">
        <v>1616</v>
      </c>
      <c r="H1303" t="s">
        <v>1729</v>
      </c>
      <c r="I1303" t="s">
        <v>1634</v>
      </c>
      <c r="J1303" t="s">
        <v>1733</v>
      </c>
      <c r="K1303">
        <v>5.0009E-3</v>
      </c>
      <c r="L1303">
        <v>161.52906999999999</v>
      </c>
      <c r="M1303" s="1">
        <v>90</v>
      </c>
      <c r="N1303">
        <v>0</v>
      </c>
      <c r="O1303">
        <v>0</v>
      </c>
      <c r="P1303">
        <v>32300</v>
      </c>
      <c r="Q1303" s="1">
        <v>32300</v>
      </c>
      <c r="R1303">
        <v>5</v>
      </c>
      <c r="S1303" s="2">
        <v>46132</v>
      </c>
      <c r="T1303" s="2">
        <v>46250</v>
      </c>
      <c r="U1303">
        <v>6000</v>
      </c>
      <c r="V1303">
        <v>6000</v>
      </c>
      <c r="W1303">
        <v>8000</v>
      </c>
      <c r="X1303">
        <v>7600</v>
      </c>
      <c r="Y1303">
        <v>6000</v>
      </c>
      <c r="Z1303" s="8">
        <v>8000</v>
      </c>
      <c r="AA1303">
        <v>6900</v>
      </c>
      <c r="AB1303">
        <v>0.86956521739130432</v>
      </c>
      <c r="AC1303">
        <v>1.1594202898550725</v>
      </c>
      <c r="AD1303" s="1">
        <v>121</v>
      </c>
      <c r="AE1303" s="2">
        <v>46369</v>
      </c>
      <c r="AF1303" s="2">
        <v>46377</v>
      </c>
      <c r="AG1303" s="2">
        <v>46384</v>
      </c>
      <c r="AH1303">
        <v>5100</v>
      </c>
      <c r="AI1303" s="3">
        <v>0.65948275862068961</v>
      </c>
      <c r="AJ1303" s="1">
        <v>183</v>
      </c>
      <c r="AK1303" s="2">
        <v>46446</v>
      </c>
      <c r="AL1303" s="4">
        <v>120</v>
      </c>
      <c r="AM1303" s="5">
        <v>100</v>
      </c>
      <c r="AN1303" s="4">
        <v>121</v>
      </c>
      <c r="AO1303">
        <v>21103.448275862069</v>
      </c>
      <c r="AP1303" s="4">
        <v>1</v>
      </c>
      <c r="AQ1303" t="s">
        <v>1619</v>
      </c>
      <c r="AR1303" t="s">
        <v>1620</v>
      </c>
      <c r="AT1303" s="16" t="str">
        <f>_xlfn.XLOOKUP(B1303,'SWiSH Demand Forecast Sep-26'!D:D,'SWiSH Demand Forecast Sep-26'!G:G,"Not Exist")</f>
        <v>Not Exist</v>
      </c>
    </row>
    <row r="1304" spans="1:46" x14ac:dyDescent="0.3">
      <c r="A1304">
        <v>100400246</v>
      </c>
      <c r="B1304" t="s">
        <v>3157</v>
      </c>
      <c r="C1304" t="s">
        <v>10</v>
      </c>
      <c r="D1304" t="s">
        <v>1613</v>
      </c>
      <c r="E1304" t="s">
        <v>1926</v>
      </c>
      <c r="F1304" t="s">
        <v>1664</v>
      </c>
      <c r="G1304" t="s">
        <v>1624</v>
      </c>
      <c r="H1304" t="s">
        <v>1810</v>
      </c>
      <c r="I1304" t="s">
        <v>1634</v>
      </c>
      <c r="J1304" t="s">
        <v>10</v>
      </c>
      <c r="K1304">
        <v>0.1</v>
      </c>
      <c r="L1304">
        <v>112.5</v>
      </c>
      <c r="M1304" s="1">
        <v>30</v>
      </c>
      <c r="N1304">
        <v>0</v>
      </c>
      <c r="O1304">
        <v>0</v>
      </c>
      <c r="P1304">
        <v>1125</v>
      </c>
      <c r="Q1304" s="1">
        <v>1125</v>
      </c>
      <c r="R1304">
        <v>0.1</v>
      </c>
      <c r="S1304" s="2">
        <v>46135</v>
      </c>
      <c r="T1304" s="2">
        <v>46252</v>
      </c>
      <c r="U1304">
        <v>75</v>
      </c>
      <c r="V1304">
        <v>225</v>
      </c>
      <c r="W1304">
        <v>275</v>
      </c>
      <c r="X1304">
        <v>125</v>
      </c>
      <c r="Y1304">
        <v>75</v>
      </c>
      <c r="Z1304" s="8">
        <v>275</v>
      </c>
      <c r="AA1304">
        <v>175</v>
      </c>
      <c r="AB1304">
        <v>0.42857142857142855</v>
      </c>
      <c r="AC1304">
        <v>1.5714285714285714</v>
      </c>
      <c r="AD1304" s="1">
        <v>122</v>
      </c>
      <c r="AE1304" s="2">
        <v>46370</v>
      </c>
      <c r="AF1304" s="2">
        <v>46378</v>
      </c>
      <c r="AG1304" s="2">
        <v>46385</v>
      </c>
      <c r="AH1304">
        <v>200</v>
      </c>
      <c r="AI1304" s="3">
        <v>0.75235109717868343</v>
      </c>
      <c r="AJ1304" s="1">
        <v>163</v>
      </c>
      <c r="AK1304" s="2">
        <v>46426</v>
      </c>
      <c r="AL1304" s="4">
        <v>30</v>
      </c>
      <c r="AM1304" s="5">
        <v>15</v>
      </c>
      <c r="AN1304" s="4">
        <v>122</v>
      </c>
      <c r="AO1304">
        <v>206.89655172413794</v>
      </c>
      <c r="AP1304" s="4">
        <v>1</v>
      </c>
      <c r="AQ1304" t="s">
        <v>1619</v>
      </c>
      <c r="AR1304" t="s">
        <v>1620</v>
      </c>
      <c r="AS1304" t="s">
        <v>1666</v>
      </c>
      <c r="AT1304" s="16" t="str">
        <f>_xlfn.XLOOKUP(B1304,'SWiSH Demand Forecast Sep-26'!D:D,'SWiSH Demand Forecast Sep-26'!G:G,"Not Exist")</f>
        <v>Not Exist</v>
      </c>
    </row>
    <row r="1305" spans="1:46" x14ac:dyDescent="0.3">
      <c r="A1305">
        <v>106600159</v>
      </c>
      <c r="B1305" t="s">
        <v>3158</v>
      </c>
      <c r="C1305" t="s">
        <v>10</v>
      </c>
      <c r="D1305" t="s">
        <v>1613</v>
      </c>
      <c r="E1305" t="s">
        <v>1663</v>
      </c>
      <c r="F1305" t="s">
        <v>1664</v>
      </c>
      <c r="G1305" t="s">
        <v>1624</v>
      </c>
      <c r="H1305" t="s">
        <v>1723</v>
      </c>
      <c r="I1305" t="s">
        <v>1634</v>
      </c>
      <c r="J1305" t="s">
        <v>10</v>
      </c>
      <c r="K1305">
        <v>5.4000000000000003E-3</v>
      </c>
      <c r="L1305">
        <v>219.78</v>
      </c>
      <c r="M1305" s="1">
        <v>15</v>
      </c>
      <c r="N1305">
        <v>0</v>
      </c>
      <c r="O1305">
        <v>0</v>
      </c>
      <c r="P1305">
        <v>40700</v>
      </c>
      <c r="Q1305" s="1">
        <v>40700</v>
      </c>
      <c r="R1305">
        <v>5.4000000000000003E-3</v>
      </c>
      <c r="S1305" s="2">
        <v>46230</v>
      </c>
      <c r="T1305" s="2">
        <v>46243</v>
      </c>
      <c r="U1305">
        <v>0</v>
      </c>
      <c r="V1305">
        <v>0</v>
      </c>
      <c r="W1305">
        <v>0</v>
      </c>
      <c r="X1305">
        <v>10000</v>
      </c>
      <c r="Y1305">
        <v>0</v>
      </c>
      <c r="Z1305" s="8">
        <v>10000</v>
      </c>
      <c r="AA1305">
        <v>2500</v>
      </c>
      <c r="AB1305">
        <v>0</v>
      </c>
      <c r="AC1305">
        <v>4</v>
      </c>
      <c r="AD1305" s="1">
        <v>122</v>
      </c>
      <c r="AE1305" s="2">
        <v>46370</v>
      </c>
      <c r="AF1305" s="2">
        <v>46378</v>
      </c>
      <c r="AG1305" s="2">
        <v>46385</v>
      </c>
      <c r="AH1305">
        <v>5000</v>
      </c>
      <c r="AI1305" s="3">
        <v>0.51724137931034486</v>
      </c>
      <c r="AJ1305" s="1">
        <v>236</v>
      </c>
      <c r="AK1305" s="2">
        <v>46499</v>
      </c>
      <c r="AL1305" s="4">
        <v>30</v>
      </c>
      <c r="AM1305" s="5">
        <v>15</v>
      </c>
      <c r="AN1305" s="4">
        <v>122</v>
      </c>
      <c r="AO1305">
        <v>5172.4137931034484</v>
      </c>
      <c r="AP1305" s="4">
        <v>1</v>
      </c>
      <c r="AQ1305" t="s">
        <v>1619</v>
      </c>
      <c r="AR1305" t="s">
        <v>1620</v>
      </c>
      <c r="AS1305" t="s">
        <v>1666</v>
      </c>
      <c r="AT1305" s="16" t="str">
        <f>_xlfn.XLOOKUP(B1305,'SWiSH Demand Forecast Sep-26'!D:D,'SWiSH Demand Forecast Sep-26'!G:G,"Not Exist")</f>
        <v>Not Exist</v>
      </c>
    </row>
    <row r="1306" spans="1:46" x14ac:dyDescent="0.3">
      <c r="A1306">
        <v>106600067</v>
      </c>
      <c r="B1306" t="s">
        <v>3159</v>
      </c>
      <c r="C1306" t="s">
        <v>10</v>
      </c>
      <c r="D1306" t="s">
        <v>1613</v>
      </c>
      <c r="E1306" t="s">
        <v>1685</v>
      </c>
      <c r="F1306" t="s">
        <v>1664</v>
      </c>
      <c r="G1306" t="s">
        <v>1624</v>
      </c>
      <c r="H1306" t="s">
        <v>1723</v>
      </c>
      <c r="I1306" t="s">
        <v>1634</v>
      </c>
      <c r="J1306" t="s">
        <v>10</v>
      </c>
      <c r="K1306">
        <v>1.0999999999999999E-2</v>
      </c>
      <c r="L1306">
        <v>129.79999999999998</v>
      </c>
      <c r="M1306" s="1">
        <v>15</v>
      </c>
      <c r="N1306">
        <v>0</v>
      </c>
      <c r="O1306">
        <v>0</v>
      </c>
      <c r="P1306">
        <v>11800</v>
      </c>
      <c r="Q1306" s="1">
        <v>11800</v>
      </c>
      <c r="R1306">
        <v>1.0999999999999999E-2</v>
      </c>
      <c r="S1306" s="2">
        <v>46242</v>
      </c>
      <c r="T1306" s="2">
        <v>46262</v>
      </c>
      <c r="U1306">
        <v>1900</v>
      </c>
      <c r="V1306">
        <v>2900</v>
      </c>
      <c r="W1306">
        <v>1900</v>
      </c>
      <c r="X1306">
        <v>800</v>
      </c>
      <c r="Y1306">
        <v>800</v>
      </c>
      <c r="Z1306" s="8">
        <v>2900</v>
      </c>
      <c r="AA1306">
        <v>1875</v>
      </c>
      <c r="AB1306">
        <v>0.42666666666666669</v>
      </c>
      <c r="AC1306">
        <v>1.5466666666666666</v>
      </c>
      <c r="AD1306" s="1">
        <v>122</v>
      </c>
      <c r="AE1306" s="2">
        <v>46370</v>
      </c>
      <c r="AF1306" s="2">
        <v>46378</v>
      </c>
      <c r="AG1306" s="2">
        <v>46385</v>
      </c>
      <c r="AH1306">
        <v>1300</v>
      </c>
      <c r="AI1306" s="3">
        <v>0.46373365041617121</v>
      </c>
      <c r="AJ1306" s="1">
        <v>263</v>
      </c>
      <c r="AK1306" s="2">
        <v>46526</v>
      </c>
      <c r="AL1306" s="4">
        <v>30</v>
      </c>
      <c r="AM1306" s="5">
        <v>15</v>
      </c>
      <c r="AN1306" s="4">
        <v>122</v>
      </c>
      <c r="AO1306">
        <v>1344.8275862068965</v>
      </c>
      <c r="AP1306" s="4">
        <v>1</v>
      </c>
      <c r="AQ1306">
        <v>5000</v>
      </c>
      <c r="AR1306" t="s">
        <v>2215</v>
      </c>
      <c r="AT1306" s="16" t="str">
        <f>_xlfn.XLOOKUP(B1306,'SWiSH Demand Forecast Sep-26'!D:D,'SWiSH Demand Forecast Sep-26'!G:G,"Not Exist")</f>
        <v>Not Exist</v>
      </c>
    </row>
    <row r="1307" spans="1:46" x14ac:dyDescent="0.3">
      <c r="A1307">
        <v>105600051</v>
      </c>
      <c r="B1307" t="s">
        <v>3160</v>
      </c>
      <c r="C1307" t="s">
        <v>136</v>
      </c>
      <c r="D1307" t="s">
        <v>1613</v>
      </c>
      <c r="E1307" t="s">
        <v>2369</v>
      </c>
      <c r="F1307" t="s">
        <v>1664</v>
      </c>
      <c r="G1307" t="s">
        <v>1624</v>
      </c>
      <c r="H1307" t="s">
        <v>1679</v>
      </c>
      <c r="I1307" t="s">
        <v>1634</v>
      </c>
      <c r="J1307" t="s">
        <v>136</v>
      </c>
      <c r="K1307">
        <v>0.61025501999999998</v>
      </c>
      <c r="L1307">
        <v>440.60412443999996</v>
      </c>
      <c r="M1307" s="1">
        <v>30</v>
      </c>
      <c r="N1307">
        <v>0</v>
      </c>
      <c r="O1307">
        <v>0</v>
      </c>
      <c r="P1307">
        <v>722</v>
      </c>
      <c r="Q1307" s="1">
        <v>722</v>
      </c>
      <c r="R1307">
        <v>0.63</v>
      </c>
      <c r="S1307" s="2">
        <v>46245</v>
      </c>
      <c r="T1307" s="2">
        <v>46262</v>
      </c>
      <c r="U1307">
        <v>124</v>
      </c>
      <c r="V1307">
        <v>160</v>
      </c>
      <c r="W1307">
        <v>175</v>
      </c>
      <c r="X1307">
        <v>155</v>
      </c>
      <c r="Y1307">
        <v>124</v>
      </c>
      <c r="Z1307" s="8">
        <v>175</v>
      </c>
      <c r="AA1307">
        <v>153.5</v>
      </c>
      <c r="AB1307">
        <v>0.80781758957654726</v>
      </c>
      <c r="AC1307">
        <v>1.1400651465798046</v>
      </c>
      <c r="AD1307" s="1">
        <v>123</v>
      </c>
      <c r="AE1307" s="2">
        <v>46371</v>
      </c>
      <c r="AF1307" s="2">
        <v>46379</v>
      </c>
      <c r="AG1307" s="2">
        <v>46386</v>
      </c>
      <c r="AH1307">
        <v>110</v>
      </c>
      <c r="AI1307" s="3">
        <v>0.65024630541871919</v>
      </c>
      <c r="AJ1307" s="1">
        <v>190</v>
      </c>
      <c r="AK1307" s="2">
        <v>46453</v>
      </c>
      <c r="AL1307" s="4">
        <v>30</v>
      </c>
      <c r="AM1307" s="5">
        <v>15</v>
      </c>
      <c r="AN1307" s="4">
        <v>123</v>
      </c>
      <c r="AO1307">
        <v>113.79310344827586</v>
      </c>
      <c r="AP1307" s="4">
        <v>1</v>
      </c>
      <c r="AQ1307" t="s">
        <v>1619</v>
      </c>
      <c r="AR1307" t="s">
        <v>1620</v>
      </c>
      <c r="AT1307" s="16" t="str">
        <f>_xlfn.XLOOKUP(B1307,'SWiSH Demand Forecast Sep-26'!D:D,'SWiSH Demand Forecast Sep-26'!G:G,"Not Exist")</f>
        <v>Not Exist</v>
      </c>
    </row>
    <row r="1308" spans="1:46" x14ac:dyDescent="0.3">
      <c r="A1308">
        <v>106800138</v>
      </c>
      <c r="B1308" t="s">
        <v>3161</v>
      </c>
      <c r="C1308" t="s">
        <v>10</v>
      </c>
      <c r="D1308" t="s">
        <v>1613</v>
      </c>
      <c r="E1308" t="s">
        <v>1638</v>
      </c>
      <c r="F1308" t="s">
        <v>1664</v>
      </c>
      <c r="G1308" t="s">
        <v>1624</v>
      </c>
      <c r="H1308" t="s">
        <v>1665</v>
      </c>
      <c r="I1308" t="s">
        <v>1634</v>
      </c>
      <c r="J1308" t="s">
        <v>10</v>
      </c>
      <c r="K1308">
        <v>4.6699999999999997E-3</v>
      </c>
      <c r="L1308">
        <v>630.44999999999993</v>
      </c>
      <c r="M1308" s="1">
        <v>7</v>
      </c>
      <c r="N1308">
        <v>0</v>
      </c>
      <c r="O1308">
        <v>0</v>
      </c>
      <c r="P1308">
        <v>135000</v>
      </c>
      <c r="Q1308" s="1">
        <v>135000</v>
      </c>
      <c r="R1308">
        <v>4.6699999999999997E-3</v>
      </c>
      <c r="S1308" s="2">
        <v>46211</v>
      </c>
      <c r="T1308" s="2">
        <v>46256</v>
      </c>
      <c r="U1308">
        <v>32500</v>
      </c>
      <c r="V1308">
        <v>3500</v>
      </c>
      <c r="W1308">
        <v>2500</v>
      </c>
      <c r="X1308">
        <v>2500</v>
      </c>
      <c r="Y1308">
        <v>2500</v>
      </c>
      <c r="Z1308" s="8">
        <v>32500</v>
      </c>
      <c r="AA1308">
        <v>10250</v>
      </c>
      <c r="AB1308">
        <v>0.24390243902439024</v>
      </c>
      <c r="AC1308">
        <v>3.1707317073170733</v>
      </c>
      <c r="AD1308" s="1">
        <v>124</v>
      </c>
      <c r="AE1308" s="2">
        <v>46372</v>
      </c>
      <c r="AF1308" s="2">
        <v>46380</v>
      </c>
      <c r="AG1308" s="2">
        <v>46387</v>
      </c>
      <c r="AH1308">
        <v>7500</v>
      </c>
      <c r="AI1308" s="3">
        <v>0.23872679045092837</v>
      </c>
      <c r="AJ1308" s="1">
        <v>522</v>
      </c>
      <c r="AK1308" s="2">
        <v>46785</v>
      </c>
      <c r="AL1308" s="4">
        <v>30</v>
      </c>
      <c r="AM1308" s="5">
        <v>15</v>
      </c>
      <c r="AN1308" s="4">
        <v>124</v>
      </c>
      <c r="AO1308">
        <v>7758.6206896551712</v>
      </c>
      <c r="AP1308" s="4">
        <v>1</v>
      </c>
      <c r="AQ1308" t="s">
        <v>1619</v>
      </c>
      <c r="AR1308" t="s">
        <v>1620</v>
      </c>
      <c r="AT1308" s="16" t="str">
        <f>_xlfn.XLOOKUP(B1308,'SWiSH Demand Forecast Sep-26'!D:D,'SWiSH Demand Forecast Sep-26'!G:G,"Not Exist")</f>
        <v>Not Exist</v>
      </c>
    </row>
    <row r="1309" spans="1:46" x14ac:dyDescent="0.3">
      <c r="A1309">
        <v>106700089</v>
      </c>
      <c r="B1309" t="s">
        <v>3162</v>
      </c>
      <c r="C1309" t="s">
        <v>10</v>
      </c>
      <c r="D1309" t="s">
        <v>1613</v>
      </c>
      <c r="E1309" t="s">
        <v>1638</v>
      </c>
      <c r="F1309" t="s">
        <v>1650</v>
      </c>
      <c r="G1309" t="s">
        <v>1624</v>
      </c>
      <c r="H1309" t="s">
        <v>1651</v>
      </c>
      <c r="I1309" t="s">
        <v>1634</v>
      </c>
      <c r="J1309" t="s">
        <v>10</v>
      </c>
      <c r="K1309">
        <v>7.9799339999999996E-2</v>
      </c>
      <c r="L1309">
        <v>18.992242919999999</v>
      </c>
      <c r="M1309" s="1">
        <v>3</v>
      </c>
      <c r="N1309">
        <v>0</v>
      </c>
      <c r="O1309">
        <v>0</v>
      </c>
      <c r="P1309">
        <v>238</v>
      </c>
      <c r="Q1309" s="1">
        <v>238</v>
      </c>
      <c r="R1309">
        <v>1</v>
      </c>
      <c r="S1309" s="2">
        <v>46040</v>
      </c>
      <c r="T1309" s="2">
        <v>46239</v>
      </c>
      <c r="U1309">
        <v>2</v>
      </c>
      <c r="V1309">
        <v>8</v>
      </c>
      <c r="W1309">
        <v>57</v>
      </c>
      <c r="X1309">
        <v>2</v>
      </c>
      <c r="Y1309">
        <v>2</v>
      </c>
      <c r="Z1309" s="8">
        <v>57</v>
      </c>
      <c r="AA1309">
        <v>17.25</v>
      </c>
      <c r="AB1309">
        <v>0.11594202898550725</v>
      </c>
      <c r="AC1309">
        <v>3.3043478260869565</v>
      </c>
      <c r="AD1309" s="1">
        <v>125</v>
      </c>
      <c r="AE1309" s="2">
        <v>46373</v>
      </c>
      <c r="AF1309" s="2">
        <v>46381</v>
      </c>
      <c r="AG1309" s="2">
        <v>46388</v>
      </c>
      <c r="AH1309">
        <v>1</v>
      </c>
      <c r="AI1309" s="3">
        <v>1.8148820326678767E-2</v>
      </c>
      <c r="AJ1309" s="1">
        <v>6902</v>
      </c>
      <c r="AK1309" s="2">
        <v>53165</v>
      </c>
      <c r="AL1309" s="4">
        <v>30</v>
      </c>
      <c r="AM1309" s="5">
        <v>15</v>
      </c>
      <c r="AN1309" s="4">
        <v>125</v>
      </c>
      <c r="AO1309">
        <v>1.0344827586206897</v>
      </c>
      <c r="AP1309" s="4">
        <v>1</v>
      </c>
      <c r="AQ1309" t="s">
        <v>1619</v>
      </c>
      <c r="AR1309" t="s">
        <v>1620</v>
      </c>
      <c r="AT1309" s="16" t="str">
        <f>_xlfn.XLOOKUP(B1309,'SWiSH Demand Forecast Sep-26'!D:D,'SWiSH Demand Forecast Sep-26'!G:G,"Not Exist")</f>
        <v>Not Exist</v>
      </c>
    </row>
    <row r="1310" spans="1:46" hidden="1" x14ac:dyDescent="0.3">
      <c r="A1310">
        <v>106300016</v>
      </c>
      <c r="B1310" t="s">
        <v>1267</v>
      </c>
      <c r="C1310" t="s">
        <v>136</v>
      </c>
      <c r="D1310" t="s">
        <v>1613</v>
      </c>
      <c r="E1310" t="s">
        <v>1732</v>
      </c>
      <c r="F1310" t="s">
        <v>1615</v>
      </c>
      <c r="G1310" t="s">
        <v>1616</v>
      </c>
      <c r="H1310" t="s">
        <v>1860</v>
      </c>
      <c r="I1310" t="s">
        <v>1618</v>
      </c>
      <c r="J1310" t="s">
        <v>136</v>
      </c>
      <c r="K1310">
        <v>0.33986287999999998</v>
      </c>
      <c r="L1310">
        <v>683.12438879999991</v>
      </c>
      <c r="M1310" s="1">
        <v>3</v>
      </c>
      <c r="N1310">
        <v>0</v>
      </c>
      <c r="O1310">
        <v>0</v>
      </c>
      <c r="P1310">
        <v>2010</v>
      </c>
      <c r="Q1310" s="1">
        <v>2010</v>
      </c>
      <c r="R1310">
        <v>5.3</v>
      </c>
      <c r="S1310" s="2">
        <v>46125</v>
      </c>
      <c r="T1310" s="2">
        <v>46263</v>
      </c>
      <c r="U1310">
        <v>330</v>
      </c>
      <c r="V1310">
        <v>480</v>
      </c>
      <c r="W1310">
        <v>360</v>
      </c>
      <c r="X1310">
        <v>210</v>
      </c>
      <c r="Y1310">
        <v>210</v>
      </c>
      <c r="Z1310" s="8">
        <v>480</v>
      </c>
      <c r="AA1310">
        <v>345</v>
      </c>
      <c r="AB1310">
        <v>0.60869565217391308</v>
      </c>
      <c r="AC1310">
        <v>1.3913043478260869</v>
      </c>
      <c r="AD1310" s="1">
        <v>125</v>
      </c>
      <c r="AE1310" s="2">
        <v>46373</v>
      </c>
      <c r="AF1310" s="2">
        <v>46381</v>
      </c>
      <c r="AG1310" s="2">
        <v>46388</v>
      </c>
      <c r="AH1310">
        <v>270</v>
      </c>
      <c r="AI1310" s="3">
        <v>0.58189655172413801</v>
      </c>
      <c r="AJ1310" s="1">
        <v>215</v>
      </c>
      <c r="AK1310" s="2">
        <v>46478</v>
      </c>
      <c r="AL1310" s="4">
        <v>15</v>
      </c>
      <c r="AM1310" s="5">
        <v>15</v>
      </c>
      <c r="AN1310" s="4">
        <v>125</v>
      </c>
      <c r="AO1310">
        <v>139.65517241379311</v>
      </c>
      <c r="AP1310" s="4">
        <v>2</v>
      </c>
      <c r="AQ1310" t="s">
        <v>1619</v>
      </c>
      <c r="AR1310" t="s">
        <v>2366</v>
      </c>
      <c r="AS1310" t="s">
        <v>1666</v>
      </c>
      <c r="AT1310" s="16">
        <f>_xlfn.XLOOKUP(B1310,'SWiSH Demand Forecast Sep-26'!D:D,'SWiSH Demand Forecast Sep-26'!G:G,"Not Exist")</f>
        <v>38.257257318952199</v>
      </c>
    </row>
    <row r="1311" spans="1:46" hidden="1" x14ac:dyDescent="0.3">
      <c r="A1311">
        <v>106800078</v>
      </c>
      <c r="B1311" t="s">
        <v>428</v>
      </c>
      <c r="C1311" t="s">
        <v>10</v>
      </c>
      <c r="D1311" t="s">
        <v>1613</v>
      </c>
      <c r="E1311" t="s">
        <v>1655</v>
      </c>
      <c r="F1311" t="s">
        <v>1664</v>
      </c>
      <c r="G1311" t="s">
        <v>1624</v>
      </c>
      <c r="H1311" t="s">
        <v>1665</v>
      </c>
      <c r="I1311" t="s">
        <v>1634</v>
      </c>
      <c r="J1311" t="s">
        <v>10</v>
      </c>
      <c r="K1311">
        <v>4.7142900000000003E-3</v>
      </c>
      <c r="L1311">
        <v>117.85725000000001</v>
      </c>
      <c r="M1311" s="1">
        <v>7</v>
      </c>
      <c r="N1311">
        <v>0</v>
      </c>
      <c r="O1311">
        <v>0</v>
      </c>
      <c r="P1311">
        <v>25000</v>
      </c>
      <c r="Q1311" s="1">
        <v>25000</v>
      </c>
      <c r="R1311">
        <v>5.0000000000000001E-3</v>
      </c>
      <c r="S1311" s="2">
        <v>46186</v>
      </c>
      <c r="T1311" s="2">
        <v>46261</v>
      </c>
      <c r="U1311">
        <v>6000</v>
      </c>
      <c r="V1311">
        <v>4000</v>
      </c>
      <c r="W1311">
        <v>2000</v>
      </c>
      <c r="X1311">
        <v>5000</v>
      </c>
      <c r="Y1311">
        <v>2000</v>
      </c>
      <c r="Z1311" s="8">
        <v>6000</v>
      </c>
      <c r="AA1311">
        <v>4250</v>
      </c>
      <c r="AB1311">
        <v>0.47058823529411764</v>
      </c>
      <c r="AC1311">
        <v>1.411764705882353</v>
      </c>
      <c r="AD1311" s="1">
        <v>125</v>
      </c>
      <c r="AE1311" s="2">
        <v>46373</v>
      </c>
      <c r="AF1311" s="2">
        <v>46381</v>
      </c>
      <c r="AG1311" s="2">
        <v>46388</v>
      </c>
      <c r="AH1311">
        <v>4000</v>
      </c>
      <c r="AI1311" s="3">
        <v>0.68965517241379304</v>
      </c>
      <c r="AJ1311" s="1">
        <v>181</v>
      </c>
      <c r="AK1311" s="2">
        <v>46444</v>
      </c>
      <c r="AL1311" s="4">
        <v>30</v>
      </c>
      <c r="AM1311" s="5">
        <v>15</v>
      </c>
      <c r="AN1311" s="4">
        <v>125</v>
      </c>
      <c r="AO1311">
        <v>4137.9310344827582</v>
      </c>
      <c r="AP1311" s="4">
        <v>1</v>
      </c>
      <c r="AQ1311" t="s">
        <v>1619</v>
      </c>
      <c r="AR1311" t="s">
        <v>1620</v>
      </c>
      <c r="AT1311" s="16">
        <f>_xlfn.XLOOKUP(B1311,'SWiSH Demand Forecast Sep-26'!D:D,'SWiSH Demand Forecast Sep-26'!G:G,"Not Exist")</f>
        <v>2349</v>
      </c>
    </row>
    <row r="1312" spans="1:46" hidden="1" x14ac:dyDescent="0.3">
      <c r="A1312">
        <v>100500006</v>
      </c>
      <c r="B1312" t="s">
        <v>1317</v>
      </c>
      <c r="C1312" t="s">
        <v>136</v>
      </c>
      <c r="D1312" t="s">
        <v>1613</v>
      </c>
      <c r="E1312" t="s">
        <v>1732</v>
      </c>
      <c r="F1312" t="s">
        <v>1752</v>
      </c>
      <c r="G1312" t="s">
        <v>1616</v>
      </c>
      <c r="H1312" t="s">
        <v>1996</v>
      </c>
      <c r="I1312" t="s">
        <v>1754</v>
      </c>
      <c r="J1312" t="s">
        <v>3117</v>
      </c>
      <c r="K1312">
        <v>0.79200000000000004</v>
      </c>
      <c r="L1312">
        <v>910.80000000000007</v>
      </c>
      <c r="M1312" s="1">
        <v>3</v>
      </c>
      <c r="N1312">
        <v>0</v>
      </c>
      <c r="O1312">
        <v>0</v>
      </c>
      <c r="P1312">
        <v>1150</v>
      </c>
      <c r="Q1312" s="1">
        <v>1150</v>
      </c>
      <c r="R1312">
        <v>22</v>
      </c>
      <c r="S1312" s="2">
        <v>46256</v>
      </c>
      <c r="T1312" s="2">
        <v>46263</v>
      </c>
      <c r="U1312">
        <v>175</v>
      </c>
      <c r="V1312">
        <v>0</v>
      </c>
      <c r="W1312">
        <v>25</v>
      </c>
      <c r="X1312">
        <v>275</v>
      </c>
      <c r="Y1312">
        <v>0</v>
      </c>
      <c r="Z1312" s="8">
        <v>275</v>
      </c>
      <c r="AA1312">
        <v>118.75</v>
      </c>
      <c r="AB1312">
        <v>0</v>
      </c>
      <c r="AC1312">
        <v>2.3157894736842106</v>
      </c>
      <c r="AD1312" s="1">
        <v>125</v>
      </c>
      <c r="AE1312" s="2">
        <v>46373</v>
      </c>
      <c r="AF1312" s="2">
        <v>46381</v>
      </c>
      <c r="AG1312" s="2">
        <v>46388</v>
      </c>
      <c r="AH1312">
        <v>1375</v>
      </c>
      <c r="AI1312" s="3">
        <v>5.1724137931034484</v>
      </c>
      <c r="AJ1312" s="1">
        <v>24</v>
      </c>
      <c r="AK1312" s="2">
        <v>46287</v>
      </c>
      <c r="AL1312" s="4">
        <v>30</v>
      </c>
      <c r="AM1312" s="5">
        <v>15</v>
      </c>
      <c r="AN1312" s="4">
        <v>24</v>
      </c>
      <c r="AO1312">
        <v>1422.4137931034484</v>
      </c>
      <c r="AP1312" s="4">
        <v>1</v>
      </c>
      <c r="AQ1312" t="s">
        <v>1619</v>
      </c>
      <c r="AR1312" t="s">
        <v>1620</v>
      </c>
      <c r="AT1312" s="16">
        <f>_xlfn.XLOOKUP(B1312,'SWiSH Demand Forecast Sep-26'!D:D,'SWiSH Demand Forecast Sep-26'!G:G,"Not Exist")</f>
        <v>28.865753424657498</v>
      </c>
    </row>
    <row r="1313" spans="1:46" hidden="1" x14ac:dyDescent="0.3">
      <c r="A1313">
        <v>106800004</v>
      </c>
      <c r="B1313" t="s">
        <v>95</v>
      </c>
      <c r="C1313" t="s">
        <v>10</v>
      </c>
      <c r="D1313" t="s">
        <v>1613</v>
      </c>
      <c r="E1313" t="s">
        <v>1663</v>
      </c>
      <c r="F1313" t="s">
        <v>1664</v>
      </c>
      <c r="G1313" t="s">
        <v>1624</v>
      </c>
      <c r="H1313" t="s">
        <v>1665</v>
      </c>
      <c r="I1313" t="s">
        <v>1634</v>
      </c>
      <c r="J1313" t="s">
        <v>10</v>
      </c>
      <c r="K1313">
        <v>2.99971E-3</v>
      </c>
      <c r="L1313">
        <v>314.96955000000003</v>
      </c>
      <c r="M1313" s="1">
        <v>7</v>
      </c>
      <c r="N1313">
        <v>0</v>
      </c>
      <c r="O1313">
        <v>0</v>
      </c>
      <c r="P1313">
        <v>105000</v>
      </c>
      <c r="Q1313" s="1">
        <v>105000</v>
      </c>
      <c r="R1313">
        <v>3.0000000000000001E-3</v>
      </c>
      <c r="S1313" s="2">
        <v>46153</v>
      </c>
      <c r="T1313" s="2">
        <v>46219</v>
      </c>
      <c r="U1313">
        <v>20000</v>
      </c>
      <c r="V1313">
        <v>25000</v>
      </c>
      <c r="W1313">
        <v>25000</v>
      </c>
      <c r="X1313">
        <v>5000</v>
      </c>
      <c r="Y1313">
        <v>5000</v>
      </c>
      <c r="Z1313" s="8">
        <v>25000</v>
      </c>
      <c r="AA1313">
        <v>18750</v>
      </c>
      <c r="AB1313">
        <v>0.26666666666666666</v>
      </c>
      <c r="AC1313">
        <v>1.3333333333333333</v>
      </c>
      <c r="AD1313" s="1">
        <v>126</v>
      </c>
      <c r="AE1313" s="2">
        <v>46374</v>
      </c>
      <c r="AF1313" s="2">
        <v>46382</v>
      </c>
      <c r="AG1313" s="2">
        <v>46389</v>
      </c>
      <c r="AH1313">
        <v>0</v>
      </c>
      <c r="AI1313" s="3">
        <v>0</v>
      </c>
      <c r="AJ1313" s="1" t="s">
        <v>1635</v>
      </c>
      <c r="AK1313" s="2" t="s">
        <v>1635</v>
      </c>
      <c r="AL1313" s="4">
        <v>30</v>
      </c>
      <c r="AM1313" s="5">
        <v>15</v>
      </c>
      <c r="AN1313" s="4">
        <v>126</v>
      </c>
      <c r="AO1313">
        <v>0</v>
      </c>
      <c r="AP1313" s="4">
        <v>1</v>
      </c>
      <c r="AQ1313" t="s">
        <v>1619</v>
      </c>
      <c r="AR1313" t="s">
        <v>1620</v>
      </c>
      <c r="AT1313" s="16">
        <f>_xlfn.XLOOKUP(B1313,'SWiSH Demand Forecast Sep-26'!D:D,'SWiSH Demand Forecast Sep-26'!G:G,"Not Exist")</f>
        <v>19715</v>
      </c>
    </row>
    <row r="1314" spans="1:46" x14ac:dyDescent="0.3">
      <c r="A1314">
        <v>105600003</v>
      </c>
      <c r="B1314" t="s">
        <v>3163</v>
      </c>
      <c r="C1314" t="s">
        <v>136</v>
      </c>
      <c r="D1314" t="s">
        <v>1613</v>
      </c>
      <c r="E1314" t="s">
        <v>1732</v>
      </c>
      <c r="F1314" t="s">
        <v>1664</v>
      </c>
      <c r="G1314" t="s">
        <v>1616</v>
      </c>
      <c r="H1314" t="s">
        <v>1679</v>
      </c>
      <c r="I1314" t="s">
        <v>1634</v>
      </c>
      <c r="J1314" t="s">
        <v>136</v>
      </c>
      <c r="K1314">
        <v>0.61</v>
      </c>
      <c r="L1314">
        <v>103.7</v>
      </c>
      <c r="M1314" s="1">
        <v>30</v>
      </c>
      <c r="N1314">
        <v>0</v>
      </c>
      <c r="O1314">
        <v>0</v>
      </c>
      <c r="P1314">
        <v>170</v>
      </c>
      <c r="Q1314" s="1">
        <v>170</v>
      </c>
      <c r="R1314">
        <v>0.61</v>
      </c>
      <c r="S1314" s="2">
        <v>45819</v>
      </c>
      <c r="T1314" s="2">
        <v>46224</v>
      </c>
      <c r="U1314">
        <v>40</v>
      </c>
      <c r="V1314">
        <v>40</v>
      </c>
      <c r="W1314">
        <v>0</v>
      </c>
      <c r="X1314">
        <v>40</v>
      </c>
      <c r="Y1314">
        <v>0</v>
      </c>
      <c r="Z1314" s="8">
        <v>40</v>
      </c>
      <c r="AA1314">
        <v>30</v>
      </c>
      <c r="AB1314">
        <v>0</v>
      </c>
      <c r="AC1314">
        <v>1.3333333333333333</v>
      </c>
      <c r="AD1314" s="1">
        <v>127</v>
      </c>
      <c r="AE1314" s="2">
        <v>46375</v>
      </c>
      <c r="AF1314" s="2">
        <v>46383</v>
      </c>
      <c r="AG1314" s="2">
        <v>46390</v>
      </c>
      <c r="AH1314">
        <v>0</v>
      </c>
      <c r="AI1314" s="3">
        <v>0</v>
      </c>
      <c r="AJ1314" s="1" t="s">
        <v>1635</v>
      </c>
      <c r="AK1314" s="2" t="s">
        <v>1635</v>
      </c>
      <c r="AL1314" s="4">
        <v>30</v>
      </c>
      <c r="AM1314" s="5">
        <v>15</v>
      </c>
      <c r="AN1314" s="4">
        <v>127</v>
      </c>
      <c r="AO1314">
        <v>0</v>
      </c>
      <c r="AP1314" s="4">
        <v>1</v>
      </c>
      <c r="AQ1314" t="s">
        <v>1619</v>
      </c>
      <c r="AR1314" t="s">
        <v>1620</v>
      </c>
      <c r="AT1314" s="16" t="str">
        <f>_xlfn.XLOOKUP(B1314,'SWiSH Demand Forecast Sep-26'!D:D,'SWiSH Demand Forecast Sep-26'!G:G,"Not Exist")</f>
        <v>Not Exist</v>
      </c>
    </row>
    <row r="1315" spans="1:46" hidden="1" x14ac:dyDescent="0.3">
      <c r="A1315">
        <v>106800128</v>
      </c>
      <c r="B1315" t="s">
        <v>1177</v>
      </c>
      <c r="C1315" t="s">
        <v>10</v>
      </c>
      <c r="D1315" t="s">
        <v>1613</v>
      </c>
      <c r="E1315" t="s">
        <v>2587</v>
      </c>
      <c r="F1315" t="s">
        <v>1664</v>
      </c>
      <c r="G1315" t="s">
        <v>1624</v>
      </c>
      <c r="H1315" t="s">
        <v>1665</v>
      </c>
      <c r="I1315" t="s">
        <v>1634</v>
      </c>
      <c r="J1315" t="s">
        <v>10</v>
      </c>
      <c r="K1315">
        <v>3.3329999999999999E-2</v>
      </c>
      <c r="L1315">
        <v>33.33</v>
      </c>
      <c r="M1315" s="1">
        <v>7</v>
      </c>
      <c r="N1315">
        <v>0</v>
      </c>
      <c r="O1315">
        <v>0</v>
      </c>
      <c r="P1315">
        <v>1000</v>
      </c>
      <c r="Q1315" s="1">
        <v>1000</v>
      </c>
      <c r="R1315">
        <v>3.3329999999999999E-2</v>
      </c>
      <c r="S1315" s="2">
        <v>45830</v>
      </c>
      <c r="T1315" s="2">
        <v>46258</v>
      </c>
      <c r="U1315">
        <v>235</v>
      </c>
      <c r="V1315">
        <v>165</v>
      </c>
      <c r="W1315">
        <v>100</v>
      </c>
      <c r="X1315">
        <v>50</v>
      </c>
      <c r="Y1315">
        <v>50</v>
      </c>
      <c r="Z1315" s="8">
        <v>235</v>
      </c>
      <c r="AA1315">
        <v>137.5</v>
      </c>
      <c r="AB1315">
        <v>0.36363636363636365</v>
      </c>
      <c r="AC1315">
        <v>1.709090909090909</v>
      </c>
      <c r="AD1315" s="1">
        <v>127</v>
      </c>
      <c r="AE1315" s="2">
        <v>46375</v>
      </c>
      <c r="AF1315" s="2">
        <v>46383</v>
      </c>
      <c r="AG1315" s="2">
        <v>46390</v>
      </c>
      <c r="AH1315">
        <v>100</v>
      </c>
      <c r="AI1315" s="3">
        <v>0.44020542920029349</v>
      </c>
      <c r="AJ1315" s="1">
        <v>290</v>
      </c>
      <c r="AK1315" s="2">
        <v>46553</v>
      </c>
      <c r="AL1315" s="4">
        <v>30</v>
      </c>
      <c r="AM1315" s="5">
        <v>15</v>
      </c>
      <c r="AN1315" s="4">
        <v>127</v>
      </c>
      <c r="AO1315">
        <v>103.44827586206897</v>
      </c>
      <c r="AP1315" s="4">
        <v>1</v>
      </c>
      <c r="AQ1315" t="s">
        <v>1619</v>
      </c>
      <c r="AR1315" t="s">
        <v>1620</v>
      </c>
      <c r="AT1315" s="16">
        <f>_xlfn.XLOOKUP(B1315,'SWiSH Demand Forecast Sep-26'!D:D,'SWiSH Demand Forecast Sep-26'!G:G,"Not Exist")</f>
        <v>67</v>
      </c>
    </row>
    <row r="1316" spans="1:46" x14ac:dyDescent="0.3">
      <c r="A1316">
        <v>105300049</v>
      </c>
      <c r="B1316" t="s">
        <v>3164</v>
      </c>
      <c r="C1316" t="s">
        <v>10</v>
      </c>
      <c r="D1316" t="s">
        <v>1613</v>
      </c>
      <c r="E1316" t="s">
        <v>1745</v>
      </c>
      <c r="F1316" t="s">
        <v>1631</v>
      </c>
      <c r="G1316" t="s">
        <v>1624</v>
      </c>
      <c r="H1316" t="s">
        <v>1978</v>
      </c>
      <c r="I1316" t="s">
        <v>1634</v>
      </c>
      <c r="J1316" t="s">
        <v>10</v>
      </c>
      <c r="K1316">
        <v>4.2445980000000001E-2</v>
      </c>
      <c r="L1316">
        <v>65.791269</v>
      </c>
      <c r="M1316" s="1">
        <v>30</v>
      </c>
      <c r="N1316">
        <v>0</v>
      </c>
      <c r="O1316">
        <v>50</v>
      </c>
      <c r="P1316">
        <v>1550</v>
      </c>
      <c r="Q1316" s="1">
        <v>1500</v>
      </c>
      <c r="R1316">
        <v>4.8000000000000001E-2</v>
      </c>
      <c r="S1316" s="2">
        <v>46222</v>
      </c>
      <c r="T1316" s="2">
        <v>46262</v>
      </c>
      <c r="U1316">
        <v>300</v>
      </c>
      <c r="V1316">
        <v>350</v>
      </c>
      <c r="W1316">
        <v>200</v>
      </c>
      <c r="X1316">
        <v>300</v>
      </c>
      <c r="Y1316">
        <v>200</v>
      </c>
      <c r="Z1316" s="8">
        <v>350</v>
      </c>
      <c r="AA1316">
        <v>287.5</v>
      </c>
      <c r="AB1316">
        <v>0.69565217391304346</v>
      </c>
      <c r="AC1316">
        <v>1.2173913043478262</v>
      </c>
      <c r="AD1316" s="1">
        <v>128</v>
      </c>
      <c r="AE1316" s="2">
        <v>46376</v>
      </c>
      <c r="AF1316" s="2">
        <v>46384</v>
      </c>
      <c r="AG1316" s="2">
        <v>46391</v>
      </c>
      <c r="AH1316">
        <v>300</v>
      </c>
      <c r="AI1316" s="3">
        <v>0.88669950738916259</v>
      </c>
      <c r="AJ1316" s="1">
        <v>145</v>
      </c>
      <c r="AK1316" s="2">
        <v>46408</v>
      </c>
      <c r="AL1316" s="4">
        <v>30</v>
      </c>
      <c r="AM1316" s="5">
        <v>15</v>
      </c>
      <c r="AN1316" s="4">
        <v>128</v>
      </c>
      <c r="AO1316">
        <v>310.34482758620692</v>
      </c>
      <c r="AP1316" s="4">
        <v>1</v>
      </c>
      <c r="AQ1316" t="s">
        <v>1619</v>
      </c>
      <c r="AR1316" t="s">
        <v>1620</v>
      </c>
      <c r="AT1316" s="16" t="str">
        <f>_xlfn.XLOOKUP(B1316,'SWiSH Demand Forecast Sep-26'!D:D,'SWiSH Demand Forecast Sep-26'!G:G,"Not Exist")</f>
        <v>Not Exist</v>
      </c>
    </row>
    <row r="1317" spans="1:46" x14ac:dyDescent="0.3">
      <c r="A1317">
        <v>100400082</v>
      </c>
      <c r="B1317" t="s">
        <v>3165</v>
      </c>
      <c r="C1317" t="s">
        <v>10</v>
      </c>
      <c r="D1317" t="s">
        <v>1613</v>
      </c>
      <c r="E1317" t="s">
        <v>1745</v>
      </c>
      <c r="F1317" t="s">
        <v>1664</v>
      </c>
      <c r="G1317" t="s">
        <v>1624</v>
      </c>
      <c r="H1317" t="s">
        <v>1810</v>
      </c>
      <c r="I1317" t="s">
        <v>1634</v>
      </c>
      <c r="J1317" t="s">
        <v>10</v>
      </c>
      <c r="K1317">
        <v>0.15</v>
      </c>
      <c r="L1317">
        <v>210</v>
      </c>
      <c r="M1317" s="1">
        <v>30</v>
      </c>
      <c r="N1317">
        <v>0</v>
      </c>
      <c r="O1317">
        <v>0</v>
      </c>
      <c r="P1317">
        <v>1400</v>
      </c>
      <c r="Q1317" s="1">
        <v>1400</v>
      </c>
      <c r="R1317">
        <v>0.15</v>
      </c>
      <c r="S1317" s="2">
        <v>46231</v>
      </c>
      <c r="T1317" s="2">
        <v>46262</v>
      </c>
      <c r="U1317">
        <v>325</v>
      </c>
      <c r="V1317">
        <v>275</v>
      </c>
      <c r="W1317">
        <v>275</v>
      </c>
      <c r="X1317">
        <v>225</v>
      </c>
      <c r="Y1317">
        <v>225</v>
      </c>
      <c r="Z1317" s="8">
        <v>325</v>
      </c>
      <c r="AA1317">
        <v>275</v>
      </c>
      <c r="AB1317">
        <v>0.81818181818181823</v>
      </c>
      <c r="AC1317">
        <v>1.1818181818181819</v>
      </c>
      <c r="AD1317" s="1">
        <v>129</v>
      </c>
      <c r="AE1317" s="2">
        <v>46377</v>
      </c>
      <c r="AF1317" s="2">
        <v>46385</v>
      </c>
      <c r="AG1317" s="2">
        <v>46392</v>
      </c>
      <c r="AH1317">
        <v>200</v>
      </c>
      <c r="AI1317" s="3">
        <v>0.63660477453580899</v>
      </c>
      <c r="AJ1317" s="1">
        <v>203</v>
      </c>
      <c r="AK1317" s="2">
        <v>46466</v>
      </c>
      <c r="AL1317" s="4">
        <v>30</v>
      </c>
      <c r="AM1317" s="5">
        <v>15</v>
      </c>
      <c r="AN1317" s="4">
        <v>129</v>
      </c>
      <c r="AO1317">
        <v>206.89655172413794</v>
      </c>
      <c r="AP1317" s="4">
        <v>1</v>
      </c>
      <c r="AQ1317" t="s">
        <v>1619</v>
      </c>
      <c r="AR1317" t="s">
        <v>1620</v>
      </c>
      <c r="AT1317" s="16" t="str">
        <f>_xlfn.XLOOKUP(B1317,'SWiSH Demand Forecast Sep-26'!D:D,'SWiSH Demand Forecast Sep-26'!G:G,"Not Exist")</f>
        <v>Not Exist</v>
      </c>
    </row>
    <row r="1318" spans="1:46" hidden="1" x14ac:dyDescent="0.3">
      <c r="A1318">
        <v>106800084</v>
      </c>
      <c r="B1318" t="s">
        <v>164</v>
      </c>
      <c r="C1318" t="s">
        <v>10</v>
      </c>
      <c r="D1318" t="s">
        <v>1613</v>
      </c>
      <c r="E1318" t="s">
        <v>1655</v>
      </c>
      <c r="F1318" t="s">
        <v>1664</v>
      </c>
      <c r="G1318" t="s">
        <v>1624</v>
      </c>
      <c r="H1318" t="s">
        <v>1665</v>
      </c>
      <c r="I1318" t="s">
        <v>1634</v>
      </c>
      <c r="J1318" t="s">
        <v>10</v>
      </c>
      <c r="K1318">
        <v>4.8199000000000002E-3</v>
      </c>
      <c r="L1318">
        <v>250.63480000000001</v>
      </c>
      <c r="M1318" s="1">
        <v>7</v>
      </c>
      <c r="N1318">
        <v>0</v>
      </c>
      <c r="O1318">
        <v>0</v>
      </c>
      <c r="P1318">
        <v>52000</v>
      </c>
      <c r="Q1318" s="1">
        <v>52000</v>
      </c>
      <c r="R1318">
        <v>5.0000000000000001E-3</v>
      </c>
      <c r="S1318" s="2">
        <v>46250</v>
      </c>
      <c r="T1318" s="2">
        <v>46257</v>
      </c>
      <c r="U1318">
        <v>8000</v>
      </c>
      <c r="V1318">
        <v>9000</v>
      </c>
      <c r="W1318">
        <v>8000</v>
      </c>
      <c r="X1318">
        <v>12000</v>
      </c>
      <c r="Y1318">
        <v>8000</v>
      </c>
      <c r="Z1318" s="8">
        <v>12000</v>
      </c>
      <c r="AA1318">
        <v>9250</v>
      </c>
      <c r="AB1318">
        <v>0.86486486486486491</v>
      </c>
      <c r="AC1318">
        <v>1.2972972972972974</v>
      </c>
      <c r="AD1318" s="1">
        <v>130</v>
      </c>
      <c r="AE1318" s="2">
        <v>46378</v>
      </c>
      <c r="AF1318" s="2">
        <v>46386</v>
      </c>
      <c r="AG1318" s="2">
        <v>46393</v>
      </c>
      <c r="AH1318">
        <v>8000</v>
      </c>
      <c r="AI1318" s="3">
        <v>0.68965517241379304</v>
      </c>
      <c r="AJ1318" s="1">
        <v>188</v>
      </c>
      <c r="AK1318" s="2">
        <v>46451</v>
      </c>
      <c r="AL1318" s="4">
        <v>30</v>
      </c>
      <c r="AM1318" s="5">
        <v>15</v>
      </c>
      <c r="AN1318" s="4">
        <v>130</v>
      </c>
      <c r="AO1318">
        <v>8275.8620689655163</v>
      </c>
      <c r="AP1318" s="4">
        <v>1</v>
      </c>
      <c r="AQ1318">
        <v>90000</v>
      </c>
      <c r="AR1318" t="s">
        <v>1829</v>
      </c>
      <c r="AT1318" s="16">
        <f>_xlfn.XLOOKUP(B1318,'SWiSH Demand Forecast Sep-26'!D:D,'SWiSH Demand Forecast Sep-26'!G:G,"Not Exist")</f>
        <v>11408</v>
      </c>
    </row>
    <row r="1319" spans="1:46" hidden="1" x14ac:dyDescent="0.3">
      <c r="A1319">
        <v>100900066</v>
      </c>
      <c r="B1319" t="s">
        <v>1034</v>
      </c>
      <c r="C1319" t="s">
        <v>10</v>
      </c>
      <c r="D1319" t="s">
        <v>1629</v>
      </c>
      <c r="E1319" t="s">
        <v>3166</v>
      </c>
      <c r="F1319" t="s">
        <v>1639</v>
      </c>
      <c r="G1319" t="s">
        <v>1616</v>
      </c>
      <c r="H1319" t="s">
        <v>1640</v>
      </c>
      <c r="I1319" t="s">
        <v>1618</v>
      </c>
      <c r="J1319" t="s">
        <v>10</v>
      </c>
      <c r="K1319">
        <v>0.11388875</v>
      </c>
      <c r="L1319">
        <v>191.3331</v>
      </c>
      <c r="M1319" s="1">
        <v>3</v>
      </c>
      <c r="N1319">
        <v>0</v>
      </c>
      <c r="O1319">
        <v>0</v>
      </c>
      <c r="P1319">
        <v>1680</v>
      </c>
      <c r="Q1319" s="1">
        <v>1680</v>
      </c>
      <c r="R1319">
        <v>2.73333</v>
      </c>
      <c r="S1319" s="2">
        <v>46030</v>
      </c>
      <c r="T1319" s="2">
        <v>46261</v>
      </c>
      <c r="U1319">
        <v>372</v>
      </c>
      <c r="V1319">
        <v>240</v>
      </c>
      <c r="W1319">
        <v>324</v>
      </c>
      <c r="X1319">
        <v>384</v>
      </c>
      <c r="Y1319">
        <v>240</v>
      </c>
      <c r="Z1319" s="8">
        <v>384</v>
      </c>
      <c r="AA1319">
        <v>330</v>
      </c>
      <c r="AB1319">
        <v>0.72727272727272729</v>
      </c>
      <c r="AC1319">
        <v>1.1636363636363636</v>
      </c>
      <c r="AD1319" s="1">
        <v>131</v>
      </c>
      <c r="AE1319" s="2">
        <v>46379</v>
      </c>
      <c r="AF1319" s="2">
        <v>46387</v>
      </c>
      <c r="AG1319" s="2">
        <v>46394</v>
      </c>
      <c r="AH1319">
        <v>216</v>
      </c>
      <c r="AI1319" s="3">
        <v>0.5818965517241379</v>
      </c>
      <c r="AJ1319" s="1">
        <v>225</v>
      </c>
      <c r="AK1319" s="2">
        <v>46488</v>
      </c>
      <c r="AL1319" s="4" t="s">
        <v>1636</v>
      </c>
      <c r="AM1319" s="5" t="s">
        <v>1636</v>
      </c>
      <c r="AN1319" s="4">
        <v>131</v>
      </c>
      <c r="AO1319" t="s">
        <v>1635</v>
      </c>
      <c r="AP1319" s="4" t="s">
        <v>1636</v>
      </c>
      <c r="AQ1319" t="s">
        <v>1619</v>
      </c>
      <c r="AR1319" t="s">
        <v>1620</v>
      </c>
      <c r="AT1319" s="16">
        <f>_xlfn.XLOOKUP(B1319,'SWiSH Demand Forecast Sep-26'!D:D,'SWiSH Demand Forecast Sep-26'!G:G,"Not Exist")</f>
        <v>132</v>
      </c>
    </row>
    <row r="1320" spans="1:46" hidden="1" x14ac:dyDescent="0.3">
      <c r="A1320">
        <v>105900002</v>
      </c>
      <c r="B1320" t="s">
        <v>443</v>
      </c>
      <c r="C1320" t="s">
        <v>10</v>
      </c>
      <c r="D1320" t="s">
        <v>1613</v>
      </c>
      <c r="E1320" t="s">
        <v>1732</v>
      </c>
      <c r="F1320" t="s">
        <v>1664</v>
      </c>
      <c r="G1320" t="s">
        <v>1616</v>
      </c>
      <c r="H1320" t="s">
        <v>1729</v>
      </c>
      <c r="I1320" t="s">
        <v>1634</v>
      </c>
      <c r="J1320" t="s">
        <v>1733</v>
      </c>
      <c r="K1320">
        <v>6.2851799999999996E-3</v>
      </c>
      <c r="L1320">
        <v>235.065732</v>
      </c>
      <c r="M1320" s="1">
        <v>90</v>
      </c>
      <c r="N1320">
        <v>0</v>
      </c>
      <c r="O1320">
        <v>0</v>
      </c>
      <c r="P1320">
        <v>37400</v>
      </c>
      <c r="Q1320" s="1">
        <v>37400</v>
      </c>
      <c r="R1320">
        <v>6.8900000000000003E-3</v>
      </c>
      <c r="S1320" s="2">
        <v>46214</v>
      </c>
      <c r="T1320" s="2">
        <v>46242</v>
      </c>
      <c r="U1320">
        <v>4000</v>
      </c>
      <c r="V1320">
        <v>8400</v>
      </c>
      <c r="W1320">
        <v>0</v>
      </c>
      <c r="X1320">
        <v>1800</v>
      </c>
      <c r="Y1320">
        <v>0</v>
      </c>
      <c r="Z1320" s="8">
        <v>8400</v>
      </c>
      <c r="AA1320">
        <v>3550</v>
      </c>
      <c r="AB1320">
        <v>0</v>
      </c>
      <c r="AC1320">
        <v>2.3661971830985915</v>
      </c>
      <c r="AD1320" s="1">
        <v>133</v>
      </c>
      <c r="AE1320" s="2">
        <v>46381</v>
      </c>
      <c r="AF1320" s="2">
        <v>46389</v>
      </c>
      <c r="AG1320" s="2">
        <v>46396</v>
      </c>
      <c r="AH1320">
        <v>3400</v>
      </c>
      <c r="AI1320" s="3">
        <v>0.41871921182266009</v>
      </c>
      <c r="AJ1320" s="1">
        <v>319</v>
      </c>
      <c r="AK1320" s="2">
        <v>46582</v>
      </c>
      <c r="AL1320" s="4">
        <v>120</v>
      </c>
      <c r="AM1320" s="5">
        <v>100</v>
      </c>
      <c r="AN1320" s="4">
        <v>133</v>
      </c>
      <c r="AO1320">
        <v>14068.965517241379</v>
      </c>
      <c r="AP1320" s="4">
        <v>1</v>
      </c>
      <c r="AQ1320" t="s">
        <v>1619</v>
      </c>
      <c r="AR1320" t="s">
        <v>1620</v>
      </c>
      <c r="AT1320" s="16">
        <f>_xlfn.XLOOKUP(B1320,'SWiSH Demand Forecast Sep-26'!D:D,'SWiSH Demand Forecast Sep-26'!G:G,"Not Exist")</f>
        <v>2165</v>
      </c>
    </row>
    <row r="1321" spans="1:46" x14ac:dyDescent="0.3">
      <c r="A1321">
        <v>101600043</v>
      </c>
      <c r="B1321" t="s">
        <v>3167</v>
      </c>
      <c r="C1321" t="s">
        <v>10</v>
      </c>
      <c r="D1321" t="s">
        <v>1675</v>
      </c>
      <c r="E1321" t="s">
        <v>1701</v>
      </c>
      <c r="F1321" t="s">
        <v>1664</v>
      </c>
      <c r="G1321" t="s">
        <v>1704</v>
      </c>
      <c r="H1321" t="s">
        <v>1768</v>
      </c>
      <c r="I1321" t="s">
        <v>1634</v>
      </c>
      <c r="J1321" t="s">
        <v>10</v>
      </c>
      <c r="K1321">
        <v>1.7999999999999999E-2</v>
      </c>
      <c r="L1321">
        <v>174.6</v>
      </c>
      <c r="M1321" s="1">
        <v>7</v>
      </c>
      <c r="N1321">
        <v>0</v>
      </c>
      <c r="O1321">
        <v>0</v>
      </c>
      <c r="P1321">
        <v>9700</v>
      </c>
      <c r="Q1321" s="1">
        <v>9700</v>
      </c>
      <c r="R1321">
        <v>1.7999999999999999E-2</v>
      </c>
      <c r="S1321" s="2">
        <v>46085</v>
      </c>
      <c r="T1321" s="2">
        <v>46221</v>
      </c>
      <c r="U1321">
        <v>2150</v>
      </c>
      <c r="V1321">
        <v>0</v>
      </c>
      <c r="W1321">
        <v>0</v>
      </c>
      <c r="X1321">
        <v>0</v>
      </c>
      <c r="Y1321">
        <v>0</v>
      </c>
      <c r="Z1321" s="8">
        <v>2150</v>
      </c>
      <c r="AA1321">
        <v>537.5</v>
      </c>
      <c r="AB1321">
        <v>0</v>
      </c>
      <c r="AC1321">
        <v>4</v>
      </c>
      <c r="AD1321" s="1">
        <v>135</v>
      </c>
      <c r="AE1321" s="2">
        <v>46383</v>
      </c>
      <c r="AF1321" s="2">
        <v>46391</v>
      </c>
      <c r="AG1321" s="2">
        <v>46398</v>
      </c>
      <c r="AH1321">
        <v>0</v>
      </c>
      <c r="AI1321" s="3">
        <v>0</v>
      </c>
      <c r="AJ1321" s="1" t="s">
        <v>1635</v>
      </c>
      <c r="AK1321" s="2" t="s">
        <v>1635</v>
      </c>
      <c r="AL1321" s="4" t="s">
        <v>1658</v>
      </c>
      <c r="AM1321" s="5" t="s">
        <v>1658</v>
      </c>
      <c r="AN1321" s="4">
        <v>135</v>
      </c>
      <c r="AO1321" t="s">
        <v>1635</v>
      </c>
      <c r="AP1321" s="4" t="s">
        <v>1658</v>
      </c>
      <c r="AQ1321" t="s">
        <v>1619</v>
      </c>
      <c r="AR1321" t="s">
        <v>1620</v>
      </c>
      <c r="AS1321" t="s">
        <v>1666</v>
      </c>
      <c r="AT1321" s="16" t="str">
        <f>_xlfn.XLOOKUP(B1321,'SWiSH Demand Forecast Sep-26'!D:D,'SWiSH Demand Forecast Sep-26'!G:G,"Not Exist")</f>
        <v>Not Exist</v>
      </c>
    </row>
    <row r="1322" spans="1:46" hidden="1" x14ac:dyDescent="0.3">
      <c r="A1322">
        <v>105900055</v>
      </c>
      <c r="B1322" t="s">
        <v>435</v>
      </c>
      <c r="C1322" t="s">
        <v>10</v>
      </c>
      <c r="D1322" t="s">
        <v>1613</v>
      </c>
      <c r="E1322" t="s">
        <v>1732</v>
      </c>
      <c r="F1322" t="s">
        <v>1664</v>
      </c>
      <c r="G1322" t="s">
        <v>1616</v>
      </c>
      <c r="H1322" t="s">
        <v>1729</v>
      </c>
      <c r="I1322" t="s">
        <v>1634</v>
      </c>
      <c r="J1322" t="s">
        <v>1733</v>
      </c>
      <c r="K1322">
        <v>3.7779699999999999E-3</v>
      </c>
      <c r="L1322">
        <v>115.60588199999999</v>
      </c>
      <c r="M1322" s="1">
        <v>90</v>
      </c>
      <c r="N1322">
        <v>0</v>
      </c>
      <c r="O1322">
        <v>0</v>
      </c>
      <c r="P1322">
        <v>30600</v>
      </c>
      <c r="Q1322" s="1">
        <v>30600</v>
      </c>
      <c r="R1322">
        <v>3.78</v>
      </c>
      <c r="S1322" s="2">
        <v>46132</v>
      </c>
      <c r="T1322" s="2">
        <v>46263</v>
      </c>
      <c r="U1322">
        <v>4000</v>
      </c>
      <c r="V1322">
        <v>3400</v>
      </c>
      <c r="W1322">
        <v>5100</v>
      </c>
      <c r="X1322">
        <v>6800</v>
      </c>
      <c r="Y1322">
        <v>3400</v>
      </c>
      <c r="Z1322" s="8">
        <v>6800</v>
      </c>
      <c r="AA1322">
        <v>4825</v>
      </c>
      <c r="AB1322">
        <v>0.70466321243523311</v>
      </c>
      <c r="AC1322">
        <v>1.4093264248704662</v>
      </c>
      <c r="AD1322" s="1">
        <v>135</v>
      </c>
      <c r="AE1322" s="2">
        <v>46383</v>
      </c>
      <c r="AF1322" s="2">
        <v>46391</v>
      </c>
      <c r="AG1322" s="2">
        <v>46398</v>
      </c>
      <c r="AH1322">
        <v>5100</v>
      </c>
      <c r="AI1322" s="3">
        <v>0.77586206896551724</v>
      </c>
      <c r="AJ1322" s="1">
        <v>174</v>
      </c>
      <c r="AK1322" s="2">
        <v>46437</v>
      </c>
      <c r="AL1322" s="4">
        <v>120</v>
      </c>
      <c r="AM1322" s="5">
        <v>100</v>
      </c>
      <c r="AN1322" s="4">
        <v>135</v>
      </c>
      <c r="AO1322">
        <v>21103.448275862069</v>
      </c>
      <c r="AP1322" s="4">
        <v>1</v>
      </c>
      <c r="AQ1322" t="s">
        <v>1619</v>
      </c>
      <c r="AR1322" t="s">
        <v>1620</v>
      </c>
      <c r="AT1322" s="16">
        <f>_xlfn.XLOOKUP(B1322,'SWiSH Demand Forecast Sep-26'!D:D,'SWiSH Demand Forecast Sep-26'!G:G,"Not Exist")</f>
        <v>2252</v>
      </c>
    </row>
    <row r="1323" spans="1:46" x14ac:dyDescent="0.3">
      <c r="A1323">
        <v>103700062</v>
      </c>
      <c r="B1323" t="s">
        <v>3168</v>
      </c>
      <c r="C1323" t="s">
        <v>136</v>
      </c>
      <c r="D1323" t="s">
        <v>1613</v>
      </c>
      <c r="E1323" t="s">
        <v>1958</v>
      </c>
      <c r="F1323" t="s">
        <v>1615</v>
      </c>
      <c r="G1323" t="s">
        <v>1616</v>
      </c>
      <c r="H1323" t="s">
        <v>1617</v>
      </c>
      <c r="I1323" t="s">
        <v>1618</v>
      </c>
      <c r="J1323" t="s">
        <v>136</v>
      </c>
      <c r="K1323">
        <v>1.65</v>
      </c>
      <c r="L1323">
        <v>14.85</v>
      </c>
      <c r="M1323" s="1">
        <v>3</v>
      </c>
      <c r="N1323">
        <v>0</v>
      </c>
      <c r="O1323">
        <v>0</v>
      </c>
      <c r="P1323">
        <v>9</v>
      </c>
      <c r="Q1323" s="1">
        <v>9</v>
      </c>
      <c r="R1323">
        <v>1.65</v>
      </c>
      <c r="S1323" s="2">
        <v>46085</v>
      </c>
      <c r="T1323" s="2">
        <v>46263</v>
      </c>
      <c r="U1323">
        <v>0</v>
      </c>
      <c r="V1323">
        <v>0</v>
      </c>
      <c r="W1323">
        <v>2</v>
      </c>
      <c r="X1323">
        <v>0</v>
      </c>
      <c r="Y1323">
        <v>0</v>
      </c>
      <c r="Z1323" s="8">
        <v>2</v>
      </c>
      <c r="AA1323">
        <v>0.5</v>
      </c>
      <c r="AB1323">
        <v>0</v>
      </c>
      <c r="AC1323">
        <v>4</v>
      </c>
      <c r="AD1323" s="1">
        <v>135</v>
      </c>
      <c r="AE1323" s="2">
        <v>46383</v>
      </c>
      <c r="AF1323" s="2">
        <v>46391</v>
      </c>
      <c r="AG1323" s="2">
        <v>46398</v>
      </c>
      <c r="AH1323">
        <v>3</v>
      </c>
      <c r="AI1323" s="3">
        <v>1.5517241379310345</v>
      </c>
      <c r="AJ1323" s="1">
        <v>87</v>
      </c>
      <c r="AK1323" s="2">
        <v>46350</v>
      </c>
      <c r="AL1323" s="4">
        <v>30</v>
      </c>
      <c r="AM1323" s="5">
        <v>15</v>
      </c>
      <c r="AN1323" s="4">
        <v>87</v>
      </c>
      <c r="AO1323">
        <v>3.103448275862069</v>
      </c>
      <c r="AP1323" s="4">
        <v>1</v>
      </c>
      <c r="AQ1323" t="s">
        <v>1619</v>
      </c>
      <c r="AR1323" t="s">
        <v>1620</v>
      </c>
      <c r="AT1323" s="16" t="str">
        <f>_xlfn.XLOOKUP(B1323,'SWiSH Demand Forecast Sep-26'!D:D,'SWiSH Demand Forecast Sep-26'!G:G,"Not Exist")</f>
        <v>Not Exist</v>
      </c>
    </row>
    <row r="1324" spans="1:46" x14ac:dyDescent="0.3">
      <c r="A1324">
        <v>103700116</v>
      </c>
      <c r="B1324" t="s">
        <v>3169</v>
      </c>
      <c r="C1324" t="s">
        <v>136</v>
      </c>
      <c r="D1324" t="s">
        <v>1789</v>
      </c>
      <c r="E1324" t="s">
        <v>1732</v>
      </c>
      <c r="F1324" t="s">
        <v>1615</v>
      </c>
      <c r="G1324" t="s">
        <v>1616</v>
      </c>
      <c r="H1324" t="s">
        <v>1617</v>
      </c>
      <c r="I1324" t="s">
        <v>1618</v>
      </c>
      <c r="J1324" t="s">
        <v>3170</v>
      </c>
      <c r="K1324">
        <v>17</v>
      </c>
      <c r="L1324">
        <v>1394</v>
      </c>
      <c r="M1324" s="1">
        <v>3</v>
      </c>
      <c r="N1324">
        <v>0</v>
      </c>
      <c r="O1324">
        <v>0</v>
      </c>
      <c r="P1324">
        <v>82</v>
      </c>
      <c r="Q1324" s="1">
        <v>82</v>
      </c>
      <c r="R1324">
        <v>17</v>
      </c>
      <c r="S1324" s="2">
        <v>46020</v>
      </c>
      <c r="T1324" s="2">
        <v>46262</v>
      </c>
      <c r="U1324">
        <v>12</v>
      </c>
      <c r="V1324">
        <v>5</v>
      </c>
      <c r="W1324">
        <v>18</v>
      </c>
      <c r="X1324">
        <v>0</v>
      </c>
      <c r="Y1324">
        <v>0</v>
      </c>
      <c r="Z1324" s="8">
        <v>18</v>
      </c>
      <c r="AA1324">
        <v>8.75</v>
      </c>
      <c r="AB1324">
        <v>0</v>
      </c>
      <c r="AC1324">
        <v>2.0571428571428569</v>
      </c>
      <c r="AD1324" s="1">
        <v>136</v>
      </c>
      <c r="AE1324" s="2">
        <v>46384</v>
      </c>
      <c r="AF1324" s="2">
        <v>46392</v>
      </c>
      <c r="AG1324" s="2">
        <v>46399</v>
      </c>
      <c r="AH1324">
        <v>5</v>
      </c>
      <c r="AI1324" s="3">
        <v>0.28735632183908044</v>
      </c>
      <c r="AJ1324" s="1">
        <v>475</v>
      </c>
      <c r="AK1324" s="2">
        <v>46738</v>
      </c>
      <c r="AL1324" s="4" t="s">
        <v>1658</v>
      </c>
      <c r="AM1324" s="5" t="s">
        <v>1658</v>
      </c>
      <c r="AN1324" s="4">
        <v>136</v>
      </c>
      <c r="AO1324" t="s">
        <v>1635</v>
      </c>
      <c r="AP1324" s="4" t="s">
        <v>1658</v>
      </c>
      <c r="AQ1324" t="s">
        <v>1619</v>
      </c>
      <c r="AR1324" t="s">
        <v>1620</v>
      </c>
      <c r="AT1324" s="16" t="str">
        <f>_xlfn.XLOOKUP(B1324,'SWiSH Demand Forecast Sep-26'!D:D,'SWiSH Demand Forecast Sep-26'!G:G,"Not Exist")</f>
        <v>Not Exist</v>
      </c>
    </row>
    <row r="1325" spans="1:46" hidden="1" x14ac:dyDescent="0.3">
      <c r="A1325">
        <v>100400143</v>
      </c>
      <c r="B1325" t="s">
        <v>897</v>
      </c>
      <c r="C1325" t="s">
        <v>10</v>
      </c>
      <c r="D1325" t="s">
        <v>1613</v>
      </c>
      <c r="E1325" t="s">
        <v>1775</v>
      </c>
      <c r="F1325" t="s">
        <v>1664</v>
      </c>
      <c r="G1325" t="s">
        <v>1624</v>
      </c>
      <c r="H1325" t="s">
        <v>1810</v>
      </c>
      <c r="I1325" t="s">
        <v>1634</v>
      </c>
      <c r="J1325" t="s">
        <v>10</v>
      </c>
      <c r="K1325">
        <v>8.7855450000000002E-2</v>
      </c>
      <c r="L1325">
        <v>304.85841149999999</v>
      </c>
      <c r="M1325" s="1">
        <v>30</v>
      </c>
      <c r="N1325">
        <v>0</v>
      </c>
      <c r="O1325">
        <v>0</v>
      </c>
      <c r="P1325">
        <v>3470</v>
      </c>
      <c r="Q1325" s="1">
        <v>3470</v>
      </c>
      <c r="R1325">
        <v>8.7999999999999995E-2</v>
      </c>
      <c r="S1325" s="2">
        <v>46152</v>
      </c>
      <c r="T1325" s="2">
        <v>46248</v>
      </c>
      <c r="U1325">
        <v>750</v>
      </c>
      <c r="V1325">
        <v>700</v>
      </c>
      <c r="W1325">
        <v>300</v>
      </c>
      <c r="X1325">
        <v>700</v>
      </c>
      <c r="Y1325">
        <v>300</v>
      </c>
      <c r="Z1325" s="8">
        <v>750</v>
      </c>
      <c r="AA1325">
        <v>612.5</v>
      </c>
      <c r="AB1325">
        <v>0.48979591836734693</v>
      </c>
      <c r="AC1325">
        <v>1.2244897959183674</v>
      </c>
      <c r="AD1325" s="1">
        <v>138</v>
      </c>
      <c r="AE1325" s="2">
        <v>46386</v>
      </c>
      <c r="AF1325" s="2">
        <v>46394</v>
      </c>
      <c r="AG1325" s="2">
        <v>46401</v>
      </c>
      <c r="AH1325">
        <v>300</v>
      </c>
      <c r="AI1325" s="3">
        <v>0.41379310344827591</v>
      </c>
      <c r="AJ1325" s="1">
        <v>335</v>
      </c>
      <c r="AK1325" s="2">
        <v>46598</v>
      </c>
      <c r="AL1325" s="4">
        <v>30</v>
      </c>
      <c r="AM1325" s="5">
        <v>15</v>
      </c>
      <c r="AN1325" s="4">
        <v>138</v>
      </c>
      <c r="AO1325">
        <v>310.34482758620692</v>
      </c>
      <c r="AP1325" s="4">
        <v>1</v>
      </c>
      <c r="AQ1325" t="s">
        <v>1619</v>
      </c>
      <c r="AR1325" t="s">
        <v>1620</v>
      </c>
      <c r="AT1325" s="16">
        <f>_xlfn.XLOOKUP(B1325,'SWiSH Demand Forecast Sep-26'!D:D,'SWiSH Demand Forecast Sep-26'!G:G,"Not Exist")</f>
        <v>242</v>
      </c>
    </row>
    <row r="1326" spans="1:46" x14ac:dyDescent="0.3">
      <c r="A1326">
        <v>106800112</v>
      </c>
      <c r="B1326" t="s">
        <v>3171</v>
      </c>
      <c r="C1326" t="s">
        <v>10</v>
      </c>
      <c r="D1326" t="s">
        <v>1613</v>
      </c>
      <c r="E1326" t="s">
        <v>1663</v>
      </c>
      <c r="F1326" t="s">
        <v>1664</v>
      </c>
      <c r="G1326" t="s">
        <v>1624</v>
      </c>
      <c r="H1326" t="s">
        <v>1665</v>
      </c>
      <c r="I1326" t="s">
        <v>1634</v>
      </c>
      <c r="J1326" t="s">
        <v>10</v>
      </c>
      <c r="K1326">
        <v>3.0000000000000001E-3</v>
      </c>
      <c r="L1326">
        <v>210</v>
      </c>
      <c r="M1326" s="1">
        <v>7</v>
      </c>
      <c r="N1326">
        <v>0</v>
      </c>
      <c r="O1326">
        <v>0</v>
      </c>
      <c r="P1326">
        <v>70000</v>
      </c>
      <c r="Q1326" s="1">
        <v>70000</v>
      </c>
      <c r="R1326">
        <v>3.0000000000000001E-3</v>
      </c>
      <c r="S1326" s="2">
        <v>46180</v>
      </c>
      <c r="T1326" s="2">
        <v>46222</v>
      </c>
      <c r="U1326">
        <v>6000</v>
      </c>
      <c r="V1326">
        <v>1000</v>
      </c>
      <c r="W1326">
        <v>0</v>
      </c>
      <c r="X1326">
        <v>15000</v>
      </c>
      <c r="Y1326">
        <v>0</v>
      </c>
      <c r="Z1326" s="8">
        <v>15000</v>
      </c>
      <c r="AA1326">
        <v>5500</v>
      </c>
      <c r="AB1326">
        <v>0</v>
      </c>
      <c r="AC1326">
        <v>2.7272727272727271</v>
      </c>
      <c r="AD1326" s="1">
        <v>140</v>
      </c>
      <c r="AE1326" s="2">
        <v>46388</v>
      </c>
      <c r="AF1326" s="2">
        <v>46396</v>
      </c>
      <c r="AG1326" s="2">
        <v>46403</v>
      </c>
      <c r="AH1326">
        <v>0</v>
      </c>
      <c r="AI1326" s="3">
        <v>0</v>
      </c>
      <c r="AJ1326" s="1" t="s">
        <v>1635</v>
      </c>
      <c r="AK1326" s="2" t="s">
        <v>1635</v>
      </c>
      <c r="AL1326" s="4">
        <v>30</v>
      </c>
      <c r="AM1326" s="5">
        <v>15</v>
      </c>
      <c r="AN1326" s="4">
        <v>140</v>
      </c>
      <c r="AO1326">
        <v>0</v>
      </c>
      <c r="AP1326" s="4">
        <v>1</v>
      </c>
      <c r="AQ1326" t="s">
        <v>1619</v>
      </c>
      <c r="AR1326" t="s">
        <v>1620</v>
      </c>
      <c r="AT1326" s="16" t="str">
        <f>_xlfn.XLOOKUP(B1326,'SWiSH Demand Forecast Sep-26'!D:D,'SWiSH Demand Forecast Sep-26'!G:G,"Not Exist")</f>
        <v>Not Exist</v>
      </c>
    </row>
    <row r="1327" spans="1:46" hidden="1" x14ac:dyDescent="0.3">
      <c r="A1327">
        <v>106800075</v>
      </c>
      <c r="B1327" t="s">
        <v>544</v>
      </c>
      <c r="C1327" t="s">
        <v>10</v>
      </c>
      <c r="D1327" t="s">
        <v>1613</v>
      </c>
      <c r="E1327" t="s">
        <v>1655</v>
      </c>
      <c r="F1327" t="s">
        <v>1664</v>
      </c>
      <c r="G1327" t="s">
        <v>1624</v>
      </c>
      <c r="H1327" t="s">
        <v>1665</v>
      </c>
      <c r="I1327" t="s">
        <v>1634</v>
      </c>
      <c r="J1327" t="s">
        <v>10</v>
      </c>
      <c r="K1327">
        <v>5.0000000000000001E-3</v>
      </c>
      <c r="L1327">
        <v>165</v>
      </c>
      <c r="M1327" s="1">
        <v>7</v>
      </c>
      <c r="N1327">
        <v>0</v>
      </c>
      <c r="O1327">
        <v>0</v>
      </c>
      <c r="P1327">
        <v>33000</v>
      </c>
      <c r="Q1327" s="1">
        <v>33000</v>
      </c>
      <c r="R1327">
        <v>5.0000000000000001E-3</v>
      </c>
      <c r="S1327" s="2">
        <v>46125</v>
      </c>
      <c r="T1327" s="2">
        <v>46261</v>
      </c>
      <c r="U1327">
        <v>0</v>
      </c>
      <c r="V1327">
        <v>4000</v>
      </c>
      <c r="W1327">
        <v>1000</v>
      </c>
      <c r="X1327">
        <v>7000</v>
      </c>
      <c r="Y1327">
        <v>0</v>
      </c>
      <c r="Z1327" s="8">
        <v>7000</v>
      </c>
      <c r="AA1327">
        <v>3000</v>
      </c>
      <c r="AB1327">
        <v>0</v>
      </c>
      <c r="AC1327">
        <v>2.3333333333333335</v>
      </c>
      <c r="AD1327" s="1">
        <v>141</v>
      </c>
      <c r="AE1327" s="2">
        <v>46389</v>
      </c>
      <c r="AF1327" s="2">
        <v>46397</v>
      </c>
      <c r="AG1327" s="2">
        <v>46404</v>
      </c>
      <c r="AH1327">
        <v>2000</v>
      </c>
      <c r="AI1327" s="3">
        <v>0.29556650246305416</v>
      </c>
      <c r="AJ1327" s="1">
        <v>478</v>
      </c>
      <c r="AK1327" s="2">
        <v>46741</v>
      </c>
      <c r="AL1327" s="4">
        <v>30</v>
      </c>
      <c r="AM1327" s="5">
        <v>15</v>
      </c>
      <c r="AN1327" s="4">
        <v>141</v>
      </c>
      <c r="AO1327">
        <v>2068.9655172413791</v>
      </c>
      <c r="AP1327" s="4">
        <v>1</v>
      </c>
      <c r="AQ1327" t="s">
        <v>1619</v>
      </c>
      <c r="AR1327" t="s">
        <v>1620</v>
      </c>
      <c r="AT1327" s="16">
        <f>_xlfn.XLOOKUP(B1327,'SWiSH Demand Forecast Sep-26'!D:D,'SWiSH Demand Forecast Sep-26'!G:G,"Not Exist")</f>
        <v>1279</v>
      </c>
    </row>
    <row r="1328" spans="1:46" x14ac:dyDescent="0.3">
      <c r="A1328">
        <v>106800182</v>
      </c>
      <c r="B1328" t="s">
        <v>3172</v>
      </c>
      <c r="C1328" t="s">
        <v>10</v>
      </c>
      <c r="D1328" t="s">
        <v>1613</v>
      </c>
      <c r="E1328" t="s">
        <v>1775</v>
      </c>
      <c r="F1328" t="s">
        <v>1664</v>
      </c>
      <c r="G1328" t="s">
        <v>1624</v>
      </c>
      <c r="H1328" t="s">
        <v>1665</v>
      </c>
      <c r="I1328" t="s">
        <v>1634</v>
      </c>
      <c r="J1328" t="s">
        <v>10</v>
      </c>
      <c r="K1328">
        <v>2.65E-3</v>
      </c>
      <c r="L1328">
        <v>596.25</v>
      </c>
      <c r="M1328" s="1">
        <v>7</v>
      </c>
      <c r="N1328">
        <v>0</v>
      </c>
      <c r="O1328">
        <v>0</v>
      </c>
      <c r="P1328">
        <v>225000</v>
      </c>
      <c r="Q1328" s="1">
        <v>225000</v>
      </c>
      <c r="R1328">
        <v>2.65E-3</v>
      </c>
      <c r="S1328" s="2">
        <v>46221</v>
      </c>
      <c r="T1328" s="2">
        <v>46261</v>
      </c>
      <c r="U1328">
        <v>47500</v>
      </c>
      <c r="V1328">
        <v>42500</v>
      </c>
      <c r="W1328">
        <v>37500</v>
      </c>
      <c r="X1328">
        <v>45000</v>
      </c>
      <c r="Y1328">
        <v>37500</v>
      </c>
      <c r="Z1328" s="8">
        <v>47500</v>
      </c>
      <c r="AA1328">
        <v>43125</v>
      </c>
      <c r="AB1328">
        <v>0.86956521739130432</v>
      </c>
      <c r="AC1328">
        <v>1.1014492753623188</v>
      </c>
      <c r="AD1328" s="1">
        <v>142</v>
      </c>
      <c r="AE1328" s="2">
        <v>46390</v>
      </c>
      <c r="AF1328" s="2">
        <v>46398</v>
      </c>
      <c r="AG1328" s="2">
        <v>46405</v>
      </c>
      <c r="AH1328">
        <v>32500</v>
      </c>
      <c r="AI1328" s="3">
        <v>0.7078039927404719</v>
      </c>
      <c r="AJ1328" s="1">
        <v>200</v>
      </c>
      <c r="AK1328" s="2">
        <v>46463</v>
      </c>
      <c r="AL1328" s="4">
        <v>30</v>
      </c>
      <c r="AM1328" s="5">
        <v>15</v>
      </c>
      <c r="AN1328" s="4">
        <v>142</v>
      </c>
      <c r="AO1328">
        <v>33620.689655172413</v>
      </c>
      <c r="AP1328" s="4">
        <v>1</v>
      </c>
      <c r="AQ1328" t="s">
        <v>1619</v>
      </c>
      <c r="AR1328" t="s">
        <v>1620</v>
      </c>
      <c r="AT1328" s="16" t="str">
        <f>_xlfn.XLOOKUP(B1328,'SWiSH Demand Forecast Sep-26'!D:D,'SWiSH Demand Forecast Sep-26'!G:G,"Not Exist")</f>
        <v>Not Exist</v>
      </c>
    </row>
    <row r="1329" spans="1:46" hidden="1" x14ac:dyDescent="0.3">
      <c r="A1329">
        <v>106800140</v>
      </c>
      <c r="B1329" t="s">
        <v>119</v>
      </c>
      <c r="C1329" t="s">
        <v>10</v>
      </c>
      <c r="D1329" t="s">
        <v>1613</v>
      </c>
      <c r="E1329" t="s">
        <v>1638</v>
      </c>
      <c r="F1329" t="s">
        <v>1664</v>
      </c>
      <c r="G1329" t="s">
        <v>1624</v>
      </c>
      <c r="H1329" t="s">
        <v>1665</v>
      </c>
      <c r="I1329" t="s">
        <v>1634</v>
      </c>
      <c r="J1329" t="s">
        <v>10</v>
      </c>
      <c r="K1329">
        <v>3.5999999999999999E-3</v>
      </c>
      <c r="L1329">
        <v>68.760000000000005</v>
      </c>
      <c r="M1329" s="1">
        <v>7</v>
      </c>
      <c r="N1329">
        <v>0</v>
      </c>
      <c r="O1329">
        <v>0</v>
      </c>
      <c r="P1329">
        <v>19100</v>
      </c>
      <c r="Q1329" s="1">
        <v>19100</v>
      </c>
      <c r="R1329">
        <v>3.5999999999999999E-3</v>
      </c>
      <c r="S1329" s="2">
        <v>46099</v>
      </c>
      <c r="T1329" s="2">
        <v>46258</v>
      </c>
      <c r="U1329">
        <v>4000</v>
      </c>
      <c r="V1329">
        <v>2000</v>
      </c>
      <c r="W1329">
        <v>3000</v>
      </c>
      <c r="X1329">
        <v>3000</v>
      </c>
      <c r="Y1329">
        <v>2000</v>
      </c>
      <c r="Z1329" s="8">
        <v>4000</v>
      </c>
      <c r="AA1329">
        <v>3000</v>
      </c>
      <c r="AB1329">
        <v>0.66666666666666663</v>
      </c>
      <c r="AC1329">
        <v>1.3333333333333333</v>
      </c>
      <c r="AD1329" s="1">
        <v>143</v>
      </c>
      <c r="AE1329" s="2">
        <v>46391</v>
      </c>
      <c r="AF1329" s="2">
        <v>46399</v>
      </c>
      <c r="AG1329" s="2">
        <v>46406</v>
      </c>
      <c r="AH1329">
        <v>3000</v>
      </c>
      <c r="AI1329" s="3">
        <v>0.77586206896551724</v>
      </c>
      <c r="AJ1329" s="1">
        <v>184</v>
      </c>
      <c r="AK1329" s="2">
        <v>46447</v>
      </c>
      <c r="AL1329" s="4">
        <v>30</v>
      </c>
      <c r="AM1329" s="5">
        <v>15</v>
      </c>
      <c r="AN1329" s="4">
        <v>143</v>
      </c>
      <c r="AO1329">
        <v>3103.4482758620693</v>
      </c>
      <c r="AP1329" s="4">
        <v>1</v>
      </c>
      <c r="AQ1329">
        <v>10000</v>
      </c>
      <c r="AR1329" t="s">
        <v>2215</v>
      </c>
      <c r="AT1329" s="16">
        <f>_xlfn.XLOOKUP(B1329,'SWiSH Demand Forecast Sep-26'!D:D,'SWiSH Demand Forecast Sep-26'!G:G,"Not Exist")</f>
        <v>16353</v>
      </c>
    </row>
    <row r="1330" spans="1:46" hidden="1" x14ac:dyDescent="0.3">
      <c r="A1330">
        <v>105900029</v>
      </c>
      <c r="B1330" t="s">
        <v>200</v>
      </c>
      <c r="C1330" t="s">
        <v>10</v>
      </c>
      <c r="D1330" t="s">
        <v>1613</v>
      </c>
      <c r="E1330" t="s">
        <v>1732</v>
      </c>
      <c r="F1330" t="s">
        <v>1664</v>
      </c>
      <c r="G1330" t="s">
        <v>1616</v>
      </c>
      <c r="H1330" t="s">
        <v>1729</v>
      </c>
      <c r="I1330" t="s">
        <v>1634</v>
      </c>
      <c r="J1330" t="s">
        <v>1733</v>
      </c>
      <c r="K1330">
        <v>4.7608199999999998E-3</v>
      </c>
      <c r="L1330">
        <v>323.73575999999997</v>
      </c>
      <c r="M1330" s="1">
        <v>90</v>
      </c>
      <c r="N1330">
        <v>0</v>
      </c>
      <c r="O1330">
        <v>0</v>
      </c>
      <c r="P1330">
        <v>68000</v>
      </c>
      <c r="Q1330" s="1">
        <v>68000</v>
      </c>
      <c r="R1330">
        <v>5.4799999999999996E-3</v>
      </c>
      <c r="S1330" s="2">
        <v>46214</v>
      </c>
      <c r="T1330" s="2">
        <v>46256</v>
      </c>
      <c r="U1330">
        <v>6000</v>
      </c>
      <c r="V1330">
        <v>14000</v>
      </c>
      <c r="W1330">
        <v>8000</v>
      </c>
      <c r="X1330">
        <v>10000</v>
      </c>
      <c r="Y1330">
        <v>6000</v>
      </c>
      <c r="Z1330" s="8">
        <v>14000</v>
      </c>
      <c r="AA1330">
        <v>9500</v>
      </c>
      <c r="AB1330">
        <v>0.63157894736842102</v>
      </c>
      <c r="AC1330">
        <v>1.4736842105263157</v>
      </c>
      <c r="AD1330" s="1">
        <v>145</v>
      </c>
      <c r="AE1330" s="2">
        <v>46393</v>
      </c>
      <c r="AF1330" s="2">
        <v>46401</v>
      </c>
      <c r="AG1330" s="2">
        <v>46408</v>
      </c>
      <c r="AH1330">
        <v>12000</v>
      </c>
      <c r="AI1330" s="3">
        <v>0.88669950738916248</v>
      </c>
      <c r="AJ1330" s="1">
        <v>164</v>
      </c>
      <c r="AK1330" s="2">
        <v>46427</v>
      </c>
      <c r="AL1330" s="4">
        <v>120</v>
      </c>
      <c r="AM1330" s="5">
        <v>100</v>
      </c>
      <c r="AN1330" s="4">
        <v>145</v>
      </c>
      <c r="AO1330">
        <v>49655.172413793101</v>
      </c>
      <c r="AP1330" s="4">
        <v>1</v>
      </c>
      <c r="AQ1330" t="s">
        <v>1619</v>
      </c>
      <c r="AR1330" t="s">
        <v>1620</v>
      </c>
      <c r="AT1330" s="16">
        <f>_xlfn.XLOOKUP(B1330,'SWiSH Demand Forecast Sep-26'!D:D,'SWiSH Demand Forecast Sep-26'!G:G,"Not Exist")</f>
        <v>8569</v>
      </c>
    </row>
    <row r="1331" spans="1:46" hidden="1" x14ac:dyDescent="0.3">
      <c r="A1331">
        <v>103700119</v>
      </c>
      <c r="B1331" t="s">
        <v>1218</v>
      </c>
      <c r="C1331" t="s">
        <v>136</v>
      </c>
      <c r="D1331" t="s">
        <v>1613</v>
      </c>
      <c r="E1331" t="s">
        <v>1732</v>
      </c>
      <c r="F1331" t="s">
        <v>1615</v>
      </c>
      <c r="G1331" t="s">
        <v>1616</v>
      </c>
      <c r="H1331" t="s">
        <v>1617</v>
      </c>
      <c r="I1331" t="s">
        <v>1618</v>
      </c>
      <c r="J1331" t="s">
        <v>3173</v>
      </c>
      <c r="K1331">
        <v>1.7332431100000001</v>
      </c>
      <c r="L1331">
        <v>904.75290342000005</v>
      </c>
      <c r="M1331" s="1">
        <v>90</v>
      </c>
      <c r="N1331">
        <v>0</v>
      </c>
      <c r="O1331">
        <v>0</v>
      </c>
      <c r="P1331">
        <v>522</v>
      </c>
      <c r="Q1331" s="1">
        <v>522</v>
      </c>
      <c r="R1331">
        <v>30.714110000000002</v>
      </c>
      <c r="S1331" s="2">
        <v>46159</v>
      </c>
      <c r="T1331" s="2">
        <v>46257</v>
      </c>
      <c r="U1331">
        <v>108</v>
      </c>
      <c r="V1331">
        <v>36</v>
      </c>
      <c r="W1331">
        <v>72</v>
      </c>
      <c r="X1331">
        <v>72</v>
      </c>
      <c r="Y1331">
        <v>36</v>
      </c>
      <c r="Z1331" s="8">
        <v>108</v>
      </c>
      <c r="AA1331">
        <v>72</v>
      </c>
      <c r="AB1331">
        <v>0.5</v>
      </c>
      <c r="AC1331">
        <v>1.5</v>
      </c>
      <c r="AD1331" s="1">
        <v>145</v>
      </c>
      <c r="AE1331" s="2">
        <v>46393</v>
      </c>
      <c r="AF1331" s="2">
        <v>46401</v>
      </c>
      <c r="AG1331" s="2">
        <v>46408</v>
      </c>
      <c r="AH1331">
        <v>72</v>
      </c>
      <c r="AI1331" s="3">
        <v>0.68965517241379304</v>
      </c>
      <c r="AJ1331" s="1">
        <v>210</v>
      </c>
      <c r="AK1331" s="2">
        <v>46473</v>
      </c>
      <c r="AL1331" s="4">
        <v>120</v>
      </c>
      <c r="AM1331" s="5">
        <v>100</v>
      </c>
      <c r="AN1331" s="4">
        <v>145</v>
      </c>
      <c r="AO1331">
        <v>297.93103448275861</v>
      </c>
      <c r="AP1331" s="4">
        <v>1</v>
      </c>
      <c r="AQ1331" t="s">
        <v>1619</v>
      </c>
      <c r="AR1331" t="s">
        <v>1620</v>
      </c>
      <c r="AT1331" s="16">
        <f>_xlfn.XLOOKUP(B1331,'SWiSH Demand Forecast Sep-26'!D:D,'SWiSH Demand Forecast Sep-26'!G:G,"Not Exist")</f>
        <v>51.131712024728003</v>
      </c>
    </row>
    <row r="1332" spans="1:46" x14ac:dyDescent="0.3">
      <c r="A1332">
        <v>103200009</v>
      </c>
      <c r="B1332" t="s">
        <v>3174</v>
      </c>
      <c r="C1332" t="s">
        <v>136</v>
      </c>
      <c r="D1332" t="s">
        <v>1613</v>
      </c>
      <c r="E1332" t="s">
        <v>1622</v>
      </c>
      <c r="F1332" t="s">
        <v>1752</v>
      </c>
      <c r="G1332" t="s">
        <v>1616</v>
      </c>
      <c r="H1332" t="s">
        <v>1753</v>
      </c>
      <c r="I1332" t="s">
        <v>1754</v>
      </c>
      <c r="J1332" t="s">
        <v>136</v>
      </c>
      <c r="K1332">
        <v>3.3</v>
      </c>
      <c r="L1332">
        <v>165</v>
      </c>
      <c r="M1332" s="1">
        <v>3</v>
      </c>
      <c r="N1332">
        <v>0</v>
      </c>
      <c r="O1332">
        <v>0</v>
      </c>
      <c r="P1332">
        <v>50</v>
      </c>
      <c r="Q1332" s="1">
        <v>50</v>
      </c>
      <c r="R1332">
        <v>33</v>
      </c>
      <c r="S1332" s="2">
        <v>46251</v>
      </c>
      <c r="T1332" s="2">
        <v>46251</v>
      </c>
      <c r="U1332">
        <v>0</v>
      </c>
      <c r="V1332">
        <v>0</v>
      </c>
      <c r="W1332">
        <v>0</v>
      </c>
      <c r="X1332">
        <v>10</v>
      </c>
      <c r="Y1332">
        <v>0</v>
      </c>
      <c r="Z1332" s="8">
        <v>10</v>
      </c>
      <c r="AA1332">
        <v>2.5</v>
      </c>
      <c r="AB1332">
        <v>0</v>
      </c>
      <c r="AC1332">
        <v>4</v>
      </c>
      <c r="AD1332" s="1">
        <v>150</v>
      </c>
      <c r="AE1332" s="2">
        <v>46398</v>
      </c>
      <c r="AF1332" s="2">
        <v>46406</v>
      </c>
      <c r="AG1332" s="2">
        <v>46413</v>
      </c>
      <c r="AH1332">
        <v>10</v>
      </c>
      <c r="AI1332" s="3">
        <v>1.0344827586206897</v>
      </c>
      <c r="AJ1332" s="1">
        <v>145</v>
      </c>
      <c r="AK1332" s="2">
        <v>46408</v>
      </c>
      <c r="AL1332" s="4">
        <v>30</v>
      </c>
      <c r="AM1332" s="5">
        <v>15</v>
      </c>
      <c r="AN1332" s="4">
        <v>145</v>
      </c>
      <c r="AO1332">
        <v>10.344827586206897</v>
      </c>
      <c r="AP1332" s="4">
        <v>1</v>
      </c>
      <c r="AQ1332" t="s">
        <v>1619</v>
      </c>
      <c r="AR1332" t="s">
        <v>1620</v>
      </c>
      <c r="AT1332" s="16" t="str">
        <f>_xlfn.XLOOKUP(B1332,'SWiSH Demand Forecast Sep-26'!D:D,'SWiSH Demand Forecast Sep-26'!G:G,"Not Exist")</f>
        <v>Not Exist</v>
      </c>
    </row>
    <row r="1333" spans="1:46" x14ac:dyDescent="0.3">
      <c r="A1333">
        <v>106200134</v>
      </c>
      <c r="B1333" t="s">
        <v>3175</v>
      </c>
      <c r="C1333" t="s">
        <v>240</v>
      </c>
      <c r="D1333" t="s">
        <v>1629</v>
      </c>
      <c r="E1333" t="s">
        <v>1832</v>
      </c>
      <c r="F1333" t="s">
        <v>1671</v>
      </c>
      <c r="G1333" t="s">
        <v>1704</v>
      </c>
      <c r="H1333" t="s">
        <v>1672</v>
      </c>
      <c r="I1333" t="s">
        <v>1618</v>
      </c>
      <c r="J1333" t="s">
        <v>240</v>
      </c>
      <c r="K1333">
        <v>1.9923371599999999</v>
      </c>
      <c r="L1333">
        <v>8.9655172199999988</v>
      </c>
      <c r="M1333" s="1">
        <v>3</v>
      </c>
      <c r="N1333">
        <v>0</v>
      </c>
      <c r="O1333">
        <v>0</v>
      </c>
      <c r="P1333">
        <v>4.5</v>
      </c>
      <c r="Q1333" s="1">
        <v>4.5</v>
      </c>
      <c r="R1333">
        <v>10.4</v>
      </c>
      <c r="S1333" s="2">
        <v>46005</v>
      </c>
      <c r="T1333" s="2">
        <v>46128</v>
      </c>
      <c r="U1333">
        <v>0.9</v>
      </c>
      <c r="V1333">
        <v>0</v>
      </c>
      <c r="W1333">
        <v>0</v>
      </c>
      <c r="X1333">
        <v>0</v>
      </c>
      <c r="Y1333">
        <v>0</v>
      </c>
      <c r="Z1333" s="8">
        <v>0.9</v>
      </c>
      <c r="AA1333">
        <v>0.22500000000000001</v>
      </c>
      <c r="AB1333">
        <v>0</v>
      </c>
      <c r="AC1333">
        <v>4</v>
      </c>
      <c r="AD1333" s="1">
        <v>150</v>
      </c>
      <c r="AE1333" s="2">
        <v>46398</v>
      </c>
      <c r="AF1333" s="2">
        <v>46406</v>
      </c>
      <c r="AG1333" s="2">
        <v>46413</v>
      </c>
      <c r="AH1333">
        <v>0</v>
      </c>
      <c r="AI1333" s="3">
        <v>0</v>
      </c>
      <c r="AJ1333" s="1" t="s">
        <v>1635</v>
      </c>
      <c r="AK1333" s="2" t="s">
        <v>1635</v>
      </c>
      <c r="AL1333" s="4" t="s">
        <v>1636</v>
      </c>
      <c r="AM1333" s="5" t="s">
        <v>1636</v>
      </c>
      <c r="AN1333" s="4">
        <v>150</v>
      </c>
      <c r="AO1333" t="s">
        <v>1635</v>
      </c>
      <c r="AP1333" s="4" t="s">
        <v>1636</v>
      </c>
      <c r="AQ1333" t="s">
        <v>1619</v>
      </c>
      <c r="AR1333" t="s">
        <v>1620</v>
      </c>
      <c r="AT1333" s="16" t="str">
        <f>_xlfn.XLOOKUP(B1333,'SWiSH Demand Forecast Sep-26'!D:D,'SWiSH Demand Forecast Sep-26'!G:G,"Not Exist")</f>
        <v>Not Exist</v>
      </c>
    </row>
    <row r="1334" spans="1:46" x14ac:dyDescent="0.3">
      <c r="A1334">
        <v>101400040</v>
      </c>
      <c r="B1334" t="s">
        <v>3176</v>
      </c>
      <c r="C1334" t="s">
        <v>136</v>
      </c>
      <c r="D1334" t="s">
        <v>1613</v>
      </c>
      <c r="E1334" t="s">
        <v>1796</v>
      </c>
      <c r="F1334" t="s">
        <v>1644</v>
      </c>
      <c r="G1334" t="s">
        <v>1624</v>
      </c>
      <c r="H1334" t="s">
        <v>1693</v>
      </c>
      <c r="I1334" t="s">
        <v>1634</v>
      </c>
      <c r="J1334" t="s">
        <v>2254</v>
      </c>
      <c r="K1334">
        <v>0.95650000000000002</v>
      </c>
      <c r="L1334">
        <v>47.825000000000003</v>
      </c>
      <c r="M1334" s="1">
        <v>3</v>
      </c>
      <c r="N1334">
        <v>0</v>
      </c>
      <c r="O1334">
        <v>0</v>
      </c>
      <c r="P1334">
        <v>50</v>
      </c>
      <c r="Q1334" s="1">
        <v>50</v>
      </c>
      <c r="R1334">
        <v>19.13</v>
      </c>
      <c r="S1334" s="2">
        <v>45921</v>
      </c>
      <c r="T1334" s="2">
        <v>46222</v>
      </c>
      <c r="U1334">
        <v>0</v>
      </c>
      <c r="V1334">
        <v>0</v>
      </c>
      <c r="W1334">
        <v>0</v>
      </c>
      <c r="X1334">
        <v>10</v>
      </c>
      <c r="Y1334">
        <v>0</v>
      </c>
      <c r="Z1334" s="8">
        <v>10</v>
      </c>
      <c r="AA1334">
        <v>2.5</v>
      </c>
      <c r="AB1334">
        <v>0</v>
      </c>
      <c r="AC1334">
        <v>4</v>
      </c>
      <c r="AD1334" s="1">
        <v>150</v>
      </c>
      <c r="AE1334" s="2">
        <v>46398</v>
      </c>
      <c r="AF1334" s="2">
        <v>46406</v>
      </c>
      <c r="AG1334" s="2">
        <v>46413</v>
      </c>
      <c r="AH1334">
        <v>0</v>
      </c>
      <c r="AI1334" s="3">
        <v>0</v>
      </c>
      <c r="AJ1334" s="1" t="s">
        <v>1635</v>
      </c>
      <c r="AK1334" s="2" t="s">
        <v>1635</v>
      </c>
      <c r="AL1334" s="4">
        <v>30</v>
      </c>
      <c r="AM1334" s="5">
        <v>15</v>
      </c>
      <c r="AN1334" s="4">
        <v>150</v>
      </c>
      <c r="AO1334">
        <v>0</v>
      </c>
      <c r="AP1334" s="4">
        <v>1</v>
      </c>
      <c r="AQ1334" t="s">
        <v>1619</v>
      </c>
      <c r="AR1334" t="s">
        <v>1620</v>
      </c>
      <c r="AT1334" s="16" t="str">
        <f>_xlfn.XLOOKUP(B1334,'SWiSH Demand Forecast Sep-26'!D:D,'SWiSH Demand Forecast Sep-26'!G:G,"Not Exist")</f>
        <v>Not Exist</v>
      </c>
    </row>
    <row r="1335" spans="1:46" x14ac:dyDescent="0.3">
      <c r="A1335">
        <v>106800166</v>
      </c>
      <c r="B1335" t="s">
        <v>3177</v>
      </c>
      <c r="C1335" t="s">
        <v>10</v>
      </c>
      <c r="D1335" t="s">
        <v>1613</v>
      </c>
      <c r="E1335" t="s">
        <v>2075</v>
      </c>
      <c r="F1335" t="s">
        <v>1664</v>
      </c>
      <c r="G1335" t="s">
        <v>1624</v>
      </c>
      <c r="H1335" t="s">
        <v>1665</v>
      </c>
      <c r="I1335" t="s">
        <v>1634</v>
      </c>
      <c r="J1335" t="s">
        <v>10</v>
      </c>
      <c r="K1335">
        <v>7.0000000000000007E-2</v>
      </c>
      <c r="L1335">
        <v>175.00000000000003</v>
      </c>
      <c r="M1335" s="1">
        <v>7</v>
      </c>
      <c r="N1335">
        <v>0</v>
      </c>
      <c r="O1335">
        <v>0</v>
      </c>
      <c r="P1335">
        <v>2500</v>
      </c>
      <c r="Q1335" s="1">
        <v>2500</v>
      </c>
      <c r="R1335">
        <v>7.0000000000000007E-2</v>
      </c>
      <c r="S1335" s="2">
        <v>46226</v>
      </c>
      <c r="T1335" s="2">
        <v>46163</v>
      </c>
      <c r="U1335">
        <v>500</v>
      </c>
      <c r="V1335">
        <v>500</v>
      </c>
      <c r="W1335">
        <v>0</v>
      </c>
      <c r="X1335">
        <v>0</v>
      </c>
      <c r="Y1335">
        <v>0</v>
      </c>
      <c r="Z1335" s="8">
        <v>500</v>
      </c>
      <c r="AA1335">
        <v>250</v>
      </c>
      <c r="AB1335">
        <v>0</v>
      </c>
      <c r="AC1335">
        <v>2</v>
      </c>
      <c r="AD1335" s="1">
        <v>150</v>
      </c>
      <c r="AE1335" s="2">
        <v>46398</v>
      </c>
      <c r="AF1335" s="2">
        <v>46406</v>
      </c>
      <c r="AG1335" s="2">
        <v>46413</v>
      </c>
      <c r="AH1335">
        <v>0</v>
      </c>
      <c r="AI1335" s="3">
        <v>0</v>
      </c>
      <c r="AJ1335" s="1" t="s">
        <v>1635</v>
      </c>
      <c r="AK1335" s="2" t="s">
        <v>1635</v>
      </c>
      <c r="AL1335" s="4">
        <v>30</v>
      </c>
      <c r="AM1335" s="5">
        <v>15</v>
      </c>
      <c r="AN1335" s="4">
        <v>150</v>
      </c>
      <c r="AO1335">
        <v>0</v>
      </c>
      <c r="AP1335" s="4">
        <v>1</v>
      </c>
      <c r="AQ1335" t="s">
        <v>1619</v>
      </c>
      <c r="AR1335" t="s">
        <v>1620</v>
      </c>
      <c r="AT1335" s="16" t="str">
        <f>_xlfn.XLOOKUP(B1335,'SWiSH Demand Forecast Sep-26'!D:D,'SWiSH Demand Forecast Sep-26'!G:G,"Not Exist")</f>
        <v>Not Exist</v>
      </c>
    </row>
    <row r="1336" spans="1:46" x14ac:dyDescent="0.3">
      <c r="A1336">
        <v>100400221</v>
      </c>
      <c r="B1336" t="s">
        <v>3178</v>
      </c>
      <c r="C1336" t="s">
        <v>10</v>
      </c>
      <c r="D1336" t="s">
        <v>1675</v>
      </c>
      <c r="E1336" t="s">
        <v>1638</v>
      </c>
      <c r="F1336" t="s">
        <v>1664</v>
      </c>
      <c r="G1336" t="s">
        <v>1704</v>
      </c>
      <c r="H1336" t="s">
        <v>1810</v>
      </c>
      <c r="I1336" t="s">
        <v>1634</v>
      </c>
      <c r="J1336" t="s">
        <v>10</v>
      </c>
      <c r="K1336">
        <v>2.5117750000000001E-2</v>
      </c>
      <c r="L1336">
        <v>25.117750000000001</v>
      </c>
      <c r="M1336" s="1">
        <v>30</v>
      </c>
      <c r="N1336">
        <v>0</v>
      </c>
      <c r="O1336">
        <v>0</v>
      </c>
      <c r="P1336">
        <v>1000</v>
      </c>
      <c r="Q1336" s="1">
        <v>1000</v>
      </c>
      <c r="R1336">
        <v>2.8000000000000001E-2</v>
      </c>
      <c r="S1336" s="2">
        <v>45903</v>
      </c>
      <c r="T1336" s="2">
        <v>46221</v>
      </c>
      <c r="U1336">
        <v>200</v>
      </c>
      <c r="V1336">
        <v>0</v>
      </c>
      <c r="W1336">
        <v>0</v>
      </c>
      <c r="X1336">
        <v>0</v>
      </c>
      <c r="Y1336">
        <v>0</v>
      </c>
      <c r="Z1336" s="8">
        <v>200</v>
      </c>
      <c r="AA1336">
        <v>50</v>
      </c>
      <c r="AB1336">
        <v>0</v>
      </c>
      <c r="AC1336">
        <v>4</v>
      </c>
      <c r="AD1336" s="1">
        <v>150</v>
      </c>
      <c r="AE1336" s="2">
        <v>46398</v>
      </c>
      <c r="AF1336" s="2">
        <v>46406</v>
      </c>
      <c r="AG1336" s="2">
        <v>46413</v>
      </c>
      <c r="AH1336">
        <v>0</v>
      </c>
      <c r="AI1336" s="3">
        <v>0</v>
      </c>
      <c r="AJ1336" s="1" t="s">
        <v>1635</v>
      </c>
      <c r="AK1336" s="2" t="s">
        <v>1635</v>
      </c>
      <c r="AL1336" s="4" t="s">
        <v>1658</v>
      </c>
      <c r="AM1336" s="5" t="s">
        <v>1658</v>
      </c>
      <c r="AN1336" s="4">
        <v>150</v>
      </c>
      <c r="AO1336" t="s">
        <v>1635</v>
      </c>
      <c r="AP1336" s="4" t="s">
        <v>1658</v>
      </c>
      <c r="AQ1336" t="s">
        <v>1619</v>
      </c>
      <c r="AR1336" t="s">
        <v>1620</v>
      </c>
      <c r="AT1336" s="16" t="str">
        <f>_xlfn.XLOOKUP(B1336,'SWiSH Demand Forecast Sep-26'!D:D,'SWiSH Demand Forecast Sep-26'!G:G,"Not Exist")</f>
        <v>Not Exist</v>
      </c>
    </row>
    <row r="1337" spans="1:46" hidden="1" x14ac:dyDescent="0.3">
      <c r="A1337">
        <v>106800249</v>
      </c>
      <c r="B1337" t="s">
        <v>392</v>
      </c>
      <c r="C1337" t="s">
        <v>10</v>
      </c>
      <c r="D1337" t="s">
        <v>1613</v>
      </c>
      <c r="E1337" t="s">
        <v>1663</v>
      </c>
      <c r="F1337" t="s">
        <v>1664</v>
      </c>
      <c r="G1337" t="s">
        <v>1624</v>
      </c>
      <c r="H1337" t="s">
        <v>1665</v>
      </c>
      <c r="I1337" t="s">
        <v>1634</v>
      </c>
      <c r="J1337" t="s">
        <v>10</v>
      </c>
      <c r="K1337">
        <v>3.0000000000000001E-3</v>
      </c>
      <c r="L1337">
        <v>75</v>
      </c>
      <c r="M1337" s="1">
        <v>15</v>
      </c>
      <c r="N1337">
        <v>0</v>
      </c>
      <c r="O1337">
        <v>0</v>
      </c>
      <c r="P1337">
        <v>25000</v>
      </c>
      <c r="Q1337" s="1">
        <v>25000</v>
      </c>
      <c r="R1337">
        <v>3.0000000000000001E-3</v>
      </c>
      <c r="S1337" s="2">
        <v>46244</v>
      </c>
      <c r="T1337" s="2">
        <v>46211</v>
      </c>
      <c r="U1337">
        <v>5000</v>
      </c>
      <c r="V1337">
        <v>2500</v>
      </c>
      <c r="W1337">
        <v>3500</v>
      </c>
      <c r="X1337">
        <v>5000</v>
      </c>
      <c r="Y1337">
        <v>2500</v>
      </c>
      <c r="Z1337" s="8">
        <v>5000</v>
      </c>
      <c r="AA1337">
        <v>4000</v>
      </c>
      <c r="AB1337">
        <v>0.625</v>
      </c>
      <c r="AC1337">
        <v>1.25</v>
      </c>
      <c r="AD1337" s="1">
        <v>150</v>
      </c>
      <c r="AE1337" s="2">
        <v>46398</v>
      </c>
      <c r="AF1337" s="2">
        <v>46406</v>
      </c>
      <c r="AG1337" s="2">
        <v>46413</v>
      </c>
      <c r="AH1337">
        <v>0</v>
      </c>
      <c r="AI1337" s="3">
        <v>0</v>
      </c>
      <c r="AJ1337" s="1" t="s">
        <v>1635</v>
      </c>
      <c r="AK1337" s="2" t="s">
        <v>1635</v>
      </c>
      <c r="AL1337" s="4">
        <v>30</v>
      </c>
      <c r="AM1337" s="5">
        <v>15</v>
      </c>
      <c r="AN1337" s="4">
        <v>150</v>
      </c>
      <c r="AO1337">
        <v>0</v>
      </c>
      <c r="AP1337" s="4">
        <v>1</v>
      </c>
      <c r="AQ1337" t="s">
        <v>1619</v>
      </c>
      <c r="AR1337" t="s">
        <v>1620</v>
      </c>
      <c r="AT1337" s="16">
        <f>_xlfn.XLOOKUP(B1337,'SWiSH Demand Forecast Sep-26'!D:D,'SWiSH Demand Forecast Sep-26'!G:G,"Not Exist")</f>
        <v>2780</v>
      </c>
    </row>
    <row r="1338" spans="1:46" hidden="1" x14ac:dyDescent="0.3">
      <c r="A1338">
        <v>106600127</v>
      </c>
      <c r="B1338" t="s">
        <v>692</v>
      </c>
      <c r="C1338" t="s">
        <v>10</v>
      </c>
      <c r="D1338" t="s">
        <v>1613</v>
      </c>
      <c r="E1338" t="s">
        <v>2587</v>
      </c>
      <c r="F1338" t="s">
        <v>1664</v>
      </c>
      <c r="G1338" t="s">
        <v>1624</v>
      </c>
      <c r="H1338" t="s">
        <v>1723</v>
      </c>
      <c r="I1338" t="s">
        <v>1634</v>
      </c>
      <c r="J1338" t="s">
        <v>10</v>
      </c>
      <c r="K1338">
        <v>4.0000000000000001E-3</v>
      </c>
      <c r="L1338">
        <v>100</v>
      </c>
      <c r="M1338" s="1">
        <v>15</v>
      </c>
      <c r="N1338">
        <v>0</v>
      </c>
      <c r="O1338">
        <v>0</v>
      </c>
      <c r="P1338">
        <v>25000</v>
      </c>
      <c r="Q1338" s="1">
        <v>25000</v>
      </c>
      <c r="R1338">
        <v>7.0000000000000001E-3</v>
      </c>
      <c r="S1338" s="2">
        <v>46239</v>
      </c>
      <c r="T1338" s="2">
        <v>46121</v>
      </c>
      <c r="U1338">
        <v>5000</v>
      </c>
      <c r="V1338">
        <v>0</v>
      </c>
      <c r="W1338">
        <v>0</v>
      </c>
      <c r="X1338">
        <v>0</v>
      </c>
      <c r="Y1338">
        <v>0</v>
      </c>
      <c r="Z1338" s="8">
        <v>5000</v>
      </c>
      <c r="AA1338">
        <v>1250</v>
      </c>
      <c r="AB1338">
        <v>0</v>
      </c>
      <c r="AC1338">
        <v>4</v>
      </c>
      <c r="AD1338" s="1">
        <v>150</v>
      </c>
      <c r="AE1338" s="2">
        <v>46398</v>
      </c>
      <c r="AF1338" s="2">
        <v>46406</v>
      </c>
      <c r="AG1338" s="2">
        <v>46413</v>
      </c>
      <c r="AH1338">
        <v>0</v>
      </c>
      <c r="AI1338" s="3">
        <v>0</v>
      </c>
      <c r="AJ1338" s="1" t="s">
        <v>1635</v>
      </c>
      <c r="AK1338" s="2" t="s">
        <v>1635</v>
      </c>
      <c r="AL1338" s="4">
        <v>30</v>
      </c>
      <c r="AM1338" s="5">
        <v>15</v>
      </c>
      <c r="AN1338" s="4">
        <v>150</v>
      </c>
      <c r="AO1338">
        <v>0</v>
      </c>
      <c r="AP1338" s="4">
        <v>1</v>
      </c>
      <c r="AQ1338">
        <v>25000</v>
      </c>
      <c r="AR1338" t="s">
        <v>2032</v>
      </c>
      <c r="AT1338" s="16">
        <f>_xlfn.XLOOKUP(B1338,'SWiSH Demand Forecast Sep-26'!D:D,'SWiSH Demand Forecast Sep-26'!G:G,"Not Exist")</f>
        <v>631</v>
      </c>
    </row>
    <row r="1339" spans="1:46" hidden="1" x14ac:dyDescent="0.3">
      <c r="A1339">
        <v>106600124</v>
      </c>
      <c r="B1339" t="s">
        <v>966</v>
      </c>
      <c r="C1339" t="s">
        <v>10</v>
      </c>
      <c r="D1339" t="s">
        <v>1613</v>
      </c>
      <c r="E1339" t="s">
        <v>1775</v>
      </c>
      <c r="F1339" t="s">
        <v>1664</v>
      </c>
      <c r="G1339" t="s">
        <v>1624</v>
      </c>
      <c r="H1339" t="s">
        <v>1723</v>
      </c>
      <c r="I1339" t="s">
        <v>1634</v>
      </c>
      <c r="J1339" t="s">
        <v>10</v>
      </c>
      <c r="K1339">
        <v>3.3329999999999999E-2</v>
      </c>
      <c r="L1339">
        <v>83.325000000000003</v>
      </c>
      <c r="M1339" s="1">
        <v>15</v>
      </c>
      <c r="N1339">
        <v>0</v>
      </c>
      <c r="O1339">
        <v>0</v>
      </c>
      <c r="P1339">
        <v>2500</v>
      </c>
      <c r="Q1339" s="1">
        <v>2500</v>
      </c>
      <c r="R1339">
        <v>3.3329999999999999E-2</v>
      </c>
      <c r="S1339" s="2">
        <v>45869</v>
      </c>
      <c r="T1339" s="2">
        <v>46226</v>
      </c>
      <c r="U1339">
        <v>250</v>
      </c>
      <c r="V1339">
        <v>0</v>
      </c>
      <c r="W1339">
        <v>0</v>
      </c>
      <c r="X1339">
        <v>500</v>
      </c>
      <c r="Y1339">
        <v>0</v>
      </c>
      <c r="Z1339" s="8">
        <v>500</v>
      </c>
      <c r="AA1339">
        <v>187.5</v>
      </c>
      <c r="AB1339">
        <v>0</v>
      </c>
      <c r="AC1339">
        <v>2.6666666666666665</v>
      </c>
      <c r="AD1339" s="1">
        <v>150</v>
      </c>
      <c r="AE1339" s="2">
        <v>46398</v>
      </c>
      <c r="AF1339" s="2">
        <v>46406</v>
      </c>
      <c r="AG1339" s="2">
        <v>46413</v>
      </c>
      <c r="AH1339">
        <v>0</v>
      </c>
      <c r="AI1339" s="3">
        <v>0</v>
      </c>
      <c r="AJ1339" s="1" t="s">
        <v>1635</v>
      </c>
      <c r="AK1339" s="2" t="s">
        <v>1635</v>
      </c>
      <c r="AL1339" s="4">
        <v>30</v>
      </c>
      <c r="AM1339" s="5">
        <v>15</v>
      </c>
      <c r="AN1339" s="4">
        <v>150</v>
      </c>
      <c r="AO1339">
        <v>0</v>
      </c>
      <c r="AP1339" s="4">
        <v>1</v>
      </c>
      <c r="AQ1339" t="s">
        <v>1619</v>
      </c>
      <c r="AR1339" t="s">
        <v>1620</v>
      </c>
      <c r="AT1339" s="16">
        <f>_xlfn.XLOOKUP(B1339,'SWiSH Demand Forecast Sep-26'!D:D,'SWiSH Demand Forecast Sep-26'!G:G,"Not Exist")</f>
        <v>180</v>
      </c>
    </row>
    <row r="1340" spans="1:46" x14ac:dyDescent="0.3">
      <c r="A1340">
        <v>105600069</v>
      </c>
      <c r="B1340" t="s">
        <v>3179</v>
      </c>
      <c r="C1340" t="s">
        <v>136</v>
      </c>
      <c r="D1340" t="s">
        <v>1613</v>
      </c>
      <c r="E1340" t="s">
        <v>1638</v>
      </c>
      <c r="F1340" t="s">
        <v>1664</v>
      </c>
      <c r="G1340" t="s">
        <v>1624</v>
      </c>
      <c r="H1340" t="s">
        <v>1679</v>
      </c>
      <c r="I1340" t="s">
        <v>1634</v>
      </c>
      <c r="J1340" t="s">
        <v>136</v>
      </c>
      <c r="K1340">
        <v>0.57999999999999996</v>
      </c>
      <c r="L1340">
        <v>188.5</v>
      </c>
      <c r="M1340" s="1">
        <v>30</v>
      </c>
      <c r="N1340">
        <v>0</v>
      </c>
      <c r="O1340">
        <v>0</v>
      </c>
      <c r="P1340">
        <v>325</v>
      </c>
      <c r="Q1340" s="1">
        <v>325</v>
      </c>
      <c r="R1340">
        <v>0.57999999999999996</v>
      </c>
      <c r="S1340" s="2">
        <v>46167</v>
      </c>
      <c r="T1340" s="2">
        <v>46249</v>
      </c>
      <c r="U1340">
        <v>0</v>
      </c>
      <c r="V1340">
        <v>65</v>
      </c>
      <c r="W1340">
        <v>30</v>
      </c>
      <c r="X1340">
        <v>48.3</v>
      </c>
      <c r="Y1340">
        <v>0</v>
      </c>
      <c r="Z1340" s="8">
        <v>65</v>
      </c>
      <c r="AA1340">
        <v>35.825000000000003</v>
      </c>
      <c r="AB1340">
        <v>0</v>
      </c>
      <c r="AC1340">
        <v>1.8143754361479412</v>
      </c>
      <c r="AD1340" s="1">
        <v>150</v>
      </c>
      <c r="AE1340" s="2">
        <v>46398</v>
      </c>
      <c r="AF1340" s="2">
        <v>46406</v>
      </c>
      <c r="AG1340" s="2">
        <v>46413</v>
      </c>
      <c r="AH1340">
        <v>40</v>
      </c>
      <c r="AI1340" s="3">
        <v>0.63660477453580899</v>
      </c>
      <c r="AJ1340" s="1">
        <v>235</v>
      </c>
      <c r="AK1340" s="2">
        <v>46498</v>
      </c>
      <c r="AL1340" s="4">
        <v>30</v>
      </c>
      <c r="AM1340" s="5">
        <v>15</v>
      </c>
      <c r="AN1340" s="4">
        <v>150</v>
      </c>
      <c r="AO1340">
        <v>41.379310344827587</v>
      </c>
      <c r="AP1340" s="4">
        <v>1</v>
      </c>
      <c r="AQ1340" t="s">
        <v>1619</v>
      </c>
      <c r="AR1340" t="s">
        <v>1620</v>
      </c>
      <c r="AT1340" s="16" t="str">
        <f>_xlfn.XLOOKUP(B1340,'SWiSH Demand Forecast Sep-26'!D:D,'SWiSH Demand Forecast Sep-26'!G:G,"Not Exist")</f>
        <v>Not Exist</v>
      </c>
    </row>
    <row r="1341" spans="1:46" x14ac:dyDescent="0.3">
      <c r="A1341">
        <v>106800276</v>
      </c>
      <c r="B1341" t="s">
        <v>3180</v>
      </c>
      <c r="C1341" t="s">
        <v>10</v>
      </c>
      <c r="D1341" t="s">
        <v>1613</v>
      </c>
      <c r="E1341" t="s">
        <v>1638</v>
      </c>
      <c r="F1341" t="s">
        <v>1664</v>
      </c>
      <c r="G1341" t="s">
        <v>1624</v>
      </c>
      <c r="H1341" t="s">
        <v>1665</v>
      </c>
      <c r="I1341" t="s">
        <v>1634</v>
      </c>
      <c r="J1341" t="s">
        <v>10</v>
      </c>
      <c r="K1341">
        <v>7.0000000000000001E-3</v>
      </c>
      <c r="L1341">
        <v>175</v>
      </c>
      <c r="M1341" s="1">
        <v>7</v>
      </c>
      <c r="N1341">
        <v>0</v>
      </c>
      <c r="O1341">
        <v>0</v>
      </c>
      <c r="P1341">
        <v>25000</v>
      </c>
      <c r="Q1341" s="1">
        <v>25000</v>
      </c>
      <c r="R1341">
        <v>7.0000000000000001E-3</v>
      </c>
      <c r="S1341" s="2">
        <v>46243</v>
      </c>
      <c r="T1341" s="2">
        <v>46249</v>
      </c>
      <c r="U1341">
        <v>5000</v>
      </c>
      <c r="V1341">
        <v>3500</v>
      </c>
      <c r="W1341">
        <v>2500</v>
      </c>
      <c r="X1341">
        <v>2500</v>
      </c>
      <c r="Y1341">
        <v>2500</v>
      </c>
      <c r="Z1341" s="8">
        <v>5000</v>
      </c>
      <c r="AA1341">
        <v>3375</v>
      </c>
      <c r="AB1341">
        <v>0.7407407407407407</v>
      </c>
      <c r="AC1341">
        <v>1.4814814814814814</v>
      </c>
      <c r="AD1341" s="1">
        <v>150</v>
      </c>
      <c r="AE1341" s="2">
        <v>46398</v>
      </c>
      <c r="AF1341" s="2">
        <v>46406</v>
      </c>
      <c r="AG1341" s="2">
        <v>46413</v>
      </c>
      <c r="AH1341">
        <v>5000</v>
      </c>
      <c r="AI1341" s="3">
        <v>1.0344827586206897</v>
      </c>
      <c r="AJ1341" s="1">
        <v>145</v>
      </c>
      <c r="AK1341" s="2">
        <v>46408</v>
      </c>
      <c r="AL1341" s="4">
        <v>30</v>
      </c>
      <c r="AM1341" s="5">
        <v>15</v>
      </c>
      <c r="AN1341" s="4">
        <v>145</v>
      </c>
      <c r="AO1341">
        <v>5172.4137931034484</v>
      </c>
      <c r="AP1341" s="4">
        <v>1</v>
      </c>
      <c r="AQ1341">
        <v>35000</v>
      </c>
      <c r="AR1341" t="s">
        <v>2215</v>
      </c>
      <c r="AT1341" s="16" t="str">
        <f>_xlfn.XLOOKUP(B1341,'SWiSH Demand Forecast Sep-26'!D:D,'SWiSH Demand Forecast Sep-26'!G:G,"Not Exist")</f>
        <v>Not Exist</v>
      </c>
    </row>
    <row r="1342" spans="1:46" x14ac:dyDescent="0.3">
      <c r="A1342">
        <v>106800143</v>
      </c>
      <c r="B1342" t="s">
        <v>3181</v>
      </c>
      <c r="C1342" t="s">
        <v>10</v>
      </c>
      <c r="D1342" t="s">
        <v>1613</v>
      </c>
      <c r="E1342" t="s">
        <v>1638</v>
      </c>
      <c r="F1342" t="s">
        <v>1664</v>
      </c>
      <c r="G1342" t="s">
        <v>1624</v>
      </c>
      <c r="H1342" t="s">
        <v>1665</v>
      </c>
      <c r="I1342" t="s">
        <v>1634</v>
      </c>
      <c r="J1342" t="s">
        <v>10</v>
      </c>
      <c r="K1342">
        <v>2.3999999999999998E-3</v>
      </c>
      <c r="L1342">
        <v>59.999999999999993</v>
      </c>
      <c r="M1342" s="1">
        <v>7</v>
      </c>
      <c r="N1342">
        <v>0</v>
      </c>
      <c r="O1342">
        <v>0</v>
      </c>
      <c r="P1342">
        <v>25000</v>
      </c>
      <c r="Q1342" s="1">
        <v>25000</v>
      </c>
      <c r="R1342">
        <v>2.3999999999999998E-3</v>
      </c>
      <c r="S1342" s="2">
        <v>46099</v>
      </c>
      <c r="T1342" s="2">
        <v>46256</v>
      </c>
      <c r="U1342">
        <v>5000</v>
      </c>
      <c r="V1342">
        <v>5000</v>
      </c>
      <c r="W1342">
        <v>5000</v>
      </c>
      <c r="X1342">
        <v>0</v>
      </c>
      <c r="Y1342">
        <v>0</v>
      </c>
      <c r="Z1342" s="8">
        <v>5000</v>
      </c>
      <c r="AA1342">
        <v>3750</v>
      </c>
      <c r="AB1342">
        <v>0</v>
      </c>
      <c r="AC1342">
        <v>1.3333333333333333</v>
      </c>
      <c r="AD1342" s="1">
        <v>150</v>
      </c>
      <c r="AE1342" s="2">
        <v>46398</v>
      </c>
      <c r="AF1342" s="2">
        <v>46406</v>
      </c>
      <c r="AG1342" s="2">
        <v>46413</v>
      </c>
      <c r="AH1342">
        <v>5000</v>
      </c>
      <c r="AI1342" s="3">
        <v>1.0344827586206897</v>
      </c>
      <c r="AJ1342" s="1">
        <v>145</v>
      </c>
      <c r="AK1342" s="2">
        <v>46408</v>
      </c>
      <c r="AL1342" s="4">
        <v>30</v>
      </c>
      <c r="AM1342" s="5">
        <v>15</v>
      </c>
      <c r="AN1342" s="4">
        <v>145</v>
      </c>
      <c r="AO1342">
        <v>5172.4137931034484</v>
      </c>
      <c r="AP1342" s="4">
        <v>1</v>
      </c>
      <c r="AQ1342">
        <v>10000</v>
      </c>
      <c r="AR1342" t="s">
        <v>2215</v>
      </c>
      <c r="AT1342" s="16" t="str">
        <f>_xlfn.XLOOKUP(B1342,'SWiSH Demand Forecast Sep-26'!D:D,'SWiSH Demand Forecast Sep-26'!G:G,"Not Exist")</f>
        <v>Not Exist</v>
      </c>
    </row>
    <row r="1343" spans="1:46" hidden="1" x14ac:dyDescent="0.3">
      <c r="A1343">
        <v>103800012</v>
      </c>
      <c r="B1343" t="s">
        <v>1562</v>
      </c>
      <c r="C1343" t="s">
        <v>136</v>
      </c>
      <c r="D1343" t="s">
        <v>1613</v>
      </c>
      <c r="E1343" t="s">
        <v>1796</v>
      </c>
      <c r="F1343" t="s">
        <v>1615</v>
      </c>
      <c r="G1343" t="s">
        <v>1616</v>
      </c>
      <c r="H1343" t="s">
        <v>1822</v>
      </c>
      <c r="I1343" t="s">
        <v>1618</v>
      </c>
      <c r="J1343" t="s">
        <v>3182</v>
      </c>
      <c r="K1343">
        <v>13.204819280000001</v>
      </c>
      <c r="L1343">
        <v>85.831325320000005</v>
      </c>
      <c r="M1343" s="1">
        <v>3</v>
      </c>
      <c r="N1343">
        <v>0</v>
      </c>
      <c r="O1343">
        <v>0</v>
      </c>
      <c r="P1343">
        <v>6.5</v>
      </c>
      <c r="Q1343" s="1">
        <v>6.5</v>
      </c>
      <c r="R1343">
        <v>0.4</v>
      </c>
      <c r="S1343" s="2">
        <v>46189</v>
      </c>
      <c r="T1343" s="2">
        <v>46241</v>
      </c>
      <c r="U1343">
        <v>1.25</v>
      </c>
      <c r="V1343">
        <v>0.5</v>
      </c>
      <c r="W1343">
        <v>0.5</v>
      </c>
      <c r="X1343">
        <v>0.75</v>
      </c>
      <c r="Y1343">
        <v>0.5</v>
      </c>
      <c r="Z1343" s="8">
        <v>1.25</v>
      </c>
      <c r="AA1343">
        <v>0.75</v>
      </c>
      <c r="AB1343">
        <v>0.66666666666666663</v>
      </c>
      <c r="AC1343">
        <v>1.6666666666666667</v>
      </c>
      <c r="AD1343" s="1">
        <v>156</v>
      </c>
      <c r="AE1343" s="2">
        <v>46404</v>
      </c>
      <c r="AF1343" s="2">
        <v>46412</v>
      </c>
      <c r="AG1343" s="2">
        <v>46419</v>
      </c>
      <c r="AH1343">
        <v>0.5</v>
      </c>
      <c r="AI1343" s="3">
        <v>0.41379310344827591</v>
      </c>
      <c r="AJ1343" s="1">
        <v>377</v>
      </c>
      <c r="AK1343" s="2">
        <v>46640</v>
      </c>
      <c r="AL1343" s="4">
        <v>30</v>
      </c>
      <c r="AM1343" s="5">
        <v>15</v>
      </c>
      <c r="AN1343" s="4">
        <v>156</v>
      </c>
      <c r="AO1343">
        <v>0.51724137931034486</v>
      </c>
      <c r="AP1343" s="4">
        <v>1</v>
      </c>
      <c r="AQ1343" t="s">
        <v>1619</v>
      </c>
      <c r="AR1343" t="s">
        <v>1620</v>
      </c>
      <c r="AT1343" s="16">
        <f>_xlfn.XLOOKUP(B1343,'SWiSH Demand Forecast Sep-26'!D:D,'SWiSH Demand Forecast Sep-26'!G:G,"Not Exist")</f>
        <v>0.12</v>
      </c>
    </row>
    <row r="1344" spans="1:46" x14ac:dyDescent="0.3">
      <c r="A1344">
        <v>100400193</v>
      </c>
      <c r="B1344" t="s">
        <v>3183</v>
      </c>
      <c r="C1344" t="s">
        <v>10</v>
      </c>
      <c r="D1344" t="s">
        <v>1613</v>
      </c>
      <c r="E1344" t="s">
        <v>1663</v>
      </c>
      <c r="F1344" t="s">
        <v>1664</v>
      </c>
      <c r="G1344" t="s">
        <v>1624</v>
      </c>
      <c r="H1344" t="s">
        <v>1810</v>
      </c>
      <c r="I1344" t="s">
        <v>1634</v>
      </c>
      <c r="J1344" t="s">
        <v>10</v>
      </c>
      <c r="K1344">
        <v>5.1772529999999997E-2</v>
      </c>
      <c r="L1344">
        <v>1093.9535589</v>
      </c>
      <c r="M1344" s="1">
        <v>30</v>
      </c>
      <c r="N1344">
        <v>0</v>
      </c>
      <c r="O1344">
        <v>0</v>
      </c>
      <c r="P1344">
        <v>21130</v>
      </c>
      <c r="Q1344" s="1">
        <v>21130</v>
      </c>
      <c r="R1344">
        <v>5.2999999999999999E-2</v>
      </c>
      <c r="S1344" s="2">
        <v>46200</v>
      </c>
      <c r="T1344" s="2">
        <v>46261</v>
      </c>
      <c r="U1344">
        <v>4000</v>
      </c>
      <c r="V1344">
        <v>3000</v>
      </c>
      <c r="W1344">
        <v>2200</v>
      </c>
      <c r="X1344">
        <v>2040</v>
      </c>
      <c r="Y1344">
        <v>2040</v>
      </c>
      <c r="Z1344" s="8">
        <v>4000</v>
      </c>
      <c r="AA1344">
        <v>2810</v>
      </c>
      <c r="AB1344">
        <v>0.72597864768683273</v>
      </c>
      <c r="AC1344">
        <v>1.4234875444839858</v>
      </c>
      <c r="AD1344" s="1">
        <v>158</v>
      </c>
      <c r="AE1344" s="2">
        <v>46406</v>
      </c>
      <c r="AF1344" s="2">
        <v>46414</v>
      </c>
      <c r="AG1344" s="2">
        <v>46421</v>
      </c>
      <c r="AH1344">
        <v>1600</v>
      </c>
      <c r="AI1344" s="3">
        <v>0.41379310344827586</v>
      </c>
      <c r="AJ1344" s="1">
        <v>382</v>
      </c>
      <c r="AK1344" s="2">
        <v>46645</v>
      </c>
      <c r="AL1344" s="4">
        <v>30</v>
      </c>
      <c r="AM1344" s="5">
        <v>15</v>
      </c>
      <c r="AN1344" s="4">
        <v>158</v>
      </c>
      <c r="AO1344">
        <v>1655.1724137931037</v>
      </c>
      <c r="AP1344" s="4">
        <v>1</v>
      </c>
      <c r="AQ1344" t="s">
        <v>1619</v>
      </c>
      <c r="AR1344" t="s">
        <v>1620</v>
      </c>
      <c r="AT1344" s="16" t="str">
        <f>_xlfn.XLOOKUP(B1344,'SWiSH Demand Forecast Sep-26'!D:D,'SWiSH Demand Forecast Sep-26'!G:G,"Not Exist")</f>
        <v>Not Exist</v>
      </c>
    </row>
    <row r="1345" spans="1:46" x14ac:dyDescent="0.3">
      <c r="A1345">
        <v>105200026</v>
      </c>
      <c r="B1345" t="s">
        <v>3184</v>
      </c>
      <c r="C1345" t="s">
        <v>10</v>
      </c>
      <c r="D1345" t="s">
        <v>1613</v>
      </c>
      <c r="E1345" t="s">
        <v>1745</v>
      </c>
      <c r="F1345" t="s">
        <v>1664</v>
      </c>
      <c r="G1345" t="s">
        <v>1624</v>
      </c>
      <c r="H1345" t="s">
        <v>1779</v>
      </c>
      <c r="I1345" t="s">
        <v>1634</v>
      </c>
      <c r="J1345" t="s">
        <v>10</v>
      </c>
      <c r="K1345">
        <v>2.8053660000000001E-2</v>
      </c>
      <c r="L1345">
        <v>462.88539000000003</v>
      </c>
      <c r="M1345" s="1">
        <v>30</v>
      </c>
      <c r="N1345">
        <v>0</v>
      </c>
      <c r="O1345">
        <v>0</v>
      </c>
      <c r="P1345">
        <v>16500</v>
      </c>
      <c r="Q1345" s="1">
        <v>16500</v>
      </c>
      <c r="R1345">
        <v>0.03</v>
      </c>
      <c r="S1345" s="2">
        <v>46204</v>
      </c>
      <c r="T1345" s="2">
        <v>46239</v>
      </c>
      <c r="U1345">
        <v>2700</v>
      </c>
      <c r="V1345">
        <v>3000</v>
      </c>
      <c r="W1345">
        <v>2700</v>
      </c>
      <c r="X1345">
        <v>2800</v>
      </c>
      <c r="Y1345">
        <v>2700</v>
      </c>
      <c r="Z1345" s="8">
        <v>3000</v>
      </c>
      <c r="AA1345">
        <v>2800</v>
      </c>
      <c r="AB1345">
        <v>0.9642857142857143</v>
      </c>
      <c r="AC1345">
        <v>1.0714285714285714</v>
      </c>
      <c r="AD1345" s="1">
        <v>165</v>
      </c>
      <c r="AE1345" s="2">
        <v>46413</v>
      </c>
      <c r="AF1345" s="2">
        <v>46421</v>
      </c>
      <c r="AG1345" s="2">
        <v>46428</v>
      </c>
      <c r="AH1345">
        <v>600</v>
      </c>
      <c r="AI1345" s="3">
        <v>0.20689655172413796</v>
      </c>
      <c r="AJ1345" s="1">
        <v>797</v>
      </c>
      <c r="AK1345" s="2">
        <v>47060</v>
      </c>
      <c r="AL1345" s="4">
        <v>30</v>
      </c>
      <c r="AM1345" s="5">
        <v>15</v>
      </c>
      <c r="AN1345" s="4">
        <v>165</v>
      </c>
      <c r="AO1345">
        <v>620.68965517241384</v>
      </c>
      <c r="AP1345" s="4">
        <v>1</v>
      </c>
      <c r="AQ1345">
        <v>200</v>
      </c>
      <c r="AR1345" t="s">
        <v>2032</v>
      </c>
      <c r="AT1345" s="16" t="str">
        <f>_xlfn.XLOOKUP(B1345,'SWiSH Demand Forecast Sep-26'!D:D,'SWiSH Demand Forecast Sep-26'!G:G,"Not Exist")</f>
        <v>Not Exist</v>
      </c>
    </row>
    <row r="1346" spans="1:46" x14ac:dyDescent="0.3">
      <c r="A1346">
        <v>106800257</v>
      </c>
      <c r="B1346" t="s">
        <v>3185</v>
      </c>
      <c r="C1346" t="s">
        <v>10</v>
      </c>
      <c r="D1346" t="s">
        <v>1613</v>
      </c>
      <c r="E1346" t="s">
        <v>1638</v>
      </c>
      <c r="F1346" t="s">
        <v>1664</v>
      </c>
      <c r="G1346" t="s">
        <v>1624</v>
      </c>
      <c r="H1346" t="s">
        <v>1665</v>
      </c>
      <c r="I1346" t="s">
        <v>1634</v>
      </c>
      <c r="J1346" t="s">
        <v>10</v>
      </c>
      <c r="K1346">
        <v>2.3999999999999998E-3</v>
      </c>
      <c r="L1346">
        <v>132</v>
      </c>
      <c r="M1346" s="1">
        <v>7</v>
      </c>
      <c r="N1346">
        <v>0</v>
      </c>
      <c r="O1346">
        <v>0</v>
      </c>
      <c r="P1346">
        <v>55000</v>
      </c>
      <c r="Q1346" s="1">
        <v>55000</v>
      </c>
      <c r="R1346">
        <v>2.3999999999999998E-3</v>
      </c>
      <c r="S1346" s="2">
        <v>46166</v>
      </c>
      <c r="T1346" s="2">
        <v>46256</v>
      </c>
      <c r="U1346">
        <v>10000</v>
      </c>
      <c r="V1346">
        <v>5000</v>
      </c>
      <c r="W1346">
        <v>5000</v>
      </c>
      <c r="X1346">
        <v>0</v>
      </c>
      <c r="Y1346">
        <v>0</v>
      </c>
      <c r="Z1346" s="8">
        <v>10000</v>
      </c>
      <c r="AA1346">
        <v>5000</v>
      </c>
      <c r="AB1346">
        <v>0</v>
      </c>
      <c r="AC1346">
        <v>2</v>
      </c>
      <c r="AD1346" s="1">
        <v>165</v>
      </c>
      <c r="AE1346" s="2">
        <v>46413</v>
      </c>
      <c r="AF1346" s="2">
        <v>46421</v>
      </c>
      <c r="AG1346" s="2">
        <v>46428</v>
      </c>
      <c r="AH1346">
        <v>5000</v>
      </c>
      <c r="AI1346" s="3">
        <v>0.51724137931034486</v>
      </c>
      <c r="AJ1346" s="1">
        <v>319</v>
      </c>
      <c r="AK1346" s="2">
        <v>46582</v>
      </c>
      <c r="AL1346" s="4">
        <v>30</v>
      </c>
      <c r="AM1346" s="5">
        <v>15</v>
      </c>
      <c r="AN1346" s="4">
        <v>165</v>
      </c>
      <c r="AO1346">
        <v>5172.4137931034484</v>
      </c>
      <c r="AP1346" s="4">
        <v>1</v>
      </c>
      <c r="AQ1346" t="s">
        <v>1619</v>
      </c>
      <c r="AR1346" t="s">
        <v>1620</v>
      </c>
      <c r="AT1346" s="16" t="str">
        <f>_xlfn.XLOOKUP(B1346,'SWiSH Demand Forecast Sep-26'!D:D,'SWiSH Demand Forecast Sep-26'!G:G,"Not Exist")</f>
        <v>Not Exist</v>
      </c>
    </row>
    <row r="1347" spans="1:46" x14ac:dyDescent="0.3">
      <c r="A1347">
        <v>107400040</v>
      </c>
      <c r="B1347" t="s">
        <v>3186</v>
      </c>
      <c r="C1347" t="s">
        <v>10</v>
      </c>
      <c r="D1347" t="s">
        <v>1613</v>
      </c>
      <c r="E1347" t="s">
        <v>1638</v>
      </c>
      <c r="F1347" t="s">
        <v>1664</v>
      </c>
      <c r="G1347" t="s">
        <v>1624</v>
      </c>
      <c r="H1347" t="s">
        <v>2016</v>
      </c>
      <c r="I1347" t="s">
        <v>1634</v>
      </c>
      <c r="J1347" t="s">
        <v>10</v>
      </c>
      <c r="K1347">
        <v>1.0829999999999999E-2</v>
      </c>
      <c r="L1347">
        <v>119.13</v>
      </c>
      <c r="M1347" s="1">
        <v>15</v>
      </c>
      <c r="N1347">
        <v>0</v>
      </c>
      <c r="O1347">
        <v>0</v>
      </c>
      <c r="P1347">
        <v>11000</v>
      </c>
      <c r="Q1347" s="1">
        <v>11000</v>
      </c>
      <c r="R1347">
        <v>1.0829999999999999E-2</v>
      </c>
      <c r="S1347" s="2">
        <v>46089</v>
      </c>
      <c r="T1347" s="2">
        <v>46259</v>
      </c>
      <c r="U1347">
        <v>2000</v>
      </c>
      <c r="V1347">
        <v>1000</v>
      </c>
      <c r="W1347">
        <v>0</v>
      </c>
      <c r="X1347">
        <v>1500</v>
      </c>
      <c r="Y1347">
        <v>0</v>
      </c>
      <c r="Z1347" s="8">
        <v>2000</v>
      </c>
      <c r="AA1347">
        <v>1125</v>
      </c>
      <c r="AB1347">
        <v>0</v>
      </c>
      <c r="AC1347">
        <v>1.7777777777777777</v>
      </c>
      <c r="AD1347" s="1">
        <v>165</v>
      </c>
      <c r="AE1347" s="2">
        <v>46413</v>
      </c>
      <c r="AF1347" s="2">
        <v>46421</v>
      </c>
      <c r="AG1347" s="2">
        <v>46428</v>
      </c>
      <c r="AH1347">
        <v>1000</v>
      </c>
      <c r="AI1347" s="3">
        <v>0.51724137931034475</v>
      </c>
      <c r="AJ1347" s="1">
        <v>319</v>
      </c>
      <c r="AK1347" s="2">
        <v>46582</v>
      </c>
      <c r="AL1347" s="4">
        <v>30</v>
      </c>
      <c r="AM1347" s="5">
        <v>15</v>
      </c>
      <c r="AN1347" s="4">
        <v>165</v>
      </c>
      <c r="AO1347">
        <v>1034.4827586206895</v>
      </c>
      <c r="AP1347" s="4">
        <v>1</v>
      </c>
      <c r="AQ1347" t="s">
        <v>1619</v>
      </c>
      <c r="AR1347" t="s">
        <v>1620</v>
      </c>
      <c r="AT1347" s="16" t="str">
        <f>_xlfn.XLOOKUP(B1347,'SWiSH Demand Forecast Sep-26'!D:D,'SWiSH Demand Forecast Sep-26'!G:G,"Not Exist")</f>
        <v>Not Exist</v>
      </c>
    </row>
    <row r="1348" spans="1:46" x14ac:dyDescent="0.3">
      <c r="A1348">
        <v>106700068</v>
      </c>
      <c r="B1348" t="s">
        <v>3187</v>
      </c>
      <c r="C1348" t="s">
        <v>10</v>
      </c>
      <c r="D1348" t="s">
        <v>1613</v>
      </c>
      <c r="E1348" t="s">
        <v>2277</v>
      </c>
      <c r="F1348" t="s">
        <v>1650</v>
      </c>
      <c r="G1348" t="s">
        <v>1624</v>
      </c>
      <c r="H1348" t="s">
        <v>1651</v>
      </c>
      <c r="I1348" t="s">
        <v>1634</v>
      </c>
      <c r="J1348" t="s">
        <v>10</v>
      </c>
      <c r="K1348">
        <v>4.4999999999999999E-4</v>
      </c>
      <c r="L1348">
        <v>310.5</v>
      </c>
      <c r="M1348" s="1">
        <v>3</v>
      </c>
      <c r="N1348">
        <v>0</v>
      </c>
      <c r="O1348">
        <v>0</v>
      </c>
      <c r="P1348">
        <v>690000</v>
      </c>
      <c r="Q1348" s="1">
        <v>690000</v>
      </c>
      <c r="R1348">
        <v>0.45</v>
      </c>
      <c r="S1348" s="2">
        <v>46190</v>
      </c>
      <c r="T1348" s="2">
        <v>46261</v>
      </c>
      <c r="U1348">
        <v>35000</v>
      </c>
      <c r="V1348">
        <v>65050</v>
      </c>
      <c r="W1348">
        <v>124950</v>
      </c>
      <c r="X1348">
        <v>15000</v>
      </c>
      <c r="Y1348">
        <v>15000</v>
      </c>
      <c r="Z1348" s="8">
        <v>124950</v>
      </c>
      <c r="AA1348">
        <v>60000</v>
      </c>
      <c r="AB1348">
        <v>0.25</v>
      </c>
      <c r="AC1348">
        <v>2.0825</v>
      </c>
      <c r="AD1348" s="1">
        <v>165</v>
      </c>
      <c r="AE1348" s="2">
        <v>46413</v>
      </c>
      <c r="AF1348" s="2">
        <v>46421</v>
      </c>
      <c r="AG1348" s="2">
        <v>46428</v>
      </c>
      <c r="AH1348">
        <v>25000</v>
      </c>
      <c r="AI1348" s="3">
        <v>0.20697934346152255</v>
      </c>
      <c r="AJ1348" s="1">
        <v>800</v>
      </c>
      <c r="AK1348" s="2">
        <v>47063</v>
      </c>
      <c r="AL1348" s="4">
        <v>30</v>
      </c>
      <c r="AM1348" s="5">
        <v>15</v>
      </c>
      <c r="AN1348" s="4">
        <v>165</v>
      </c>
      <c r="AO1348">
        <v>25862.068965517243</v>
      </c>
      <c r="AP1348" s="4">
        <v>1</v>
      </c>
      <c r="AQ1348" t="s">
        <v>1619</v>
      </c>
      <c r="AR1348" t="s">
        <v>1620</v>
      </c>
      <c r="AT1348" s="16" t="str">
        <f>_xlfn.XLOOKUP(B1348,'SWiSH Demand Forecast Sep-26'!D:D,'SWiSH Demand Forecast Sep-26'!G:G,"Not Exist")</f>
        <v>Not Exist</v>
      </c>
    </row>
    <row r="1349" spans="1:46" hidden="1" x14ac:dyDescent="0.3">
      <c r="A1349">
        <v>101600053</v>
      </c>
      <c r="B1349" t="s">
        <v>1195</v>
      </c>
      <c r="C1349" t="s">
        <v>10</v>
      </c>
      <c r="D1349" t="s">
        <v>1613</v>
      </c>
      <c r="E1349" t="s">
        <v>3188</v>
      </c>
      <c r="F1349" t="s">
        <v>1631</v>
      </c>
      <c r="G1349" t="s">
        <v>1624</v>
      </c>
      <c r="H1349" t="s">
        <v>1768</v>
      </c>
      <c r="I1349" t="s">
        <v>1634</v>
      </c>
      <c r="J1349" t="s">
        <v>10</v>
      </c>
      <c r="K1349">
        <v>0.12812925999999999</v>
      </c>
      <c r="L1349">
        <v>216.79470791999998</v>
      </c>
      <c r="M1349" s="1">
        <v>7</v>
      </c>
      <c r="N1349">
        <v>0</v>
      </c>
      <c r="O1349">
        <v>0</v>
      </c>
      <c r="P1349">
        <v>1692</v>
      </c>
      <c r="Q1349" s="1">
        <v>1692</v>
      </c>
      <c r="R1349">
        <v>0.9</v>
      </c>
      <c r="S1349" s="2">
        <v>46190</v>
      </c>
      <c r="T1349" s="2">
        <v>46260</v>
      </c>
      <c r="U1349">
        <v>216</v>
      </c>
      <c r="V1349">
        <v>264</v>
      </c>
      <c r="W1349">
        <v>72</v>
      </c>
      <c r="X1349">
        <v>300</v>
      </c>
      <c r="Y1349">
        <v>72</v>
      </c>
      <c r="Z1349" s="8">
        <v>300</v>
      </c>
      <c r="AA1349">
        <v>213</v>
      </c>
      <c r="AB1349">
        <v>0.3380281690140845</v>
      </c>
      <c r="AC1349">
        <v>1.408450704225352</v>
      </c>
      <c r="AD1349" s="1">
        <v>169</v>
      </c>
      <c r="AE1349" s="2">
        <v>46417</v>
      </c>
      <c r="AF1349" s="2">
        <v>46425</v>
      </c>
      <c r="AG1349" s="2">
        <v>46432</v>
      </c>
      <c r="AH1349">
        <v>84</v>
      </c>
      <c r="AI1349" s="3">
        <v>0.28965517241379313</v>
      </c>
      <c r="AJ1349" s="1">
        <v>584</v>
      </c>
      <c r="AK1349" s="2">
        <v>46847</v>
      </c>
      <c r="AL1349" s="4">
        <v>30</v>
      </c>
      <c r="AM1349" s="5">
        <v>15</v>
      </c>
      <c r="AN1349" s="4">
        <v>169</v>
      </c>
      <c r="AO1349">
        <v>86.896551724137936</v>
      </c>
      <c r="AP1349" s="4">
        <v>1</v>
      </c>
      <c r="AQ1349" t="s">
        <v>1619</v>
      </c>
      <c r="AR1349" t="s">
        <v>1620</v>
      </c>
      <c r="AT1349" s="16">
        <f>_xlfn.XLOOKUP(B1349,'SWiSH Demand Forecast Sep-26'!D:D,'SWiSH Demand Forecast Sep-26'!G:G,"Not Exist")</f>
        <v>60</v>
      </c>
    </row>
    <row r="1350" spans="1:46" x14ac:dyDescent="0.3">
      <c r="A1350">
        <v>101800001</v>
      </c>
      <c r="B1350" t="s">
        <v>3189</v>
      </c>
      <c r="C1350" t="s">
        <v>10</v>
      </c>
      <c r="D1350" t="s">
        <v>1613</v>
      </c>
      <c r="E1350" t="s">
        <v>1655</v>
      </c>
      <c r="F1350" t="s">
        <v>1631</v>
      </c>
      <c r="G1350" t="s">
        <v>1624</v>
      </c>
      <c r="H1350" t="s">
        <v>2144</v>
      </c>
      <c r="I1350" t="s">
        <v>1634</v>
      </c>
      <c r="J1350" t="s">
        <v>10</v>
      </c>
      <c r="K1350">
        <v>2.8999999999999998E-3</v>
      </c>
      <c r="L1350">
        <v>32.769999999999996</v>
      </c>
      <c r="M1350" s="1">
        <v>3</v>
      </c>
      <c r="N1350">
        <v>0</v>
      </c>
      <c r="O1350">
        <v>0</v>
      </c>
      <c r="P1350">
        <v>11300</v>
      </c>
      <c r="Q1350" s="1">
        <v>11300</v>
      </c>
      <c r="R1350">
        <v>29</v>
      </c>
      <c r="S1350" s="2">
        <v>46055</v>
      </c>
      <c r="T1350" s="2">
        <v>46260</v>
      </c>
      <c r="U1350">
        <v>2000</v>
      </c>
      <c r="V1350">
        <v>100</v>
      </c>
      <c r="W1350">
        <v>0</v>
      </c>
      <c r="X1350">
        <v>400</v>
      </c>
      <c r="Y1350">
        <v>0</v>
      </c>
      <c r="Z1350" s="8">
        <v>2000</v>
      </c>
      <c r="AA1350">
        <v>625</v>
      </c>
      <c r="AB1350">
        <v>0</v>
      </c>
      <c r="AC1350">
        <v>3.2</v>
      </c>
      <c r="AD1350" s="1">
        <v>169</v>
      </c>
      <c r="AE1350" s="2">
        <v>46417</v>
      </c>
      <c r="AF1350" s="2">
        <v>46425</v>
      </c>
      <c r="AG1350" s="2">
        <v>46432</v>
      </c>
      <c r="AH1350">
        <v>500</v>
      </c>
      <c r="AI1350" s="3">
        <v>0.25862068965517238</v>
      </c>
      <c r="AJ1350" s="1">
        <v>655</v>
      </c>
      <c r="AK1350" s="2">
        <v>46918</v>
      </c>
      <c r="AL1350" s="4">
        <v>30</v>
      </c>
      <c r="AM1350" s="5">
        <v>15</v>
      </c>
      <c r="AN1350" s="4">
        <v>169</v>
      </c>
      <c r="AO1350">
        <v>517.24137931034477</v>
      </c>
      <c r="AP1350" s="4">
        <v>1</v>
      </c>
      <c r="AQ1350" t="s">
        <v>1619</v>
      </c>
      <c r="AR1350" t="s">
        <v>1620</v>
      </c>
      <c r="AT1350" s="16" t="str">
        <f>_xlfn.XLOOKUP(B1350,'SWiSH Demand Forecast Sep-26'!D:D,'SWiSH Demand Forecast Sep-26'!G:G,"Not Exist")</f>
        <v>Not Exist</v>
      </c>
    </row>
    <row r="1351" spans="1:46" x14ac:dyDescent="0.3">
      <c r="A1351">
        <v>101100009</v>
      </c>
      <c r="B1351" t="s">
        <v>3190</v>
      </c>
      <c r="C1351" t="s">
        <v>10</v>
      </c>
      <c r="D1351" t="s">
        <v>1613</v>
      </c>
      <c r="E1351" t="s">
        <v>3191</v>
      </c>
      <c r="F1351" t="s">
        <v>1650</v>
      </c>
      <c r="G1351" t="s">
        <v>1624</v>
      </c>
      <c r="H1351" t="s">
        <v>1953</v>
      </c>
      <c r="I1351" t="s">
        <v>1634</v>
      </c>
      <c r="J1351" t="s">
        <v>10</v>
      </c>
      <c r="K1351">
        <v>8.5</v>
      </c>
      <c r="L1351">
        <v>144.5</v>
      </c>
      <c r="M1351" s="1">
        <v>3</v>
      </c>
      <c r="N1351">
        <v>0</v>
      </c>
      <c r="O1351">
        <v>0</v>
      </c>
      <c r="P1351">
        <v>17</v>
      </c>
      <c r="Q1351" s="1">
        <v>17</v>
      </c>
      <c r="R1351">
        <v>8.5</v>
      </c>
      <c r="S1351" s="2">
        <v>46186</v>
      </c>
      <c r="T1351" s="2">
        <v>46245</v>
      </c>
      <c r="U1351">
        <v>0</v>
      </c>
      <c r="V1351">
        <v>3</v>
      </c>
      <c r="W1351">
        <v>1</v>
      </c>
      <c r="X1351">
        <v>3</v>
      </c>
      <c r="Y1351">
        <v>0</v>
      </c>
      <c r="Z1351" s="8">
        <v>3</v>
      </c>
      <c r="AA1351">
        <v>1.75</v>
      </c>
      <c r="AB1351">
        <v>0</v>
      </c>
      <c r="AC1351">
        <v>1.7142857142857142</v>
      </c>
      <c r="AD1351" s="1">
        <v>170</v>
      </c>
      <c r="AE1351" s="2">
        <v>46418</v>
      </c>
      <c r="AF1351" s="2">
        <v>46426</v>
      </c>
      <c r="AG1351" s="2">
        <v>46433</v>
      </c>
      <c r="AH1351">
        <v>1</v>
      </c>
      <c r="AI1351" s="3">
        <v>0.34482758620689657</v>
      </c>
      <c r="AJ1351" s="1">
        <v>493</v>
      </c>
      <c r="AK1351" s="2">
        <v>46756</v>
      </c>
      <c r="AL1351" s="4">
        <v>30</v>
      </c>
      <c r="AM1351" s="5">
        <v>15</v>
      </c>
      <c r="AN1351" s="4">
        <v>170</v>
      </c>
      <c r="AO1351">
        <v>1.0344827586206897</v>
      </c>
      <c r="AP1351" s="4">
        <v>1</v>
      </c>
      <c r="AQ1351" t="s">
        <v>1619</v>
      </c>
      <c r="AR1351" t="s">
        <v>2335</v>
      </c>
      <c r="AT1351" s="16" t="str">
        <f>_xlfn.XLOOKUP(B1351,'SWiSH Demand Forecast Sep-26'!D:D,'SWiSH Demand Forecast Sep-26'!G:G,"Not Exist")</f>
        <v>Not Exist</v>
      </c>
    </row>
    <row r="1352" spans="1:46" x14ac:dyDescent="0.3">
      <c r="A1352">
        <v>100400129</v>
      </c>
      <c r="B1352" t="s">
        <v>3192</v>
      </c>
      <c r="C1352" t="s">
        <v>10</v>
      </c>
      <c r="D1352" t="s">
        <v>1613</v>
      </c>
      <c r="E1352" t="s">
        <v>1655</v>
      </c>
      <c r="F1352" t="s">
        <v>1664</v>
      </c>
      <c r="G1352" t="s">
        <v>1624</v>
      </c>
      <c r="H1352" t="s">
        <v>1810</v>
      </c>
      <c r="I1352" t="s">
        <v>1634</v>
      </c>
      <c r="J1352" t="s">
        <v>10</v>
      </c>
      <c r="K1352">
        <v>1.7102869999999999E-2</v>
      </c>
      <c r="L1352">
        <v>174.449274</v>
      </c>
      <c r="M1352" s="1">
        <v>30</v>
      </c>
      <c r="N1352">
        <v>0</v>
      </c>
      <c r="O1352">
        <v>0</v>
      </c>
      <c r="P1352">
        <v>10200</v>
      </c>
      <c r="Q1352" s="1">
        <v>10200</v>
      </c>
      <c r="R1352">
        <v>1.6670000000000001E-2</v>
      </c>
      <c r="S1352" s="2">
        <v>45998</v>
      </c>
      <c r="T1352" s="2">
        <v>46186</v>
      </c>
      <c r="U1352">
        <v>1200</v>
      </c>
      <c r="V1352">
        <v>1800</v>
      </c>
      <c r="W1352">
        <v>600</v>
      </c>
      <c r="X1352">
        <v>0</v>
      </c>
      <c r="Y1352">
        <v>0</v>
      </c>
      <c r="Z1352" s="8">
        <v>1800</v>
      </c>
      <c r="AA1352">
        <v>900</v>
      </c>
      <c r="AB1352">
        <v>0</v>
      </c>
      <c r="AC1352">
        <v>2</v>
      </c>
      <c r="AD1352" s="1">
        <v>170</v>
      </c>
      <c r="AE1352" s="2">
        <v>46418</v>
      </c>
      <c r="AF1352" s="2">
        <v>46426</v>
      </c>
      <c r="AG1352" s="2">
        <v>46433</v>
      </c>
      <c r="AH1352">
        <v>0</v>
      </c>
      <c r="AI1352" s="3">
        <v>0</v>
      </c>
      <c r="AJ1352" s="1" t="s">
        <v>1635</v>
      </c>
      <c r="AK1352" s="2" t="s">
        <v>1635</v>
      </c>
      <c r="AL1352" s="4">
        <v>30</v>
      </c>
      <c r="AM1352" s="5">
        <v>15</v>
      </c>
      <c r="AN1352" s="4">
        <v>170</v>
      </c>
      <c r="AO1352">
        <v>0</v>
      </c>
      <c r="AP1352" s="4">
        <v>1</v>
      </c>
      <c r="AQ1352" t="s">
        <v>1619</v>
      </c>
      <c r="AR1352" t="s">
        <v>1620</v>
      </c>
      <c r="AT1352" s="16" t="str">
        <f>_xlfn.XLOOKUP(B1352,'SWiSH Demand Forecast Sep-26'!D:D,'SWiSH Demand Forecast Sep-26'!G:G,"Not Exist")</f>
        <v>Not Exist</v>
      </c>
    </row>
    <row r="1353" spans="1:46" hidden="1" x14ac:dyDescent="0.3">
      <c r="A1353">
        <v>105900003</v>
      </c>
      <c r="B1353" t="s">
        <v>523</v>
      </c>
      <c r="C1353" t="s">
        <v>10</v>
      </c>
      <c r="D1353" t="s">
        <v>1613</v>
      </c>
      <c r="E1353" t="s">
        <v>1732</v>
      </c>
      <c r="F1353" t="s">
        <v>1664</v>
      </c>
      <c r="G1353" t="s">
        <v>1616</v>
      </c>
      <c r="H1353" t="s">
        <v>1729</v>
      </c>
      <c r="I1353" t="s">
        <v>1634</v>
      </c>
      <c r="J1353" t="s">
        <v>1733</v>
      </c>
      <c r="K1353">
        <v>6.1626900000000002E-3</v>
      </c>
      <c r="L1353">
        <v>178.71800999999999</v>
      </c>
      <c r="M1353" s="1">
        <v>90</v>
      </c>
      <c r="N1353">
        <v>0</v>
      </c>
      <c r="O1353">
        <v>0</v>
      </c>
      <c r="P1353">
        <v>29000</v>
      </c>
      <c r="Q1353" s="1">
        <v>29000</v>
      </c>
      <c r="R1353">
        <v>6.8900000000000003E-3</v>
      </c>
      <c r="S1353" s="2">
        <v>46214</v>
      </c>
      <c r="T1353" s="2">
        <v>46242</v>
      </c>
      <c r="U1353">
        <v>3000</v>
      </c>
      <c r="V1353">
        <v>2000</v>
      </c>
      <c r="W1353">
        <v>5000</v>
      </c>
      <c r="X1353">
        <v>2000</v>
      </c>
      <c r="Y1353">
        <v>2000</v>
      </c>
      <c r="Z1353" s="8">
        <v>5000</v>
      </c>
      <c r="AA1353">
        <v>3000</v>
      </c>
      <c r="AB1353">
        <v>0.66666666666666663</v>
      </c>
      <c r="AC1353">
        <v>1.6666666666666667</v>
      </c>
      <c r="AD1353" s="1">
        <v>174</v>
      </c>
      <c r="AE1353" s="2">
        <v>46422</v>
      </c>
      <c r="AF1353" s="2">
        <v>46430</v>
      </c>
      <c r="AG1353" s="2">
        <v>46437</v>
      </c>
      <c r="AH1353">
        <v>3000</v>
      </c>
      <c r="AI1353" s="3">
        <v>0.62068965517241381</v>
      </c>
      <c r="AJ1353" s="1">
        <v>280</v>
      </c>
      <c r="AK1353" s="2">
        <v>46543</v>
      </c>
      <c r="AL1353" s="4">
        <v>120</v>
      </c>
      <c r="AM1353" s="5">
        <v>100</v>
      </c>
      <c r="AN1353" s="4">
        <v>174</v>
      </c>
      <c r="AO1353">
        <v>12413.793103448275</v>
      </c>
      <c r="AP1353" s="4">
        <v>1</v>
      </c>
      <c r="AQ1353" t="s">
        <v>1619</v>
      </c>
      <c r="AR1353" t="s">
        <v>1620</v>
      </c>
      <c r="AT1353" s="16">
        <f>_xlfn.XLOOKUP(B1353,'SWiSH Demand Forecast Sep-26'!D:D,'SWiSH Demand Forecast Sep-26'!G:G,"Not Exist")</f>
        <v>1370</v>
      </c>
    </row>
    <row r="1354" spans="1:46" hidden="1" x14ac:dyDescent="0.3">
      <c r="A1354">
        <v>107000003</v>
      </c>
      <c r="B1354" t="s">
        <v>634</v>
      </c>
      <c r="C1354" t="s">
        <v>10</v>
      </c>
      <c r="D1354" t="s">
        <v>1613</v>
      </c>
      <c r="E1354" t="s">
        <v>1775</v>
      </c>
      <c r="F1354" t="s">
        <v>1631</v>
      </c>
      <c r="G1354" t="s">
        <v>1624</v>
      </c>
      <c r="H1354" t="s">
        <v>2305</v>
      </c>
      <c r="I1354" t="s">
        <v>1634</v>
      </c>
      <c r="J1354" t="s">
        <v>3193</v>
      </c>
      <c r="K1354">
        <v>1.5E-3</v>
      </c>
      <c r="L1354">
        <v>31.125</v>
      </c>
      <c r="M1354" s="1">
        <v>7</v>
      </c>
      <c r="N1354">
        <v>0</v>
      </c>
      <c r="O1354">
        <v>0</v>
      </c>
      <c r="P1354">
        <v>20750</v>
      </c>
      <c r="Q1354" s="1">
        <v>20750</v>
      </c>
      <c r="R1354">
        <v>15</v>
      </c>
      <c r="S1354" s="2">
        <v>46061</v>
      </c>
      <c r="T1354" s="2">
        <v>46255</v>
      </c>
      <c r="U1354">
        <v>2250</v>
      </c>
      <c r="V1354">
        <v>3500</v>
      </c>
      <c r="W1354">
        <v>1500</v>
      </c>
      <c r="X1354">
        <v>1500</v>
      </c>
      <c r="Y1354">
        <v>1500</v>
      </c>
      <c r="Z1354" s="8">
        <v>3500</v>
      </c>
      <c r="AA1354">
        <v>2187.5</v>
      </c>
      <c r="AB1354">
        <v>0.68571428571428572</v>
      </c>
      <c r="AC1354">
        <v>1.6</v>
      </c>
      <c r="AD1354" s="1">
        <v>177</v>
      </c>
      <c r="AE1354" s="2">
        <v>46425</v>
      </c>
      <c r="AF1354" s="2">
        <v>46433</v>
      </c>
      <c r="AG1354" s="2">
        <v>46440</v>
      </c>
      <c r="AH1354">
        <v>2000</v>
      </c>
      <c r="AI1354" s="3">
        <v>0.59113300492610832</v>
      </c>
      <c r="AJ1354" s="1">
        <v>300</v>
      </c>
      <c r="AK1354" s="2">
        <v>46563</v>
      </c>
      <c r="AL1354" s="4">
        <v>30</v>
      </c>
      <c r="AM1354" s="5">
        <v>15</v>
      </c>
      <c r="AN1354" s="4">
        <v>177</v>
      </c>
      <c r="AO1354">
        <v>2068.9655172413791</v>
      </c>
      <c r="AP1354" s="4">
        <v>1</v>
      </c>
      <c r="AQ1354" t="s">
        <v>1619</v>
      </c>
      <c r="AR1354" t="s">
        <v>1620</v>
      </c>
      <c r="AT1354" s="16">
        <f>_xlfn.XLOOKUP(B1354,'SWiSH Demand Forecast Sep-26'!D:D,'SWiSH Demand Forecast Sep-26'!G:G,"Not Exist")</f>
        <v>860</v>
      </c>
    </row>
    <row r="1355" spans="1:46" hidden="1" x14ac:dyDescent="0.3">
      <c r="A1355">
        <v>106600125</v>
      </c>
      <c r="B1355" t="s">
        <v>562</v>
      </c>
      <c r="C1355" t="s">
        <v>10</v>
      </c>
      <c r="D1355" t="s">
        <v>1613</v>
      </c>
      <c r="E1355" t="s">
        <v>1796</v>
      </c>
      <c r="F1355" t="s">
        <v>1664</v>
      </c>
      <c r="G1355" t="s">
        <v>1624</v>
      </c>
      <c r="H1355" t="s">
        <v>1723</v>
      </c>
      <c r="I1355" t="s">
        <v>1634</v>
      </c>
      <c r="J1355" t="s">
        <v>10</v>
      </c>
      <c r="K1355">
        <v>3.9519000000000004E-3</v>
      </c>
      <c r="L1355">
        <v>592.38981000000001</v>
      </c>
      <c r="M1355" s="1">
        <v>15</v>
      </c>
      <c r="N1355">
        <v>0</v>
      </c>
      <c r="O1355">
        <v>0</v>
      </c>
      <c r="P1355">
        <v>149900</v>
      </c>
      <c r="Q1355" s="1">
        <v>149900</v>
      </c>
      <c r="R1355">
        <v>4.0000000000000001E-3</v>
      </c>
      <c r="S1355" s="2">
        <v>46069</v>
      </c>
      <c r="T1355" s="2">
        <v>46262</v>
      </c>
      <c r="U1355">
        <v>0</v>
      </c>
      <c r="V1355">
        <v>25000</v>
      </c>
      <c r="W1355">
        <v>5000</v>
      </c>
      <c r="X1355">
        <v>10000</v>
      </c>
      <c r="Y1355">
        <v>0</v>
      </c>
      <c r="Z1355" s="8">
        <v>25000</v>
      </c>
      <c r="AA1355">
        <v>10000</v>
      </c>
      <c r="AB1355">
        <v>0</v>
      </c>
      <c r="AC1355">
        <v>2.5</v>
      </c>
      <c r="AD1355" s="1">
        <v>179</v>
      </c>
      <c r="AE1355" s="2">
        <v>46427</v>
      </c>
      <c r="AF1355" s="2">
        <v>46435</v>
      </c>
      <c r="AG1355" s="2">
        <v>46442</v>
      </c>
      <c r="AH1355">
        <v>15000</v>
      </c>
      <c r="AI1355" s="3">
        <v>0.62068965517241381</v>
      </c>
      <c r="AJ1355" s="1">
        <v>289</v>
      </c>
      <c r="AK1355" s="2">
        <v>46552</v>
      </c>
      <c r="AL1355" s="4">
        <v>30</v>
      </c>
      <c r="AM1355" s="5">
        <v>15</v>
      </c>
      <c r="AN1355" s="4">
        <v>179</v>
      </c>
      <c r="AO1355">
        <v>15517.241379310346</v>
      </c>
      <c r="AP1355" s="4">
        <v>1</v>
      </c>
      <c r="AQ1355" t="s">
        <v>1619</v>
      </c>
      <c r="AR1355" t="s">
        <v>1620</v>
      </c>
      <c r="AT1355" s="16">
        <f>_xlfn.XLOOKUP(B1355,'SWiSH Demand Forecast Sep-26'!D:D,'SWiSH Demand Forecast Sep-26'!G:G,"Not Exist")</f>
        <v>1180</v>
      </c>
    </row>
    <row r="1356" spans="1:46" hidden="1" x14ac:dyDescent="0.3">
      <c r="A1356">
        <v>106800088</v>
      </c>
      <c r="B1356" t="s">
        <v>902</v>
      </c>
      <c r="C1356" t="s">
        <v>10</v>
      </c>
      <c r="D1356" t="s">
        <v>1955</v>
      </c>
      <c r="E1356" t="s">
        <v>1655</v>
      </c>
      <c r="F1356" t="s">
        <v>1664</v>
      </c>
      <c r="G1356" t="s">
        <v>1624</v>
      </c>
      <c r="H1356" t="s">
        <v>1665</v>
      </c>
      <c r="I1356" t="s">
        <v>1634</v>
      </c>
      <c r="J1356" t="s">
        <v>10</v>
      </c>
      <c r="K1356">
        <v>3.8235299999999999E-3</v>
      </c>
      <c r="L1356">
        <v>22.941179999999999</v>
      </c>
      <c r="M1356" s="1">
        <v>7</v>
      </c>
      <c r="N1356">
        <v>0</v>
      </c>
      <c r="O1356">
        <v>0</v>
      </c>
      <c r="P1356">
        <v>6000</v>
      </c>
      <c r="Q1356" s="1">
        <v>6000</v>
      </c>
      <c r="R1356">
        <v>3.0000000000000001E-3</v>
      </c>
      <c r="S1356" s="2">
        <v>45967</v>
      </c>
      <c r="T1356" s="2">
        <v>46239</v>
      </c>
      <c r="U1356">
        <v>1000</v>
      </c>
      <c r="V1356">
        <v>0</v>
      </c>
      <c r="W1356">
        <v>0</v>
      </c>
      <c r="X1356">
        <v>0</v>
      </c>
      <c r="Y1356">
        <v>0</v>
      </c>
      <c r="Z1356" s="8">
        <v>1000</v>
      </c>
      <c r="AA1356">
        <v>250</v>
      </c>
      <c r="AB1356">
        <v>0</v>
      </c>
      <c r="AC1356">
        <v>4</v>
      </c>
      <c r="AD1356" s="1">
        <v>180</v>
      </c>
      <c r="AE1356" s="2">
        <v>46428</v>
      </c>
      <c r="AF1356" s="2">
        <v>46436</v>
      </c>
      <c r="AG1356" s="2">
        <v>46443</v>
      </c>
      <c r="AH1356">
        <v>2000</v>
      </c>
      <c r="AI1356" s="3">
        <v>2.068965517241379</v>
      </c>
      <c r="AJ1356" s="1">
        <v>87</v>
      </c>
      <c r="AK1356" s="2">
        <v>46350</v>
      </c>
      <c r="AL1356" s="4" t="s">
        <v>1658</v>
      </c>
      <c r="AM1356" s="5" t="s">
        <v>1658</v>
      </c>
      <c r="AN1356" s="4">
        <v>87</v>
      </c>
      <c r="AO1356" t="s">
        <v>1635</v>
      </c>
      <c r="AP1356" s="4" t="s">
        <v>1658</v>
      </c>
      <c r="AQ1356" t="s">
        <v>1619</v>
      </c>
      <c r="AR1356" t="s">
        <v>1620</v>
      </c>
      <c r="AT1356" s="16">
        <f>_xlfn.XLOOKUP(B1356,'SWiSH Demand Forecast Sep-26'!D:D,'SWiSH Demand Forecast Sep-26'!G:G,"Not Exist")</f>
        <v>240</v>
      </c>
    </row>
    <row r="1357" spans="1:46" x14ac:dyDescent="0.3">
      <c r="A1357">
        <v>106700075</v>
      </c>
      <c r="B1357" t="s">
        <v>3194</v>
      </c>
      <c r="C1357" t="s">
        <v>10</v>
      </c>
      <c r="D1357" t="s">
        <v>1613</v>
      </c>
      <c r="E1357" t="s">
        <v>1643</v>
      </c>
      <c r="F1357" t="s">
        <v>1650</v>
      </c>
      <c r="G1357" t="s">
        <v>1624</v>
      </c>
      <c r="H1357" t="s">
        <v>1651</v>
      </c>
      <c r="I1357" t="s">
        <v>1634</v>
      </c>
      <c r="J1357" t="s">
        <v>10</v>
      </c>
      <c r="K1357">
        <v>3.7499999999999999E-3</v>
      </c>
      <c r="L1357">
        <v>3.375</v>
      </c>
      <c r="M1357" s="1">
        <v>3</v>
      </c>
      <c r="N1357">
        <v>0</v>
      </c>
      <c r="O1357">
        <v>0</v>
      </c>
      <c r="P1357">
        <v>900</v>
      </c>
      <c r="Q1357" s="1">
        <v>900</v>
      </c>
      <c r="R1357">
        <v>0.75</v>
      </c>
      <c r="S1357" s="2">
        <v>44963</v>
      </c>
      <c r="T1357" s="2">
        <v>46208</v>
      </c>
      <c r="U1357">
        <v>30</v>
      </c>
      <c r="V1357">
        <v>100</v>
      </c>
      <c r="W1357">
        <v>50</v>
      </c>
      <c r="X1357">
        <v>150</v>
      </c>
      <c r="Y1357">
        <v>30</v>
      </c>
      <c r="Z1357" s="8">
        <v>150</v>
      </c>
      <c r="AA1357">
        <v>82.5</v>
      </c>
      <c r="AB1357">
        <v>0.36363636363636365</v>
      </c>
      <c r="AC1357">
        <v>1.8181818181818181</v>
      </c>
      <c r="AD1357" s="1">
        <v>180</v>
      </c>
      <c r="AE1357" s="2">
        <v>46428</v>
      </c>
      <c r="AF1357" s="2">
        <v>46436</v>
      </c>
      <c r="AG1357" s="2">
        <v>46443</v>
      </c>
      <c r="AH1357">
        <v>0</v>
      </c>
      <c r="AI1357" s="3">
        <v>0</v>
      </c>
      <c r="AJ1357" s="1" t="s">
        <v>1635</v>
      </c>
      <c r="AK1357" s="2" t="s">
        <v>1635</v>
      </c>
      <c r="AL1357" s="4">
        <v>30</v>
      </c>
      <c r="AM1357" s="5">
        <v>15</v>
      </c>
      <c r="AN1357" s="4">
        <v>180</v>
      </c>
      <c r="AO1357">
        <v>0</v>
      </c>
      <c r="AP1357" s="4">
        <v>1</v>
      </c>
      <c r="AQ1357" t="s">
        <v>1619</v>
      </c>
      <c r="AR1357" t="s">
        <v>1620</v>
      </c>
      <c r="AT1357" s="16" t="str">
        <f>_xlfn.XLOOKUP(B1357,'SWiSH Demand Forecast Sep-26'!D:D,'SWiSH Demand Forecast Sep-26'!G:G,"Not Exist")</f>
        <v>Not Exist</v>
      </c>
    </row>
    <row r="1358" spans="1:46" hidden="1" x14ac:dyDescent="0.3">
      <c r="A1358">
        <v>106800102</v>
      </c>
      <c r="B1358" t="s">
        <v>383</v>
      </c>
      <c r="C1358" t="s">
        <v>10</v>
      </c>
      <c r="D1358" t="s">
        <v>1613</v>
      </c>
      <c r="E1358" t="s">
        <v>1655</v>
      </c>
      <c r="F1358" t="s">
        <v>1664</v>
      </c>
      <c r="G1358" t="s">
        <v>1624</v>
      </c>
      <c r="H1358" t="s">
        <v>1665</v>
      </c>
      <c r="I1358" t="s">
        <v>1634</v>
      </c>
      <c r="J1358" t="s">
        <v>10</v>
      </c>
      <c r="K1358">
        <v>3.0394300000000001E-3</v>
      </c>
      <c r="L1358">
        <v>91.182900000000004</v>
      </c>
      <c r="M1358" s="1">
        <v>7</v>
      </c>
      <c r="N1358">
        <v>0</v>
      </c>
      <c r="O1358">
        <v>0</v>
      </c>
      <c r="P1358">
        <v>30000</v>
      </c>
      <c r="Q1358" s="1">
        <v>30000</v>
      </c>
      <c r="R1358">
        <v>3.0000000000000001E-3</v>
      </c>
      <c r="S1358" s="2">
        <v>46028</v>
      </c>
      <c r="T1358" s="2">
        <v>46242</v>
      </c>
      <c r="U1358">
        <v>5000</v>
      </c>
      <c r="V1358">
        <v>2000</v>
      </c>
      <c r="W1358">
        <v>2000</v>
      </c>
      <c r="X1358">
        <v>1000</v>
      </c>
      <c r="Y1358">
        <v>1000</v>
      </c>
      <c r="Z1358" s="8">
        <v>5000</v>
      </c>
      <c r="AA1358">
        <v>2500</v>
      </c>
      <c r="AB1358">
        <v>0.4</v>
      </c>
      <c r="AC1358">
        <v>2</v>
      </c>
      <c r="AD1358" s="1">
        <v>180</v>
      </c>
      <c r="AE1358" s="2">
        <v>46428</v>
      </c>
      <c r="AF1358" s="2">
        <v>46436</v>
      </c>
      <c r="AG1358" s="2">
        <v>46443</v>
      </c>
      <c r="AH1358">
        <v>4000</v>
      </c>
      <c r="AI1358" s="3">
        <v>0.8275862068965516</v>
      </c>
      <c r="AJ1358" s="1">
        <v>217</v>
      </c>
      <c r="AK1358" s="2">
        <v>46480</v>
      </c>
      <c r="AL1358" s="4">
        <v>30</v>
      </c>
      <c r="AM1358" s="5">
        <v>15</v>
      </c>
      <c r="AN1358" s="4">
        <v>180</v>
      </c>
      <c r="AO1358">
        <v>4137.9310344827582</v>
      </c>
      <c r="AP1358" s="4">
        <v>1</v>
      </c>
      <c r="AQ1358" t="s">
        <v>1619</v>
      </c>
      <c r="AR1358" t="s">
        <v>1620</v>
      </c>
      <c r="AT1358" s="16">
        <f>_xlfn.XLOOKUP(B1358,'SWiSH Demand Forecast Sep-26'!D:D,'SWiSH Demand Forecast Sep-26'!G:G,"Not Exist")</f>
        <v>2972</v>
      </c>
    </row>
    <row r="1359" spans="1:46" hidden="1" x14ac:dyDescent="0.3">
      <c r="A1359">
        <v>106200027</v>
      </c>
      <c r="B1359" t="s">
        <v>1466</v>
      </c>
      <c r="C1359" t="s">
        <v>240</v>
      </c>
      <c r="D1359" t="s">
        <v>1613</v>
      </c>
      <c r="E1359" t="s">
        <v>2351</v>
      </c>
      <c r="F1359" t="s">
        <v>1671</v>
      </c>
      <c r="G1359" t="s">
        <v>1616</v>
      </c>
      <c r="H1359" t="s">
        <v>1672</v>
      </c>
      <c r="I1359" t="s">
        <v>1618</v>
      </c>
      <c r="J1359" t="s">
        <v>3195</v>
      </c>
      <c r="K1359">
        <v>1.1591924</v>
      </c>
      <c r="L1359">
        <v>173.24130417999999</v>
      </c>
      <c r="M1359" s="1">
        <v>3</v>
      </c>
      <c r="N1359">
        <v>0</v>
      </c>
      <c r="O1359">
        <v>0</v>
      </c>
      <c r="P1359">
        <v>149.44999999999999</v>
      </c>
      <c r="Q1359" s="1">
        <v>149.44999999999999</v>
      </c>
      <c r="R1359">
        <v>2.75</v>
      </c>
      <c r="S1359" s="2">
        <v>46134</v>
      </c>
      <c r="T1359" s="2">
        <v>46248</v>
      </c>
      <c r="U1359">
        <v>0</v>
      </c>
      <c r="V1359">
        <v>24.5</v>
      </c>
      <c r="W1359">
        <v>24.5</v>
      </c>
      <c r="X1359">
        <v>22.05</v>
      </c>
      <c r="Y1359">
        <v>0</v>
      </c>
      <c r="Z1359" s="8">
        <v>24.5</v>
      </c>
      <c r="AA1359">
        <v>17.762499999999999</v>
      </c>
      <c r="AB1359">
        <v>0</v>
      </c>
      <c r="AC1359">
        <v>1.3793103448275863</v>
      </c>
      <c r="AD1359" s="1">
        <v>183</v>
      </c>
      <c r="AE1359" s="2">
        <v>46431</v>
      </c>
      <c r="AF1359" s="2">
        <v>46439</v>
      </c>
      <c r="AG1359" s="2">
        <v>46446</v>
      </c>
      <c r="AH1359">
        <v>9.8000000000000007</v>
      </c>
      <c r="AI1359" s="3">
        <v>0.41379310344827591</v>
      </c>
      <c r="AJ1359" s="1">
        <v>442</v>
      </c>
      <c r="AK1359" s="2">
        <v>46705</v>
      </c>
      <c r="AL1359" s="4">
        <v>30</v>
      </c>
      <c r="AM1359" s="5">
        <v>15</v>
      </c>
      <c r="AN1359" s="4">
        <v>183</v>
      </c>
      <c r="AO1359">
        <v>10.13793103448276</v>
      </c>
      <c r="AP1359" s="4">
        <v>1</v>
      </c>
      <c r="AQ1359" t="s">
        <v>1619</v>
      </c>
      <c r="AR1359" t="s">
        <v>1620</v>
      </c>
      <c r="AT1359" s="16">
        <f>_xlfn.XLOOKUP(B1359,'SWiSH Demand Forecast Sep-26'!D:D,'SWiSH Demand Forecast Sep-26'!G:G,"Not Exist")</f>
        <v>5.4743559160305297</v>
      </c>
    </row>
    <row r="1360" spans="1:46" x14ac:dyDescent="0.3">
      <c r="A1360">
        <v>100400225</v>
      </c>
      <c r="B1360" t="s">
        <v>3196</v>
      </c>
      <c r="C1360" t="s">
        <v>10</v>
      </c>
      <c r="D1360" t="s">
        <v>1613</v>
      </c>
      <c r="E1360" t="s">
        <v>2147</v>
      </c>
      <c r="F1360" t="s">
        <v>1664</v>
      </c>
      <c r="G1360" t="s">
        <v>1624</v>
      </c>
      <c r="H1360" t="s">
        <v>1810</v>
      </c>
      <c r="I1360" t="s">
        <v>1634</v>
      </c>
      <c r="J1360" t="s">
        <v>10</v>
      </c>
      <c r="K1360">
        <v>3.5000000000000003E-2</v>
      </c>
      <c r="L1360">
        <v>833.00000000000011</v>
      </c>
      <c r="M1360" s="1">
        <v>30</v>
      </c>
      <c r="N1360">
        <v>0</v>
      </c>
      <c r="O1360">
        <v>0</v>
      </c>
      <c r="P1360">
        <v>23800</v>
      </c>
      <c r="Q1360" s="1">
        <v>23800</v>
      </c>
      <c r="R1360">
        <v>3.9E-2</v>
      </c>
      <c r="S1360" s="2">
        <v>46222</v>
      </c>
      <c r="T1360" s="2">
        <v>46255</v>
      </c>
      <c r="U1360">
        <v>1250</v>
      </c>
      <c r="V1360">
        <v>3800</v>
      </c>
      <c r="W1360">
        <v>3200</v>
      </c>
      <c r="X1360">
        <v>2225</v>
      </c>
      <c r="Y1360">
        <v>1250</v>
      </c>
      <c r="Z1360" s="8">
        <v>3800</v>
      </c>
      <c r="AA1360">
        <v>2618.75</v>
      </c>
      <c r="AB1360">
        <v>0.47732696897374699</v>
      </c>
      <c r="AC1360">
        <v>1.4510739856801909</v>
      </c>
      <c r="AD1360" s="1">
        <v>187</v>
      </c>
      <c r="AE1360" s="2">
        <v>46435</v>
      </c>
      <c r="AF1360" s="2">
        <v>46443</v>
      </c>
      <c r="AG1360" s="2">
        <v>46450</v>
      </c>
      <c r="AH1360">
        <v>2200</v>
      </c>
      <c r="AI1360" s="3">
        <v>0.59891107078039929</v>
      </c>
      <c r="AJ1360" s="1">
        <v>313</v>
      </c>
      <c r="AK1360" s="2">
        <v>46576</v>
      </c>
      <c r="AL1360" s="4">
        <v>30</v>
      </c>
      <c r="AM1360" s="5">
        <v>15</v>
      </c>
      <c r="AN1360" s="4">
        <v>187</v>
      </c>
      <c r="AO1360">
        <v>2275.8620689655172</v>
      </c>
      <c r="AP1360" s="4">
        <v>1</v>
      </c>
      <c r="AQ1360" t="s">
        <v>1619</v>
      </c>
      <c r="AR1360" t="s">
        <v>1620</v>
      </c>
      <c r="AT1360" s="16" t="str">
        <f>_xlfn.XLOOKUP(B1360,'SWiSH Demand Forecast Sep-26'!D:D,'SWiSH Demand Forecast Sep-26'!G:G,"Not Exist")</f>
        <v>Not Exist</v>
      </c>
    </row>
    <row r="1361" spans="1:46" x14ac:dyDescent="0.3">
      <c r="A1361">
        <v>101600072</v>
      </c>
      <c r="B1361" t="s">
        <v>3197</v>
      </c>
      <c r="C1361" t="s">
        <v>10</v>
      </c>
      <c r="D1361" t="s">
        <v>1699</v>
      </c>
      <c r="E1361" t="s">
        <v>1685</v>
      </c>
      <c r="F1361" t="s">
        <v>1631</v>
      </c>
      <c r="G1361" t="s">
        <v>1624</v>
      </c>
      <c r="H1361" t="s">
        <v>1768</v>
      </c>
      <c r="I1361" t="s">
        <v>1634</v>
      </c>
      <c r="J1361" t="s">
        <v>10</v>
      </c>
      <c r="K1361">
        <v>7.1999999999999995E-2</v>
      </c>
      <c r="L1361">
        <v>395.99999999999994</v>
      </c>
      <c r="M1361" s="1">
        <v>7</v>
      </c>
      <c r="N1361">
        <v>0</v>
      </c>
      <c r="O1361">
        <v>0</v>
      </c>
      <c r="P1361">
        <v>5500</v>
      </c>
      <c r="Q1361" s="1">
        <v>5500</v>
      </c>
      <c r="R1361">
        <v>18</v>
      </c>
      <c r="S1361" s="2">
        <v>45976</v>
      </c>
      <c r="T1361" s="2">
        <v>46159</v>
      </c>
      <c r="U1361">
        <v>850</v>
      </c>
      <c r="V1361">
        <v>250</v>
      </c>
      <c r="W1361">
        <v>0</v>
      </c>
      <c r="X1361">
        <v>0</v>
      </c>
      <c r="Y1361">
        <v>0</v>
      </c>
      <c r="Z1361" s="8">
        <v>850</v>
      </c>
      <c r="AA1361">
        <v>275</v>
      </c>
      <c r="AB1361">
        <v>0</v>
      </c>
      <c r="AC1361">
        <v>3.0909090909090908</v>
      </c>
      <c r="AD1361" s="1">
        <v>194</v>
      </c>
      <c r="AE1361" s="2">
        <v>46442</v>
      </c>
      <c r="AF1361" s="2">
        <v>46450</v>
      </c>
      <c r="AG1361" s="2">
        <v>46457</v>
      </c>
      <c r="AH1361">
        <v>0</v>
      </c>
      <c r="AI1361" s="3">
        <v>0</v>
      </c>
      <c r="AJ1361" s="1" t="s">
        <v>1635</v>
      </c>
      <c r="AK1361" s="2" t="s">
        <v>1635</v>
      </c>
      <c r="AL1361" s="4" t="s">
        <v>1658</v>
      </c>
      <c r="AM1361" s="5" t="s">
        <v>1658</v>
      </c>
      <c r="AN1361" s="4">
        <v>194</v>
      </c>
      <c r="AO1361" t="s">
        <v>1635</v>
      </c>
      <c r="AP1361" s="4" t="s">
        <v>1658</v>
      </c>
      <c r="AQ1361" t="s">
        <v>1619</v>
      </c>
      <c r="AR1361" t="s">
        <v>1620</v>
      </c>
      <c r="AT1361" s="16" t="str">
        <f>_xlfn.XLOOKUP(B1361,'SWiSH Demand Forecast Sep-26'!D:D,'SWiSH Demand Forecast Sep-26'!G:G,"Not Exist")</f>
        <v>Not Exist</v>
      </c>
    </row>
    <row r="1362" spans="1:46" hidden="1" x14ac:dyDescent="0.3">
      <c r="A1362">
        <v>106800165</v>
      </c>
      <c r="B1362" t="s">
        <v>517</v>
      </c>
      <c r="C1362" t="s">
        <v>10</v>
      </c>
      <c r="D1362" t="s">
        <v>1613</v>
      </c>
      <c r="E1362" t="s">
        <v>2587</v>
      </c>
      <c r="F1362" t="s">
        <v>1664</v>
      </c>
      <c r="G1362" t="s">
        <v>1624</v>
      </c>
      <c r="H1362" t="s">
        <v>1665</v>
      </c>
      <c r="I1362" t="s">
        <v>1634</v>
      </c>
      <c r="J1362" t="s">
        <v>10</v>
      </c>
      <c r="K1362">
        <v>8.0000000000000002E-3</v>
      </c>
      <c r="L1362">
        <v>260</v>
      </c>
      <c r="M1362" s="1">
        <v>7</v>
      </c>
      <c r="N1362">
        <v>0</v>
      </c>
      <c r="O1362">
        <v>0</v>
      </c>
      <c r="P1362">
        <v>32500</v>
      </c>
      <c r="Q1362" s="1">
        <v>32500</v>
      </c>
      <c r="R1362">
        <v>8.0000000000000002E-3</v>
      </c>
      <c r="S1362" s="2">
        <v>46179</v>
      </c>
      <c r="T1362" s="2">
        <v>46216</v>
      </c>
      <c r="U1362">
        <v>2500</v>
      </c>
      <c r="V1362">
        <v>5000</v>
      </c>
      <c r="W1362">
        <v>0</v>
      </c>
      <c r="X1362">
        <v>5000</v>
      </c>
      <c r="Y1362">
        <v>0</v>
      </c>
      <c r="Z1362" s="8">
        <v>5000</v>
      </c>
      <c r="AA1362">
        <v>3125</v>
      </c>
      <c r="AB1362">
        <v>0</v>
      </c>
      <c r="AC1362">
        <v>1.6</v>
      </c>
      <c r="AD1362" s="1">
        <v>195</v>
      </c>
      <c r="AE1362" s="2">
        <v>46443</v>
      </c>
      <c r="AF1362" s="2">
        <v>46451</v>
      </c>
      <c r="AG1362" s="2">
        <v>46458</v>
      </c>
      <c r="AH1362">
        <v>0</v>
      </c>
      <c r="AI1362" s="3">
        <v>0</v>
      </c>
      <c r="AJ1362" s="1" t="s">
        <v>1635</v>
      </c>
      <c r="AK1362" s="2" t="s">
        <v>1635</v>
      </c>
      <c r="AL1362" s="4">
        <v>30</v>
      </c>
      <c r="AM1362" s="5">
        <v>15</v>
      </c>
      <c r="AN1362" s="4">
        <v>195</v>
      </c>
      <c r="AO1362">
        <v>0</v>
      </c>
      <c r="AP1362" s="4">
        <v>1</v>
      </c>
      <c r="AQ1362" t="s">
        <v>1619</v>
      </c>
      <c r="AR1362" t="s">
        <v>1620</v>
      </c>
      <c r="AT1362" s="16">
        <f>_xlfn.XLOOKUP(B1362,'SWiSH Demand Forecast Sep-26'!D:D,'SWiSH Demand Forecast Sep-26'!G:G,"Not Exist")</f>
        <v>1429</v>
      </c>
    </row>
    <row r="1363" spans="1:46" x14ac:dyDescent="0.3">
      <c r="A1363">
        <v>105900048</v>
      </c>
      <c r="B1363" t="s">
        <v>3198</v>
      </c>
      <c r="C1363" t="s">
        <v>10</v>
      </c>
      <c r="D1363" t="s">
        <v>1613</v>
      </c>
      <c r="E1363" t="s">
        <v>1732</v>
      </c>
      <c r="F1363" t="s">
        <v>1664</v>
      </c>
      <c r="G1363" t="s">
        <v>1616</v>
      </c>
      <c r="H1363" t="s">
        <v>1729</v>
      </c>
      <c r="I1363" t="s">
        <v>1634</v>
      </c>
      <c r="J1363" t="s">
        <v>1733</v>
      </c>
      <c r="K1363">
        <v>5.3998199999999996E-3</v>
      </c>
      <c r="L1363">
        <v>366.10779599999995</v>
      </c>
      <c r="M1363" s="1">
        <v>90</v>
      </c>
      <c r="N1363">
        <v>0</v>
      </c>
      <c r="O1363">
        <v>0</v>
      </c>
      <c r="P1363">
        <v>67800</v>
      </c>
      <c r="Q1363" s="1">
        <v>67800</v>
      </c>
      <c r="R1363">
        <v>5.4799999999999996E-3</v>
      </c>
      <c r="S1363" s="2">
        <v>46214</v>
      </c>
      <c r="T1363" s="2">
        <v>46253</v>
      </c>
      <c r="U1363">
        <v>10200</v>
      </c>
      <c r="V1363">
        <v>0</v>
      </c>
      <c r="W1363">
        <v>0</v>
      </c>
      <c r="X1363">
        <v>5100</v>
      </c>
      <c r="Y1363">
        <v>0</v>
      </c>
      <c r="Z1363" s="8">
        <v>10200</v>
      </c>
      <c r="AA1363">
        <v>3825</v>
      </c>
      <c r="AB1363">
        <v>0</v>
      </c>
      <c r="AC1363">
        <v>2.6666666666666665</v>
      </c>
      <c r="AD1363" s="1">
        <v>199</v>
      </c>
      <c r="AE1363" s="2">
        <v>46447</v>
      </c>
      <c r="AF1363" s="2">
        <v>46455</v>
      </c>
      <c r="AG1363" s="2">
        <v>46462</v>
      </c>
      <c r="AH1363">
        <v>1600</v>
      </c>
      <c r="AI1363" s="3">
        <v>0.16227180527383367</v>
      </c>
      <c r="AJ1363" s="1">
        <v>1228</v>
      </c>
      <c r="AK1363" s="2">
        <v>47491</v>
      </c>
      <c r="AL1363" s="4">
        <v>120</v>
      </c>
      <c r="AM1363" s="5">
        <v>100</v>
      </c>
      <c r="AN1363" s="4">
        <v>199</v>
      </c>
      <c r="AO1363">
        <v>6620.6896551724139</v>
      </c>
      <c r="AP1363" s="4">
        <v>1</v>
      </c>
      <c r="AQ1363" t="s">
        <v>1619</v>
      </c>
      <c r="AR1363" t="s">
        <v>1620</v>
      </c>
      <c r="AT1363" s="16" t="str">
        <f>_xlfn.XLOOKUP(B1363,'SWiSH Demand Forecast Sep-26'!D:D,'SWiSH Demand Forecast Sep-26'!G:G,"Not Exist")</f>
        <v>Not Exist</v>
      </c>
    </row>
    <row r="1364" spans="1:46" x14ac:dyDescent="0.3">
      <c r="A1364">
        <v>106600069</v>
      </c>
      <c r="B1364" t="s">
        <v>3199</v>
      </c>
      <c r="C1364" t="s">
        <v>10</v>
      </c>
      <c r="D1364" t="s">
        <v>1675</v>
      </c>
      <c r="E1364" t="s">
        <v>1685</v>
      </c>
      <c r="F1364" t="s">
        <v>1664</v>
      </c>
      <c r="G1364" t="s">
        <v>1704</v>
      </c>
      <c r="H1364" t="s">
        <v>1723</v>
      </c>
      <c r="I1364" t="s">
        <v>1634</v>
      </c>
      <c r="J1364" t="s">
        <v>10</v>
      </c>
      <c r="K1364">
        <v>1.306366E-2</v>
      </c>
      <c r="L1364">
        <v>437.63261</v>
      </c>
      <c r="M1364" s="1">
        <v>15</v>
      </c>
      <c r="N1364">
        <v>0</v>
      </c>
      <c r="O1364">
        <v>0</v>
      </c>
      <c r="P1364">
        <v>33500</v>
      </c>
      <c r="Q1364" s="1">
        <v>33500</v>
      </c>
      <c r="R1364">
        <v>1.2999999999999999E-2</v>
      </c>
      <c r="S1364" s="2">
        <v>45942</v>
      </c>
      <c r="T1364" s="2">
        <v>46221</v>
      </c>
      <c r="U1364">
        <v>5000</v>
      </c>
      <c r="V1364">
        <v>1000</v>
      </c>
      <c r="W1364">
        <v>0</v>
      </c>
      <c r="X1364">
        <v>0</v>
      </c>
      <c r="Y1364">
        <v>0</v>
      </c>
      <c r="Z1364" s="8">
        <v>5000</v>
      </c>
      <c r="AA1364">
        <v>1500</v>
      </c>
      <c r="AB1364">
        <v>0</v>
      </c>
      <c r="AC1364">
        <v>3.3333333333333335</v>
      </c>
      <c r="AD1364" s="1">
        <v>201</v>
      </c>
      <c r="AE1364" s="2">
        <v>46449</v>
      </c>
      <c r="AF1364" s="2">
        <v>46457</v>
      </c>
      <c r="AG1364" s="2">
        <v>46464</v>
      </c>
      <c r="AH1364">
        <v>0</v>
      </c>
      <c r="AI1364" s="3">
        <v>0</v>
      </c>
      <c r="AJ1364" s="1" t="s">
        <v>1635</v>
      </c>
      <c r="AK1364" s="2" t="s">
        <v>1635</v>
      </c>
      <c r="AL1364" s="4" t="s">
        <v>1658</v>
      </c>
      <c r="AM1364" s="5" t="s">
        <v>1658</v>
      </c>
      <c r="AN1364" s="4">
        <v>201</v>
      </c>
      <c r="AO1364" t="s">
        <v>1635</v>
      </c>
      <c r="AP1364" s="4" t="s">
        <v>1658</v>
      </c>
      <c r="AQ1364" t="s">
        <v>1619</v>
      </c>
      <c r="AR1364" t="s">
        <v>1620</v>
      </c>
      <c r="AT1364" s="16" t="str">
        <f>_xlfn.XLOOKUP(B1364,'SWiSH Demand Forecast Sep-26'!D:D,'SWiSH Demand Forecast Sep-26'!G:G,"Not Exist")</f>
        <v>Not Exist</v>
      </c>
    </row>
    <row r="1365" spans="1:46" hidden="1" x14ac:dyDescent="0.3">
      <c r="A1365">
        <v>105900021</v>
      </c>
      <c r="B1365" t="s">
        <v>81</v>
      </c>
      <c r="C1365" t="s">
        <v>10</v>
      </c>
      <c r="D1365" t="s">
        <v>1613</v>
      </c>
      <c r="E1365" t="s">
        <v>1732</v>
      </c>
      <c r="F1365" t="s">
        <v>1664</v>
      </c>
      <c r="G1365" t="s">
        <v>1616</v>
      </c>
      <c r="H1365" t="s">
        <v>1729</v>
      </c>
      <c r="I1365" t="s">
        <v>1634</v>
      </c>
      <c r="J1365" t="s">
        <v>1733</v>
      </c>
      <c r="K1365">
        <v>4.2985300000000001E-3</v>
      </c>
      <c r="L1365">
        <v>1673.417729</v>
      </c>
      <c r="M1365" s="1">
        <v>90</v>
      </c>
      <c r="N1365">
        <v>0</v>
      </c>
      <c r="O1365">
        <v>0</v>
      </c>
      <c r="P1365">
        <v>389300</v>
      </c>
      <c r="Q1365" s="1">
        <v>389300</v>
      </c>
      <c r="R1365">
        <v>5.4799999999999996E-3</v>
      </c>
      <c r="S1365" s="2">
        <v>46214</v>
      </c>
      <c r="T1365" s="2">
        <v>46263</v>
      </c>
      <c r="U1365">
        <v>58000</v>
      </c>
      <c r="V1365">
        <v>45000</v>
      </c>
      <c r="W1365">
        <v>46500</v>
      </c>
      <c r="X1365">
        <v>51600</v>
      </c>
      <c r="Y1365">
        <v>45000</v>
      </c>
      <c r="Z1365" s="8">
        <v>58000</v>
      </c>
      <c r="AA1365">
        <v>50275</v>
      </c>
      <c r="AB1365">
        <v>0.89507707608155151</v>
      </c>
      <c r="AC1365">
        <v>1.1536548980606662</v>
      </c>
      <c r="AD1365" s="1">
        <v>201</v>
      </c>
      <c r="AE1365" s="2">
        <v>46449</v>
      </c>
      <c r="AF1365" s="2">
        <v>46457</v>
      </c>
      <c r="AG1365" s="2">
        <v>46464</v>
      </c>
      <c r="AH1365">
        <v>57800</v>
      </c>
      <c r="AI1365" s="3">
        <v>1.0309155766944114</v>
      </c>
      <c r="AJ1365" s="1">
        <v>195</v>
      </c>
      <c r="AK1365" s="2">
        <v>46458</v>
      </c>
      <c r="AL1365" s="4">
        <v>120</v>
      </c>
      <c r="AM1365" s="5">
        <v>100</v>
      </c>
      <c r="AN1365" s="4">
        <v>195</v>
      </c>
      <c r="AO1365">
        <v>239172.41379310345</v>
      </c>
      <c r="AP1365" s="4">
        <v>1</v>
      </c>
      <c r="AQ1365" t="s">
        <v>1619</v>
      </c>
      <c r="AR1365" t="s">
        <v>1620</v>
      </c>
      <c r="AT1365" s="16">
        <f>_xlfn.XLOOKUP(B1365,'SWiSH Demand Forecast Sep-26'!D:D,'SWiSH Demand Forecast Sep-26'!G:G,"Not Exist")</f>
        <v>27472</v>
      </c>
    </row>
    <row r="1366" spans="1:46" hidden="1" x14ac:dyDescent="0.3">
      <c r="A1366">
        <v>106800086</v>
      </c>
      <c r="B1366" t="s">
        <v>425</v>
      </c>
      <c r="C1366" t="s">
        <v>10</v>
      </c>
      <c r="D1366" t="s">
        <v>1613</v>
      </c>
      <c r="E1366" t="s">
        <v>1655</v>
      </c>
      <c r="F1366" t="s">
        <v>1664</v>
      </c>
      <c r="G1366" t="s">
        <v>1624</v>
      </c>
      <c r="H1366" t="s">
        <v>1665</v>
      </c>
      <c r="I1366" t="s">
        <v>1634</v>
      </c>
      <c r="J1366" t="s">
        <v>10</v>
      </c>
      <c r="K1366">
        <v>4.6771900000000003E-3</v>
      </c>
      <c r="L1366">
        <v>159.02446</v>
      </c>
      <c r="M1366" s="1">
        <v>7</v>
      </c>
      <c r="N1366">
        <v>0</v>
      </c>
      <c r="O1366">
        <v>0</v>
      </c>
      <c r="P1366">
        <v>34000</v>
      </c>
      <c r="Q1366" s="1">
        <v>34000</v>
      </c>
      <c r="R1366">
        <v>5.0000000000000001E-3</v>
      </c>
      <c r="S1366" s="2">
        <v>46186</v>
      </c>
      <c r="T1366" s="2">
        <v>46239</v>
      </c>
      <c r="U1366">
        <v>5000</v>
      </c>
      <c r="V1366">
        <v>2000</v>
      </c>
      <c r="W1366">
        <v>1000</v>
      </c>
      <c r="X1366">
        <v>0</v>
      </c>
      <c r="Y1366">
        <v>0</v>
      </c>
      <c r="Z1366" s="8">
        <v>5000</v>
      </c>
      <c r="AA1366">
        <v>2000</v>
      </c>
      <c r="AB1366">
        <v>0</v>
      </c>
      <c r="AC1366">
        <v>2.5</v>
      </c>
      <c r="AD1366" s="1">
        <v>204</v>
      </c>
      <c r="AE1366" s="2">
        <v>46452</v>
      </c>
      <c r="AF1366" s="2">
        <v>46460</v>
      </c>
      <c r="AG1366" s="2">
        <v>46467</v>
      </c>
      <c r="AH1366">
        <v>2000</v>
      </c>
      <c r="AI1366" s="3">
        <v>0.4137931034482758</v>
      </c>
      <c r="AJ1366" s="1">
        <v>493</v>
      </c>
      <c r="AK1366" s="2">
        <v>46756</v>
      </c>
      <c r="AL1366" s="4">
        <v>30</v>
      </c>
      <c r="AM1366" s="5">
        <v>15</v>
      </c>
      <c r="AN1366" s="4">
        <v>204</v>
      </c>
      <c r="AO1366">
        <v>2068.9655172413791</v>
      </c>
      <c r="AP1366" s="4">
        <v>1</v>
      </c>
      <c r="AQ1366" t="s">
        <v>1619</v>
      </c>
      <c r="AR1366" t="s">
        <v>1620</v>
      </c>
      <c r="AT1366" s="16">
        <f>_xlfn.XLOOKUP(B1366,'SWiSH Demand Forecast Sep-26'!D:D,'SWiSH Demand Forecast Sep-26'!G:G,"Not Exist")</f>
        <v>2368</v>
      </c>
    </row>
    <row r="1367" spans="1:46" x14ac:dyDescent="0.3">
      <c r="A1367">
        <v>107400029</v>
      </c>
      <c r="B1367" t="s">
        <v>3200</v>
      </c>
      <c r="C1367" t="s">
        <v>10</v>
      </c>
      <c r="D1367" t="s">
        <v>1675</v>
      </c>
      <c r="E1367" t="s">
        <v>1685</v>
      </c>
      <c r="F1367" t="s">
        <v>1664</v>
      </c>
      <c r="G1367" t="s">
        <v>1704</v>
      </c>
      <c r="H1367" t="s">
        <v>2016</v>
      </c>
      <c r="I1367" t="s">
        <v>1634</v>
      </c>
      <c r="J1367" t="s">
        <v>10</v>
      </c>
      <c r="K1367">
        <v>6.0000000000000001E-3</v>
      </c>
      <c r="L1367">
        <v>327</v>
      </c>
      <c r="M1367" s="1">
        <v>15</v>
      </c>
      <c r="N1367">
        <v>0</v>
      </c>
      <c r="O1367">
        <v>0</v>
      </c>
      <c r="P1367">
        <v>54500</v>
      </c>
      <c r="Q1367" s="1">
        <v>54500</v>
      </c>
      <c r="R1367">
        <v>6.0000000000000001E-3</v>
      </c>
      <c r="S1367" s="2">
        <v>46116</v>
      </c>
      <c r="T1367" s="2">
        <v>46221</v>
      </c>
      <c r="U1367">
        <v>8000</v>
      </c>
      <c r="V1367">
        <v>0</v>
      </c>
      <c r="W1367">
        <v>0</v>
      </c>
      <c r="X1367">
        <v>0</v>
      </c>
      <c r="Y1367">
        <v>0</v>
      </c>
      <c r="Z1367" s="8">
        <v>8000</v>
      </c>
      <c r="AA1367">
        <v>2000</v>
      </c>
      <c r="AB1367">
        <v>0</v>
      </c>
      <c r="AC1367">
        <v>4</v>
      </c>
      <c r="AD1367" s="1">
        <v>204</v>
      </c>
      <c r="AE1367" s="2">
        <v>46452</v>
      </c>
      <c r="AF1367" s="2">
        <v>46460</v>
      </c>
      <c r="AG1367" s="2">
        <v>46467</v>
      </c>
      <c r="AH1367">
        <v>0</v>
      </c>
      <c r="AI1367" s="3">
        <v>0</v>
      </c>
      <c r="AJ1367" s="1" t="s">
        <v>1635</v>
      </c>
      <c r="AK1367" s="2" t="s">
        <v>1635</v>
      </c>
      <c r="AL1367" s="4" t="s">
        <v>1658</v>
      </c>
      <c r="AM1367" s="5" t="s">
        <v>1658</v>
      </c>
      <c r="AN1367" s="4">
        <v>204</v>
      </c>
      <c r="AO1367" t="s">
        <v>1635</v>
      </c>
      <c r="AP1367" s="4" t="s">
        <v>1658</v>
      </c>
      <c r="AQ1367" t="s">
        <v>1619</v>
      </c>
      <c r="AR1367" t="s">
        <v>1620</v>
      </c>
      <c r="AT1367" s="16" t="str">
        <f>_xlfn.XLOOKUP(B1367,'SWiSH Demand Forecast Sep-26'!D:D,'SWiSH Demand Forecast Sep-26'!G:G,"Not Exist")</f>
        <v>Not Exist</v>
      </c>
    </row>
    <row r="1368" spans="1:46" x14ac:dyDescent="0.3">
      <c r="A1368">
        <v>106600061</v>
      </c>
      <c r="B1368" t="s">
        <v>3201</v>
      </c>
      <c r="C1368" t="s">
        <v>10</v>
      </c>
      <c r="D1368" t="s">
        <v>1613</v>
      </c>
      <c r="E1368" t="s">
        <v>1685</v>
      </c>
      <c r="F1368" t="s">
        <v>1664</v>
      </c>
      <c r="G1368" t="s">
        <v>1624</v>
      </c>
      <c r="H1368" t="s">
        <v>1723</v>
      </c>
      <c r="I1368" t="s">
        <v>1634</v>
      </c>
      <c r="J1368" t="s">
        <v>10</v>
      </c>
      <c r="K1368">
        <v>1.0999999999999999E-2</v>
      </c>
      <c r="L1368">
        <v>91.3</v>
      </c>
      <c r="M1368" s="1">
        <v>15</v>
      </c>
      <c r="N1368">
        <v>0</v>
      </c>
      <c r="O1368">
        <v>0</v>
      </c>
      <c r="P1368">
        <v>8300</v>
      </c>
      <c r="Q1368" s="1">
        <v>8300</v>
      </c>
      <c r="R1368">
        <v>1.0999999999999999E-2</v>
      </c>
      <c r="S1368" s="2">
        <v>46204</v>
      </c>
      <c r="T1368" s="2">
        <v>46254</v>
      </c>
      <c r="U1368">
        <v>1100</v>
      </c>
      <c r="V1368">
        <v>1200</v>
      </c>
      <c r="W1368">
        <v>1000</v>
      </c>
      <c r="X1368">
        <v>1000</v>
      </c>
      <c r="Y1368">
        <v>1000</v>
      </c>
      <c r="Z1368" s="8">
        <v>1200</v>
      </c>
      <c r="AA1368">
        <v>1075</v>
      </c>
      <c r="AB1368">
        <v>0.93023255813953487</v>
      </c>
      <c r="AC1368">
        <v>1.1162790697674418</v>
      </c>
      <c r="AD1368" s="1">
        <v>207</v>
      </c>
      <c r="AE1368" s="2">
        <v>46455</v>
      </c>
      <c r="AF1368" s="2">
        <v>46463</v>
      </c>
      <c r="AG1368" s="2">
        <v>46470</v>
      </c>
      <c r="AH1368">
        <v>800</v>
      </c>
      <c r="AI1368" s="3">
        <v>0.68965517241379315</v>
      </c>
      <c r="AJ1368" s="1">
        <v>300</v>
      </c>
      <c r="AK1368" s="2">
        <v>46563</v>
      </c>
      <c r="AL1368" s="4">
        <v>30</v>
      </c>
      <c r="AM1368" s="5">
        <v>15</v>
      </c>
      <c r="AN1368" s="4">
        <v>207</v>
      </c>
      <c r="AO1368">
        <v>827.58620689655174</v>
      </c>
      <c r="AP1368" s="4">
        <v>1</v>
      </c>
      <c r="AQ1368" t="s">
        <v>1619</v>
      </c>
      <c r="AR1368" t="s">
        <v>1620</v>
      </c>
      <c r="AT1368" s="16" t="str">
        <f>_xlfn.XLOOKUP(B1368,'SWiSH Demand Forecast Sep-26'!D:D,'SWiSH Demand Forecast Sep-26'!G:G,"Not Exist")</f>
        <v>Not Exist</v>
      </c>
    </row>
    <row r="1369" spans="1:46" x14ac:dyDescent="0.3">
      <c r="A1369">
        <v>106800226</v>
      </c>
      <c r="B1369" t="s">
        <v>3202</v>
      </c>
      <c r="C1369" t="s">
        <v>10</v>
      </c>
      <c r="D1369" t="s">
        <v>1613</v>
      </c>
      <c r="E1369" t="s">
        <v>1663</v>
      </c>
      <c r="F1369" t="s">
        <v>1664</v>
      </c>
      <c r="G1369" t="s">
        <v>1624</v>
      </c>
      <c r="H1369" t="s">
        <v>1665</v>
      </c>
      <c r="I1369" t="s">
        <v>1634</v>
      </c>
      <c r="J1369" t="s">
        <v>10</v>
      </c>
      <c r="K1369">
        <v>3.0000000000000001E-3</v>
      </c>
      <c r="L1369">
        <v>105</v>
      </c>
      <c r="M1369" s="1">
        <v>15</v>
      </c>
      <c r="N1369">
        <v>0</v>
      </c>
      <c r="O1369">
        <v>0</v>
      </c>
      <c r="P1369">
        <v>35000</v>
      </c>
      <c r="Q1369" s="1">
        <v>35000</v>
      </c>
      <c r="R1369">
        <v>3.0000000000000001E-3</v>
      </c>
      <c r="S1369" s="2">
        <v>46149</v>
      </c>
      <c r="T1369" s="2">
        <v>46208</v>
      </c>
      <c r="U1369">
        <v>5000</v>
      </c>
      <c r="V1369">
        <v>0</v>
      </c>
      <c r="W1369">
        <v>0</v>
      </c>
      <c r="X1369">
        <v>2500</v>
      </c>
      <c r="Y1369">
        <v>0</v>
      </c>
      <c r="Z1369" s="8">
        <v>5000</v>
      </c>
      <c r="AA1369">
        <v>1875</v>
      </c>
      <c r="AB1369">
        <v>0</v>
      </c>
      <c r="AC1369">
        <v>2.6666666666666665</v>
      </c>
      <c r="AD1369" s="1">
        <v>210</v>
      </c>
      <c r="AE1369" s="2">
        <v>46458</v>
      </c>
      <c r="AF1369" s="2">
        <v>46466</v>
      </c>
      <c r="AG1369" s="2">
        <v>46473</v>
      </c>
      <c r="AH1369">
        <v>0</v>
      </c>
      <c r="AI1369" s="3">
        <v>0</v>
      </c>
      <c r="AJ1369" s="1" t="s">
        <v>1635</v>
      </c>
      <c r="AK1369" s="2" t="s">
        <v>1635</v>
      </c>
      <c r="AL1369" s="4">
        <v>30</v>
      </c>
      <c r="AM1369" s="5">
        <v>15</v>
      </c>
      <c r="AN1369" s="4">
        <v>210</v>
      </c>
      <c r="AO1369">
        <v>0</v>
      </c>
      <c r="AP1369" s="4">
        <v>1</v>
      </c>
      <c r="AQ1369" t="s">
        <v>1619</v>
      </c>
      <c r="AR1369" t="s">
        <v>1620</v>
      </c>
      <c r="AT1369" s="16" t="str">
        <f>_xlfn.XLOOKUP(B1369,'SWiSH Demand Forecast Sep-26'!D:D,'SWiSH Demand Forecast Sep-26'!G:G,"Not Exist")</f>
        <v>Not Exist</v>
      </c>
    </row>
    <row r="1370" spans="1:46" x14ac:dyDescent="0.3">
      <c r="A1370">
        <v>106800250</v>
      </c>
      <c r="B1370" t="s">
        <v>3203</v>
      </c>
      <c r="C1370" t="s">
        <v>10</v>
      </c>
      <c r="D1370" t="s">
        <v>1613</v>
      </c>
      <c r="E1370" t="s">
        <v>1663</v>
      </c>
      <c r="F1370" t="s">
        <v>1664</v>
      </c>
      <c r="G1370" t="s">
        <v>1624</v>
      </c>
      <c r="H1370" t="s">
        <v>1665</v>
      </c>
      <c r="I1370" t="s">
        <v>1634</v>
      </c>
      <c r="J1370" t="s">
        <v>10</v>
      </c>
      <c r="K1370">
        <v>5.0000000000000001E-3</v>
      </c>
      <c r="L1370">
        <v>175</v>
      </c>
      <c r="M1370" s="1">
        <v>7</v>
      </c>
      <c r="N1370">
        <v>0</v>
      </c>
      <c r="O1370">
        <v>0</v>
      </c>
      <c r="P1370">
        <v>35000</v>
      </c>
      <c r="Q1370" s="1">
        <v>35000</v>
      </c>
      <c r="R1370">
        <v>5.0000000000000001E-3</v>
      </c>
      <c r="S1370" s="2">
        <v>46160</v>
      </c>
      <c r="T1370" s="2">
        <v>46210</v>
      </c>
      <c r="U1370">
        <v>2500</v>
      </c>
      <c r="V1370">
        <v>5000</v>
      </c>
      <c r="W1370">
        <v>5000</v>
      </c>
      <c r="X1370">
        <v>2500</v>
      </c>
      <c r="Y1370">
        <v>2500</v>
      </c>
      <c r="Z1370" s="8">
        <v>5000</v>
      </c>
      <c r="AA1370">
        <v>3750</v>
      </c>
      <c r="AB1370">
        <v>0.66666666666666663</v>
      </c>
      <c r="AC1370">
        <v>1.3333333333333333</v>
      </c>
      <c r="AD1370" s="1">
        <v>210</v>
      </c>
      <c r="AE1370" s="2">
        <v>46458</v>
      </c>
      <c r="AF1370" s="2">
        <v>46466</v>
      </c>
      <c r="AG1370" s="2">
        <v>46473</v>
      </c>
      <c r="AH1370">
        <v>0</v>
      </c>
      <c r="AI1370" s="3">
        <v>0</v>
      </c>
      <c r="AJ1370" s="1" t="s">
        <v>1635</v>
      </c>
      <c r="AK1370" s="2" t="s">
        <v>1635</v>
      </c>
      <c r="AL1370" s="4">
        <v>30</v>
      </c>
      <c r="AM1370" s="5">
        <v>15</v>
      </c>
      <c r="AN1370" s="4">
        <v>210</v>
      </c>
      <c r="AO1370">
        <v>0</v>
      </c>
      <c r="AP1370" s="4">
        <v>1</v>
      </c>
      <c r="AQ1370" t="s">
        <v>1619</v>
      </c>
      <c r="AR1370" t="s">
        <v>1620</v>
      </c>
      <c r="AT1370" s="16" t="str">
        <f>_xlfn.XLOOKUP(B1370,'SWiSH Demand Forecast Sep-26'!D:D,'SWiSH Demand Forecast Sep-26'!G:G,"Not Exist")</f>
        <v>Not Exist</v>
      </c>
    </row>
    <row r="1371" spans="1:46" x14ac:dyDescent="0.3">
      <c r="A1371">
        <v>102600000</v>
      </c>
      <c r="B1371" t="s">
        <v>3204</v>
      </c>
      <c r="C1371" t="s">
        <v>10</v>
      </c>
      <c r="D1371" t="s">
        <v>1699</v>
      </c>
      <c r="E1371" t="s">
        <v>1638</v>
      </c>
      <c r="F1371" t="s">
        <v>1664</v>
      </c>
      <c r="G1371" t="s">
        <v>1624</v>
      </c>
      <c r="H1371" t="s">
        <v>3205</v>
      </c>
      <c r="I1371" t="s">
        <v>1634</v>
      </c>
      <c r="J1371" t="s">
        <v>10</v>
      </c>
      <c r="K1371">
        <v>0.75</v>
      </c>
      <c r="L1371">
        <v>105</v>
      </c>
      <c r="M1371" s="1">
        <v>15</v>
      </c>
      <c r="N1371">
        <v>0</v>
      </c>
      <c r="O1371">
        <v>0</v>
      </c>
      <c r="P1371">
        <v>140</v>
      </c>
      <c r="Q1371" s="1">
        <v>140</v>
      </c>
      <c r="R1371">
        <v>0.75</v>
      </c>
      <c r="S1371" s="2">
        <v>45864</v>
      </c>
      <c r="T1371" s="2">
        <v>46225</v>
      </c>
      <c r="U1371">
        <v>0</v>
      </c>
      <c r="V1371">
        <v>20</v>
      </c>
      <c r="W1371">
        <v>0</v>
      </c>
      <c r="X1371">
        <v>20</v>
      </c>
      <c r="Y1371">
        <v>0</v>
      </c>
      <c r="Z1371" s="8">
        <v>20</v>
      </c>
      <c r="AA1371">
        <v>10</v>
      </c>
      <c r="AB1371">
        <v>0</v>
      </c>
      <c r="AC1371">
        <v>2</v>
      </c>
      <c r="AD1371" s="1">
        <v>210</v>
      </c>
      <c r="AE1371" s="2">
        <v>46458</v>
      </c>
      <c r="AF1371" s="2">
        <v>46466</v>
      </c>
      <c r="AG1371" s="2">
        <v>46473</v>
      </c>
      <c r="AH1371">
        <v>0</v>
      </c>
      <c r="AI1371" s="3">
        <v>0</v>
      </c>
      <c r="AJ1371" s="1" t="s">
        <v>1635</v>
      </c>
      <c r="AK1371" s="2" t="s">
        <v>1635</v>
      </c>
      <c r="AL1371" s="4" t="s">
        <v>1658</v>
      </c>
      <c r="AM1371" s="5" t="s">
        <v>1658</v>
      </c>
      <c r="AN1371" s="4">
        <v>210</v>
      </c>
      <c r="AO1371" t="s">
        <v>1635</v>
      </c>
      <c r="AP1371" s="4" t="s">
        <v>1658</v>
      </c>
      <c r="AQ1371" t="s">
        <v>1619</v>
      </c>
      <c r="AR1371" t="s">
        <v>1620</v>
      </c>
      <c r="AT1371" s="16" t="str">
        <f>_xlfn.XLOOKUP(B1371,'SWiSH Demand Forecast Sep-26'!D:D,'SWiSH Demand Forecast Sep-26'!G:G,"Not Exist")</f>
        <v>Not Exist</v>
      </c>
    </row>
    <row r="1372" spans="1:46" x14ac:dyDescent="0.3">
      <c r="A1372">
        <v>102600005</v>
      </c>
      <c r="B1372" t="s">
        <v>3206</v>
      </c>
      <c r="C1372" t="s">
        <v>10</v>
      </c>
      <c r="D1372" t="s">
        <v>1613</v>
      </c>
      <c r="E1372" t="s">
        <v>1663</v>
      </c>
      <c r="F1372" t="s">
        <v>1664</v>
      </c>
      <c r="G1372" t="s">
        <v>1624</v>
      </c>
      <c r="H1372" t="s">
        <v>3205</v>
      </c>
      <c r="I1372" t="s">
        <v>1634</v>
      </c>
      <c r="J1372" t="s">
        <v>10</v>
      </c>
      <c r="K1372">
        <v>0.6</v>
      </c>
      <c r="L1372">
        <v>420</v>
      </c>
      <c r="M1372" s="1">
        <v>15</v>
      </c>
      <c r="N1372">
        <v>0</v>
      </c>
      <c r="O1372">
        <v>0</v>
      </c>
      <c r="P1372">
        <v>700</v>
      </c>
      <c r="Q1372" s="1">
        <v>700</v>
      </c>
      <c r="R1372">
        <v>0.6</v>
      </c>
      <c r="S1372" s="2">
        <v>46208</v>
      </c>
      <c r="T1372" s="2">
        <v>46239</v>
      </c>
      <c r="U1372">
        <v>0</v>
      </c>
      <c r="V1372">
        <v>100</v>
      </c>
      <c r="W1372">
        <v>0</v>
      </c>
      <c r="X1372">
        <v>100</v>
      </c>
      <c r="Y1372">
        <v>0</v>
      </c>
      <c r="Z1372" s="8">
        <v>100</v>
      </c>
      <c r="AA1372">
        <v>50</v>
      </c>
      <c r="AB1372">
        <v>0</v>
      </c>
      <c r="AC1372">
        <v>2</v>
      </c>
      <c r="AD1372" s="1">
        <v>210</v>
      </c>
      <c r="AE1372" s="2">
        <v>46458</v>
      </c>
      <c r="AF1372" s="2">
        <v>46466</v>
      </c>
      <c r="AG1372" s="2">
        <v>46473</v>
      </c>
      <c r="AH1372">
        <v>100</v>
      </c>
      <c r="AI1372" s="3">
        <v>1.0344827586206897</v>
      </c>
      <c r="AJ1372" s="1">
        <v>203</v>
      </c>
      <c r="AK1372" s="2">
        <v>46466</v>
      </c>
      <c r="AL1372" s="4">
        <v>30</v>
      </c>
      <c r="AM1372" s="5">
        <v>15</v>
      </c>
      <c r="AN1372" s="4">
        <v>203</v>
      </c>
      <c r="AO1372">
        <v>103.44827586206897</v>
      </c>
      <c r="AP1372" s="4">
        <v>1</v>
      </c>
      <c r="AQ1372" t="s">
        <v>1619</v>
      </c>
      <c r="AR1372" t="s">
        <v>1620</v>
      </c>
      <c r="AT1372" s="16" t="str">
        <f>_xlfn.XLOOKUP(B1372,'SWiSH Demand Forecast Sep-26'!D:D,'SWiSH Demand Forecast Sep-26'!G:G,"Not Exist")</f>
        <v>Not Exist</v>
      </c>
    </row>
    <row r="1373" spans="1:46" x14ac:dyDescent="0.3">
      <c r="A1373">
        <v>106800014</v>
      </c>
      <c r="B1373" t="s">
        <v>3207</v>
      </c>
      <c r="C1373" t="s">
        <v>10</v>
      </c>
      <c r="D1373" t="s">
        <v>1613</v>
      </c>
      <c r="E1373" t="s">
        <v>1832</v>
      </c>
      <c r="F1373" t="s">
        <v>1664</v>
      </c>
      <c r="G1373" t="s">
        <v>1624</v>
      </c>
      <c r="H1373" t="s">
        <v>1665</v>
      </c>
      <c r="I1373" t="s">
        <v>1634</v>
      </c>
      <c r="J1373" t="s">
        <v>10</v>
      </c>
      <c r="K1373">
        <v>3.0000000000000001E-3</v>
      </c>
      <c r="L1373">
        <v>105</v>
      </c>
      <c r="M1373" s="1">
        <v>7</v>
      </c>
      <c r="N1373">
        <v>0</v>
      </c>
      <c r="O1373">
        <v>0</v>
      </c>
      <c r="P1373">
        <v>35000</v>
      </c>
      <c r="Q1373" s="1">
        <v>35000</v>
      </c>
      <c r="R1373">
        <v>3.0000000000000001E-3</v>
      </c>
      <c r="S1373" s="2">
        <v>45790</v>
      </c>
      <c r="T1373" s="2">
        <v>46250</v>
      </c>
      <c r="U1373">
        <v>5000</v>
      </c>
      <c r="V1373">
        <v>5000</v>
      </c>
      <c r="W1373">
        <v>5000</v>
      </c>
      <c r="X1373">
        <v>5000</v>
      </c>
      <c r="Y1373">
        <v>5000</v>
      </c>
      <c r="Z1373" s="8">
        <v>5000</v>
      </c>
      <c r="AA1373">
        <v>5000</v>
      </c>
      <c r="AB1373">
        <v>1</v>
      </c>
      <c r="AC1373">
        <v>1</v>
      </c>
      <c r="AD1373" s="1">
        <v>210</v>
      </c>
      <c r="AE1373" s="2">
        <v>46458</v>
      </c>
      <c r="AF1373" s="2">
        <v>46466</v>
      </c>
      <c r="AG1373" s="2">
        <v>46473</v>
      </c>
      <c r="AH1373">
        <v>5000</v>
      </c>
      <c r="AI1373" s="3">
        <v>1.0344827586206897</v>
      </c>
      <c r="AJ1373" s="1">
        <v>203</v>
      </c>
      <c r="AK1373" s="2">
        <v>46466</v>
      </c>
      <c r="AL1373" s="4">
        <v>30</v>
      </c>
      <c r="AM1373" s="5">
        <v>15</v>
      </c>
      <c r="AN1373" s="4">
        <v>203</v>
      </c>
      <c r="AO1373">
        <v>5172.4137931034484</v>
      </c>
      <c r="AP1373" s="4">
        <v>1</v>
      </c>
      <c r="AQ1373" t="s">
        <v>1619</v>
      </c>
      <c r="AR1373" t="s">
        <v>1620</v>
      </c>
      <c r="AT1373" s="16" t="str">
        <f>_xlfn.XLOOKUP(B1373,'SWiSH Demand Forecast Sep-26'!D:D,'SWiSH Demand Forecast Sep-26'!G:G,"Not Exist")</f>
        <v>Not Exist</v>
      </c>
    </row>
    <row r="1374" spans="1:46" hidden="1" x14ac:dyDescent="0.3">
      <c r="A1374">
        <v>106800101</v>
      </c>
      <c r="B1374" t="s">
        <v>668</v>
      </c>
      <c r="C1374" t="s">
        <v>10</v>
      </c>
      <c r="D1374" t="s">
        <v>1613</v>
      </c>
      <c r="E1374" t="s">
        <v>1655</v>
      </c>
      <c r="F1374" t="s">
        <v>1664</v>
      </c>
      <c r="G1374" t="s">
        <v>1624</v>
      </c>
      <c r="H1374" t="s">
        <v>1665</v>
      </c>
      <c r="I1374" t="s">
        <v>1634</v>
      </c>
      <c r="J1374" t="s">
        <v>10</v>
      </c>
      <c r="K1374">
        <v>4.0204100000000003E-3</v>
      </c>
      <c r="L1374">
        <v>168.85722000000001</v>
      </c>
      <c r="M1374" s="1">
        <v>7</v>
      </c>
      <c r="N1374">
        <v>0</v>
      </c>
      <c r="O1374">
        <v>0</v>
      </c>
      <c r="P1374">
        <v>42000</v>
      </c>
      <c r="Q1374" s="1">
        <v>42000</v>
      </c>
      <c r="R1374">
        <v>5.0000000000000001E-3</v>
      </c>
      <c r="S1374" s="2">
        <v>46244</v>
      </c>
      <c r="T1374" s="2">
        <v>46261</v>
      </c>
      <c r="U1374">
        <v>3000</v>
      </c>
      <c r="V1374">
        <v>6000</v>
      </c>
      <c r="W1374">
        <v>6000</v>
      </c>
      <c r="X1374">
        <v>4000</v>
      </c>
      <c r="Y1374">
        <v>3000</v>
      </c>
      <c r="Z1374" s="8">
        <v>6000</v>
      </c>
      <c r="AA1374">
        <v>4750</v>
      </c>
      <c r="AB1374">
        <v>0.63157894736842102</v>
      </c>
      <c r="AC1374">
        <v>1.263157894736842</v>
      </c>
      <c r="AD1374" s="1">
        <v>210</v>
      </c>
      <c r="AE1374" s="2">
        <v>46458</v>
      </c>
      <c r="AF1374" s="2">
        <v>46466</v>
      </c>
      <c r="AG1374" s="2">
        <v>46473</v>
      </c>
      <c r="AH1374">
        <v>9000</v>
      </c>
      <c r="AI1374" s="3">
        <v>1.5517241379310345</v>
      </c>
      <c r="AJ1374" s="1">
        <v>135</v>
      </c>
      <c r="AK1374" s="2">
        <v>46398</v>
      </c>
      <c r="AL1374" s="4">
        <v>30</v>
      </c>
      <c r="AM1374" s="5">
        <v>15</v>
      </c>
      <c r="AN1374" s="4">
        <v>135</v>
      </c>
      <c r="AO1374">
        <v>9310.3448275862065</v>
      </c>
      <c r="AP1374" s="4">
        <v>1</v>
      </c>
      <c r="AQ1374">
        <v>50000</v>
      </c>
      <c r="AR1374" t="s">
        <v>1829</v>
      </c>
      <c r="AT1374" s="16">
        <f>_xlfn.XLOOKUP(B1374,'SWiSH Demand Forecast Sep-26'!D:D,'SWiSH Demand Forecast Sep-26'!G:G,"Not Exist")</f>
        <v>688</v>
      </c>
    </row>
    <row r="1375" spans="1:46" hidden="1" x14ac:dyDescent="0.3">
      <c r="A1375">
        <v>100400195</v>
      </c>
      <c r="B1375" t="s">
        <v>560</v>
      </c>
      <c r="C1375" t="s">
        <v>10</v>
      </c>
      <c r="D1375" t="s">
        <v>1613</v>
      </c>
      <c r="E1375" t="s">
        <v>1663</v>
      </c>
      <c r="F1375" t="s">
        <v>1664</v>
      </c>
      <c r="G1375" t="s">
        <v>1624</v>
      </c>
      <c r="H1375" t="s">
        <v>1810</v>
      </c>
      <c r="I1375" t="s">
        <v>1634</v>
      </c>
      <c r="J1375" t="s">
        <v>10</v>
      </c>
      <c r="K1375">
        <v>0.10404134</v>
      </c>
      <c r="L1375">
        <v>1030.009266</v>
      </c>
      <c r="M1375" s="1">
        <v>30</v>
      </c>
      <c r="N1375">
        <v>0</v>
      </c>
      <c r="O1375">
        <v>0</v>
      </c>
      <c r="P1375">
        <v>9900</v>
      </c>
      <c r="Q1375" s="1">
        <v>9900</v>
      </c>
      <c r="R1375">
        <v>0.105</v>
      </c>
      <c r="S1375" s="2">
        <v>46221</v>
      </c>
      <c r="T1375" s="2">
        <v>46263</v>
      </c>
      <c r="U1375">
        <v>600</v>
      </c>
      <c r="V1375">
        <v>1100</v>
      </c>
      <c r="W1375">
        <v>810</v>
      </c>
      <c r="X1375">
        <v>1400</v>
      </c>
      <c r="Y1375">
        <v>600</v>
      </c>
      <c r="Z1375" s="8">
        <v>1400</v>
      </c>
      <c r="AA1375">
        <v>977.5</v>
      </c>
      <c r="AB1375">
        <v>0.61381074168797956</v>
      </c>
      <c r="AC1375">
        <v>1.4322250639386189</v>
      </c>
      <c r="AD1375" s="1">
        <v>212</v>
      </c>
      <c r="AE1375" s="2">
        <v>46460</v>
      </c>
      <c r="AF1375" s="2">
        <v>46468</v>
      </c>
      <c r="AG1375" s="2">
        <v>46475</v>
      </c>
      <c r="AH1375">
        <v>1090</v>
      </c>
      <c r="AI1375" s="3">
        <v>0.80541871921182262</v>
      </c>
      <c r="AJ1375" s="1">
        <v>263</v>
      </c>
      <c r="AK1375" s="2">
        <v>46526</v>
      </c>
      <c r="AL1375" s="4">
        <v>30</v>
      </c>
      <c r="AM1375" s="5">
        <v>15</v>
      </c>
      <c r="AN1375" s="4">
        <v>212</v>
      </c>
      <c r="AO1375">
        <v>1127.5862068965516</v>
      </c>
      <c r="AP1375" s="4">
        <v>1</v>
      </c>
      <c r="AQ1375" t="s">
        <v>1619</v>
      </c>
      <c r="AR1375" t="s">
        <v>1620</v>
      </c>
      <c r="AT1375" s="16">
        <f>_xlfn.XLOOKUP(B1375,'SWiSH Demand Forecast Sep-26'!D:D,'SWiSH Demand Forecast Sep-26'!G:G,"Not Exist")</f>
        <v>1190</v>
      </c>
    </row>
    <row r="1376" spans="1:46" x14ac:dyDescent="0.3">
      <c r="A1376">
        <v>106800129</v>
      </c>
      <c r="B1376" t="s">
        <v>3208</v>
      </c>
      <c r="C1376" t="s">
        <v>10</v>
      </c>
      <c r="D1376" t="s">
        <v>1613</v>
      </c>
      <c r="E1376" t="s">
        <v>1638</v>
      </c>
      <c r="F1376" t="s">
        <v>1664</v>
      </c>
      <c r="G1376" t="s">
        <v>1624</v>
      </c>
      <c r="H1376" t="s">
        <v>1665</v>
      </c>
      <c r="I1376" t="s">
        <v>1634</v>
      </c>
      <c r="J1376" t="s">
        <v>10</v>
      </c>
      <c r="K1376">
        <v>7.4999999999999997E-3</v>
      </c>
      <c r="L1376">
        <v>375</v>
      </c>
      <c r="M1376" s="1">
        <v>7</v>
      </c>
      <c r="N1376">
        <v>0</v>
      </c>
      <c r="O1376">
        <v>0</v>
      </c>
      <c r="P1376">
        <v>50000</v>
      </c>
      <c r="Q1376" s="1">
        <v>50000</v>
      </c>
      <c r="R1376">
        <v>7.4999999999999997E-3</v>
      </c>
      <c r="S1376" s="2">
        <v>46211</v>
      </c>
      <c r="T1376" s="2">
        <v>46256</v>
      </c>
      <c r="U1376">
        <v>6000</v>
      </c>
      <c r="V1376">
        <v>7000</v>
      </c>
      <c r="W1376">
        <v>7000</v>
      </c>
      <c r="X1376">
        <v>6000</v>
      </c>
      <c r="Y1376">
        <v>6000</v>
      </c>
      <c r="Z1376" s="8">
        <v>7000</v>
      </c>
      <c r="AA1376">
        <v>6500</v>
      </c>
      <c r="AB1376">
        <v>0.92307692307692313</v>
      </c>
      <c r="AC1376">
        <v>1.0769230769230769</v>
      </c>
      <c r="AD1376" s="1">
        <v>214</v>
      </c>
      <c r="AE1376" s="2">
        <v>46462</v>
      </c>
      <c r="AF1376" s="2">
        <v>46470</v>
      </c>
      <c r="AG1376" s="2">
        <v>46477</v>
      </c>
      <c r="AH1376">
        <v>7000</v>
      </c>
      <c r="AI1376" s="3">
        <v>1.0344827586206897</v>
      </c>
      <c r="AJ1376" s="1">
        <v>207</v>
      </c>
      <c r="AK1376" s="2">
        <v>46470</v>
      </c>
      <c r="AL1376" s="4">
        <v>30</v>
      </c>
      <c r="AM1376" s="5">
        <v>15</v>
      </c>
      <c r="AN1376" s="4">
        <v>207</v>
      </c>
      <c r="AO1376">
        <v>7241.3793103448279</v>
      </c>
      <c r="AP1376" s="4">
        <v>1</v>
      </c>
      <c r="AQ1376" t="s">
        <v>1619</v>
      </c>
      <c r="AR1376" t="s">
        <v>1620</v>
      </c>
      <c r="AT1376" s="16" t="str">
        <f>_xlfn.XLOOKUP(B1376,'SWiSH Demand Forecast Sep-26'!D:D,'SWiSH Demand Forecast Sep-26'!G:G,"Not Exist")</f>
        <v>Not Exist</v>
      </c>
    </row>
    <row r="1377" spans="1:46" hidden="1" x14ac:dyDescent="0.3">
      <c r="A1377">
        <v>106800090</v>
      </c>
      <c r="B1377" t="s">
        <v>531</v>
      </c>
      <c r="C1377" t="s">
        <v>10</v>
      </c>
      <c r="D1377" t="s">
        <v>1613</v>
      </c>
      <c r="E1377" t="s">
        <v>1655</v>
      </c>
      <c r="F1377" t="s">
        <v>1664</v>
      </c>
      <c r="G1377" t="s">
        <v>1624</v>
      </c>
      <c r="H1377" t="s">
        <v>1665</v>
      </c>
      <c r="I1377" t="s">
        <v>1634</v>
      </c>
      <c r="J1377" t="s">
        <v>10</v>
      </c>
      <c r="K1377">
        <v>4.9076099999999998E-3</v>
      </c>
      <c r="L1377">
        <v>147.22829999999999</v>
      </c>
      <c r="M1377" s="1">
        <v>7</v>
      </c>
      <c r="N1377">
        <v>0</v>
      </c>
      <c r="O1377">
        <v>1000</v>
      </c>
      <c r="P1377">
        <v>30000</v>
      </c>
      <c r="Q1377" s="1">
        <v>29000</v>
      </c>
      <c r="R1377">
        <v>5.0000000000000001E-3</v>
      </c>
      <c r="S1377" s="2">
        <v>46186</v>
      </c>
      <c r="T1377" s="2">
        <v>46261</v>
      </c>
      <c r="U1377">
        <v>1000</v>
      </c>
      <c r="V1377">
        <v>4000</v>
      </c>
      <c r="W1377">
        <v>1000</v>
      </c>
      <c r="X1377">
        <v>1000</v>
      </c>
      <c r="Y1377">
        <v>1000</v>
      </c>
      <c r="Z1377" s="8">
        <v>4000</v>
      </c>
      <c r="AA1377">
        <v>1750</v>
      </c>
      <c r="AB1377">
        <v>0.5714285714285714</v>
      </c>
      <c r="AC1377">
        <v>2.2857142857142856</v>
      </c>
      <c r="AD1377" s="1">
        <v>217</v>
      </c>
      <c r="AE1377" s="2">
        <v>46465</v>
      </c>
      <c r="AF1377" s="2">
        <v>46473</v>
      </c>
      <c r="AG1377" s="2">
        <v>46480</v>
      </c>
      <c r="AH1377">
        <v>0</v>
      </c>
      <c r="AI1377" s="3">
        <v>0</v>
      </c>
      <c r="AJ1377" s="1" t="s">
        <v>1635</v>
      </c>
      <c r="AK1377" s="2" t="s">
        <v>1635</v>
      </c>
      <c r="AL1377" s="4">
        <v>30</v>
      </c>
      <c r="AM1377" s="5">
        <v>15</v>
      </c>
      <c r="AN1377" s="4">
        <v>217</v>
      </c>
      <c r="AO1377">
        <v>0</v>
      </c>
      <c r="AP1377" s="4">
        <v>1</v>
      </c>
      <c r="AQ1377" t="s">
        <v>1619</v>
      </c>
      <c r="AR1377" t="s">
        <v>1620</v>
      </c>
      <c r="AT1377" s="16">
        <f>_xlfn.XLOOKUP(B1377,'SWiSH Demand Forecast Sep-26'!D:D,'SWiSH Demand Forecast Sep-26'!G:G,"Not Exist")</f>
        <v>1347</v>
      </c>
    </row>
    <row r="1378" spans="1:46" x14ac:dyDescent="0.3">
      <c r="A1378">
        <v>107400038</v>
      </c>
      <c r="B1378" t="s">
        <v>3209</v>
      </c>
      <c r="C1378" t="s">
        <v>10</v>
      </c>
      <c r="D1378" t="s">
        <v>1613</v>
      </c>
      <c r="E1378" t="s">
        <v>1638</v>
      </c>
      <c r="F1378" t="s">
        <v>1664</v>
      </c>
      <c r="G1378" t="s">
        <v>1624</v>
      </c>
      <c r="H1378" t="s">
        <v>2016</v>
      </c>
      <c r="I1378" t="s">
        <v>1634</v>
      </c>
      <c r="J1378" t="s">
        <v>10</v>
      </c>
      <c r="K1378">
        <v>1.167E-2</v>
      </c>
      <c r="L1378">
        <v>169.215</v>
      </c>
      <c r="M1378" s="1">
        <v>15</v>
      </c>
      <c r="N1378">
        <v>0</v>
      </c>
      <c r="O1378">
        <v>0</v>
      </c>
      <c r="P1378">
        <v>14500</v>
      </c>
      <c r="Q1378" s="1">
        <v>14500</v>
      </c>
      <c r="R1378">
        <v>1.167E-2</v>
      </c>
      <c r="S1378" s="2">
        <v>46223</v>
      </c>
      <c r="T1378" s="2">
        <v>46262</v>
      </c>
      <c r="U1378">
        <v>2000</v>
      </c>
      <c r="V1378">
        <v>2000</v>
      </c>
      <c r="W1378">
        <v>0</v>
      </c>
      <c r="X1378">
        <v>1500</v>
      </c>
      <c r="Y1378">
        <v>0</v>
      </c>
      <c r="Z1378" s="8">
        <v>2000</v>
      </c>
      <c r="AA1378">
        <v>1375</v>
      </c>
      <c r="AB1378">
        <v>0</v>
      </c>
      <c r="AC1378">
        <v>1.4545454545454546</v>
      </c>
      <c r="AD1378" s="1">
        <v>217</v>
      </c>
      <c r="AE1378" s="2">
        <v>46465</v>
      </c>
      <c r="AF1378" s="2">
        <v>46473</v>
      </c>
      <c r="AG1378" s="2">
        <v>46480</v>
      </c>
      <c r="AH1378">
        <v>2000</v>
      </c>
      <c r="AI1378" s="3">
        <v>1.0344827586206895</v>
      </c>
      <c r="AJ1378" s="1">
        <v>210</v>
      </c>
      <c r="AK1378" s="2">
        <v>46473</v>
      </c>
      <c r="AL1378" s="4">
        <v>30</v>
      </c>
      <c r="AM1378" s="5">
        <v>15</v>
      </c>
      <c r="AN1378" s="4">
        <v>210</v>
      </c>
      <c r="AO1378">
        <v>2068.9655172413791</v>
      </c>
      <c r="AP1378" s="4">
        <v>1</v>
      </c>
      <c r="AQ1378" t="s">
        <v>1619</v>
      </c>
      <c r="AR1378" t="s">
        <v>1620</v>
      </c>
      <c r="AT1378" s="16" t="str">
        <f>_xlfn.XLOOKUP(B1378,'SWiSH Demand Forecast Sep-26'!D:D,'SWiSH Demand Forecast Sep-26'!G:G,"Not Exist")</f>
        <v>Not Exist</v>
      </c>
    </row>
    <row r="1379" spans="1:46" hidden="1" x14ac:dyDescent="0.3">
      <c r="A1379">
        <v>105900006</v>
      </c>
      <c r="B1379" t="s">
        <v>669</v>
      </c>
      <c r="C1379" t="s">
        <v>10</v>
      </c>
      <c r="D1379" t="s">
        <v>1613</v>
      </c>
      <c r="E1379" t="s">
        <v>1732</v>
      </c>
      <c r="F1379" t="s">
        <v>1664</v>
      </c>
      <c r="G1379" t="s">
        <v>1616</v>
      </c>
      <c r="H1379" t="s">
        <v>1729</v>
      </c>
      <c r="I1379" t="s">
        <v>1634</v>
      </c>
      <c r="J1379" t="s">
        <v>1733</v>
      </c>
      <c r="K1379">
        <v>5.0706900000000001E-3</v>
      </c>
      <c r="L1379">
        <v>111.55518000000001</v>
      </c>
      <c r="M1379" s="1">
        <v>90</v>
      </c>
      <c r="N1379">
        <v>0</v>
      </c>
      <c r="O1379">
        <v>0</v>
      </c>
      <c r="P1379">
        <v>22000</v>
      </c>
      <c r="Q1379" s="1">
        <v>22000</v>
      </c>
      <c r="R1379">
        <v>4.8037700000000001</v>
      </c>
      <c r="S1379" s="2">
        <v>45743</v>
      </c>
      <c r="T1379" s="2">
        <v>46242</v>
      </c>
      <c r="U1379">
        <v>0</v>
      </c>
      <c r="V1379">
        <v>3000</v>
      </c>
      <c r="W1379">
        <v>3000</v>
      </c>
      <c r="X1379">
        <v>0</v>
      </c>
      <c r="Y1379">
        <v>0</v>
      </c>
      <c r="Z1379" s="8">
        <v>3000</v>
      </c>
      <c r="AA1379">
        <v>1500</v>
      </c>
      <c r="AB1379">
        <v>0</v>
      </c>
      <c r="AC1379">
        <v>2</v>
      </c>
      <c r="AD1379" s="1">
        <v>220</v>
      </c>
      <c r="AE1379" s="2">
        <v>46468</v>
      </c>
      <c r="AF1379" s="2">
        <v>46476</v>
      </c>
      <c r="AG1379" s="2">
        <v>46483</v>
      </c>
      <c r="AH1379">
        <v>2000</v>
      </c>
      <c r="AI1379" s="3">
        <v>0.68965517241379304</v>
      </c>
      <c r="AJ1379" s="1">
        <v>319</v>
      </c>
      <c r="AK1379" s="2">
        <v>46582</v>
      </c>
      <c r="AL1379" s="4">
        <v>120</v>
      </c>
      <c r="AM1379" s="5">
        <v>100</v>
      </c>
      <c r="AN1379" s="4">
        <v>220</v>
      </c>
      <c r="AO1379">
        <v>8275.8620689655163</v>
      </c>
      <c r="AP1379" s="4">
        <v>1</v>
      </c>
      <c r="AQ1379" t="s">
        <v>1619</v>
      </c>
      <c r="AR1379" t="s">
        <v>1620</v>
      </c>
      <c r="AT1379" s="16">
        <f>_xlfn.XLOOKUP(B1379,'SWiSH Demand Forecast Sep-26'!D:D,'SWiSH Demand Forecast Sep-26'!G:G,"Not Exist")</f>
        <v>684</v>
      </c>
    </row>
    <row r="1380" spans="1:46" x14ac:dyDescent="0.3">
      <c r="A1380">
        <v>106800302</v>
      </c>
      <c r="B1380" t="s">
        <v>3210</v>
      </c>
      <c r="C1380" t="s">
        <v>10</v>
      </c>
      <c r="D1380" t="s">
        <v>1955</v>
      </c>
      <c r="E1380" t="s">
        <v>1701</v>
      </c>
      <c r="F1380" t="s">
        <v>1664</v>
      </c>
      <c r="G1380" t="s">
        <v>1624</v>
      </c>
      <c r="H1380" t="s">
        <v>1665</v>
      </c>
      <c r="I1380" t="s">
        <v>1634</v>
      </c>
      <c r="J1380" t="s">
        <v>10</v>
      </c>
      <c r="K1380">
        <v>4.8404800000000003E-3</v>
      </c>
      <c r="L1380">
        <v>142.79416000000001</v>
      </c>
      <c r="M1380" s="1">
        <v>7</v>
      </c>
      <c r="N1380">
        <v>0</v>
      </c>
      <c r="O1380">
        <v>0</v>
      </c>
      <c r="P1380">
        <v>29500</v>
      </c>
      <c r="Q1380" s="1">
        <v>29500</v>
      </c>
      <c r="R1380">
        <v>5.0000000000000001E-3</v>
      </c>
      <c r="S1380" s="2">
        <v>46202</v>
      </c>
      <c r="T1380" s="2">
        <v>46181</v>
      </c>
      <c r="U1380">
        <v>4000</v>
      </c>
      <c r="V1380">
        <v>4000</v>
      </c>
      <c r="W1380">
        <v>1000</v>
      </c>
      <c r="X1380">
        <v>0</v>
      </c>
      <c r="Y1380">
        <v>0</v>
      </c>
      <c r="Z1380" s="8">
        <v>4000</v>
      </c>
      <c r="AA1380">
        <v>2250</v>
      </c>
      <c r="AB1380">
        <v>0</v>
      </c>
      <c r="AC1380">
        <v>1.7777777777777777</v>
      </c>
      <c r="AD1380" s="1">
        <v>221</v>
      </c>
      <c r="AE1380" s="2">
        <v>46469</v>
      </c>
      <c r="AF1380" s="2">
        <v>46477</v>
      </c>
      <c r="AG1380" s="2">
        <v>46484</v>
      </c>
      <c r="AH1380">
        <v>0</v>
      </c>
      <c r="AI1380" s="3">
        <v>0</v>
      </c>
      <c r="AJ1380" s="1" t="s">
        <v>1635</v>
      </c>
      <c r="AK1380" s="2" t="s">
        <v>1635</v>
      </c>
      <c r="AL1380" s="4" t="s">
        <v>1658</v>
      </c>
      <c r="AM1380" s="5" t="s">
        <v>1658</v>
      </c>
      <c r="AN1380" s="4">
        <v>221</v>
      </c>
      <c r="AO1380" t="s">
        <v>1635</v>
      </c>
      <c r="AP1380" s="4" t="s">
        <v>1658</v>
      </c>
      <c r="AQ1380" t="s">
        <v>1619</v>
      </c>
      <c r="AR1380" t="s">
        <v>1620</v>
      </c>
      <c r="AT1380" s="16" t="str">
        <f>_xlfn.XLOOKUP(B1380,'SWiSH Demand Forecast Sep-26'!D:D,'SWiSH Demand Forecast Sep-26'!G:G,"Not Exist")</f>
        <v>Not Exist</v>
      </c>
    </row>
    <row r="1381" spans="1:46" x14ac:dyDescent="0.3">
      <c r="A1381">
        <v>106800176</v>
      </c>
      <c r="B1381" t="s">
        <v>3211</v>
      </c>
      <c r="C1381" t="s">
        <v>10</v>
      </c>
      <c r="D1381" t="s">
        <v>1613</v>
      </c>
      <c r="E1381" t="s">
        <v>2075</v>
      </c>
      <c r="F1381" t="s">
        <v>1664</v>
      </c>
      <c r="G1381" t="s">
        <v>1624</v>
      </c>
      <c r="H1381" t="s">
        <v>1665</v>
      </c>
      <c r="I1381" t="s">
        <v>1634</v>
      </c>
      <c r="J1381" t="s">
        <v>10</v>
      </c>
      <c r="K1381">
        <v>0.03</v>
      </c>
      <c r="L1381">
        <v>225</v>
      </c>
      <c r="M1381" s="1">
        <v>7</v>
      </c>
      <c r="N1381">
        <v>0</v>
      </c>
      <c r="O1381">
        <v>0</v>
      </c>
      <c r="P1381">
        <v>7500</v>
      </c>
      <c r="Q1381" s="1">
        <v>7500</v>
      </c>
      <c r="R1381">
        <v>0.03</v>
      </c>
      <c r="S1381" s="2">
        <v>46244</v>
      </c>
      <c r="T1381" s="2">
        <v>46242</v>
      </c>
      <c r="U1381">
        <v>0</v>
      </c>
      <c r="V1381">
        <v>1000</v>
      </c>
      <c r="W1381">
        <v>500</v>
      </c>
      <c r="X1381">
        <v>1000</v>
      </c>
      <c r="Y1381">
        <v>0</v>
      </c>
      <c r="Z1381" s="8">
        <v>1000</v>
      </c>
      <c r="AA1381">
        <v>625</v>
      </c>
      <c r="AB1381">
        <v>0</v>
      </c>
      <c r="AC1381">
        <v>1.6</v>
      </c>
      <c r="AD1381" s="1">
        <v>225</v>
      </c>
      <c r="AE1381" s="2">
        <v>46473</v>
      </c>
      <c r="AF1381" s="2">
        <v>46481</v>
      </c>
      <c r="AG1381" s="2">
        <v>46488</v>
      </c>
      <c r="AH1381">
        <v>500</v>
      </c>
      <c r="AI1381" s="3">
        <v>0.51724137931034475</v>
      </c>
      <c r="AJ1381" s="1">
        <v>435</v>
      </c>
      <c r="AK1381" s="2">
        <v>46698</v>
      </c>
      <c r="AL1381" s="4">
        <v>30</v>
      </c>
      <c r="AM1381" s="5">
        <v>15</v>
      </c>
      <c r="AN1381" s="4">
        <v>225</v>
      </c>
      <c r="AO1381">
        <v>517.24137931034477</v>
      </c>
      <c r="AP1381" s="4">
        <v>1</v>
      </c>
      <c r="AQ1381" t="s">
        <v>1619</v>
      </c>
      <c r="AR1381" t="s">
        <v>1620</v>
      </c>
      <c r="AT1381" s="16" t="str">
        <f>_xlfn.XLOOKUP(B1381,'SWiSH Demand Forecast Sep-26'!D:D,'SWiSH Demand Forecast Sep-26'!G:G,"Not Exist")</f>
        <v>Not Exist</v>
      </c>
    </row>
    <row r="1382" spans="1:46" x14ac:dyDescent="0.3">
      <c r="A1382">
        <v>103700058</v>
      </c>
      <c r="B1382" t="s">
        <v>3212</v>
      </c>
      <c r="C1382" t="s">
        <v>136</v>
      </c>
      <c r="D1382" t="s">
        <v>1613</v>
      </c>
      <c r="E1382" t="s">
        <v>1940</v>
      </c>
      <c r="F1382" t="s">
        <v>1615</v>
      </c>
      <c r="G1382" t="s">
        <v>1616</v>
      </c>
      <c r="H1382" t="s">
        <v>1617</v>
      </c>
      <c r="I1382" t="s">
        <v>1618</v>
      </c>
      <c r="J1382" t="s">
        <v>3213</v>
      </c>
      <c r="K1382">
        <v>3.3287301</v>
      </c>
      <c r="L1382">
        <v>15977.904479999999</v>
      </c>
      <c r="M1382" s="1">
        <v>90</v>
      </c>
      <c r="N1382">
        <v>0</v>
      </c>
      <c r="O1382">
        <v>0</v>
      </c>
      <c r="P1382">
        <v>4800</v>
      </c>
      <c r="Q1382" s="1">
        <v>4800</v>
      </c>
      <c r="R1382">
        <v>52.356000000000002</v>
      </c>
      <c r="S1382" s="2">
        <v>46082</v>
      </c>
      <c r="T1382" s="2">
        <v>46261</v>
      </c>
      <c r="U1382">
        <v>576</v>
      </c>
      <c r="V1382">
        <v>480</v>
      </c>
      <c r="W1382">
        <v>624</v>
      </c>
      <c r="X1382">
        <v>320</v>
      </c>
      <c r="Y1382">
        <v>320</v>
      </c>
      <c r="Z1382" s="8">
        <v>624</v>
      </c>
      <c r="AA1382">
        <v>500</v>
      </c>
      <c r="AB1382">
        <v>0.64</v>
      </c>
      <c r="AC1382">
        <v>1.248</v>
      </c>
      <c r="AD1382" s="1">
        <v>230</v>
      </c>
      <c r="AE1382" s="2">
        <v>46478</v>
      </c>
      <c r="AF1382" s="2">
        <v>46486</v>
      </c>
      <c r="AG1382" s="2">
        <v>46493</v>
      </c>
      <c r="AH1382">
        <v>496</v>
      </c>
      <c r="AI1382" s="3">
        <v>0.82228116710875332</v>
      </c>
      <c r="AJ1382" s="1">
        <v>280</v>
      </c>
      <c r="AK1382" s="2">
        <v>46543</v>
      </c>
      <c r="AL1382" s="4">
        <v>120</v>
      </c>
      <c r="AM1382" s="5">
        <v>100</v>
      </c>
      <c r="AN1382" s="4">
        <v>230</v>
      </c>
      <c r="AO1382">
        <v>2052.4137931034484</v>
      </c>
      <c r="AP1382" s="4">
        <v>1</v>
      </c>
      <c r="AQ1382" t="s">
        <v>1619</v>
      </c>
      <c r="AR1382" t="s">
        <v>1620</v>
      </c>
      <c r="AT1382" s="16" t="str">
        <f>_xlfn.XLOOKUP(B1382,'SWiSH Demand Forecast Sep-26'!D:D,'SWiSH Demand Forecast Sep-26'!G:G,"Not Exist")</f>
        <v>Not Exist</v>
      </c>
    </row>
    <row r="1383" spans="1:46" x14ac:dyDescent="0.3">
      <c r="A1383">
        <v>101600093</v>
      </c>
      <c r="B1383" t="s">
        <v>3214</v>
      </c>
      <c r="C1383" t="s">
        <v>10</v>
      </c>
      <c r="D1383" t="s">
        <v>1613</v>
      </c>
      <c r="E1383" t="s">
        <v>1701</v>
      </c>
      <c r="F1383" t="s">
        <v>1631</v>
      </c>
      <c r="G1383" t="s">
        <v>1624</v>
      </c>
      <c r="H1383" t="s">
        <v>1768</v>
      </c>
      <c r="I1383" t="s">
        <v>1634</v>
      </c>
      <c r="J1383" t="s">
        <v>10</v>
      </c>
      <c r="K1383">
        <v>8.3333329999999997E-2</v>
      </c>
      <c r="L1383">
        <v>199.99999199999999</v>
      </c>
      <c r="M1383" s="1">
        <v>7</v>
      </c>
      <c r="N1383">
        <v>0</v>
      </c>
      <c r="O1383">
        <v>0</v>
      </c>
      <c r="P1383">
        <v>2400</v>
      </c>
      <c r="Q1383" s="1">
        <v>2400</v>
      </c>
      <c r="R1383">
        <v>25</v>
      </c>
      <c r="S1383" s="2">
        <v>46225</v>
      </c>
      <c r="T1383" s="2">
        <v>46251</v>
      </c>
      <c r="U1383">
        <v>0</v>
      </c>
      <c r="V1383">
        <v>0</v>
      </c>
      <c r="W1383">
        <v>0</v>
      </c>
      <c r="X1383">
        <v>300</v>
      </c>
      <c r="Y1383">
        <v>0</v>
      </c>
      <c r="Z1383" s="8">
        <v>300</v>
      </c>
      <c r="AA1383">
        <v>75</v>
      </c>
      <c r="AB1383">
        <v>0</v>
      </c>
      <c r="AC1383">
        <v>4</v>
      </c>
      <c r="AD1383" s="1">
        <v>240</v>
      </c>
      <c r="AE1383" s="2">
        <v>46488</v>
      </c>
      <c r="AF1383" s="2">
        <v>46496</v>
      </c>
      <c r="AG1383" s="2">
        <v>46503</v>
      </c>
      <c r="AH1383">
        <v>1200</v>
      </c>
      <c r="AI1383" s="3">
        <v>4.1379310344827589</v>
      </c>
      <c r="AJ1383" s="1">
        <v>58</v>
      </c>
      <c r="AK1383" s="2">
        <v>46321</v>
      </c>
      <c r="AL1383" s="4">
        <v>30</v>
      </c>
      <c r="AM1383" s="5">
        <v>15</v>
      </c>
      <c r="AN1383" s="4">
        <v>58</v>
      </c>
      <c r="AO1383">
        <v>1241.3793103448277</v>
      </c>
      <c r="AP1383" s="4">
        <v>1</v>
      </c>
      <c r="AQ1383" t="s">
        <v>1619</v>
      </c>
      <c r="AR1383" t="s">
        <v>1620</v>
      </c>
      <c r="AT1383" s="16" t="str">
        <f>_xlfn.XLOOKUP(B1383,'SWiSH Demand Forecast Sep-26'!D:D,'SWiSH Demand Forecast Sep-26'!G:G,"Not Exist")</f>
        <v>Not Exist</v>
      </c>
    </row>
    <row r="1384" spans="1:46" x14ac:dyDescent="0.3">
      <c r="A1384">
        <v>100400049</v>
      </c>
      <c r="B1384" t="s">
        <v>3215</v>
      </c>
      <c r="C1384" t="s">
        <v>10</v>
      </c>
      <c r="D1384" t="s">
        <v>1613</v>
      </c>
      <c r="E1384" t="s">
        <v>1775</v>
      </c>
      <c r="F1384" t="s">
        <v>1664</v>
      </c>
      <c r="G1384" t="s">
        <v>1624</v>
      </c>
      <c r="H1384" t="s">
        <v>1810</v>
      </c>
      <c r="I1384" t="s">
        <v>1634</v>
      </c>
      <c r="J1384" t="s">
        <v>10</v>
      </c>
      <c r="K1384">
        <v>0.05</v>
      </c>
      <c r="L1384">
        <v>100</v>
      </c>
      <c r="M1384" s="1">
        <v>30</v>
      </c>
      <c r="N1384">
        <v>0</v>
      </c>
      <c r="O1384">
        <v>0</v>
      </c>
      <c r="P1384">
        <v>2000</v>
      </c>
      <c r="Q1384" s="1">
        <v>2000</v>
      </c>
      <c r="R1384">
        <v>0.05</v>
      </c>
      <c r="S1384" s="2">
        <v>46119</v>
      </c>
      <c r="T1384" s="2">
        <v>46243</v>
      </c>
      <c r="U1384">
        <v>250</v>
      </c>
      <c r="V1384">
        <v>250</v>
      </c>
      <c r="W1384">
        <v>0</v>
      </c>
      <c r="X1384">
        <v>250</v>
      </c>
      <c r="Y1384">
        <v>0</v>
      </c>
      <c r="Z1384" s="8">
        <v>250</v>
      </c>
      <c r="AA1384">
        <v>187.5</v>
      </c>
      <c r="AB1384">
        <v>0</v>
      </c>
      <c r="AC1384">
        <v>1.3333333333333333</v>
      </c>
      <c r="AD1384" s="1">
        <v>240</v>
      </c>
      <c r="AE1384" s="2">
        <v>46488</v>
      </c>
      <c r="AF1384" s="2">
        <v>46496</v>
      </c>
      <c r="AG1384" s="2">
        <v>46503</v>
      </c>
      <c r="AH1384">
        <v>250</v>
      </c>
      <c r="AI1384" s="3">
        <v>1.0344827586206895</v>
      </c>
      <c r="AJ1384" s="1">
        <v>232</v>
      </c>
      <c r="AK1384" s="2">
        <v>46495</v>
      </c>
      <c r="AL1384" s="4">
        <v>30</v>
      </c>
      <c r="AM1384" s="5">
        <v>15</v>
      </c>
      <c r="AN1384" s="4">
        <v>232</v>
      </c>
      <c r="AO1384">
        <v>258.62068965517238</v>
      </c>
      <c r="AP1384" s="4">
        <v>1</v>
      </c>
      <c r="AQ1384" t="s">
        <v>1619</v>
      </c>
      <c r="AR1384" t="s">
        <v>1620</v>
      </c>
      <c r="AT1384" s="16" t="str">
        <f>_xlfn.XLOOKUP(B1384,'SWiSH Demand Forecast Sep-26'!D:D,'SWiSH Demand Forecast Sep-26'!G:G,"Not Exist")</f>
        <v>Not Exist</v>
      </c>
    </row>
    <row r="1385" spans="1:46" hidden="1" x14ac:dyDescent="0.3">
      <c r="A1385">
        <v>106800273</v>
      </c>
      <c r="B1385" t="s">
        <v>974</v>
      </c>
      <c r="C1385" t="s">
        <v>10</v>
      </c>
      <c r="D1385" t="s">
        <v>1613</v>
      </c>
      <c r="E1385" t="s">
        <v>1926</v>
      </c>
      <c r="F1385" t="s">
        <v>1664</v>
      </c>
      <c r="G1385" t="s">
        <v>1624</v>
      </c>
      <c r="H1385" t="s">
        <v>1665</v>
      </c>
      <c r="I1385" t="s">
        <v>1634</v>
      </c>
      <c r="J1385" t="s">
        <v>10</v>
      </c>
      <c r="K1385">
        <v>4.0000000000000001E-3</v>
      </c>
      <c r="L1385">
        <v>96</v>
      </c>
      <c r="M1385" s="1">
        <v>7</v>
      </c>
      <c r="N1385">
        <v>0</v>
      </c>
      <c r="O1385">
        <v>0</v>
      </c>
      <c r="P1385">
        <v>24000</v>
      </c>
      <c r="Q1385" s="1">
        <v>24000</v>
      </c>
      <c r="R1385">
        <v>4.0000000000000001E-3</v>
      </c>
      <c r="S1385" s="2">
        <v>46186</v>
      </c>
      <c r="T1385" s="2">
        <v>46263</v>
      </c>
      <c r="U1385">
        <v>0</v>
      </c>
      <c r="V1385">
        <v>3000</v>
      </c>
      <c r="W1385">
        <v>2000</v>
      </c>
      <c r="X1385">
        <v>1000</v>
      </c>
      <c r="Y1385">
        <v>0</v>
      </c>
      <c r="Z1385" s="8">
        <v>3000</v>
      </c>
      <c r="AA1385">
        <v>1500</v>
      </c>
      <c r="AB1385">
        <v>0</v>
      </c>
      <c r="AC1385">
        <v>2</v>
      </c>
      <c r="AD1385" s="1">
        <v>240</v>
      </c>
      <c r="AE1385" s="2">
        <v>46488</v>
      </c>
      <c r="AF1385" s="2">
        <v>46496</v>
      </c>
      <c r="AG1385" s="2">
        <v>46503</v>
      </c>
      <c r="AH1385">
        <v>1000</v>
      </c>
      <c r="AI1385" s="3">
        <v>0.34482758620689652</v>
      </c>
      <c r="AJ1385" s="1">
        <v>696</v>
      </c>
      <c r="AK1385" s="2">
        <v>46959</v>
      </c>
      <c r="AL1385" s="4">
        <v>30</v>
      </c>
      <c r="AM1385" s="5">
        <v>15</v>
      </c>
      <c r="AN1385" s="4">
        <v>240</v>
      </c>
      <c r="AO1385">
        <v>1034.4827586206895</v>
      </c>
      <c r="AP1385" s="4">
        <v>1</v>
      </c>
      <c r="AQ1385" t="s">
        <v>1619</v>
      </c>
      <c r="AR1385" t="s">
        <v>1620</v>
      </c>
      <c r="AT1385" s="16">
        <f>_xlfn.XLOOKUP(B1385,'SWiSH Demand Forecast Sep-26'!D:D,'SWiSH Demand Forecast Sep-26'!G:G,"Not Exist")</f>
        <v>172</v>
      </c>
    </row>
    <row r="1386" spans="1:46" x14ac:dyDescent="0.3">
      <c r="A1386">
        <v>100400038</v>
      </c>
      <c r="B1386" t="s">
        <v>3216</v>
      </c>
      <c r="C1386" t="s">
        <v>10</v>
      </c>
      <c r="D1386" t="s">
        <v>1613</v>
      </c>
      <c r="E1386" t="s">
        <v>1732</v>
      </c>
      <c r="F1386" t="s">
        <v>1664</v>
      </c>
      <c r="G1386" t="s">
        <v>1616</v>
      </c>
      <c r="H1386" t="s">
        <v>1810</v>
      </c>
      <c r="I1386" t="s">
        <v>1634</v>
      </c>
      <c r="J1386" t="s">
        <v>10</v>
      </c>
      <c r="K1386">
        <v>0.16400000000000001</v>
      </c>
      <c r="L1386">
        <v>300.12</v>
      </c>
      <c r="M1386" s="1">
        <v>30</v>
      </c>
      <c r="N1386">
        <v>0</v>
      </c>
      <c r="O1386">
        <v>0</v>
      </c>
      <c r="P1386">
        <v>1830</v>
      </c>
      <c r="Q1386" s="1">
        <v>1830</v>
      </c>
      <c r="R1386">
        <v>0.16400000000000001</v>
      </c>
      <c r="S1386" s="2">
        <v>46233</v>
      </c>
      <c r="T1386" s="2">
        <v>46259</v>
      </c>
      <c r="U1386">
        <v>225</v>
      </c>
      <c r="V1386">
        <v>150</v>
      </c>
      <c r="W1386">
        <v>200</v>
      </c>
      <c r="X1386">
        <v>50</v>
      </c>
      <c r="Y1386">
        <v>50</v>
      </c>
      <c r="Z1386" s="8">
        <v>225</v>
      </c>
      <c r="AA1386">
        <v>156.25</v>
      </c>
      <c r="AB1386">
        <v>0.32</v>
      </c>
      <c r="AC1386">
        <v>1.44</v>
      </c>
      <c r="AD1386" s="1">
        <v>244</v>
      </c>
      <c r="AE1386" s="2">
        <v>46492</v>
      </c>
      <c r="AF1386" s="2">
        <v>46500</v>
      </c>
      <c r="AG1386" s="2">
        <v>46507</v>
      </c>
      <c r="AH1386">
        <v>175</v>
      </c>
      <c r="AI1386" s="3">
        <v>0.8045977011494253</v>
      </c>
      <c r="AJ1386" s="1">
        <v>303</v>
      </c>
      <c r="AK1386" s="2">
        <v>46566</v>
      </c>
      <c r="AL1386" s="4">
        <v>30</v>
      </c>
      <c r="AM1386" s="5">
        <v>15</v>
      </c>
      <c r="AN1386" s="4">
        <v>244</v>
      </c>
      <c r="AO1386">
        <v>181.0344827586207</v>
      </c>
      <c r="AP1386" s="4">
        <v>1</v>
      </c>
      <c r="AQ1386">
        <v>220</v>
      </c>
      <c r="AR1386" t="s">
        <v>2377</v>
      </c>
      <c r="AT1386" s="16" t="str">
        <f>_xlfn.XLOOKUP(B1386,'SWiSH Demand Forecast Sep-26'!D:D,'SWiSH Demand Forecast Sep-26'!G:G,"Not Exist")</f>
        <v>Not Exist</v>
      </c>
    </row>
    <row r="1387" spans="1:46" x14ac:dyDescent="0.3">
      <c r="A1387">
        <v>100400050</v>
      </c>
      <c r="B1387" t="s">
        <v>3217</v>
      </c>
      <c r="C1387" t="s">
        <v>10</v>
      </c>
      <c r="D1387" t="s">
        <v>1613</v>
      </c>
      <c r="E1387" t="s">
        <v>1663</v>
      </c>
      <c r="F1387" t="s">
        <v>1664</v>
      </c>
      <c r="G1387" t="s">
        <v>1624</v>
      </c>
      <c r="H1387" t="s">
        <v>1810</v>
      </c>
      <c r="I1387" t="s">
        <v>1634</v>
      </c>
      <c r="J1387" t="s">
        <v>10</v>
      </c>
      <c r="K1387">
        <v>0.04</v>
      </c>
      <c r="L1387">
        <v>410</v>
      </c>
      <c r="M1387" s="1">
        <v>30</v>
      </c>
      <c r="N1387">
        <v>0</v>
      </c>
      <c r="O1387">
        <v>0</v>
      </c>
      <c r="P1387">
        <v>10250</v>
      </c>
      <c r="Q1387" s="1">
        <v>10250</v>
      </c>
      <c r="R1387">
        <v>3.5999999999999997E-2</v>
      </c>
      <c r="S1387" s="2">
        <v>46176</v>
      </c>
      <c r="T1387" s="2">
        <v>46261</v>
      </c>
      <c r="U1387">
        <v>1000</v>
      </c>
      <c r="V1387">
        <v>750</v>
      </c>
      <c r="W1387">
        <v>1250</v>
      </c>
      <c r="X1387">
        <v>750</v>
      </c>
      <c r="Y1387">
        <v>750</v>
      </c>
      <c r="Z1387" s="8">
        <v>1250</v>
      </c>
      <c r="AA1387">
        <v>937.5</v>
      </c>
      <c r="AB1387">
        <v>0.8</v>
      </c>
      <c r="AC1387">
        <v>1.3333333333333333</v>
      </c>
      <c r="AD1387" s="1">
        <v>246</v>
      </c>
      <c r="AE1387" s="2">
        <v>46494</v>
      </c>
      <c r="AF1387" s="2">
        <v>46502</v>
      </c>
      <c r="AG1387" s="2">
        <v>46509</v>
      </c>
      <c r="AH1387">
        <v>1500</v>
      </c>
      <c r="AI1387" s="3">
        <v>1.2413793103448276</v>
      </c>
      <c r="AJ1387" s="1">
        <v>198</v>
      </c>
      <c r="AK1387" s="2">
        <v>46461</v>
      </c>
      <c r="AL1387" s="4">
        <v>30</v>
      </c>
      <c r="AM1387" s="5">
        <v>15</v>
      </c>
      <c r="AN1387" s="4">
        <v>198</v>
      </c>
      <c r="AO1387">
        <v>1551.7241379310344</v>
      </c>
      <c r="AP1387" s="4">
        <v>1</v>
      </c>
      <c r="AQ1387" t="s">
        <v>1619</v>
      </c>
      <c r="AR1387" t="s">
        <v>1620</v>
      </c>
      <c r="AT1387" s="16" t="str">
        <f>_xlfn.XLOOKUP(B1387,'SWiSH Demand Forecast Sep-26'!D:D,'SWiSH Demand Forecast Sep-26'!G:G,"Not Exist")</f>
        <v>Not Exist</v>
      </c>
    </row>
    <row r="1388" spans="1:46" x14ac:dyDescent="0.3">
      <c r="A1388">
        <v>106800141</v>
      </c>
      <c r="B1388" t="s">
        <v>3218</v>
      </c>
      <c r="C1388" t="s">
        <v>10</v>
      </c>
      <c r="D1388" t="s">
        <v>1613</v>
      </c>
      <c r="E1388" t="s">
        <v>1638</v>
      </c>
      <c r="F1388" t="s">
        <v>1664</v>
      </c>
      <c r="G1388" t="s">
        <v>1624</v>
      </c>
      <c r="H1388" t="s">
        <v>1665</v>
      </c>
      <c r="I1388" t="s">
        <v>1634</v>
      </c>
      <c r="J1388" t="s">
        <v>10</v>
      </c>
      <c r="K1388">
        <v>0.01</v>
      </c>
      <c r="L1388">
        <v>337.5</v>
      </c>
      <c r="M1388" s="1">
        <v>7</v>
      </c>
      <c r="N1388">
        <v>0</v>
      </c>
      <c r="O1388">
        <v>0</v>
      </c>
      <c r="P1388">
        <v>33750</v>
      </c>
      <c r="Q1388" s="1">
        <v>33750</v>
      </c>
      <c r="R1388">
        <v>0.01</v>
      </c>
      <c r="S1388" s="2">
        <v>46160</v>
      </c>
      <c r="T1388" s="2">
        <v>46203</v>
      </c>
      <c r="U1388">
        <v>1500</v>
      </c>
      <c r="V1388">
        <v>1000</v>
      </c>
      <c r="W1388">
        <v>4000</v>
      </c>
      <c r="X1388">
        <v>0</v>
      </c>
      <c r="Y1388">
        <v>0</v>
      </c>
      <c r="Z1388" s="8">
        <v>4000</v>
      </c>
      <c r="AA1388">
        <v>1625</v>
      </c>
      <c r="AB1388">
        <v>0</v>
      </c>
      <c r="AC1388">
        <v>2.4615384615384617</v>
      </c>
      <c r="AD1388" s="1">
        <v>253</v>
      </c>
      <c r="AE1388" s="2">
        <v>46501</v>
      </c>
      <c r="AF1388" s="2">
        <v>46509</v>
      </c>
      <c r="AG1388" s="2">
        <v>46516</v>
      </c>
      <c r="AH1388">
        <v>0</v>
      </c>
      <c r="AI1388" s="3">
        <v>0</v>
      </c>
      <c r="AJ1388" s="1" t="s">
        <v>1635</v>
      </c>
      <c r="AK1388" s="2" t="s">
        <v>1635</v>
      </c>
      <c r="AL1388" s="4">
        <v>30</v>
      </c>
      <c r="AM1388" s="5">
        <v>15</v>
      </c>
      <c r="AN1388" s="4">
        <v>253</v>
      </c>
      <c r="AO1388">
        <v>0</v>
      </c>
      <c r="AP1388" s="4">
        <v>1</v>
      </c>
      <c r="AQ1388" t="s">
        <v>1619</v>
      </c>
      <c r="AR1388" t="s">
        <v>1620</v>
      </c>
      <c r="AT1388" s="16" t="str">
        <f>_xlfn.XLOOKUP(B1388,'SWiSH Demand Forecast Sep-26'!D:D,'SWiSH Demand Forecast Sep-26'!G:G,"Not Exist")</f>
        <v>Not Exist</v>
      </c>
    </row>
    <row r="1389" spans="1:46" x14ac:dyDescent="0.3">
      <c r="A1389">
        <v>103200005</v>
      </c>
      <c r="B1389" t="s">
        <v>3219</v>
      </c>
      <c r="C1389" t="s">
        <v>136</v>
      </c>
      <c r="D1389" t="s">
        <v>1629</v>
      </c>
      <c r="E1389" t="s">
        <v>1663</v>
      </c>
      <c r="F1389" t="s">
        <v>1752</v>
      </c>
      <c r="G1389" t="s">
        <v>1616</v>
      </c>
      <c r="H1389" t="s">
        <v>1753</v>
      </c>
      <c r="I1389" t="s">
        <v>1754</v>
      </c>
      <c r="J1389" t="s">
        <v>1959</v>
      </c>
      <c r="K1389">
        <v>0.46879463999999998</v>
      </c>
      <c r="L1389">
        <v>19.923772199999998</v>
      </c>
      <c r="M1389" s="1">
        <v>3</v>
      </c>
      <c r="N1389">
        <v>0</v>
      </c>
      <c r="O1389">
        <v>0</v>
      </c>
      <c r="P1389">
        <v>42.5</v>
      </c>
      <c r="Q1389" s="1">
        <v>42.5</v>
      </c>
      <c r="R1389">
        <v>4.6879999999999997</v>
      </c>
      <c r="S1389" s="2">
        <v>45990</v>
      </c>
      <c r="T1389" s="2">
        <v>46241</v>
      </c>
      <c r="U1389">
        <v>0</v>
      </c>
      <c r="V1389">
        <v>5</v>
      </c>
      <c r="W1389">
        <v>0</v>
      </c>
      <c r="X1389">
        <v>0</v>
      </c>
      <c r="Y1389">
        <v>0</v>
      </c>
      <c r="Z1389" s="8">
        <v>5</v>
      </c>
      <c r="AA1389">
        <v>1.25</v>
      </c>
      <c r="AB1389">
        <v>0</v>
      </c>
      <c r="AC1389">
        <v>4</v>
      </c>
      <c r="AD1389" s="1">
        <v>255</v>
      </c>
      <c r="AE1389" s="2">
        <v>46503</v>
      </c>
      <c r="AF1389" s="2">
        <v>46511</v>
      </c>
      <c r="AG1389" s="2">
        <v>46518</v>
      </c>
      <c r="AH1389">
        <v>2.5</v>
      </c>
      <c r="AI1389" s="3">
        <v>0.51724137931034486</v>
      </c>
      <c r="AJ1389" s="1">
        <v>493</v>
      </c>
      <c r="AK1389" s="2">
        <v>46756</v>
      </c>
      <c r="AL1389" s="4" t="s">
        <v>1636</v>
      </c>
      <c r="AM1389" s="5" t="s">
        <v>1636</v>
      </c>
      <c r="AN1389" s="4">
        <v>255</v>
      </c>
      <c r="AO1389" t="s">
        <v>1635</v>
      </c>
      <c r="AP1389" s="4" t="s">
        <v>1636</v>
      </c>
      <c r="AQ1389" t="s">
        <v>1619</v>
      </c>
      <c r="AR1389" t="s">
        <v>1620</v>
      </c>
      <c r="AT1389" s="16" t="str">
        <f>_xlfn.XLOOKUP(B1389,'SWiSH Demand Forecast Sep-26'!D:D,'SWiSH Demand Forecast Sep-26'!G:G,"Not Exist")</f>
        <v>Not Exist</v>
      </c>
    </row>
    <row r="1390" spans="1:46" hidden="1" x14ac:dyDescent="0.3">
      <c r="A1390">
        <v>106800189</v>
      </c>
      <c r="B1390" t="s">
        <v>953</v>
      </c>
      <c r="C1390" t="s">
        <v>10</v>
      </c>
      <c r="D1390" t="s">
        <v>1789</v>
      </c>
      <c r="E1390" t="s">
        <v>1926</v>
      </c>
      <c r="F1390" t="s">
        <v>1664</v>
      </c>
      <c r="G1390" t="s">
        <v>1624</v>
      </c>
      <c r="H1390" t="s">
        <v>1665</v>
      </c>
      <c r="I1390" t="s">
        <v>1634</v>
      </c>
      <c r="J1390" t="s">
        <v>10</v>
      </c>
      <c r="K1390">
        <v>2.3999999999999998E-3</v>
      </c>
      <c r="L1390">
        <v>72</v>
      </c>
      <c r="M1390" s="1">
        <v>7</v>
      </c>
      <c r="N1390">
        <v>0</v>
      </c>
      <c r="O1390">
        <v>0</v>
      </c>
      <c r="P1390">
        <v>30000</v>
      </c>
      <c r="Q1390" s="1">
        <v>30000</v>
      </c>
      <c r="R1390">
        <v>2.3999999999999998E-3</v>
      </c>
      <c r="S1390" s="2">
        <v>46179</v>
      </c>
      <c r="T1390" s="2">
        <v>46143</v>
      </c>
      <c r="U1390">
        <v>3500</v>
      </c>
      <c r="V1390">
        <v>2500</v>
      </c>
      <c r="W1390">
        <v>0</v>
      </c>
      <c r="X1390">
        <v>0</v>
      </c>
      <c r="Y1390">
        <v>0</v>
      </c>
      <c r="Z1390" s="8">
        <v>3500</v>
      </c>
      <c r="AA1390">
        <v>1500</v>
      </c>
      <c r="AB1390">
        <v>0</v>
      </c>
      <c r="AC1390">
        <v>2.3333333333333335</v>
      </c>
      <c r="AD1390" s="1">
        <v>257</v>
      </c>
      <c r="AE1390" s="2">
        <v>46505</v>
      </c>
      <c r="AF1390" s="2">
        <v>46513</v>
      </c>
      <c r="AG1390" s="2">
        <v>46520</v>
      </c>
      <c r="AH1390">
        <v>0</v>
      </c>
      <c r="AI1390" s="3">
        <v>0</v>
      </c>
      <c r="AJ1390" s="1" t="s">
        <v>1635</v>
      </c>
      <c r="AK1390" s="2" t="s">
        <v>1635</v>
      </c>
      <c r="AL1390" s="4" t="s">
        <v>1658</v>
      </c>
      <c r="AM1390" s="5" t="s">
        <v>1658</v>
      </c>
      <c r="AN1390" s="4">
        <v>257</v>
      </c>
      <c r="AO1390" t="s">
        <v>1635</v>
      </c>
      <c r="AP1390" s="4" t="s">
        <v>1658</v>
      </c>
      <c r="AQ1390" t="s">
        <v>1619</v>
      </c>
      <c r="AR1390" t="s">
        <v>1620</v>
      </c>
      <c r="AT1390" s="16">
        <f>_xlfn.XLOOKUP(B1390,'SWiSH Demand Forecast Sep-26'!D:D,'SWiSH Demand Forecast Sep-26'!G:G,"Not Exist")</f>
        <v>191</v>
      </c>
    </row>
    <row r="1391" spans="1:46" x14ac:dyDescent="0.3">
      <c r="A1391">
        <v>105600013</v>
      </c>
      <c r="B1391" t="s">
        <v>3220</v>
      </c>
      <c r="C1391" t="s">
        <v>136</v>
      </c>
      <c r="D1391" t="s">
        <v>1613</v>
      </c>
      <c r="E1391" t="s">
        <v>2075</v>
      </c>
      <c r="F1391" t="s">
        <v>1664</v>
      </c>
      <c r="G1391" t="s">
        <v>1624</v>
      </c>
      <c r="H1391" t="s">
        <v>1679</v>
      </c>
      <c r="I1391" t="s">
        <v>1634</v>
      </c>
      <c r="J1391" t="s">
        <v>136</v>
      </c>
      <c r="K1391">
        <v>0.60568345000000001</v>
      </c>
      <c r="L1391">
        <v>420.94999775000002</v>
      </c>
      <c r="M1391" s="1">
        <v>30</v>
      </c>
      <c r="N1391">
        <v>0</v>
      </c>
      <c r="O1391">
        <v>0</v>
      </c>
      <c r="P1391">
        <v>695</v>
      </c>
      <c r="Q1391" s="1">
        <v>695</v>
      </c>
      <c r="R1391">
        <v>0.61</v>
      </c>
      <c r="S1391" s="2">
        <v>45773</v>
      </c>
      <c r="T1391" s="2">
        <v>46240</v>
      </c>
      <c r="U1391">
        <v>40</v>
      </c>
      <c r="V1391">
        <v>60</v>
      </c>
      <c r="W1391">
        <v>0</v>
      </c>
      <c r="X1391">
        <v>80</v>
      </c>
      <c r="Y1391">
        <v>0</v>
      </c>
      <c r="Z1391" s="8">
        <v>80</v>
      </c>
      <c r="AA1391">
        <v>45</v>
      </c>
      <c r="AB1391">
        <v>0</v>
      </c>
      <c r="AC1391">
        <v>1.7777777777777777</v>
      </c>
      <c r="AD1391" s="1">
        <v>260</v>
      </c>
      <c r="AE1391" s="2">
        <v>46508</v>
      </c>
      <c r="AF1391" s="2">
        <v>46516</v>
      </c>
      <c r="AG1391" s="2">
        <v>46523</v>
      </c>
      <c r="AH1391">
        <v>20</v>
      </c>
      <c r="AI1391" s="3">
        <v>0.25862068965517243</v>
      </c>
      <c r="AJ1391" s="1">
        <v>1007</v>
      </c>
      <c r="AK1391" s="2">
        <v>47270</v>
      </c>
      <c r="AL1391" s="4">
        <v>30</v>
      </c>
      <c r="AM1391" s="5">
        <v>15</v>
      </c>
      <c r="AN1391" s="4">
        <v>260</v>
      </c>
      <c r="AO1391">
        <v>20.689655172413794</v>
      </c>
      <c r="AP1391" s="4">
        <v>1</v>
      </c>
      <c r="AQ1391" t="s">
        <v>1619</v>
      </c>
      <c r="AR1391" t="s">
        <v>1620</v>
      </c>
      <c r="AT1391" s="16" t="str">
        <f>_xlfn.XLOOKUP(B1391,'SWiSH Demand Forecast Sep-26'!D:D,'SWiSH Demand Forecast Sep-26'!G:G,"Not Exist")</f>
        <v>Not Exist</v>
      </c>
    </row>
    <row r="1392" spans="1:46" x14ac:dyDescent="0.3">
      <c r="A1392">
        <v>103700034</v>
      </c>
      <c r="B1392" t="s">
        <v>3221</v>
      </c>
      <c r="C1392" t="s">
        <v>136</v>
      </c>
      <c r="D1392" t="s">
        <v>1629</v>
      </c>
      <c r="E1392" t="s">
        <v>2904</v>
      </c>
      <c r="F1392" t="s">
        <v>1615</v>
      </c>
      <c r="G1392" t="s">
        <v>1616</v>
      </c>
      <c r="H1392" t="s">
        <v>1617</v>
      </c>
      <c r="I1392" t="s">
        <v>1618</v>
      </c>
      <c r="J1392" t="s">
        <v>136</v>
      </c>
      <c r="K1392">
        <v>2</v>
      </c>
      <c r="L1392">
        <v>72</v>
      </c>
      <c r="M1392" s="1">
        <v>3</v>
      </c>
      <c r="N1392">
        <v>0</v>
      </c>
      <c r="O1392">
        <v>0</v>
      </c>
      <c r="P1392">
        <v>36</v>
      </c>
      <c r="Q1392" s="1">
        <v>36</v>
      </c>
      <c r="R1392">
        <v>2</v>
      </c>
      <c r="S1392" s="2">
        <v>46085</v>
      </c>
      <c r="T1392" s="2">
        <v>46230</v>
      </c>
      <c r="U1392">
        <v>2</v>
      </c>
      <c r="V1392">
        <v>1</v>
      </c>
      <c r="W1392">
        <v>2</v>
      </c>
      <c r="X1392">
        <v>4</v>
      </c>
      <c r="Y1392">
        <v>1</v>
      </c>
      <c r="Z1392" s="8">
        <v>4</v>
      </c>
      <c r="AA1392">
        <v>2.25</v>
      </c>
      <c r="AB1392">
        <v>0.44444444444444442</v>
      </c>
      <c r="AC1392">
        <v>1.7777777777777777</v>
      </c>
      <c r="AD1392" s="1">
        <v>270</v>
      </c>
      <c r="AE1392" s="2">
        <v>46518</v>
      </c>
      <c r="AF1392" s="2">
        <v>46526</v>
      </c>
      <c r="AG1392" s="2">
        <v>46533</v>
      </c>
      <c r="AH1392">
        <v>0</v>
      </c>
      <c r="AI1392" s="3">
        <v>0</v>
      </c>
      <c r="AJ1392" s="1" t="s">
        <v>1635</v>
      </c>
      <c r="AK1392" s="2" t="s">
        <v>1635</v>
      </c>
      <c r="AL1392" s="4" t="s">
        <v>1636</v>
      </c>
      <c r="AM1392" s="5" t="s">
        <v>1636</v>
      </c>
      <c r="AN1392" s="4">
        <v>270</v>
      </c>
      <c r="AO1392" t="s">
        <v>1635</v>
      </c>
      <c r="AP1392" s="4" t="s">
        <v>1636</v>
      </c>
      <c r="AQ1392" t="s">
        <v>1619</v>
      </c>
      <c r="AR1392" t="s">
        <v>1620</v>
      </c>
      <c r="AT1392" s="16" t="str">
        <f>_xlfn.XLOOKUP(B1392,'SWiSH Demand Forecast Sep-26'!D:D,'SWiSH Demand Forecast Sep-26'!G:G,"Not Exist")</f>
        <v>Not Exist</v>
      </c>
    </row>
    <row r="1393" spans="1:46" hidden="1" x14ac:dyDescent="0.3">
      <c r="A1393">
        <v>106800243</v>
      </c>
      <c r="B1393" t="s">
        <v>470</v>
      </c>
      <c r="C1393" t="s">
        <v>10</v>
      </c>
      <c r="D1393" t="s">
        <v>1613</v>
      </c>
      <c r="E1393" t="s">
        <v>1663</v>
      </c>
      <c r="F1393" t="s">
        <v>1664</v>
      </c>
      <c r="G1393" t="s">
        <v>1624</v>
      </c>
      <c r="H1393" t="s">
        <v>1665</v>
      </c>
      <c r="I1393" t="s">
        <v>1634</v>
      </c>
      <c r="J1393" t="s">
        <v>10</v>
      </c>
      <c r="K1393">
        <v>3.5000000000000001E-3</v>
      </c>
      <c r="L1393">
        <v>157.5</v>
      </c>
      <c r="M1393" s="1">
        <v>15</v>
      </c>
      <c r="N1393">
        <v>0</v>
      </c>
      <c r="O1393">
        <v>0</v>
      </c>
      <c r="P1393">
        <v>45000</v>
      </c>
      <c r="Q1393" s="1">
        <v>45000</v>
      </c>
      <c r="R1393">
        <v>3.5000000000000001E-3</v>
      </c>
      <c r="S1393" s="2">
        <v>46146</v>
      </c>
      <c r="T1393" s="2">
        <v>46238</v>
      </c>
      <c r="U1393">
        <v>2000</v>
      </c>
      <c r="V1393">
        <v>5000</v>
      </c>
      <c r="W1393">
        <v>5000</v>
      </c>
      <c r="X1393">
        <v>0</v>
      </c>
      <c r="Y1393">
        <v>0</v>
      </c>
      <c r="Z1393" s="8">
        <v>5000</v>
      </c>
      <c r="AA1393">
        <v>3000</v>
      </c>
      <c r="AB1393">
        <v>0</v>
      </c>
      <c r="AC1393">
        <v>1.6666666666666667</v>
      </c>
      <c r="AD1393" s="1">
        <v>270</v>
      </c>
      <c r="AE1393" s="2">
        <v>46518</v>
      </c>
      <c r="AF1393" s="2">
        <v>46526</v>
      </c>
      <c r="AG1393" s="2">
        <v>46533</v>
      </c>
      <c r="AH1393">
        <v>5000</v>
      </c>
      <c r="AI1393" s="3">
        <v>1.0344827586206897</v>
      </c>
      <c r="AJ1393" s="1">
        <v>261</v>
      </c>
      <c r="AK1393" s="2">
        <v>46524</v>
      </c>
      <c r="AL1393" s="4">
        <v>30</v>
      </c>
      <c r="AM1393" s="5">
        <v>15</v>
      </c>
      <c r="AN1393" s="4">
        <v>261</v>
      </c>
      <c r="AO1393">
        <v>5172.4137931034484</v>
      </c>
      <c r="AP1393" s="4">
        <v>1</v>
      </c>
      <c r="AQ1393" t="s">
        <v>1619</v>
      </c>
      <c r="AR1393" t="s">
        <v>1620</v>
      </c>
      <c r="AT1393" s="16">
        <f>_xlfn.XLOOKUP(B1393,'SWiSH Demand Forecast Sep-26'!D:D,'SWiSH Demand Forecast Sep-26'!G:G,"Not Exist")</f>
        <v>1798</v>
      </c>
    </row>
    <row r="1394" spans="1:46" hidden="1" x14ac:dyDescent="0.3">
      <c r="A1394">
        <v>106800081</v>
      </c>
      <c r="B1394" t="s">
        <v>678</v>
      </c>
      <c r="C1394" t="s">
        <v>10</v>
      </c>
      <c r="D1394" t="s">
        <v>1955</v>
      </c>
      <c r="E1394" t="s">
        <v>1655</v>
      </c>
      <c r="F1394" t="s">
        <v>1664</v>
      </c>
      <c r="G1394" t="s">
        <v>1624</v>
      </c>
      <c r="H1394" t="s">
        <v>1665</v>
      </c>
      <c r="I1394" t="s">
        <v>1634</v>
      </c>
      <c r="J1394" t="s">
        <v>10</v>
      </c>
      <c r="K1394">
        <v>6.3548399999999996E-3</v>
      </c>
      <c r="L1394">
        <v>114.38712</v>
      </c>
      <c r="M1394" s="1">
        <v>7</v>
      </c>
      <c r="N1394">
        <v>0</v>
      </c>
      <c r="O1394">
        <v>0</v>
      </c>
      <c r="P1394">
        <v>18000</v>
      </c>
      <c r="Q1394" s="1">
        <v>18000</v>
      </c>
      <c r="R1394">
        <v>6.0000000000000001E-3</v>
      </c>
      <c r="S1394" s="2">
        <v>45967</v>
      </c>
      <c r="T1394" s="2">
        <v>46256</v>
      </c>
      <c r="U1394">
        <v>0</v>
      </c>
      <c r="V1394">
        <v>2000</v>
      </c>
      <c r="W1394">
        <v>0</v>
      </c>
      <c r="X1394">
        <v>0</v>
      </c>
      <c r="Y1394">
        <v>0</v>
      </c>
      <c r="Z1394" s="8">
        <v>2000</v>
      </c>
      <c r="AA1394">
        <v>500</v>
      </c>
      <c r="AB1394">
        <v>0</v>
      </c>
      <c r="AC1394">
        <v>4</v>
      </c>
      <c r="AD1394" s="1">
        <v>270</v>
      </c>
      <c r="AE1394" s="2">
        <v>46518</v>
      </c>
      <c r="AF1394" s="2">
        <v>46526</v>
      </c>
      <c r="AG1394" s="2">
        <v>46533</v>
      </c>
      <c r="AH1394">
        <v>1000</v>
      </c>
      <c r="AI1394" s="3">
        <v>0.51724137931034475</v>
      </c>
      <c r="AJ1394" s="1">
        <v>522</v>
      </c>
      <c r="AK1394" s="2">
        <v>46785</v>
      </c>
      <c r="AL1394" s="4" t="s">
        <v>1658</v>
      </c>
      <c r="AM1394" s="5" t="s">
        <v>1658</v>
      </c>
      <c r="AN1394" s="4">
        <v>270</v>
      </c>
      <c r="AO1394" t="s">
        <v>1635</v>
      </c>
      <c r="AP1394" s="4" t="s">
        <v>1658</v>
      </c>
      <c r="AQ1394" t="s">
        <v>1619</v>
      </c>
      <c r="AR1394" t="s">
        <v>1620</v>
      </c>
      <c r="AT1394" s="16">
        <f>_xlfn.XLOOKUP(B1394,'SWiSH Demand Forecast Sep-26'!D:D,'SWiSH Demand Forecast Sep-26'!G:G,"Not Exist")</f>
        <v>653</v>
      </c>
    </row>
    <row r="1395" spans="1:46" x14ac:dyDescent="0.3">
      <c r="A1395">
        <v>106800083</v>
      </c>
      <c r="B1395" t="s">
        <v>3222</v>
      </c>
      <c r="C1395" t="s">
        <v>10</v>
      </c>
      <c r="D1395" t="s">
        <v>1613</v>
      </c>
      <c r="E1395" t="s">
        <v>1655</v>
      </c>
      <c r="F1395" t="s">
        <v>1664</v>
      </c>
      <c r="G1395" t="s">
        <v>1624</v>
      </c>
      <c r="H1395" t="s">
        <v>1665</v>
      </c>
      <c r="I1395" t="s">
        <v>1634</v>
      </c>
      <c r="J1395" t="s">
        <v>10</v>
      </c>
      <c r="K1395">
        <v>4.3513500000000004E-3</v>
      </c>
      <c r="L1395">
        <v>121.83780000000002</v>
      </c>
      <c r="M1395" s="1">
        <v>7</v>
      </c>
      <c r="N1395">
        <v>0</v>
      </c>
      <c r="O1395">
        <v>0</v>
      </c>
      <c r="P1395">
        <v>28000</v>
      </c>
      <c r="Q1395" s="1">
        <v>28000</v>
      </c>
      <c r="R1395">
        <v>5.0000000000000001E-3</v>
      </c>
      <c r="S1395" s="2">
        <v>46204</v>
      </c>
      <c r="T1395" s="2">
        <v>46261</v>
      </c>
      <c r="U1395">
        <v>3000</v>
      </c>
      <c r="V1395">
        <v>2000</v>
      </c>
      <c r="W1395">
        <v>1000</v>
      </c>
      <c r="X1395">
        <v>2000</v>
      </c>
      <c r="Y1395">
        <v>1000</v>
      </c>
      <c r="Z1395" s="8">
        <v>3000</v>
      </c>
      <c r="AA1395">
        <v>2000</v>
      </c>
      <c r="AB1395">
        <v>0.5</v>
      </c>
      <c r="AC1395">
        <v>1.5</v>
      </c>
      <c r="AD1395" s="1">
        <v>280</v>
      </c>
      <c r="AE1395" s="2">
        <v>46528</v>
      </c>
      <c r="AF1395" s="2">
        <v>46536</v>
      </c>
      <c r="AG1395" s="2">
        <v>46543</v>
      </c>
      <c r="AH1395">
        <v>7000</v>
      </c>
      <c r="AI1395" s="3">
        <v>2.4137931034482758</v>
      </c>
      <c r="AJ1395" s="1">
        <v>116</v>
      </c>
      <c r="AK1395" s="2">
        <v>46379</v>
      </c>
      <c r="AL1395" s="4">
        <v>30</v>
      </c>
      <c r="AM1395" s="5">
        <v>15</v>
      </c>
      <c r="AN1395" s="4">
        <v>116</v>
      </c>
      <c r="AO1395">
        <v>7241.379310344827</v>
      </c>
      <c r="AP1395" s="4">
        <v>1</v>
      </c>
      <c r="AQ1395">
        <v>30000</v>
      </c>
      <c r="AR1395" t="s">
        <v>1829</v>
      </c>
      <c r="AT1395" s="16" t="str">
        <f>_xlfn.XLOOKUP(B1395,'SWiSH Demand Forecast Sep-26'!D:D,'SWiSH Demand Forecast Sep-26'!G:G,"Not Exist")</f>
        <v>Not Exist</v>
      </c>
    </row>
    <row r="1396" spans="1:46" hidden="1" x14ac:dyDescent="0.3">
      <c r="A1396">
        <v>105900005</v>
      </c>
      <c r="B1396" t="s">
        <v>447</v>
      </c>
      <c r="C1396" t="s">
        <v>10</v>
      </c>
      <c r="D1396" t="s">
        <v>1613</v>
      </c>
      <c r="E1396" t="s">
        <v>1732</v>
      </c>
      <c r="F1396" t="s">
        <v>1664</v>
      </c>
      <c r="G1396" t="s">
        <v>1616</v>
      </c>
      <c r="H1396" t="s">
        <v>1729</v>
      </c>
      <c r="I1396" t="s">
        <v>1634</v>
      </c>
      <c r="J1396" t="s">
        <v>1733</v>
      </c>
      <c r="K1396">
        <v>6.1538599999999997E-3</v>
      </c>
      <c r="L1396">
        <v>348.92386199999999</v>
      </c>
      <c r="M1396" s="1">
        <v>90</v>
      </c>
      <c r="N1396">
        <v>0</v>
      </c>
      <c r="O1396">
        <v>0</v>
      </c>
      <c r="P1396">
        <v>56700</v>
      </c>
      <c r="Q1396" s="1">
        <v>56700</v>
      </c>
      <c r="R1396">
        <v>6.8900000000000003E-3</v>
      </c>
      <c r="S1396" s="2">
        <v>46214</v>
      </c>
      <c r="T1396" s="2">
        <v>46242</v>
      </c>
      <c r="U1396">
        <v>0</v>
      </c>
      <c r="V1396">
        <v>6000</v>
      </c>
      <c r="W1396">
        <v>2000</v>
      </c>
      <c r="X1396">
        <v>2000</v>
      </c>
      <c r="Y1396">
        <v>0</v>
      </c>
      <c r="Z1396" s="8">
        <v>6000</v>
      </c>
      <c r="AA1396">
        <v>2500</v>
      </c>
      <c r="AB1396">
        <v>0</v>
      </c>
      <c r="AC1396">
        <v>2.4</v>
      </c>
      <c r="AD1396" s="1">
        <v>283</v>
      </c>
      <c r="AE1396" s="2">
        <v>46531</v>
      </c>
      <c r="AF1396" s="2">
        <v>46539</v>
      </c>
      <c r="AG1396" s="2">
        <v>46546</v>
      </c>
      <c r="AH1396">
        <v>3300</v>
      </c>
      <c r="AI1396" s="3">
        <v>0.56896551724137934</v>
      </c>
      <c r="AJ1396" s="1">
        <v>498</v>
      </c>
      <c r="AK1396" s="2">
        <v>46761</v>
      </c>
      <c r="AL1396" s="4">
        <v>120</v>
      </c>
      <c r="AM1396" s="5">
        <v>100</v>
      </c>
      <c r="AN1396" s="4">
        <v>283</v>
      </c>
      <c r="AO1396">
        <v>13655.172413793103</v>
      </c>
      <c r="AP1396" s="4">
        <v>1</v>
      </c>
      <c r="AQ1396" t="s">
        <v>1619</v>
      </c>
      <c r="AR1396" t="s">
        <v>1620</v>
      </c>
      <c r="AT1396" s="16">
        <f>_xlfn.XLOOKUP(B1396,'SWiSH Demand Forecast Sep-26'!D:D,'SWiSH Demand Forecast Sep-26'!G:G,"Not Exist")</f>
        <v>2125</v>
      </c>
    </row>
    <row r="1397" spans="1:46" x14ac:dyDescent="0.3">
      <c r="A1397">
        <v>101600065</v>
      </c>
      <c r="B1397" t="s">
        <v>3223</v>
      </c>
      <c r="C1397" t="s">
        <v>10</v>
      </c>
      <c r="D1397" t="s">
        <v>1613</v>
      </c>
      <c r="E1397" t="s">
        <v>1832</v>
      </c>
      <c r="F1397" t="s">
        <v>1631</v>
      </c>
      <c r="G1397" t="s">
        <v>1624</v>
      </c>
      <c r="H1397" t="s">
        <v>1768</v>
      </c>
      <c r="I1397" t="s">
        <v>1634</v>
      </c>
      <c r="J1397" t="s">
        <v>10</v>
      </c>
      <c r="K1397">
        <v>2.5999999999999999E-2</v>
      </c>
      <c r="L1397">
        <v>494</v>
      </c>
      <c r="M1397" s="1">
        <v>3</v>
      </c>
      <c r="N1397">
        <v>0</v>
      </c>
      <c r="O1397">
        <v>0</v>
      </c>
      <c r="P1397">
        <v>19000</v>
      </c>
      <c r="Q1397" s="1">
        <v>19000</v>
      </c>
      <c r="R1397">
        <v>26</v>
      </c>
      <c r="S1397" s="2">
        <v>46168</v>
      </c>
      <c r="T1397" s="2">
        <v>46238</v>
      </c>
      <c r="U1397">
        <v>0</v>
      </c>
      <c r="V1397">
        <v>0</v>
      </c>
      <c r="W1397">
        <v>2000</v>
      </c>
      <c r="X1397">
        <v>0</v>
      </c>
      <c r="Y1397">
        <v>0</v>
      </c>
      <c r="Z1397" s="8">
        <v>2000</v>
      </c>
      <c r="AA1397">
        <v>500</v>
      </c>
      <c r="AB1397">
        <v>0</v>
      </c>
      <c r="AC1397">
        <v>4</v>
      </c>
      <c r="AD1397" s="1">
        <v>285</v>
      </c>
      <c r="AE1397" s="2">
        <v>46533</v>
      </c>
      <c r="AF1397" s="2">
        <v>46541</v>
      </c>
      <c r="AG1397" s="2">
        <v>46548</v>
      </c>
      <c r="AH1397">
        <v>2000</v>
      </c>
      <c r="AI1397" s="3">
        <v>1.0344827586206895</v>
      </c>
      <c r="AJ1397" s="1">
        <v>275</v>
      </c>
      <c r="AK1397" s="2">
        <v>46538</v>
      </c>
      <c r="AL1397" s="4">
        <v>30</v>
      </c>
      <c r="AM1397" s="5">
        <v>15</v>
      </c>
      <c r="AN1397" s="4">
        <v>275</v>
      </c>
      <c r="AO1397">
        <v>2068.9655172413791</v>
      </c>
      <c r="AP1397" s="4">
        <v>1</v>
      </c>
      <c r="AQ1397" t="s">
        <v>1619</v>
      </c>
      <c r="AR1397" t="s">
        <v>1620</v>
      </c>
      <c r="AT1397" s="16" t="str">
        <f>_xlfn.XLOOKUP(B1397,'SWiSH Demand Forecast Sep-26'!D:D,'SWiSH Demand Forecast Sep-26'!G:G,"Not Exist")</f>
        <v>Not Exist</v>
      </c>
    </row>
    <row r="1398" spans="1:46" hidden="1" x14ac:dyDescent="0.3">
      <c r="A1398">
        <v>106600122</v>
      </c>
      <c r="B1398" t="s">
        <v>336</v>
      </c>
      <c r="C1398" t="s">
        <v>10</v>
      </c>
      <c r="D1398" t="s">
        <v>1613</v>
      </c>
      <c r="E1398" t="s">
        <v>1663</v>
      </c>
      <c r="F1398" t="s">
        <v>1664</v>
      </c>
      <c r="G1398" t="s">
        <v>1624</v>
      </c>
      <c r="H1398" t="s">
        <v>1723</v>
      </c>
      <c r="I1398" t="s">
        <v>1634</v>
      </c>
      <c r="J1398" t="s">
        <v>10</v>
      </c>
      <c r="K1398">
        <v>3.0000000000000001E-3</v>
      </c>
      <c r="L1398">
        <v>228</v>
      </c>
      <c r="M1398" s="1">
        <v>30</v>
      </c>
      <c r="N1398">
        <v>0</v>
      </c>
      <c r="O1398">
        <v>0</v>
      </c>
      <c r="P1398">
        <v>76000</v>
      </c>
      <c r="Q1398" s="1">
        <v>76000</v>
      </c>
      <c r="R1398">
        <v>3.0000000000000001E-3</v>
      </c>
      <c r="S1398" s="2">
        <v>46082</v>
      </c>
      <c r="T1398" s="2">
        <v>46228</v>
      </c>
      <c r="U1398">
        <v>8000</v>
      </c>
      <c r="V1398">
        <v>4000</v>
      </c>
      <c r="W1398">
        <v>0</v>
      </c>
      <c r="X1398">
        <v>8000</v>
      </c>
      <c r="Y1398">
        <v>0</v>
      </c>
      <c r="Z1398" s="8">
        <v>8000</v>
      </c>
      <c r="AA1398">
        <v>5000</v>
      </c>
      <c r="AB1398">
        <v>0</v>
      </c>
      <c r="AC1398">
        <v>1.6</v>
      </c>
      <c r="AD1398" s="1">
        <v>285</v>
      </c>
      <c r="AE1398" s="2">
        <v>46533</v>
      </c>
      <c r="AF1398" s="2">
        <v>46541</v>
      </c>
      <c r="AG1398" s="2">
        <v>46548</v>
      </c>
      <c r="AH1398">
        <v>0</v>
      </c>
      <c r="AI1398" s="3">
        <v>0</v>
      </c>
      <c r="AJ1398" s="1" t="s">
        <v>1635</v>
      </c>
      <c r="AK1398" s="2" t="s">
        <v>1635</v>
      </c>
      <c r="AL1398" s="4">
        <v>30</v>
      </c>
      <c r="AM1398" s="5">
        <v>15</v>
      </c>
      <c r="AN1398" s="4">
        <v>285</v>
      </c>
      <c r="AO1398">
        <v>0</v>
      </c>
      <c r="AP1398" s="4">
        <v>1</v>
      </c>
      <c r="AQ1398" t="s">
        <v>1619</v>
      </c>
      <c r="AR1398" t="s">
        <v>1620</v>
      </c>
      <c r="AT1398" s="16">
        <f>_xlfn.XLOOKUP(B1398,'SWiSH Demand Forecast Sep-26'!D:D,'SWiSH Demand Forecast Sep-26'!G:G,"Not Exist")</f>
        <v>3888</v>
      </c>
    </row>
    <row r="1399" spans="1:46" x14ac:dyDescent="0.3">
      <c r="A1399">
        <v>106600062</v>
      </c>
      <c r="B1399" t="s">
        <v>3224</v>
      </c>
      <c r="C1399" t="s">
        <v>10</v>
      </c>
      <c r="D1399" t="s">
        <v>1613</v>
      </c>
      <c r="E1399" t="s">
        <v>1685</v>
      </c>
      <c r="F1399" t="s">
        <v>1664</v>
      </c>
      <c r="G1399" t="s">
        <v>1624</v>
      </c>
      <c r="H1399" t="s">
        <v>1723</v>
      </c>
      <c r="I1399" t="s">
        <v>1634</v>
      </c>
      <c r="J1399" t="s">
        <v>10</v>
      </c>
      <c r="K1399">
        <v>0.03</v>
      </c>
      <c r="L1399">
        <v>576</v>
      </c>
      <c r="M1399" s="1">
        <v>15</v>
      </c>
      <c r="N1399">
        <v>0</v>
      </c>
      <c r="O1399">
        <v>0</v>
      </c>
      <c r="P1399">
        <v>19200</v>
      </c>
      <c r="Q1399" s="1">
        <v>19200</v>
      </c>
      <c r="R1399">
        <v>0.03</v>
      </c>
      <c r="S1399" s="2">
        <v>46165</v>
      </c>
      <c r="T1399" s="2">
        <v>46246</v>
      </c>
      <c r="U1399">
        <v>1600</v>
      </c>
      <c r="V1399">
        <v>2000</v>
      </c>
      <c r="W1399">
        <v>1200</v>
      </c>
      <c r="X1399">
        <v>400</v>
      </c>
      <c r="Y1399">
        <v>400</v>
      </c>
      <c r="Z1399" s="8">
        <v>2000</v>
      </c>
      <c r="AA1399">
        <v>1300</v>
      </c>
      <c r="AB1399">
        <v>0.30769230769230771</v>
      </c>
      <c r="AC1399">
        <v>1.5384615384615385</v>
      </c>
      <c r="AD1399" s="1">
        <v>288</v>
      </c>
      <c r="AE1399" s="2">
        <v>46536</v>
      </c>
      <c r="AF1399" s="2">
        <v>46544</v>
      </c>
      <c r="AG1399" s="2">
        <v>46551</v>
      </c>
      <c r="AH1399">
        <v>400</v>
      </c>
      <c r="AI1399" s="3">
        <v>0.20689655172413793</v>
      </c>
      <c r="AJ1399" s="1">
        <v>1392</v>
      </c>
      <c r="AK1399" s="2">
        <v>47655</v>
      </c>
      <c r="AL1399" s="4">
        <v>30</v>
      </c>
      <c r="AM1399" s="5">
        <v>15</v>
      </c>
      <c r="AN1399" s="4">
        <v>288</v>
      </c>
      <c r="AO1399">
        <v>413.79310344827593</v>
      </c>
      <c r="AP1399" s="4">
        <v>1</v>
      </c>
      <c r="AQ1399" t="s">
        <v>1619</v>
      </c>
      <c r="AR1399" t="s">
        <v>1620</v>
      </c>
      <c r="AT1399" s="16" t="str">
        <f>_xlfn.XLOOKUP(B1399,'SWiSH Demand Forecast Sep-26'!D:D,'SWiSH Demand Forecast Sep-26'!G:G,"Not Exist")</f>
        <v>Not Exist</v>
      </c>
    </row>
    <row r="1400" spans="1:46" hidden="1" x14ac:dyDescent="0.3">
      <c r="A1400">
        <v>105900041</v>
      </c>
      <c r="B1400" t="s">
        <v>304</v>
      </c>
      <c r="C1400" t="s">
        <v>10</v>
      </c>
      <c r="D1400" t="s">
        <v>1613</v>
      </c>
      <c r="E1400" t="s">
        <v>1732</v>
      </c>
      <c r="F1400" t="s">
        <v>1664</v>
      </c>
      <c r="G1400" t="s">
        <v>1616</v>
      </c>
      <c r="H1400" t="s">
        <v>1729</v>
      </c>
      <c r="I1400" t="s">
        <v>1634</v>
      </c>
      <c r="J1400" t="s">
        <v>1733</v>
      </c>
      <c r="K1400">
        <v>6.5112299999999998E-3</v>
      </c>
      <c r="L1400">
        <v>315.79465499999998</v>
      </c>
      <c r="M1400" s="1">
        <v>90</v>
      </c>
      <c r="N1400">
        <v>0</v>
      </c>
      <c r="O1400">
        <v>0</v>
      </c>
      <c r="P1400">
        <v>48500</v>
      </c>
      <c r="Q1400" s="1">
        <v>48500</v>
      </c>
      <c r="R1400">
        <v>6.8900000000000003E-3</v>
      </c>
      <c r="S1400" s="2">
        <v>46214</v>
      </c>
      <c r="T1400" s="2">
        <v>46209</v>
      </c>
      <c r="U1400">
        <v>4000</v>
      </c>
      <c r="V1400">
        <v>5000</v>
      </c>
      <c r="W1400">
        <v>2000</v>
      </c>
      <c r="X1400">
        <v>4400</v>
      </c>
      <c r="Y1400">
        <v>2000</v>
      </c>
      <c r="Z1400" s="8">
        <v>5000</v>
      </c>
      <c r="AA1400">
        <v>3850</v>
      </c>
      <c r="AB1400">
        <v>0.51948051948051943</v>
      </c>
      <c r="AC1400">
        <v>1.2987012987012987</v>
      </c>
      <c r="AD1400" s="1">
        <v>291</v>
      </c>
      <c r="AE1400" s="2">
        <v>46539</v>
      </c>
      <c r="AF1400" s="2">
        <v>46547</v>
      </c>
      <c r="AG1400" s="2">
        <v>46554</v>
      </c>
      <c r="AH1400">
        <v>0</v>
      </c>
      <c r="AI1400" s="3">
        <v>0</v>
      </c>
      <c r="AJ1400" s="1" t="s">
        <v>1635</v>
      </c>
      <c r="AK1400" s="2" t="s">
        <v>1635</v>
      </c>
      <c r="AL1400" s="4">
        <v>120</v>
      </c>
      <c r="AM1400" s="5">
        <v>100</v>
      </c>
      <c r="AN1400" s="4">
        <v>291</v>
      </c>
      <c r="AO1400">
        <v>0</v>
      </c>
      <c r="AP1400" s="4">
        <v>1</v>
      </c>
      <c r="AQ1400" t="s">
        <v>1619</v>
      </c>
      <c r="AR1400" t="s">
        <v>1620</v>
      </c>
      <c r="AT1400" s="16">
        <f>_xlfn.XLOOKUP(B1400,'SWiSH Demand Forecast Sep-26'!D:D,'SWiSH Demand Forecast Sep-26'!G:G,"Not Exist")</f>
        <v>4846</v>
      </c>
    </row>
    <row r="1401" spans="1:46" hidden="1" x14ac:dyDescent="0.3">
      <c r="A1401">
        <v>106600121</v>
      </c>
      <c r="B1401" t="s">
        <v>422</v>
      </c>
      <c r="C1401" t="s">
        <v>10</v>
      </c>
      <c r="D1401" t="s">
        <v>1613</v>
      </c>
      <c r="E1401" t="s">
        <v>1663</v>
      </c>
      <c r="F1401" t="s">
        <v>1664</v>
      </c>
      <c r="G1401" t="s">
        <v>1624</v>
      </c>
      <c r="H1401" t="s">
        <v>1723</v>
      </c>
      <c r="I1401" t="s">
        <v>1634</v>
      </c>
      <c r="J1401" t="s">
        <v>10</v>
      </c>
      <c r="K1401">
        <v>1.2500000000000001E-2</v>
      </c>
      <c r="L1401">
        <v>487.5</v>
      </c>
      <c r="M1401" s="1">
        <v>15</v>
      </c>
      <c r="N1401">
        <v>0</v>
      </c>
      <c r="O1401">
        <v>0</v>
      </c>
      <c r="P1401">
        <v>39000</v>
      </c>
      <c r="Q1401" s="1">
        <v>39000</v>
      </c>
      <c r="R1401">
        <v>1.2500000000000001E-2</v>
      </c>
      <c r="S1401" s="2">
        <v>46099</v>
      </c>
      <c r="T1401" s="2">
        <v>46238</v>
      </c>
      <c r="U1401">
        <v>4000</v>
      </c>
      <c r="V1401">
        <v>2000</v>
      </c>
      <c r="W1401">
        <v>1000</v>
      </c>
      <c r="X1401">
        <v>1000</v>
      </c>
      <c r="Y1401">
        <v>1000</v>
      </c>
      <c r="Z1401" s="8">
        <v>4000</v>
      </c>
      <c r="AA1401">
        <v>2000</v>
      </c>
      <c r="AB1401">
        <v>0.5</v>
      </c>
      <c r="AC1401">
        <v>2</v>
      </c>
      <c r="AD1401" s="1">
        <v>292</v>
      </c>
      <c r="AE1401" s="2">
        <v>46540</v>
      </c>
      <c r="AF1401" s="2">
        <v>46548</v>
      </c>
      <c r="AG1401" s="2">
        <v>46555</v>
      </c>
      <c r="AH1401">
        <v>2000</v>
      </c>
      <c r="AI1401" s="3">
        <v>0.51724137931034475</v>
      </c>
      <c r="AJ1401" s="1">
        <v>565</v>
      </c>
      <c r="AK1401" s="2">
        <v>46828</v>
      </c>
      <c r="AL1401" s="4">
        <v>30</v>
      </c>
      <c r="AM1401" s="5">
        <v>15</v>
      </c>
      <c r="AN1401" s="4">
        <v>292</v>
      </c>
      <c r="AO1401">
        <v>2068.9655172413791</v>
      </c>
      <c r="AP1401" s="4">
        <v>1</v>
      </c>
      <c r="AQ1401" t="s">
        <v>1619</v>
      </c>
      <c r="AR1401" t="s">
        <v>1620</v>
      </c>
      <c r="AT1401" s="16">
        <f>_xlfn.XLOOKUP(B1401,'SWiSH Demand Forecast Sep-26'!D:D,'SWiSH Demand Forecast Sep-26'!G:G,"Not Exist")</f>
        <v>2405</v>
      </c>
    </row>
    <row r="1402" spans="1:46" x14ac:dyDescent="0.3">
      <c r="A1402">
        <v>106700061</v>
      </c>
      <c r="B1402" t="s">
        <v>3225</v>
      </c>
      <c r="C1402" t="s">
        <v>10</v>
      </c>
      <c r="D1402" t="s">
        <v>1613</v>
      </c>
      <c r="E1402" t="s">
        <v>3226</v>
      </c>
      <c r="F1402" t="s">
        <v>1650</v>
      </c>
      <c r="G1402" t="s">
        <v>1624</v>
      </c>
      <c r="H1402" t="s">
        <v>1651</v>
      </c>
      <c r="I1402" t="s">
        <v>1634</v>
      </c>
      <c r="J1402" t="s">
        <v>10</v>
      </c>
      <c r="K1402">
        <v>0.7</v>
      </c>
      <c r="L1402">
        <v>138.6</v>
      </c>
      <c r="M1402" s="1">
        <v>3</v>
      </c>
      <c r="N1402">
        <v>0</v>
      </c>
      <c r="O1402">
        <v>0</v>
      </c>
      <c r="P1402">
        <v>198</v>
      </c>
      <c r="Q1402" s="1">
        <v>198</v>
      </c>
      <c r="R1402">
        <v>0.15</v>
      </c>
      <c r="S1402" s="2">
        <v>46237</v>
      </c>
      <c r="T1402" s="2">
        <v>46244</v>
      </c>
      <c r="U1402">
        <v>0</v>
      </c>
      <c r="V1402">
        <v>10</v>
      </c>
      <c r="W1402">
        <v>20</v>
      </c>
      <c r="X1402">
        <v>10</v>
      </c>
      <c r="Y1402">
        <v>0</v>
      </c>
      <c r="Z1402" s="8">
        <v>20</v>
      </c>
      <c r="AA1402">
        <v>10</v>
      </c>
      <c r="AB1402">
        <v>0</v>
      </c>
      <c r="AC1402">
        <v>2</v>
      </c>
      <c r="AD1402" s="1">
        <v>297</v>
      </c>
      <c r="AE1402" s="2">
        <v>46545</v>
      </c>
      <c r="AF1402" s="2">
        <v>46553</v>
      </c>
      <c r="AG1402" s="2">
        <v>46560</v>
      </c>
      <c r="AH1402">
        <v>2</v>
      </c>
      <c r="AI1402" s="3">
        <v>0.10344827586206898</v>
      </c>
      <c r="AJ1402" s="1">
        <v>2871</v>
      </c>
      <c r="AK1402" s="2">
        <v>49134</v>
      </c>
      <c r="AL1402" s="4">
        <v>30</v>
      </c>
      <c r="AM1402" s="5">
        <v>15</v>
      </c>
      <c r="AN1402" s="4">
        <v>297</v>
      </c>
      <c r="AO1402">
        <v>2.0689655172413794</v>
      </c>
      <c r="AP1402" s="4">
        <v>1</v>
      </c>
      <c r="AQ1402" t="s">
        <v>1619</v>
      </c>
      <c r="AR1402" t="s">
        <v>1620</v>
      </c>
      <c r="AT1402" s="16" t="str">
        <f>_xlfn.XLOOKUP(B1402,'SWiSH Demand Forecast Sep-26'!D:D,'SWiSH Demand Forecast Sep-26'!G:G,"Not Exist")</f>
        <v>Not Exist</v>
      </c>
    </row>
    <row r="1403" spans="1:46" hidden="1" x14ac:dyDescent="0.3">
      <c r="A1403">
        <v>107400086</v>
      </c>
      <c r="B1403" t="s">
        <v>181</v>
      </c>
      <c r="C1403" t="s">
        <v>10</v>
      </c>
      <c r="D1403" t="s">
        <v>1613</v>
      </c>
      <c r="E1403" t="s">
        <v>1663</v>
      </c>
      <c r="F1403" t="s">
        <v>1664</v>
      </c>
      <c r="G1403" t="s">
        <v>1624</v>
      </c>
      <c r="H1403" t="s">
        <v>2016</v>
      </c>
      <c r="I1403" t="s">
        <v>1634</v>
      </c>
      <c r="J1403" t="s">
        <v>10</v>
      </c>
      <c r="K1403">
        <v>5.8500100000000001E-3</v>
      </c>
      <c r="L1403">
        <v>637.65109000000007</v>
      </c>
      <c r="M1403" s="1">
        <v>15</v>
      </c>
      <c r="N1403">
        <v>0</v>
      </c>
      <c r="O1403">
        <v>0</v>
      </c>
      <c r="P1403">
        <v>109000</v>
      </c>
      <c r="Q1403" s="1">
        <v>109000</v>
      </c>
      <c r="R1403">
        <v>6.0000000000000001E-3</v>
      </c>
      <c r="S1403" s="2">
        <v>46184</v>
      </c>
      <c r="T1403" s="2">
        <v>46262</v>
      </c>
      <c r="U1403">
        <v>11000</v>
      </c>
      <c r="V1403">
        <v>11000</v>
      </c>
      <c r="W1403">
        <v>7000</v>
      </c>
      <c r="X1403">
        <v>10000</v>
      </c>
      <c r="Y1403">
        <v>7000</v>
      </c>
      <c r="Z1403" s="8">
        <v>11000</v>
      </c>
      <c r="AA1403">
        <v>9750</v>
      </c>
      <c r="AB1403">
        <v>0.71794871794871795</v>
      </c>
      <c r="AC1403">
        <v>1.1282051282051282</v>
      </c>
      <c r="AD1403" s="1">
        <v>297</v>
      </c>
      <c r="AE1403" s="2">
        <v>46545</v>
      </c>
      <c r="AF1403" s="2">
        <v>46553</v>
      </c>
      <c r="AG1403" s="2">
        <v>46560</v>
      </c>
      <c r="AH1403">
        <v>13000</v>
      </c>
      <c r="AI1403" s="3">
        <v>1.2225705329153604</v>
      </c>
      <c r="AJ1403" s="1">
        <v>243</v>
      </c>
      <c r="AK1403" s="2">
        <v>46506</v>
      </c>
      <c r="AL1403" s="4">
        <v>30</v>
      </c>
      <c r="AM1403" s="5">
        <v>15</v>
      </c>
      <c r="AN1403" s="4">
        <v>243</v>
      </c>
      <c r="AO1403">
        <v>13448.275862068966</v>
      </c>
      <c r="AP1403" s="4">
        <v>1</v>
      </c>
      <c r="AQ1403" t="s">
        <v>1619</v>
      </c>
      <c r="AR1403" t="s">
        <v>2034</v>
      </c>
      <c r="AT1403" s="16">
        <f>_xlfn.XLOOKUP(B1403,'SWiSH Demand Forecast Sep-26'!D:D,'SWiSH Demand Forecast Sep-26'!G:G,"Not Exist")</f>
        <v>9614</v>
      </c>
    </row>
    <row r="1404" spans="1:46" x14ac:dyDescent="0.3">
      <c r="A1404">
        <v>106800262</v>
      </c>
      <c r="B1404" t="s">
        <v>3227</v>
      </c>
      <c r="C1404" t="s">
        <v>10</v>
      </c>
      <c r="D1404" t="s">
        <v>1699</v>
      </c>
      <c r="E1404" t="s">
        <v>1926</v>
      </c>
      <c r="F1404" t="s">
        <v>1664</v>
      </c>
      <c r="G1404" t="s">
        <v>1624</v>
      </c>
      <c r="H1404" t="s">
        <v>1665</v>
      </c>
      <c r="I1404" t="s">
        <v>1634</v>
      </c>
      <c r="J1404" t="s">
        <v>10</v>
      </c>
      <c r="K1404">
        <v>2.3999999999999998E-3</v>
      </c>
      <c r="L1404">
        <v>59.999999999999993</v>
      </c>
      <c r="M1404" s="1">
        <v>7</v>
      </c>
      <c r="N1404">
        <v>0</v>
      </c>
      <c r="O1404">
        <v>0</v>
      </c>
      <c r="P1404">
        <v>25000</v>
      </c>
      <c r="Q1404" s="1">
        <v>25000</v>
      </c>
      <c r="R1404">
        <v>2.3999999999999998E-3</v>
      </c>
      <c r="S1404" s="2">
        <v>46133</v>
      </c>
      <c r="T1404" s="2">
        <v>46143</v>
      </c>
      <c r="U1404">
        <v>0</v>
      </c>
      <c r="V1404">
        <v>2500</v>
      </c>
      <c r="W1404">
        <v>0</v>
      </c>
      <c r="X1404">
        <v>0</v>
      </c>
      <c r="Y1404">
        <v>0</v>
      </c>
      <c r="Z1404" s="8">
        <v>2500</v>
      </c>
      <c r="AA1404">
        <v>625</v>
      </c>
      <c r="AB1404">
        <v>0</v>
      </c>
      <c r="AC1404">
        <v>4</v>
      </c>
      <c r="AD1404" s="1">
        <v>300</v>
      </c>
      <c r="AE1404" s="2">
        <v>46548</v>
      </c>
      <c r="AF1404" s="2">
        <v>46556</v>
      </c>
      <c r="AG1404" s="2">
        <v>46563</v>
      </c>
      <c r="AH1404">
        <v>0</v>
      </c>
      <c r="AI1404" s="3">
        <v>0</v>
      </c>
      <c r="AJ1404" s="1" t="s">
        <v>1635</v>
      </c>
      <c r="AK1404" s="2" t="s">
        <v>1635</v>
      </c>
      <c r="AL1404" s="4" t="s">
        <v>1658</v>
      </c>
      <c r="AM1404" s="5" t="s">
        <v>1658</v>
      </c>
      <c r="AN1404" s="4">
        <v>300</v>
      </c>
      <c r="AO1404" t="s">
        <v>1635</v>
      </c>
      <c r="AP1404" s="4" t="s">
        <v>1658</v>
      </c>
      <c r="AQ1404" t="s">
        <v>1619</v>
      </c>
      <c r="AR1404" t="s">
        <v>1620</v>
      </c>
      <c r="AT1404" s="16" t="str">
        <f>_xlfn.XLOOKUP(B1404,'SWiSH Demand Forecast Sep-26'!D:D,'SWiSH Demand Forecast Sep-26'!G:G,"Not Exist")</f>
        <v>Not Exist</v>
      </c>
    </row>
    <row r="1405" spans="1:46" x14ac:dyDescent="0.3">
      <c r="A1405">
        <v>106600001</v>
      </c>
      <c r="B1405" t="s">
        <v>3228</v>
      </c>
      <c r="C1405" t="s">
        <v>10</v>
      </c>
      <c r="D1405" t="s">
        <v>1613</v>
      </c>
      <c r="E1405" t="s">
        <v>2587</v>
      </c>
      <c r="F1405" t="s">
        <v>1664</v>
      </c>
      <c r="G1405" t="s">
        <v>1624</v>
      </c>
      <c r="H1405" t="s">
        <v>1723</v>
      </c>
      <c r="I1405" t="s">
        <v>1634</v>
      </c>
      <c r="J1405" t="s">
        <v>10</v>
      </c>
      <c r="K1405">
        <v>0.02</v>
      </c>
      <c r="L1405">
        <v>50</v>
      </c>
      <c r="M1405" s="1">
        <v>15</v>
      </c>
      <c r="N1405">
        <v>0</v>
      </c>
      <c r="O1405">
        <v>0</v>
      </c>
      <c r="P1405">
        <v>2500</v>
      </c>
      <c r="Q1405" s="1">
        <v>2500</v>
      </c>
      <c r="R1405">
        <v>0.02</v>
      </c>
      <c r="S1405" s="2">
        <v>46226</v>
      </c>
      <c r="T1405" s="2">
        <v>46187</v>
      </c>
      <c r="U1405">
        <v>0</v>
      </c>
      <c r="V1405">
        <v>250</v>
      </c>
      <c r="W1405">
        <v>250</v>
      </c>
      <c r="X1405">
        <v>0</v>
      </c>
      <c r="Y1405">
        <v>0</v>
      </c>
      <c r="Z1405" s="8">
        <v>250</v>
      </c>
      <c r="AA1405">
        <v>125</v>
      </c>
      <c r="AB1405">
        <v>0</v>
      </c>
      <c r="AC1405">
        <v>2</v>
      </c>
      <c r="AD1405" s="1">
        <v>300</v>
      </c>
      <c r="AE1405" s="2">
        <v>46548</v>
      </c>
      <c r="AF1405" s="2">
        <v>46556</v>
      </c>
      <c r="AG1405" s="2">
        <v>46563</v>
      </c>
      <c r="AH1405">
        <v>0</v>
      </c>
      <c r="AI1405" s="3">
        <v>0</v>
      </c>
      <c r="AJ1405" s="1" t="s">
        <v>1635</v>
      </c>
      <c r="AK1405" s="2" t="s">
        <v>1635</v>
      </c>
      <c r="AL1405" s="4">
        <v>30</v>
      </c>
      <c r="AM1405" s="5">
        <v>15</v>
      </c>
      <c r="AN1405" s="4">
        <v>300</v>
      </c>
      <c r="AO1405">
        <v>0</v>
      </c>
      <c r="AP1405" s="4">
        <v>1</v>
      </c>
      <c r="AQ1405" t="s">
        <v>1619</v>
      </c>
      <c r="AR1405" t="s">
        <v>1620</v>
      </c>
      <c r="AT1405" s="16" t="str">
        <f>_xlfn.XLOOKUP(B1405,'SWiSH Demand Forecast Sep-26'!D:D,'SWiSH Demand Forecast Sep-26'!G:G,"Not Exist")</f>
        <v>Not Exist</v>
      </c>
    </row>
    <row r="1406" spans="1:46" x14ac:dyDescent="0.3">
      <c r="A1406">
        <v>100300018</v>
      </c>
      <c r="B1406" t="s">
        <v>3229</v>
      </c>
      <c r="C1406" t="s">
        <v>136</v>
      </c>
      <c r="D1406" t="s">
        <v>1699</v>
      </c>
      <c r="E1406" t="s">
        <v>1832</v>
      </c>
      <c r="F1406" t="s">
        <v>1752</v>
      </c>
      <c r="G1406" t="s">
        <v>1616</v>
      </c>
      <c r="H1406" t="s">
        <v>2018</v>
      </c>
      <c r="I1406" t="s">
        <v>1754</v>
      </c>
      <c r="J1406" t="s">
        <v>1997</v>
      </c>
      <c r="K1406">
        <v>3.1</v>
      </c>
      <c r="L1406">
        <v>155</v>
      </c>
      <c r="M1406" s="1">
        <v>3</v>
      </c>
      <c r="N1406">
        <v>0</v>
      </c>
      <c r="O1406">
        <v>0</v>
      </c>
      <c r="P1406">
        <v>50</v>
      </c>
      <c r="Q1406" s="1">
        <v>50</v>
      </c>
      <c r="R1406">
        <v>31</v>
      </c>
      <c r="S1406" s="2">
        <v>46144</v>
      </c>
      <c r="T1406" s="2">
        <v>46117</v>
      </c>
      <c r="U1406">
        <v>5</v>
      </c>
      <c r="V1406">
        <v>0</v>
      </c>
      <c r="W1406">
        <v>0</v>
      </c>
      <c r="X1406">
        <v>0</v>
      </c>
      <c r="Y1406">
        <v>0</v>
      </c>
      <c r="Z1406" s="8">
        <v>5</v>
      </c>
      <c r="AA1406">
        <v>1.25</v>
      </c>
      <c r="AB1406">
        <v>0</v>
      </c>
      <c r="AC1406">
        <v>4</v>
      </c>
      <c r="AD1406" s="1">
        <v>300</v>
      </c>
      <c r="AE1406" s="2">
        <v>46548</v>
      </c>
      <c r="AF1406" s="2">
        <v>46556</v>
      </c>
      <c r="AG1406" s="2">
        <v>46563</v>
      </c>
      <c r="AH1406">
        <v>0</v>
      </c>
      <c r="AI1406" s="3">
        <v>0</v>
      </c>
      <c r="AJ1406" s="1" t="s">
        <v>1635</v>
      </c>
      <c r="AK1406" s="2" t="s">
        <v>1635</v>
      </c>
      <c r="AL1406" s="4" t="s">
        <v>1658</v>
      </c>
      <c r="AM1406" s="5" t="s">
        <v>1658</v>
      </c>
      <c r="AN1406" s="4">
        <v>300</v>
      </c>
      <c r="AO1406" t="s">
        <v>1635</v>
      </c>
      <c r="AP1406" s="4" t="s">
        <v>1658</v>
      </c>
      <c r="AQ1406" t="s">
        <v>1619</v>
      </c>
      <c r="AR1406" t="s">
        <v>1620</v>
      </c>
      <c r="AT1406" s="16" t="str">
        <f>_xlfn.XLOOKUP(B1406,'SWiSH Demand Forecast Sep-26'!D:D,'SWiSH Demand Forecast Sep-26'!G:G,"Not Exist")</f>
        <v>Not Exist</v>
      </c>
    </row>
    <row r="1407" spans="1:46" hidden="1" x14ac:dyDescent="0.3">
      <c r="A1407">
        <v>100400001</v>
      </c>
      <c r="B1407" t="s">
        <v>1128</v>
      </c>
      <c r="C1407" t="s">
        <v>10</v>
      </c>
      <c r="D1407" t="s">
        <v>1613</v>
      </c>
      <c r="E1407" t="s">
        <v>1926</v>
      </c>
      <c r="F1407" t="s">
        <v>1664</v>
      </c>
      <c r="G1407" t="s">
        <v>1624</v>
      </c>
      <c r="H1407" t="s">
        <v>1810</v>
      </c>
      <c r="I1407" t="s">
        <v>1634</v>
      </c>
      <c r="J1407" t="s">
        <v>10</v>
      </c>
      <c r="K1407">
        <v>0.13993744999999999</v>
      </c>
      <c r="L1407">
        <v>419.81234999999998</v>
      </c>
      <c r="M1407" s="1">
        <v>30</v>
      </c>
      <c r="N1407">
        <v>0</v>
      </c>
      <c r="O1407">
        <v>0</v>
      </c>
      <c r="P1407">
        <v>3000</v>
      </c>
      <c r="Q1407" s="1">
        <v>3000</v>
      </c>
      <c r="R1407">
        <v>0.14000000000000001</v>
      </c>
      <c r="S1407" s="2">
        <v>46135</v>
      </c>
      <c r="T1407" s="2">
        <v>46228</v>
      </c>
      <c r="U1407">
        <v>100</v>
      </c>
      <c r="V1407">
        <v>200</v>
      </c>
      <c r="W1407">
        <v>200</v>
      </c>
      <c r="X1407">
        <v>300</v>
      </c>
      <c r="Y1407">
        <v>100</v>
      </c>
      <c r="Z1407" s="8">
        <v>300</v>
      </c>
      <c r="AA1407">
        <v>200</v>
      </c>
      <c r="AB1407">
        <v>0.5</v>
      </c>
      <c r="AC1407">
        <v>1.5</v>
      </c>
      <c r="AD1407" s="1">
        <v>300</v>
      </c>
      <c r="AE1407" s="2">
        <v>46548</v>
      </c>
      <c r="AF1407" s="2">
        <v>46556</v>
      </c>
      <c r="AG1407" s="2">
        <v>46563</v>
      </c>
      <c r="AH1407">
        <v>0</v>
      </c>
      <c r="AI1407" s="3">
        <v>0</v>
      </c>
      <c r="AJ1407" s="1" t="s">
        <v>1635</v>
      </c>
      <c r="AK1407" s="2" t="s">
        <v>1635</v>
      </c>
      <c r="AL1407" s="4">
        <v>30</v>
      </c>
      <c r="AM1407" s="5">
        <v>15</v>
      </c>
      <c r="AN1407" s="4">
        <v>300</v>
      </c>
      <c r="AO1407">
        <v>0</v>
      </c>
      <c r="AP1407" s="4">
        <v>1</v>
      </c>
      <c r="AQ1407" t="s">
        <v>1619</v>
      </c>
      <c r="AR1407" t="s">
        <v>1620</v>
      </c>
      <c r="AT1407" s="16">
        <f>_xlfn.XLOOKUP(B1407,'SWiSH Demand Forecast Sep-26'!D:D,'SWiSH Demand Forecast Sep-26'!G:G,"Not Exist")</f>
        <v>94</v>
      </c>
    </row>
    <row r="1408" spans="1:46" x14ac:dyDescent="0.3">
      <c r="A1408">
        <v>100400010</v>
      </c>
      <c r="B1408" t="s">
        <v>3230</v>
      </c>
      <c r="C1408" t="s">
        <v>10</v>
      </c>
      <c r="D1408" t="s">
        <v>1613</v>
      </c>
      <c r="E1408" t="s">
        <v>1663</v>
      </c>
      <c r="F1408" t="s">
        <v>1664</v>
      </c>
      <c r="G1408" t="s">
        <v>1624</v>
      </c>
      <c r="H1408" t="s">
        <v>1810</v>
      </c>
      <c r="I1408" t="s">
        <v>1634</v>
      </c>
      <c r="J1408" t="s">
        <v>10</v>
      </c>
      <c r="K1408">
        <v>0.02</v>
      </c>
      <c r="L1408">
        <v>284</v>
      </c>
      <c r="M1408" s="1">
        <v>30</v>
      </c>
      <c r="N1408">
        <v>0</v>
      </c>
      <c r="O1408">
        <v>0</v>
      </c>
      <c r="P1408">
        <v>14200</v>
      </c>
      <c r="Q1408" s="1">
        <v>14200</v>
      </c>
      <c r="R1408">
        <v>0.02</v>
      </c>
      <c r="S1408" s="2">
        <v>46224</v>
      </c>
      <c r="T1408" s="2">
        <v>46263</v>
      </c>
      <c r="U1408">
        <v>400</v>
      </c>
      <c r="V1408">
        <v>1400</v>
      </c>
      <c r="W1408">
        <v>800</v>
      </c>
      <c r="X1408">
        <v>1400</v>
      </c>
      <c r="Y1408">
        <v>400</v>
      </c>
      <c r="Z1408" s="8">
        <v>1400</v>
      </c>
      <c r="AA1408">
        <v>1000</v>
      </c>
      <c r="AB1408">
        <v>0.4</v>
      </c>
      <c r="AC1408">
        <v>1.4</v>
      </c>
      <c r="AD1408" s="1">
        <v>304</v>
      </c>
      <c r="AE1408" s="2">
        <v>46552</v>
      </c>
      <c r="AF1408" s="2">
        <v>46560</v>
      </c>
      <c r="AG1408" s="2">
        <v>46567</v>
      </c>
      <c r="AH1408">
        <v>800</v>
      </c>
      <c r="AI1408" s="3">
        <v>0.59113300492610843</v>
      </c>
      <c r="AJ1408" s="1">
        <v>514</v>
      </c>
      <c r="AK1408" s="2">
        <v>46777</v>
      </c>
      <c r="AL1408" s="4">
        <v>30</v>
      </c>
      <c r="AM1408" s="5">
        <v>15</v>
      </c>
      <c r="AN1408" s="4">
        <v>304</v>
      </c>
      <c r="AO1408">
        <v>827.58620689655186</v>
      </c>
      <c r="AP1408" s="4">
        <v>1</v>
      </c>
      <c r="AQ1408" t="s">
        <v>1619</v>
      </c>
      <c r="AR1408" t="s">
        <v>1620</v>
      </c>
      <c r="AT1408" s="16" t="str">
        <f>_xlfn.XLOOKUP(B1408,'SWiSH Demand Forecast Sep-26'!D:D,'SWiSH Demand Forecast Sep-26'!G:G,"Not Exist")</f>
        <v>Not Exist</v>
      </c>
    </row>
    <row r="1409" spans="1:46" x14ac:dyDescent="0.3">
      <c r="A1409">
        <v>104200010</v>
      </c>
      <c r="B1409" t="s">
        <v>3231</v>
      </c>
      <c r="C1409" t="s">
        <v>136</v>
      </c>
      <c r="D1409" t="s">
        <v>1613</v>
      </c>
      <c r="E1409" t="s">
        <v>3232</v>
      </c>
      <c r="F1409" t="s">
        <v>1631</v>
      </c>
      <c r="G1409" t="s">
        <v>1624</v>
      </c>
      <c r="H1409" t="s">
        <v>1633</v>
      </c>
      <c r="I1409" t="s">
        <v>1634</v>
      </c>
      <c r="J1409" t="s">
        <v>136</v>
      </c>
      <c r="K1409">
        <v>0.49043133999999999</v>
      </c>
      <c r="L1409">
        <v>3163.2821429999999</v>
      </c>
      <c r="M1409" s="1">
        <v>3</v>
      </c>
      <c r="N1409">
        <v>0</v>
      </c>
      <c r="O1409">
        <v>25</v>
      </c>
      <c r="P1409">
        <v>6450</v>
      </c>
      <c r="Q1409" s="1">
        <v>6425</v>
      </c>
      <c r="R1409">
        <v>2.65</v>
      </c>
      <c r="S1409" s="2">
        <v>46238</v>
      </c>
      <c r="T1409" s="2">
        <v>46263</v>
      </c>
      <c r="U1409">
        <v>0</v>
      </c>
      <c r="V1409">
        <v>0</v>
      </c>
      <c r="W1409">
        <v>0</v>
      </c>
      <c r="X1409">
        <v>630</v>
      </c>
      <c r="Y1409">
        <v>0</v>
      </c>
      <c r="Z1409" s="8">
        <v>630</v>
      </c>
      <c r="AA1409">
        <v>157.5</v>
      </c>
      <c r="AB1409">
        <v>0</v>
      </c>
      <c r="AC1409">
        <v>4</v>
      </c>
      <c r="AD1409" s="1">
        <v>305</v>
      </c>
      <c r="AE1409" s="2">
        <v>46553</v>
      </c>
      <c r="AF1409" s="2">
        <v>46561</v>
      </c>
      <c r="AG1409" s="2">
        <v>46568</v>
      </c>
      <c r="AH1409">
        <v>3495</v>
      </c>
      <c r="AI1409" s="3">
        <v>5.7389162561576352</v>
      </c>
      <c r="AJ1409" s="1">
        <v>53</v>
      </c>
      <c r="AK1409" s="2">
        <v>46316</v>
      </c>
      <c r="AL1409" s="4">
        <v>10</v>
      </c>
      <c r="AM1409" s="5">
        <v>10</v>
      </c>
      <c r="AN1409" s="4">
        <v>53</v>
      </c>
      <c r="AO1409">
        <v>1205.1724137931035</v>
      </c>
      <c r="AP1409" s="4">
        <v>3</v>
      </c>
      <c r="AQ1409" t="s">
        <v>1619</v>
      </c>
      <c r="AR1409" t="s">
        <v>1620</v>
      </c>
      <c r="AS1409" t="s">
        <v>1666</v>
      </c>
      <c r="AT1409" s="16" t="str">
        <f>_xlfn.XLOOKUP(B1409,'SWiSH Demand Forecast Sep-26'!D:D,'SWiSH Demand Forecast Sep-26'!G:G,"Not Exist")</f>
        <v>Not Exist</v>
      </c>
    </row>
    <row r="1410" spans="1:46" hidden="1" x14ac:dyDescent="0.3">
      <c r="A1410">
        <v>103700018</v>
      </c>
      <c r="B1410" t="s">
        <v>1214</v>
      </c>
      <c r="C1410" t="s">
        <v>136</v>
      </c>
      <c r="D1410" t="s">
        <v>1613</v>
      </c>
      <c r="E1410" t="s">
        <v>1732</v>
      </c>
      <c r="F1410" t="s">
        <v>1615</v>
      </c>
      <c r="G1410" t="s">
        <v>1616</v>
      </c>
      <c r="H1410" t="s">
        <v>1617</v>
      </c>
      <c r="I1410" t="s">
        <v>1618</v>
      </c>
      <c r="J1410" t="s">
        <v>3233</v>
      </c>
      <c r="K1410">
        <v>2.32507296</v>
      </c>
      <c r="L1410">
        <v>1297.3907116800001</v>
      </c>
      <c r="M1410" s="1">
        <v>90</v>
      </c>
      <c r="N1410">
        <v>0</v>
      </c>
      <c r="O1410">
        <v>0</v>
      </c>
      <c r="P1410">
        <v>558</v>
      </c>
      <c r="Q1410" s="1">
        <v>558</v>
      </c>
      <c r="R1410">
        <v>41.045999999999999</v>
      </c>
      <c r="S1410" s="2">
        <v>46082</v>
      </c>
      <c r="T1410" s="2">
        <v>46252</v>
      </c>
      <c r="U1410">
        <v>54</v>
      </c>
      <c r="V1410">
        <v>54</v>
      </c>
      <c r="W1410">
        <v>54</v>
      </c>
      <c r="X1410">
        <v>54</v>
      </c>
      <c r="Y1410">
        <v>54</v>
      </c>
      <c r="Z1410" s="8">
        <v>54</v>
      </c>
      <c r="AA1410">
        <v>54</v>
      </c>
      <c r="AB1410">
        <v>1</v>
      </c>
      <c r="AC1410">
        <v>1</v>
      </c>
      <c r="AD1410" s="1">
        <v>310</v>
      </c>
      <c r="AE1410" s="2">
        <v>46558</v>
      </c>
      <c r="AF1410" s="2">
        <v>46566</v>
      </c>
      <c r="AG1410" s="2">
        <v>46573</v>
      </c>
      <c r="AH1410">
        <v>54</v>
      </c>
      <c r="AI1410" s="3">
        <v>1.0344827586206895</v>
      </c>
      <c r="AJ1410" s="1">
        <v>299</v>
      </c>
      <c r="AK1410" s="2">
        <v>46562</v>
      </c>
      <c r="AL1410" s="4">
        <v>120</v>
      </c>
      <c r="AM1410" s="5">
        <v>100</v>
      </c>
      <c r="AN1410" s="4">
        <v>299</v>
      </c>
      <c r="AO1410">
        <v>223.44827586206893</v>
      </c>
      <c r="AP1410" s="4">
        <v>1</v>
      </c>
      <c r="AQ1410" t="s">
        <v>1619</v>
      </c>
      <c r="AR1410" t="s">
        <v>1620</v>
      </c>
      <c r="AT1410" s="16">
        <f>_xlfn.XLOOKUP(B1410,'SWiSH Demand Forecast Sep-26'!D:D,'SWiSH Demand Forecast Sep-26'!G:G,"Not Exist")</f>
        <v>52.347253065152699</v>
      </c>
    </row>
    <row r="1411" spans="1:46" x14ac:dyDescent="0.3">
      <c r="A1411">
        <v>100400137</v>
      </c>
      <c r="B1411" t="s">
        <v>3234</v>
      </c>
      <c r="C1411" t="s">
        <v>10</v>
      </c>
      <c r="D1411" t="s">
        <v>1613</v>
      </c>
      <c r="E1411" t="s">
        <v>1685</v>
      </c>
      <c r="F1411" t="s">
        <v>1664</v>
      </c>
      <c r="G1411" t="s">
        <v>1624</v>
      </c>
      <c r="H1411" t="s">
        <v>1810</v>
      </c>
      <c r="I1411" t="s">
        <v>1634</v>
      </c>
      <c r="J1411" t="s">
        <v>10</v>
      </c>
      <c r="K1411">
        <v>3.5000000000000003E-2</v>
      </c>
      <c r="L1411">
        <v>705.25000000000011</v>
      </c>
      <c r="M1411" s="1">
        <v>15</v>
      </c>
      <c r="N1411">
        <v>0</v>
      </c>
      <c r="O1411">
        <v>0</v>
      </c>
      <c r="P1411">
        <v>20150</v>
      </c>
      <c r="Q1411" s="1">
        <v>20150</v>
      </c>
      <c r="R1411">
        <v>3.5000000000000003E-2</v>
      </c>
      <c r="S1411" s="2">
        <v>46147</v>
      </c>
      <c r="T1411" s="2">
        <v>46244</v>
      </c>
      <c r="U1411">
        <v>0</v>
      </c>
      <c r="V1411">
        <v>1950</v>
      </c>
      <c r="W1411">
        <v>1950</v>
      </c>
      <c r="X1411">
        <v>1350</v>
      </c>
      <c r="Y1411">
        <v>0</v>
      </c>
      <c r="Z1411" s="8">
        <v>1950</v>
      </c>
      <c r="AA1411">
        <v>1750</v>
      </c>
      <c r="AB1411">
        <v>0</v>
      </c>
      <c r="AC1411">
        <v>1.1142857142857143</v>
      </c>
      <c r="AD1411" s="1">
        <v>310</v>
      </c>
      <c r="AE1411" s="2">
        <v>46558</v>
      </c>
      <c r="AF1411" s="2">
        <v>46566</v>
      </c>
      <c r="AG1411" s="2">
        <v>46573</v>
      </c>
      <c r="AH1411">
        <v>1300</v>
      </c>
      <c r="AI1411" s="3">
        <v>0.68965517241379304</v>
      </c>
      <c r="AJ1411" s="1">
        <v>449</v>
      </c>
      <c r="AK1411" s="2">
        <v>46712</v>
      </c>
      <c r="AL1411" s="4">
        <v>30</v>
      </c>
      <c r="AM1411" s="5">
        <v>15</v>
      </c>
      <c r="AN1411" s="4">
        <v>310</v>
      </c>
      <c r="AO1411">
        <v>1344.8275862068965</v>
      </c>
      <c r="AP1411" s="4">
        <v>1</v>
      </c>
      <c r="AQ1411" t="s">
        <v>1619</v>
      </c>
      <c r="AR1411" t="s">
        <v>1620</v>
      </c>
      <c r="AT1411" s="16" t="str">
        <f>_xlfn.XLOOKUP(B1411,'SWiSH Demand Forecast Sep-26'!D:D,'SWiSH Demand Forecast Sep-26'!G:G,"Not Exist")</f>
        <v>Not Exist</v>
      </c>
    </row>
    <row r="1412" spans="1:46" x14ac:dyDescent="0.3">
      <c r="A1412">
        <v>104900031</v>
      </c>
      <c r="B1412" t="s">
        <v>3235</v>
      </c>
      <c r="C1412" t="s">
        <v>10</v>
      </c>
      <c r="D1412" t="s">
        <v>1613</v>
      </c>
      <c r="E1412" t="s">
        <v>2147</v>
      </c>
      <c r="F1412" t="s">
        <v>1664</v>
      </c>
      <c r="G1412" t="s">
        <v>1624</v>
      </c>
      <c r="H1412" t="s">
        <v>1759</v>
      </c>
      <c r="I1412" t="s">
        <v>1634</v>
      </c>
      <c r="J1412" t="s">
        <v>2113</v>
      </c>
      <c r="K1412">
        <v>7.5697799999999999E-3</v>
      </c>
      <c r="L1412">
        <v>2838.6675</v>
      </c>
      <c r="M1412" s="1">
        <v>15</v>
      </c>
      <c r="N1412">
        <v>0</v>
      </c>
      <c r="O1412">
        <v>1000</v>
      </c>
      <c r="P1412">
        <v>375000</v>
      </c>
      <c r="Q1412" s="1">
        <v>374000</v>
      </c>
      <c r="R1412">
        <v>8.6</v>
      </c>
      <c r="S1412" s="2">
        <v>46167</v>
      </c>
      <c r="T1412" s="2">
        <v>46259</v>
      </c>
      <c r="U1412">
        <v>36000</v>
      </c>
      <c r="V1412">
        <v>1000</v>
      </c>
      <c r="W1412">
        <v>0</v>
      </c>
      <c r="X1412">
        <v>5000</v>
      </c>
      <c r="Y1412">
        <v>0</v>
      </c>
      <c r="Z1412" s="8">
        <v>36000</v>
      </c>
      <c r="AA1412">
        <v>10500</v>
      </c>
      <c r="AB1412">
        <v>0</v>
      </c>
      <c r="AC1412">
        <v>3.4285714285714284</v>
      </c>
      <c r="AD1412" s="1">
        <v>311</v>
      </c>
      <c r="AE1412" s="2">
        <v>46559</v>
      </c>
      <c r="AF1412" s="2">
        <v>46567</v>
      </c>
      <c r="AG1412" s="2">
        <v>46574</v>
      </c>
      <c r="AH1412">
        <v>9000</v>
      </c>
      <c r="AI1412" s="3">
        <v>0.25862068965517243</v>
      </c>
      <c r="AJ1412" s="1">
        <v>1205</v>
      </c>
      <c r="AK1412" s="2">
        <v>47468</v>
      </c>
      <c r="AL1412" s="4">
        <v>30</v>
      </c>
      <c r="AM1412" s="5">
        <v>15</v>
      </c>
      <c r="AN1412" s="4">
        <v>311</v>
      </c>
      <c r="AO1412">
        <v>9310.3448275862083</v>
      </c>
      <c r="AP1412" s="4">
        <v>1</v>
      </c>
      <c r="AQ1412">
        <v>39</v>
      </c>
      <c r="AR1412" t="s">
        <v>3236</v>
      </c>
      <c r="AT1412" s="16" t="str">
        <f>_xlfn.XLOOKUP(B1412,'SWiSH Demand Forecast Sep-26'!D:D,'SWiSH Demand Forecast Sep-26'!G:G,"Not Exist")</f>
        <v>Not Exist</v>
      </c>
    </row>
    <row r="1413" spans="1:46" x14ac:dyDescent="0.3">
      <c r="A1413">
        <v>106300030</v>
      </c>
      <c r="B1413" t="s">
        <v>3237</v>
      </c>
      <c r="C1413" t="s">
        <v>136</v>
      </c>
      <c r="D1413" t="s">
        <v>1613</v>
      </c>
      <c r="E1413" t="s">
        <v>1643</v>
      </c>
      <c r="F1413" t="s">
        <v>1840</v>
      </c>
      <c r="G1413" t="s">
        <v>1616</v>
      </c>
      <c r="H1413" t="s">
        <v>1860</v>
      </c>
      <c r="I1413" t="s">
        <v>1618</v>
      </c>
      <c r="J1413" t="s">
        <v>1858</v>
      </c>
      <c r="K1413">
        <v>8</v>
      </c>
      <c r="L1413">
        <v>168</v>
      </c>
      <c r="M1413" s="1">
        <v>3</v>
      </c>
      <c r="N1413">
        <v>0</v>
      </c>
      <c r="O1413">
        <v>0</v>
      </c>
      <c r="P1413">
        <v>21</v>
      </c>
      <c r="Q1413" s="1">
        <v>21</v>
      </c>
      <c r="R1413">
        <v>8</v>
      </c>
      <c r="S1413" s="2">
        <v>46056</v>
      </c>
      <c r="T1413" s="2">
        <v>46206</v>
      </c>
      <c r="U1413">
        <v>0</v>
      </c>
      <c r="V1413">
        <v>0</v>
      </c>
      <c r="W1413">
        <v>1</v>
      </c>
      <c r="X1413">
        <v>2</v>
      </c>
      <c r="Y1413">
        <v>0</v>
      </c>
      <c r="Z1413" s="8">
        <v>2</v>
      </c>
      <c r="AA1413">
        <v>0.75</v>
      </c>
      <c r="AB1413">
        <v>0</v>
      </c>
      <c r="AC1413">
        <v>2.6666666666666665</v>
      </c>
      <c r="AD1413" s="1">
        <v>315</v>
      </c>
      <c r="AE1413" s="2">
        <v>46563</v>
      </c>
      <c r="AF1413" s="2">
        <v>46571</v>
      </c>
      <c r="AG1413" s="2">
        <v>46578</v>
      </c>
      <c r="AH1413">
        <v>0</v>
      </c>
      <c r="AI1413" s="3">
        <v>0</v>
      </c>
      <c r="AJ1413" s="1" t="s">
        <v>1635</v>
      </c>
      <c r="AK1413" s="2" t="s">
        <v>1635</v>
      </c>
      <c r="AL1413" s="4">
        <v>30</v>
      </c>
      <c r="AM1413" s="5">
        <v>15</v>
      </c>
      <c r="AN1413" s="4">
        <v>315</v>
      </c>
      <c r="AO1413">
        <v>0</v>
      </c>
      <c r="AP1413" s="4">
        <v>1</v>
      </c>
      <c r="AQ1413" t="s">
        <v>1619</v>
      </c>
      <c r="AR1413" t="s">
        <v>1620</v>
      </c>
      <c r="AT1413" s="16" t="str">
        <f>_xlfn.XLOOKUP(B1413,'SWiSH Demand Forecast Sep-26'!D:D,'SWiSH Demand Forecast Sep-26'!G:G,"Not Exist")</f>
        <v>Not Exist</v>
      </c>
    </row>
    <row r="1414" spans="1:46" hidden="1" x14ac:dyDescent="0.3">
      <c r="A1414">
        <v>106800236</v>
      </c>
      <c r="B1414" t="s">
        <v>437</v>
      </c>
      <c r="C1414" t="s">
        <v>10</v>
      </c>
      <c r="D1414" t="s">
        <v>1699</v>
      </c>
      <c r="E1414" t="s">
        <v>1663</v>
      </c>
      <c r="F1414" t="s">
        <v>1664</v>
      </c>
      <c r="G1414" t="s">
        <v>1624</v>
      </c>
      <c r="H1414" t="s">
        <v>1665</v>
      </c>
      <c r="I1414" t="s">
        <v>1634</v>
      </c>
      <c r="J1414" t="s">
        <v>10</v>
      </c>
      <c r="K1414">
        <v>3.0000000000000001E-3</v>
      </c>
      <c r="L1414">
        <v>79.5</v>
      </c>
      <c r="M1414" s="1">
        <v>15</v>
      </c>
      <c r="N1414">
        <v>0</v>
      </c>
      <c r="O1414">
        <v>0</v>
      </c>
      <c r="P1414">
        <v>26500</v>
      </c>
      <c r="Q1414" s="1">
        <v>26500</v>
      </c>
      <c r="R1414">
        <v>3.0000000000000001E-3</v>
      </c>
      <c r="S1414" s="2">
        <v>46089</v>
      </c>
      <c r="T1414" s="2">
        <v>46173</v>
      </c>
      <c r="U1414">
        <v>2500</v>
      </c>
      <c r="V1414">
        <v>2500</v>
      </c>
      <c r="W1414">
        <v>0</v>
      </c>
      <c r="X1414">
        <v>0</v>
      </c>
      <c r="Y1414">
        <v>0</v>
      </c>
      <c r="Z1414" s="8">
        <v>2500</v>
      </c>
      <c r="AA1414">
        <v>1250</v>
      </c>
      <c r="AB1414">
        <v>0</v>
      </c>
      <c r="AC1414">
        <v>2</v>
      </c>
      <c r="AD1414" s="1">
        <v>318</v>
      </c>
      <c r="AE1414" s="2">
        <v>46566</v>
      </c>
      <c r="AF1414" s="2">
        <v>46574</v>
      </c>
      <c r="AG1414" s="2">
        <v>46581</v>
      </c>
      <c r="AH1414">
        <v>0</v>
      </c>
      <c r="AI1414" s="3">
        <v>0</v>
      </c>
      <c r="AJ1414" s="1" t="s">
        <v>1635</v>
      </c>
      <c r="AK1414" s="2" t="s">
        <v>1635</v>
      </c>
      <c r="AL1414" s="4" t="s">
        <v>1658</v>
      </c>
      <c r="AM1414" s="5" t="s">
        <v>1658</v>
      </c>
      <c r="AN1414" s="4">
        <v>318</v>
      </c>
      <c r="AO1414" t="s">
        <v>1635</v>
      </c>
      <c r="AP1414" s="4" t="s">
        <v>1658</v>
      </c>
      <c r="AQ1414" t="s">
        <v>1619</v>
      </c>
      <c r="AR1414" t="s">
        <v>1620</v>
      </c>
      <c r="AT1414" s="16">
        <f>_xlfn.XLOOKUP(B1414,'SWiSH Demand Forecast Sep-26'!D:D,'SWiSH Demand Forecast Sep-26'!G:G,"Not Exist")</f>
        <v>2209</v>
      </c>
    </row>
    <row r="1415" spans="1:46" x14ac:dyDescent="0.3">
      <c r="A1415">
        <v>105900035</v>
      </c>
      <c r="B1415" t="s">
        <v>3238</v>
      </c>
      <c r="C1415" t="s">
        <v>10</v>
      </c>
      <c r="D1415" t="s">
        <v>1613</v>
      </c>
      <c r="E1415" t="s">
        <v>1732</v>
      </c>
      <c r="F1415" t="s">
        <v>1664</v>
      </c>
      <c r="G1415" t="s">
        <v>1616</v>
      </c>
      <c r="H1415" t="s">
        <v>1729</v>
      </c>
      <c r="I1415" t="s">
        <v>1634</v>
      </c>
      <c r="J1415" t="s">
        <v>10</v>
      </c>
      <c r="K1415">
        <v>4.1440000000000001E-3</v>
      </c>
      <c r="L1415">
        <v>84.537599999999998</v>
      </c>
      <c r="M1415" s="1">
        <v>90</v>
      </c>
      <c r="N1415">
        <v>0</v>
      </c>
      <c r="O1415">
        <v>0</v>
      </c>
      <c r="P1415">
        <v>20400</v>
      </c>
      <c r="Q1415" s="1">
        <v>20400</v>
      </c>
      <c r="R1415">
        <v>4.1440000000000001</v>
      </c>
      <c r="S1415" s="2">
        <v>46082</v>
      </c>
      <c r="T1415" s="2">
        <v>46238</v>
      </c>
      <c r="U1415">
        <v>1000</v>
      </c>
      <c r="V1415">
        <v>0</v>
      </c>
      <c r="W1415">
        <v>0</v>
      </c>
      <c r="X1415">
        <v>1900</v>
      </c>
      <c r="Y1415">
        <v>0</v>
      </c>
      <c r="Z1415" s="8">
        <v>1900</v>
      </c>
      <c r="AA1415">
        <v>725</v>
      </c>
      <c r="AB1415">
        <v>0</v>
      </c>
      <c r="AC1415">
        <v>2.6206896551724137</v>
      </c>
      <c r="AD1415" s="1">
        <v>322</v>
      </c>
      <c r="AE1415" s="2">
        <v>46570</v>
      </c>
      <c r="AF1415" s="2">
        <v>46578</v>
      </c>
      <c r="AG1415" s="2">
        <v>46585</v>
      </c>
      <c r="AH1415">
        <v>1700</v>
      </c>
      <c r="AI1415" s="3">
        <v>0.925589836660617</v>
      </c>
      <c r="AJ1415" s="1">
        <v>348</v>
      </c>
      <c r="AK1415" s="2">
        <v>46611</v>
      </c>
      <c r="AL1415" s="4">
        <v>120</v>
      </c>
      <c r="AM1415" s="5">
        <v>100</v>
      </c>
      <c r="AN1415" s="4">
        <v>322</v>
      </c>
      <c r="AO1415">
        <v>7034.4827586206893</v>
      </c>
      <c r="AP1415" s="4">
        <v>1</v>
      </c>
      <c r="AQ1415" t="s">
        <v>1619</v>
      </c>
      <c r="AR1415" t="s">
        <v>1620</v>
      </c>
      <c r="AT1415" s="16" t="str">
        <f>_xlfn.XLOOKUP(B1415,'SWiSH Demand Forecast Sep-26'!D:D,'SWiSH Demand Forecast Sep-26'!G:G,"Not Exist")</f>
        <v>Not Exist</v>
      </c>
    </row>
    <row r="1416" spans="1:46" x14ac:dyDescent="0.3">
      <c r="A1416">
        <v>106800339</v>
      </c>
      <c r="B1416" t="s">
        <v>3239</v>
      </c>
      <c r="C1416" t="s">
        <v>10</v>
      </c>
      <c r="D1416" t="s">
        <v>1613</v>
      </c>
      <c r="E1416" t="s">
        <v>1663</v>
      </c>
      <c r="F1416" t="s">
        <v>1664</v>
      </c>
      <c r="G1416" t="s">
        <v>1624</v>
      </c>
      <c r="H1416" t="s">
        <v>1665</v>
      </c>
      <c r="I1416" t="s">
        <v>1634</v>
      </c>
      <c r="J1416" t="s">
        <v>10</v>
      </c>
      <c r="K1416">
        <v>2E-3</v>
      </c>
      <c r="L1416">
        <v>172</v>
      </c>
      <c r="M1416" s="1">
        <v>7</v>
      </c>
      <c r="N1416">
        <v>0</v>
      </c>
      <c r="O1416">
        <v>0</v>
      </c>
      <c r="P1416">
        <v>86000</v>
      </c>
      <c r="Q1416" s="1">
        <v>86000</v>
      </c>
      <c r="R1416">
        <v>2E-3</v>
      </c>
      <c r="S1416" s="2">
        <v>46148</v>
      </c>
      <c r="T1416" s="2">
        <v>46248</v>
      </c>
      <c r="U1416">
        <v>0</v>
      </c>
      <c r="V1416">
        <v>1000</v>
      </c>
      <c r="W1416">
        <v>8000</v>
      </c>
      <c r="X1416">
        <v>7000</v>
      </c>
      <c r="Y1416">
        <v>0</v>
      </c>
      <c r="Z1416" s="8">
        <v>8000</v>
      </c>
      <c r="AA1416">
        <v>4000</v>
      </c>
      <c r="AB1416">
        <v>0</v>
      </c>
      <c r="AC1416">
        <v>2</v>
      </c>
      <c r="AD1416" s="1">
        <v>322</v>
      </c>
      <c r="AE1416" s="2">
        <v>46570</v>
      </c>
      <c r="AF1416" s="2">
        <v>46578</v>
      </c>
      <c r="AG1416" s="2">
        <v>46585</v>
      </c>
      <c r="AH1416">
        <v>3000</v>
      </c>
      <c r="AI1416" s="3">
        <v>0.38793103448275862</v>
      </c>
      <c r="AJ1416" s="1">
        <v>831</v>
      </c>
      <c r="AK1416" s="2">
        <v>47094</v>
      </c>
      <c r="AL1416" s="4">
        <v>30</v>
      </c>
      <c r="AM1416" s="5">
        <v>15</v>
      </c>
      <c r="AN1416" s="4">
        <v>322</v>
      </c>
      <c r="AO1416">
        <v>3103.4482758620693</v>
      </c>
      <c r="AP1416" s="4">
        <v>1</v>
      </c>
      <c r="AQ1416" t="s">
        <v>1619</v>
      </c>
      <c r="AR1416" t="s">
        <v>1620</v>
      </c>
      <c r="AT1416" s="16" t="str">
        <f>_xlfn.XLOOKUP(B1416,'SWiSH Demand Forecast Sep-26'!D:D,'SWiSH Demand Forecast Sep-26'!G:G,"Not Exist")</f>
        <v>Not Exist</v>
      </c>
    </row>
    <row r="1417" spans="1:46" x14ac:dyDescent="0.3">
      <c r="A1417">
        <v>106800233</v>
      </c>
      <c r="B1417" t="s">
        <v>3240</v>
      </c>
      <c r="C1417" t="s">
        <v>10</v>
      </c>
      <c r="D1417" t="s">
        <v>1629</v>
      </c>
      <c r="E1417" t="s">
        <v>1663</v>
      </c>
      <c r="F1417" t="s">
        <v>1664</v>
      </c>
      <c r="G1417" t="s">
        <v>1624</v>
      </c>
      <c r="H1417" t="s">
        <v>1665</v>
      </c>
      <c r="I1417" t="s">
        <v>1634</v>
      </c>
      <c r="J1417" t="s">
        <v>10</v>
      </c>
      <c r="K1417">
        <v>5.0000000000000001E-3</v>
      </c>
      <c r="L1417">
        <v>137.5</v>
      </c>
      <c r="M1417" s="1">
        <v>7</v>
      </c>
      <c r="N1417">
        <v>0</v>
      </c>
      <c r="O1417">
        <v>0</v>
      </c>
      <c r="P1417">
        <v>27500</v>
      </c>
      <c r="Q1417" s="1">
        <v>27500</v>
      </c>
      <c r="R1417">
        <v>5.0000000000000001E-3</v>
      </c>
      <c r="S1417" s="2">
        <v>46166</v>
      </c>
      <c r="T1417" s="2">
        <v>46113</v>
      </c>
      <c r="U1417">
        <v>2500</v>
      </c>
      <c r="V1417">
        <v>0</v>
      </c>
      <c r="W1417">
        <v>0</v>
      </c>
      <c r="X1417">
        <v>0</v>
      </c>
      <c r="Y1417">
        <v>0</v>
      </c>
      <c r="Z1417" s="8">
        <v>2500</v>
      </c>
      <c r="AA1417">
        <v>625</v>
      </c>
      <c r="AB1417">
        <v>0</v>
      </c>
      <c r="AC1417">
        <v>4</v>
      </c>
      <c r="AD1417" s="1">
        <v>330</v>
      </c>
      <c r="AE1417" s="2">
        <v>46578</v>
      </c>
      <c r="AF1417" s="2">
        <v>46586</v>
      </c>
      <c r="AG1417" s="2">
        <v>46593</v>
      </c>
      <c r="AH1417">
        <v>0</v>
      </c>
      <c r="AI1417" s="3">
        <v>0</v>
      </c>
      <c r="AJ1417" s="1" t="s">
        <v>1635</v>
      </c>
      <c r="AK1417" s="2" t="s">
        <v>1635</v>
      </c>
      <c r="AL1417" s="4" t="s">
        <v>1658</v>
      </c>
      <c r="AM1417" s="5" t="s">
        <v>1658</v>
      </c>
      <c r="AN1417" s="4">
        <v>330</v>
      </c>
      <c r="AO1417" t="s">
        <v>1635</v>
      </c>
      <c r="AP1417" s="4" t="s">
        <v>1658</v>
      </c>
      <c r="AQ1417" t="s">
        <v>1619</v>
      </c>
      <c r="AR1417" t="s">
        <v>1620</v>
      </c>
      <c r="AT1417" s="16" t="str">
        <f>_xlfn.XLOOKUP(B1417,'SWiSH Demand Forecast Sep-26'!D:D,'SWiSH Demand Forecast Sep-26'!G:G,"Not Exist")</f>
        <v>Not Exist</v>
      </c>
    </row>
    <row r="1418" spans="1:46" hidden="1" x14ac:dyDescent="0.3">
      <c r="A1418">
        <v>106800248</v>
      </c>
      <c r="B1418" t="s">
        <v>391</v>
      </c>
      <c r="C1418" t="s">
        <v>10</v>
      </c>
      <c r="D1418" t="s">
        <v>1613</v>
      </c>
      <c r="E1418" t="s">
        <v>1663</v>
      </c>
      <c r="F1418" t="s">
        <v>1664</v>
      </c>
      <c r="G1418" t="s">
        <v>1624</v>
      </c>
      <c r="H1418" t="s">
        <v>1665</v>
      </c>
      <c r="I1418" t="s">
        <v>1634</v>
      </c>
      <c r="J1418" t="s">
        <v>10</v>
      </c>
      <c r="K1418">
        <v>3.0000000000000001E-3</v>
      </c>
      <c r="L1418">
        <v>82.5</v>
      </c>
      <c r="M1418" s="1">
        <v>15</v>
      </c>
      <c r="N1418">
        <v>0</v>
      </c>
      <c r="O1418">
        <v>0</v>
      </c>
      <c r="P1418">
        <v>27500</v>
      </c>
      <c r="Q1418" s="1">
        <v>27500</v>
      </c>
      <c r="R1418">
        <v>3.0000000000000001E-3</v>
      </c>
      <c r="S1418" s="2">
        <v>46160</v>
      </c>
      <c r="T1418" s="2">
        <v>46208</v>
      </c>
      <c r="U1418">
        <v>0</v>
      </c>
      <c r="V1418">
        <v>2500</v>
      </c>
      <c r="W1418">
        <v>2500</v>
      </c>
      <c r="X1418">
        <v>2500</v>
      </c>
      <c r="Y1418">
        <v>0</v>
      </c>
      <c r="Z1418" s="8">
        <v>2500</v>
      </c>
      <c r="AA1418">
        <v>1875</v>
      </c>
      <c r="AB1418">
        <v>0</v>
      </c>
      <c r="AC1418">
        <v>1.3333333333333333</v>
      </c>
      <c r="AD1418" s="1">
        <v>330</v>
      </c>
      <c r="AE1418" s="2">
        <v>46578</v>
      </c>
      <c r="AF1418" s="2">
        <v>46586</v>
      </c>
      <c r="AG1418" s="2">
        <v>46593</v>
      </c>
      <c r="AH1418">
        <v>0</v>
      </c>
      <c r="AI1418" s="3">
        <v>0</v>
      </c>
      <c r="AJ1418" s="1" t="s">
        <v>1635</v>
      </c>
      <c r="AK1418" s="2" t="s">
        <v>1635</v>
      </c>
      <c r="AL1418" s="4">
        <v>30</v>
      </c>
      <c r="AM1418" s="5">
        <v>15</v>
      </c>
      <c r="AN1418" s="4">
        <v>330</v>
      </c>
      <c r="AO1418">
        <v>0</v>
      </c>
      <c r="AP1418" s="4">
        <v>1</v>
      </c>
      <c r="AQ1418" t="s">
        <v>1619</v>
      </c>
      <c r="AR1418" t="s">
        <v>1620</v>
      </c>
      <c r="AT1418" s="16">
        <f>_xlfn.XLOOKUP(B1418,'SWiSH Demand Forecast Sep-26'!D:D,'SWiSH Demand Forecast Sep-26'!G:G,"Not Exist")</f>
        <v>2811</v>
      </c>
    </row>
    <row r="1419" spans="1:46" x14ac:dyDescent="0.3">
      <c r="A1419">
        <v>105600004</v>
      </c>
      <c r="B1419" t="s">
        <v>3241</v>
      </c>
      <c r="C1419" t="s">
        <v>136</v>
      </c>
      <c r="D1419" t="s">
        <v>1613</v>
      </c>
      <c r="E1419" t="s">
        <v>1745</v>
      </c>
      <c r="F1419" t="s">
        <v>1664</v>
      </c>
      <c r="G1419" t="s">
        <v>1624</v>
      </c>
      <c r="H1419" t="s">
        <v>1679</v>
      </c>
      <c r="I1419" t="s">
        <v>1634</v>
      </c>
      <c r="J1419" t="s">
        <v>136</v>
      </c>
      <c r="K1419">
        <v>0.58499999999999996</v>
      </c>
      <c r="L1419">
        <v>128.69999999999999</v>
      </c>
      <c r="M1419" s="1">
        <v>30</v>
      </c>
      <c r="N1419">
        <v>0</v>
      </c>
      <c r="O1419">
        <v>0</v>
      </c>
      <c r="P1419">
        <v>220</v>
      </c>
      <c r="Q1419" s="1">
        <v>220</v>
      </c>
      <c r="R1419">
        <v>0.58499999999999996</v>
      </c>
      <c r="S1419" s="2">
        <v>45777</v>
      </c>
      <c r="T1419" s="2">
        <v>46254</v>
      </c>
      <c r="U1419">
        <v>10</v>
      </c>
      <c r="V1419">
        <v>15</v>
      </c>
      <c r="W1419">
        <v>20</v>
      </c>
      <c r="X1419">
        <v>10</v>
      </c>
      <c r="Y1419">
        <v>10</v>
      </c>
      <c r="Z1419" s="8">
        <v>20</v>
      </c>
      <c r="AA1419">
        <v>13.75</v>
      </c>
      <c r="AB1419">
        <v>0.72727272727272729</v>
      </c>
      <c r="AC1419">
        <v>1.4545454545454546</v>
      </c>
      <c r="AD1419" s="1">
        <v>330</v>
      </c>
      <c r="AE1419" s="2">
        <v>46578</v>
      </c>
      <c r="AF1419" s="2">
        <v>46586</v>
      </c>
      <c r="AG1419" s="2">
        <v>46593</v>
      </c>
      <c r="AH1419">
        <v>20</v>
      </c>
      <c r="AI1419" s="3">
        <v>1.0344827586206897</v>
      </c>
      <c r="AJ1419" s="1">
        <v>319</v>
      </c>
      <c r="AK1419" s="2">
        <v>46582</v>
      </c>
      <c r="AL1419" s="4">
        <v>30</v>
      </c>
      <c r="AM1419" s="5">
        <v>15</v>
      </c>
      <c r="AN1419" s="4">
        <v>319</v>
      </c>
      <c r="AO1419">
        <v>20.689655172413794</v>
      </c>
      <c r="AP1419" s="4">
        <v>1</v>
      </c>
      <c r="AQ1419" t="s">
        <v>1619</v>
      </c>
      <c r="AR1419" t="s">
        <v>1620</v>
      </c>
      <c r="AT1419" s="16" t="str">
        <f>_xlfn.XLOOKUP(B1419,'SWiSH Demand Forecast Sep-26'!D:D,'SWiSH Demand Forecast Sep-26'!G:G,"Not Exist")</f>
        <v>Not Exist</v>
      </c>
    </row>
    <row r="1420" spans="1:46" x14ac:dyDescent="0.3">
      <c r="A1420">
        <v>102200003</v>
      </c>
      <c r="B1420" t="s">
        <v>3242</v>
      </c>
      <c r="C1420" t="s">
        <v>10</v>
      </c>
      <c r="D1420" t="s">
        <v>1613</v>
      </c>
      <c r="E1420" t="s">
        <v>3243</v>
      </c>
      <c r="F1420" t="s">
        <v>1650</v>
      </c>
      <c r="G1420" t="s">
        <v>1624</v>
      </c>
      <c r="H1420" t="s">
        <v>2329</v>
      </c>
      <c r="I1420" t="s">
        <v>1634</v>
      </c>
      <c r="J1420" t="s">
        <v>1688</v>
      </c>
      <c r="K1420">
        <v>0.16666666999999999</v>
      </c>
      <c r="L1420">
        <v>246.33333825999998</v>
      </c>
      <c r="M1420" s="1">
        <v>3</v>
      </c>
      <c r="N1420">
        <v>0</v>
      </c>
      <c r="O1420">
        <v>10</v>
      </c>
      <c r="P1420">
        <v>1478</v>
      </c>
      <c r="Q1420" s="1">
        <v>1468</v>
      </c>
      <c r="R1420">
        <v>2</v>
      </c>
      <c r="S1420" s="2">
        <v>46186</v>
      </c>
      <c r="T1420" s="2">
        <v>46263</v>
      </c>
      <c r="U1420">
        <v>65</v>
      </c>
      <c r="V1420">
        <v>128</v>
      </c>
      <c r="W1420">
        <v>47</v>
      </c>
      <c r="X1420">
        <v>82</v>
      </c>
      <c r="Y1420">
        <v>47</v>
      </c>
      <c r="Z1420" s="8">
        <v>128</v>
      </c>
      <c r="AA1420">
        <v>80.5</v>
      </c>
      <c r="AB1420">
        <v>0.58385093167701863</v>
      </c>
      <c r="AC1420">
        <v>1.5900621118012421</v>
      </c>
      <c r="AD1420" s="1">
        <v>344</v>
      </c>
      <c r="AE1420" s="2">
        <v>46592</v>
      </c>
      <c r="AF1420" s="2">
        <v>46600</v>
      </c>
      <c r="AG1420" s="2">
        <v>46607</v>
      </c>
      <c r="AH1420">
        <v>75</v>
      </c>
      <c r="AI1420" s="3">
        <v>0.60614224137931039</v>
      </c>
      <c r="AJ1420" s="1">
        <v>567</v>
      </c>
      <c r="AK1420" s="2">
        <v>46830</v>
      </c>
      <c r="AL1420" s="4">
        <v>30</v>
      </c>
      <c r="AM1420" s="5">
        <v>15</v>
      </c>
      <c r="AN1420" s="4">
        <v>344</v>
      </c>
      <c r="AO1420">
        <v>77.58620689655173</v>
      </c>
      <c r="AP1420" s="4">
        <v>1</v>
      </c>
      <c r="AQ1420" t="s">
        <v>1619</v>
      </c>
      <c r="AR1420" t="s">
        <v>1620</v>
      </c>
      <c r="AT1420" s="16" t="str">
        <f>_xlfn.XLOOKUP(B1420,'SWiSH Demand Forecast Sep-26'!D:D,'SWiSH Demand Forecast Sep-26'!G:G,"Not Exist")</f>
        <v>Not Exist</v>
      </c>
    </row>
    <row r="1421" spans="1:46" x14ac:dyDescent="0.3">
      <c r="A1421">
        <v>103700057</v>
      </c>
      <c r="B1421" t="s">
        <v>3244</v>
      </c>
      <c r="C1421" t="s">
        <v>136</v>
      </c>
      <c r="D1421" t="s">
        <v>1699</v>
      </c>
      <c r="E1421" t="s">
        <v>2161</v>
      </c>
      <c r="F1421" t="s">
        <v>1615</v>
      </c>
      <c r="G1421" t="s">
        <v>1616</v>
      </c>
      <c r="H1421" t="s">
        <v>1617</v>
      </c>
      <c r="I1421" t="s">
        <v>1618</v>
      </c>
      <c r="J1421" t="s">
        <v>3245</v>
      </c>
      <c r="K1421">
        <v>9.3896713599999995</v>
      </c>
      <c r="L1421">
        <v>30.666666661759997</v>
      </c>
      <c r="M1421" s="1">
        <v>3</v>
      </c>
      <c r="N1421">
        <v>0</v>
      </c>
      <c r="O1421">
        <v>0</v>
      </c>
      <c r="P1421">
        <v>3.266</v>
      </c>
      <c r="Q1421" s="1">
        <v>3.266</v>
      </c>
      <c r="R1421">
        <v>8</v>
      </c>
      <c r="S1421" s="2">
        <v>46134</v>
      </c>
      <c r="T1421" s="2">
        <v>46144</v>
      </c>
      <c r="U1421">
        <v>0</v>
      </c>
      <c r="V1421">
        <v>0.28399999999999997</v>
      </c>
      <c r="W1421">
        <v>0</v>
      </c>
      <c r="X1421">
        <v>0</v>
      </c>
      <c r="Y1421">
        <v>0</v>
      </c>
      <c r="Z1421" s="8">
        <v>0.28399999999999997</v>
      </c>
      <c r="AA1421">
        <v>7.0999999999999994E-2</v>
      </c>
      <c r="AB1421">
        <v>0</v>
      </c>
      <c r="AC1421">
        <v>4</v>
      </c>
      <c r="AD1421" s="1">
        <v>345</v>
      </c>
      <c r="AE1421" s="2">
        <v>46593</v>
      </c>
      <c r="AF1421" s="2">
        <v>46601</v>
      </c>
      <c r="AG1421" s="2">
        <v>46608</v>
      </c>
      <c r="AH1421">
        <v>0</v>
      </c>
      <c r="AI1421" s="3">
        <v>0</v>
      </c>
      <c r="AJ1421" s="1" t="s">
        <v>1635</v>
      </c>
      <c r="AK1421" s="2" t="s">
        <v>1635</v>
      </c>
      <c r="AL1421" s="4" t="s">
        <v>1658</v>
      </c>
      <c r="AM1421" s="5" t="s">
        <v>1658</v>
      </c>
      <c r="AN1421" s="4">
        <v>345</v>
      </c>
      <c r="AO1421" t="s">
        <v>1635</v>
      </c>
      <c r="AP1421" s="4" t="s">
        <v>1658</v>
      </c>
      <c r="AQ1421" t="s">
        <v>1619</v>
      </c>
      <c r="AR1421" t="s">
        <v>1620</v>
      </c>
      <c r="AT1421" s="16" t="str">
        <f>_xlfn.XLOOKUP(B1421,'SWiSH Demand Forecast Sep-26'!D:D,'SWiSH Demand Forecast Sep-26'!G:G,"Not Exist")</f>
        <v>Not Exist</v>
      </c>
    </row>
    <row r="1422" spans="1:46" x14ac:dyDescent="0.3">
      <c r="A1422">
        <v>100400191</v>
      </c>
      <c r="B1422" t="s">
        <v>3246</v>
      </c>
      <c r="C1422" t="s">
        <v>10</v>
      </c>
      <c r="D1422" t="s">
        <v>1613</v>
      </c>
      <c r="E1422" t="s">
        <v>1663</v>
      </c>
      <c r="F1422" t="s">
        <v>1664</v>
      </c>
      <c r="G1422" t="s">
        <v>1616</v>
      </c>
      <c r="H1422" t="s">
        <v>1810</v>
      </c>
      <c r="I1422" t="s">
        <v>1634</v>
      </c>
      <c r="J1422" t="s">
        <v>10</v>
      </c>
      <c r="K1422">
        <v>4.2001320000000002E-2</v>
      </c>
      <c r="L1422">
        <v>2457.0772200000001</v>
      </c>
      <c r="M1422" s="1">
        <v>30</v>
      </c>
      <c r="N1422">
        <v>0</v>
      </c>
      <c r="O1422">
        <v>0</v>
      </c>
      <c r="P1422">
        <v>58500</v>
      </c>
      <c r="Q1422" s="1">
        <v>58500</v>
      </c>
      <c r="R1422">
        <v>4.2000000000000003E-2</v>
      </c>
      <c r="S1422" s="2">
        <v>46061</v>
      </c>
      <c r="T1422" s="2">
        <v>46262</v>
      </c>
      <c r="U1422">
        <v>4900</v>
      </c>
      <c r="V1422">
        <v>4400</v>
      </c>
      <c r="W1422">
        <v>2000</v>
      </c>
      <c r="X1422">
        <v>1800</v>
      </c>
      <c r="Y1422">
        <v>1800</v>
      </c>
      <c r="Z1422" s="8">
        <v>4900</v>
      </c>
      <c r="AA1422">
        <v>3275</v>
      </c>
      <c r="AB1422">
        <v>0.54961832061068705</v>
      </c>
      <c r="AC1422">
        <v>1.4961832061068703</v>
      </c>
      <c r="AD1422" s="1">
        <v>358</v>
      </c>
      <c r="AE1422" s="2">
        <v>46606</v>
      </c>
      <c r="AF1422" s="2">
        <v>46614</v>
      </c>
      <c r="AG1422" s="2">
        <v>46621</v>
      </c>
      <c r="AH1422">
        <v>1400</v>
      </c>
      <c r="AI1422" s="3">
        <v>0.29556650246305421</v>
      </c>
      <c r="AJ1422" s="1">
        <v>1211</v>
      </c>
      <c r="AK1422" s="2">
        <v>47474</v>
      </c>
      <c r="AL1422" s="4">
        <v>30</v>
      </c>
      <c r="AM1422" s="5">
        <v>15</v>
      </c>
      <c r="AN1422" s="4">
        <v>358</v>
      </c>
      <c r="AO1422">
        <v>1448.2758620689656</v>
      </c>
      <c r="AP1422" s="4">
        <v>1</v>
      </c>
      <c r="AQ1422" t="s">
        <v>1619</v>
      </c>
      <c r="AR1422" t="s">
        <v>1620</v>
      </c>
      <c r="AT1422" s="16" t="str">
        <f>_xlfn.XLOOKUP(B1422,'SWiSH Demand Forecast Sep-26'!D:D,'SWiSH Demand Forecast Sep-26'!G:G,"Not Exist")</f>
        <v>Not Exist</v>
      </c>
    </row>
    <row r="1423" spans="1:46" x14ac:dyDescent="0.3">
      <c r="A1423">
        <v>107400084</v>
      </c>
      <c r="B1423" t="s">
        <v>3247</v>
      </c>
      <c r="C1423" t="s">
        <v>10</v>
      </c>
      <c r="D1423" t="s">
        <v>1613</v>
      </c>
      <c r="E1423" t="s">
        <v>1745</v>
      </c>
      <c r="F1423" t="s">
        <v>1664</v>
      </c>
      <c r="G1423" t="s">
        <v>1624</v>
      </c>
      <c r="H1423" t="s">
        <v>2016</v>
      </c>
      <c r="I1423" t="s">
        <v>1634</v>
      </c>
      <c r="J1423" t="s">
        <v>10</v>
      </c>
      <c r="K1423">
        <v>8.0000000000000002E-3</v>
      </c>
      <c r="L1423">
        <v>192</v>
      </c>
      <c r="M1423" s="1">
        <v>15</v>
      </c>
      <c r="N1423">
        <v>0</v>
      </c>
      <c r="O1423">
        <v>0</v>
      </c>
      <c r="P1423">
        <v>24000</v>
      </c>
      <c r="Q1423" s="1">
        <v>24000</v>
      </c>
      <c r="R1423">
        <v>8.0000000000000002E-3</v>
      </c>
      <c r="S1423" s="2">
        <v>46213</v>
      </c>
      <c r="T1423" s="2">
        <v>46257</v>
      </c>
      <c r="U1423">
        <v>2000</v>
      </c>
      <c r="V1423">
        <v>1000</v>
      </c>
      <c r="W1423">
        <v>2000</v>
      </c>
      <c r="X1423">
        <v>1000</v>
      </c>
      <c r="Y1423">
        <v>1000</v>
      </c>
      <c r="Z1423" s="8">
        <v>2000</v>
      </c>
      <c r="AA1423">
        <v>1500</v>
      </c>
      <c r="AB1423">
        <v>0.66666666666666663</v>
      </c>
      <c r="AC1423">
        <v>1.3333333333333333</v>
      </c>
      <c r="AD1423" s="1">
        <v>360</v>
      </c>
      <c r="AE1423" s="2">
        <v>46608</v>
      </c>
      <c r="AF1423" s="2">
        <v>46616</v>
      </c>
      <c r="AG1423" s="2">
        <v>46623</v>
      </c>
      <c r="AH1423">
        <v>3000</v>
      </c>
      <c r="AI1423" s="3">
        <v>1.5517241379310345</v>
      </c>
      <c r="AJ1423" s="1">
        <v>232</v>
      </c>
      <c r="AK1423" s="2">
        <v>46495</v>
      </c>
      <c r="AL1423" s="4">
        <v>30</v>
      </c>
      <c r="AM1423" s="5">
        <v>15</v>
      </c>
      <c r="AN1423" s="4">
        <v>232</v>
      </c>
      <c r="AO1423">
        <v>3103.4482758620693</v>
      </c>
      <c r="AP1423" s="4">
        <v>1</v>
      </c>
      <c r="AQ1423" t="s">
        <v>1619</v>
      </c>
      <c r="AR1423" t="s">
        <v>2034</v>
      </c>
      <c r="AT1423" s="16" t="str">
        <f>_xlfn.XLOOKUP(B1423,'SWiSH Demand Forecast Sep-26'!D:D,'SWiSH Demand Forecast Sep-26'!G:G,"Not Exist")</f>
        <v>Not Exist</v>
      </c>
    </row>
    <row r="1424" spans="1:46" x14ac:dyDescent="0.3">
      <c r="A1424">
        <v>106800230</v>
      </c>
      <c r="B1424" t="s">
        <v>3248</v>
      </c>
      <c r="C1424" t="s">
        <v>10</v>
      </c>
      <c r="D1424" t="s">
        <v>1699</v>
      </c>
      <c r="E1424" t="s">
        <v>1663</v>
      </c>
      <c r="F1424" t="s">
        <v>1664</v>
      </c>
      <c r="G1424" t="s">
        <v>1624</v>
      </c>
      <c r="H1424" t="s">
        <v>1665</v>
      </c>
      <c r="I1424" t="s">
        <v>1634</v>
      </c>
      <c r="J1424" t="s">
        <v>10</v>
      </c>
      <c r="K1424">
        <v>3.0000000000000001E-3</v>
      </c>
      <c r="L1424">
        <v>127.5</v>
      </c>
      <c r="M1424" s="1">
        <v>15</v>
      </c>
      <c r="N1424">
        <v>0</v>
      </c>
      <c r="O1424">
        <v>0</v>
      </c>
      <c r="P1424">
        <v>42500</v>
      </c>
      <c r="Q1424" s="1">
        <v>42500</v>
      </c>
      <c r="R1424">
        <v>3.0000000000000001E-3</v>
      </c>
      <c r="S1424" s="2">
        <v>46172</v>
      </c>
      <c r="T1424" s="2">
        <v>46133</v>
      </c>
      <c r="U1424">
        <v>3500</v>
      </c>
      <c r="V1424">
        <v>0</v>
      </c>
      <c r="W1424">
        <v>0</v>
      </c>
      <c r="X1424">
        <v>0</v>
      </c>
      <c r="Y1424">
        <v>0</v>
      </c>
      <c r="Z1424" s="8">
        <v>3500</v>
      </c>
      <c r="AA1424">
        <v>875</v>
      </c>
      <c r="AB1424">
        <v>0</v>
      </c>
      <c r="AC1424">
        <v>4</v>
      </c>
      <c r="AD1424" s="1">
        <v>364</v>
      </c>
      <c r="AE1424" s="2">
        <v>46612</v>
      </c>
      <c r="AF1424" s="2">
        <v>46620</v>
      </c>
      <c r="AG1424" s="2">
        <v>46627</v>
      </c>
      <c r="AH1424">
        <v>0</v>
      </c>
      <c r="AI1424" s="3">
        <v>0</v>
      </c>
      <c r="AJ1424" s="1" t="s">
        <v>1635</v>
      </c>
      <c r="AK1424" s="2" t="s">
        <v>1635</v>
      </c>
      <c r="AL1424" s="4" t="s">
        <v>1658</v>
      </c>
      <c r="AM1424" s="5" t="s">
        <v>1658</v>
      </c>
      <c r="AN1424" s="4">
        <v>364</v>
      </c>
      <c r="AO1424" t="s">
        <v>1635</v>
      </c>
      <c r="AP1424" s="4" t="s">
        <v>1658</v>
      </c>
      <c r="AQ1424" t="s">
        <v>1619</v>
      </c>
      <c r="AR1424" t="s">
        <v>1620</v>
      </c>
      <c r="AT1424" s="16" t="str">
        <f>_xlfn.XLOOKUP(B1424,'SWiSH Demand Forecast Sep-26'!D:D,'SWiSH Demand Forecast Sep-26'!G:G,"Not Exist")</f>
        <v>Not Exist</v>
      </c>
    </row>
    <row r="1425" spans="1:46" x14ac:dyDescent="0.3">
      <c r="A1425">
        <v>105900037</v>
      </c>
      <c r="B1425" t="s">
        <v>3249</v>
      </c>
      <c r="C1425" t="s">
        <v>10</v>
      </c>
      <c r="D1425" t="s">
        <v>1613</v>
      </c>
      <c r="E1425" t="s">
        <v>1732</v>
      </c>
      <c r="F1425" t="s">
        <v>1664</v>
      </c>
      <c r="G1425" t="s">
        <v>1616</v>
      </c>
      <c r="H1425" t="s">
        <v>1729</v>
      </c>
      <c r="I1425" t="s">
        <v>1634</v>
      </c>
      <c r="J1425" t="s">
        <v>10</v>
      </c>
      <c r="K1425">
        <v>3.7767399999999998E-3</v>
      </c>
      <c r="L1425">
        <v>206.210004</v>
      </c>
      <c r="M1425" s="1">
        <v>90</v>
      </c>
      <c r="N1425">
        <v>0</v>
      </c>
      <c r="O1425">
        <v>0</v>
      </c>
      <c r="P1425">
        <v>54600</v>
      </c>
      <c r="Q1425" s="1">
        <v>54600</v>
      </c>
      <c r="R1425">
        <v>3.78</v>
      </c>
      <c r="S1425" s="2">
        <v>46132</v>
      </c>
      <c r="T1425" s="2">
        <v>46224</v>
      </c>
      <c r="U1425">
        <v>4000</v>
      </c>
      <c r="V1425">
        <v>3000</v>
      </c>
      <c r="W1425">
        <v>2000</v>
      </c>
      <c r="X1425">
        <v>4400</v>
      </c>
      <c r="Y1425">
        <v>2000</v>
      </c>
      <c r="Z1425" s="8">
        <v>4400</v>
      </c>
      <c r="AA1425">
        <v>3350</v>
      </c>
      <c r="AB1425">
        <v>0.59701492537313428</v>
      </c>
      <c r="AC1425">
        <v>1.3134328358208955</v>
      </c>
      <c r="AD1425" s="1">
        <v>372</v>
      </c>
      <c r="AE1425" s="2">
        <v>46620</v>
      </c>
      <c r="AF1425" s="2">
        <v>46628</v>
      </c>
      <c r="AG1425" s="2">
        <v>46635</v>
      </c>
      <c r="AH1425">
        <v>0</v>
      </c>
      <c r="AI1425" s="3">
        <v>0</v>
      </c>
      <c r="AJ1425" s="1" t="s">
        <v>1635</v>
      </c>
      <c r="AK1425" s="2" t="s">
        <v>1635</v>
      </c>
      <c r="AL1425" s="4">
        <v>120</v>
      </c>
      <c r="AM1425" s="5">
        <v>100</v>
      </c>
      <c r="AN1425" s="4">
        <v>372</v>
      </c>
      <c r="AO1425">
        <v>0</v>
      </c>
      <c r="AP1425" s="4">
        <v>1</v>
      </c>
      <c r="AQ1425" t="s">
        <v>1619</v>
      </c>
      <c r="AR1425" t="s">
        <v>1620</v>
      </c>
      <c r="AT1425" s="16" t="str">
        <f>_xlfn.XLOOKUP(B1425,'SWiSH Demand Forecast Sep-26'!D:D,'SWiSH Demand Forecast Sep-26'!G:G,"Not Exist")</f>
        <v>Not Exist</v>
      </c>
    </row>
    <row r="1426" spans="1:46" hidden="1" x14ac:dyDescent="0.3">
      <c r="A1426">
        <v>106800260</v>
      </c>
      <c r="B1426" t="s">
        <v>549</v>
      </c>
      <c r="C1426" t="s">
        <v>10</v>
      </c>
      <c r="D1426" t="s">
        <v>1613</v>
      </c>
      <c r="E1426" t="s">
        <v>1926</v>
      </c>
      <c r="F1426" t="s">
        <v>1664</v>
      </c>
      <c r="G1426" t="s">
        <v>1624</v>
      </c>
      <c r="H1426" t="s">
        <v>1665</v>
      </c>
      <c r="I1426" t="s">
        <v>1634</v>
      </c>
      <c r="J1426" t="s">
        <v>10</v>
      </c>
      <c r="K1426">
        <v>5.0000000000000001E-3</v>
      </c>
      <c r="L1426">
        <v>125</v>
      </c>
      <c r="M1426" s="1">
        <v>7</v>
      </c>
      <c r="N1426">
        <v>0</v>
      </c>
      <c r="O1426">
        <v>0</v>
      </c>
      <c r="P1426">
        <v>25000</v>
      </c>
      <c r="Q1426" s="1">
        <v>25000</v>
      </c>
      <c r="R1426">
        <v>5.0000000000000001E-3</v>
      </c>
      <c r="S1426" s="2">
        <v>46250</v>
      </c>
      <c r="T1426" s="2">
        <v>46249</v>
      </c>
      <c r="U1426">
        <v>2000</v>
      </c>
      <c r="V1426">
        <v>1000</v>
      </c>
      <c r="W1426">
        <v>1000</v>
      </c>
      <c r="X1426">
        <v>1000</v>
      </c>
      <c r="Y1426">
        <v>1000</v>
      </c>
      <c r="Z1426" s="8">
        <v>2000</v>
      </c>
      <c r="AA1426">
        <v>1250</v>
      </c>
      <c r="AB1426">
        <v>0.8</v>
      </c>
      <c r="AC1426">
        <v>1.6</v>
      </c>
      <c r="AD1426" s="1">
        <v>375</v>
      </c>
      <c r="AE1426" s="2">
        <v>46623</v>
      </c>
      <c r="AF1426" s="2">
        <v>46631</v>
      </c>
      <c r="AG1426" s="2">
        <v>46638</v>
      </c>
      <c r="AH1426">
        <v>2000</v>
      </c>
      <c r="AI1426" s="3">
        <v>1.0344827586206895</v>
      </c>
      <c r="AJ1426" s="1">
        <v>362</v>
      </c>
      <c r="AK1426" s="2">
        <v>46625</v>
      </c>
      <c r="AL1426" s="4">
        <v>30</v>
      </c>
      <c r="AM1426" s="5">
        <v>15</v>
      </c>
      <c r="AN1426" s="4">
        <v>362</v>
      </c>
      <c r="AO1426">
        <v>2068.9655172413791</v>
      </c>
      <c r="AP1426" s="4">
        <v>1</v>
      </c>
      <c r="AQ1426">
        <v>45000</v>
      </c>
      <c r="AR1426" t="s">
        <v>1829</v>
      </c>
      <c r="AT1426" s="16">
        <f>_xlfn.XLOOKUP(B1426,'SWiSH Demand Forecast Sep-26'!D:D,'SWiSH Demand Forecast Sep-26'!G:G,"Not Exist")</f>
        <v>1257</v>
      </c>
    </row>
    <row r="1427" spans="1:46" x14ac:dyDescent="0.3">
      <c r="A1427">
        <v>106800356</v>
      </c>
      <c r="B1427" t="s">
        <v>3250</v>
      </c>
      <c r="C1427" t="s">
        <v>10</v>
      </c>
      <c r="D1427" t="s">
        <v>1613</v>
      </c>
      <c r="E1427" t="s">
        <v>1663</v>
      </c>
      <c r="F1427" t="s">
        <v>1664</v>
      </c>
      <c r="G1427" t="s">
        <v>1624</v>
      </c>
      <c r="H1427" t="s">
        <v>1665</v>
      </c>
      <c r="I1427" t="s">
        <v>1634</v>
      </c>
      <c r="J1427" t="s">
        <v>10</v>
      </c>
      <c r="K1427">
        <v>3.5000000000000001E-3</v>
      </c>
      <c r="L1427">
        <v>938</v>
      </c>
      <c r="M1427" s="1">
        <v>7</v>
      </c>
      <c r="N1427">
        <v>0</v>
      </c>
      <c r="O1427">
        <v>0</v>
      </c>
      <c r="P1427">
        <v>268000</v>
      </c>
      <c r="Q1427" s="1">
        <v>268000</v>
      </c>
      <c r="R1427">
        <v>3.5000000000000001E-3</v>
      </c>
      <c r="S1427" s="2">
        <v>46160</v>
      </c>
      <c r="T1427" s="2">
        <v>46236</v>
      </c>
      <c r="U1427">
        <v>0</v>
      </c>
      <c r="V1427">
        <v>21000</v>
      </c>
      <c r="W1427">
        <v>5200</v>
      </c>
      <c r="X1427">
        <v>2000</v>
      </c>
      <c r="Y1427">
        <v>0</v>
      </c>
      <c r="Z1427" s="8">
        <v>21000</v>
      </c>
      <c r="AA1427">
        <v>7050</v>
      </c>
      <c r="AB1427">
        <v>0</v>
      </c>
      <c r="AC1427">
        <v>2.978723404255319</v>
      </c>
      <c r="AD1427" s="1">
        <v>382</v>
      </c>
      <c r="AE1427" s="2">
        <v>46630</v>
      </c>
      <c r="AF1427" s="2">
        <v>46638</v>
      </c>
      <c r="AG1427" s="2">
        <v>46645</v>
      </c>
      <c r="AH1427">
        <v>2000</v>
      </c>
      <c r="AI1427" s="3">
        <v>9.852216748768472E-2</v>
      </c>
      <c r="AJ1427" s="1">
        <v>3886</v>
      </c>
      <c r="AK1427" s="2">
        <v>50149</v>
      </c>
      <c r="AL1427" s="4">
        <v>30</v>
      </c>
      <c r="AM1427" s="5">
        <v>15</v>
      </c>
      <c r="AN1427" s="4">
        <v>382</v>
      </c>
      <c r="AO1427">
        <v>2068.9655172413791</v>
      </c>
      <c r="AP1427" s="4">
        <v>1</v>
      </c>
      <c r="AQ1427" t="s">
        <v>1619</v>
      </c>
      <c r="AR1427" t="s">
        <v>1620</v>
      </c>
      <c r="AT1427" s="16" t="str">
        <f>_xlfn.XLOOKUP(B1427,'SWiSH Demand Forecast Sep-26'!D:D,'SWiSH Demand Forecast Sep-26'!G:G,"Not Exist")</f>
        <v>Not Exist</v>
      </c>
    </row>
    <row r="1428" spans="1:46" x14ac:dyDescent="0.3">
      <c r="A1428">
        <v>106600090</v>
      </c>
      <c r="B1428" t="s">
        <v>3251</v>
      </c>
      <c r="C1428" t="s">
        <v>10</v>
      </c>
      <c r="D1428" t="s">
        <v>1613</v>
      </c>
      <c r="E1428" t="s">
        <v>1685</v>
      </c>
      <c r="F1428" t="s">
        <v>1664</v>
      </c>
      <c r="G1428" t="s">
        <v>1624</v>
      </c>
      <c r="H1428" t="s">
        <v>1723</v>
      </c>
      <c r="I1428" t="s">
        <v>1634</v>
      </c>
      <c r="J1428" t="s">
        <v>10</v>
      </c>
      <c r="K1428">
        <v>5.0000000000000001E-3</v>
      </c>
      <c r="L1428">
        <v>325</v>
      </c>
      <c r="M1428" s="1">
        <v>15</v>
      </c>
      <c r="N1428">
        <v>0</v>
      </c>
      <c r="O1428">
        <v>0</v>
      </c>
      <c r="P1428">
        <v>65000</v>
      </c>
      <c r="Q1428" s="1">
        <v>65000</v>
      </c>
      <c r="R1428">
        <v>5.0000000000000001E-3</v>
      </c>
      <c r="S1428" s="2">
        <v>46099</v>
      </c>
      <c r="T1428" s="2">
        <v>46205</v>
      </c>
      <c r="U1428">
        <v>0</v>
      </c>
      <c r="V1428">
        <v>0</v>
      </c>
      <c r="W1428">
        <v>0</v>
      </c>
      <c r="X1428">
        <v>5000</v>
      </c>
      <c r="Y1428">
        <v>0</v>
      </c>
      <c r="Z1428" s="8">
        <v>5000</v>
      </c>
      <c r="AA1428">
        <v>1250</v>
      </c>
      <c r="AB1428">
        <v>0</v>
      </c>
      <c r="AC1428">
        <v>4</v>
      </c>
      <c r="AD1428" s="1">
        <v>390</v>
      </c>
      <c r="AE1428" s="2">
        <v>46638</v>
      </c>
      <c r="AF1428" s="2">
        <v>46646</v>
      </c>
      <c r="AG1428" s="2">
        <v>46653</v>
      </c>
      <c r="AH1428">
        <v>0</v>
      </c>
      <c r="AI1428" s="3">
        <v>0</v>
      </c>
      <c r="AJ1428" s="1" t="s">
        <v>1635</v>
      </c>
      <c r="AK1428" s="2" t="s">
        <v>1635</v>
      </c>
      <c r="AL1428" s="4">
        <v>30</v>
      </c>
      <c r="AM1428" s="5">
        <v>15</v>
      </c>
      <c r="AN1428" s="4">
        <v>390</v>
      </c>
      <c r="AO1428">
        <v>0</v>
      </c>
      <c r="AP1428" s="4">
        <v>1</v>
      </c>
      <c r="AQ1428" t="s">
        <v>1619</v>
      </c>
      <c r="AR1428" t="s">
        <v>1620</v>
      </c>
      <c r="AT1428" s="16" t="str">
        <f>_xlfn.XLOOKUP(B1428,'SWiSH Demand Forecast Sep-26'!D:D,'SWiSH Demand Forecast Sep-26'!G:G,"Not Exist")</f>
        <v>Not Exist</v>
      </c>
    </row>
    <row r="1429" spans="1:46" x14ac:dyDescent="0.3">
      <c r="A1429">
        <v>106700105</v>
      </c>
      <c r="B1429" t="s">
        <v>3252</v>
      </c>
      <c r="C1429" t="s">
        <v>10</v>
      </c>
      <c r="D1429" t="s">
        <v>1613</v>
      </c>
      <c r="E1429" t="s">
        <v>3253</v>
      </c>
      <c r="F1429" t="s">
        <v>1650</v>
      </c>
      <c r="G1429" t="s">
        <v>1624</v>
      </c>
      <c r="H1429" t="s">
        <v>1651</v>
      </c>
      <c r="I1429" t="s">
        <v>1634</v>
      </c>
      <c r="J1429" t="s">
        <v>10</v>
      </c>
      <c r="K1429">
        <v>0.35</v>
      </c>
      <c r="L1429">
        <v>4.55</v>
      </c>
      <c r="M1429" s="1">
        <v>3</v>
      </c>
      <c r="N1429">
        <v>0</v>
      </c>
      <c r="O1429">
        <v>0</v>
      </c>
      <c r="P1429">
        <v>13</v>
      </c>
      <c r="Q1429" s="1">
        <v>13</v>
      </c>
      <c r="R1429">
        <v>0.35</v>
      </c>
      <c r="S1429" s="2">
        <v>46083</v>
      </c>
      <c r="T1429" s="2">
        <v>46206</v>
      </c>
      <c r="U1429">
        <v>1</v>
      </c>
      <c r="V1429">
        <v>1</v>
      </c>
      <c r="W1429">
        <v>1</v>
      </c>
      <c r="X1429">
        <v>1</v>
      </c>
      <c r="Y1429">
        <v>1</v>
      </c>
      <c r="Z1429" s="8">
        <v>1</v>
      </c>
      <c r="AA1429">
        <v>1</v>
      </c>
      <c r="AB1429">
        <v>1</v>
      </c>
      <c r="AC1429">
        <v>1</v>
      </c>
      <c r="AD1429" s="1">
        <v>390</v>
      </c>
      <c r="AE1429" s="2">
        <v>46638</v>
      </c>
      <c r="AF1429" s="2">
        <v>46646</v>
      </c>
      <c r="AG1429" s="2">
        <v>46653</v>
      </c>
      <c r="AH1429">
        <v>0</v>
      </c>
      <c r="AI1429" s="3">
        <v>0</v>
      </c>
      <c r="AJ1429" s="1" t="s">
        <v>1635</v>
      </c>
      <c r="AK1429" s="2" t="s">
        <v>1635</v>
      </c>
      <c r="AL1429" s="4">
        <v>30</v>
      </c>
      <c r="AM1429" s="5">
        <v>15</v>
      </c>
      <c r="AN1429" s="4">
        <v>390</v>
      </c>
      <c r="AO1429">
        <v>0</v>
      </c>
      <c r="AP1429" s="4">
        <v>1</v>
      </c>
      <c r="AQ1429" t="s">
        <v>1619</v>
      </c>
      <c r="AR1429" t="s">
        <v>1620</v>
      </c>
      <c r="AT1429" s="16" t="str">
        <f>_xlfn.XLOOKUP(B1429,'SWiSH Demand Forecast Sep-26'!D:D,'SWiSH Demand Forecast Sep-26'!G:G,"Not Exist")</f>
        <v>Not Exist</v>
      </c>
    </row>
    <row r="1430" spans="1:46" hidden="1" x14ac:dyDescent="0.3">
      <c r="A1430">
        <v>105900036</v>
      </c>
      <c r="B1430" t="s">
        <v>497</v>
      </c>
      <c r="C1430" t="s">
        <v>10</v>
      </c>
      <c r="D1430" t="s">
        <v>1613</v>
      </c>
      <c r="E1430" t="s">
        <v>1732</v>
      </c>
      <c r="F1430" t="s">
        <v>1664</v>
      </c>
      <c r="G1430" t="s">
        <v>1616</v>
      </c>
      <c r="H1430" t="s">
        <v>1729</v>
      </c>
      <c r="I1430" t="s">
        <v>1634</v>
      </c>
      <c r="J1430" t="s">
        <v>1733</v>
      </c>
      <c r="K1430">
        <v>4.0618700000000004E-3</v>
      </c>
      <c r="L1430">
        <v>318.85679500000003</v>
      </c>
      <c r="M1430" s="1">
        <v>90</v>
      </c>
      <c r="N1430">
        <v>0</v>
      </c>
      <c r="O1430">
        <v>0</v>
      </c>
      <c r="P1430">
        <v>78500</v>
      </c>
      <c r="Q1430" s="1">
        <v>78500</v>
      </c>
      <c r="R1430">
        <v>5.4799999999999996E-3</v>
      </c>
      <c r="S1430" s="2">
        <v>46214</v>
      </c>
      <c r="T1430" s="2">
        <v>46218</v>
      </c>
      <c r="U1430">
        <v>6000</v>
      </c>
      <c r="V1430">
        <v>3000</v>
      </c>
      <c r="W1430">
        <v>4500</v>
      </c>
      <c r="X1430">
        <v>1500</v>
      </c>
      <c r="Y1430">
        <v>1500</v>
      </c>
      <c r="Z1430" s="8">
        <v>6000</v>
      </c>
      <c r="AA1430">
        <v>3750</v>
      </c>
      <c r="AB1430">
        <v>0.4</v>
      </c>
      <c r="AC1430">
        <v>1.6</v>
      </c>
      <c r="AD1430" s="1">
        <v>392</v>
      </c>
      <c r="AE1430" s="2">
        <v>46640</v>
      </c>
      <c r="AF1430" s="2">
        <v>46648</v>
      </c>
      <c r="AG1430" s="2">
        <v>46655</v>
      </c>
      <c r="AH1430">
        <v>0</v>
      </c>
      <c r="AI1430" s="3">
        <v>0</v>
      </c>
      <c r="AJ1430" s="1" t="s">
        <v>1635</v>
      </c>
      <c r="AK1430" s="2" t="s">
        <v>1635</v>
      </c>
      <c r="AL1430" s="4">
        <v>120</v>
      </c>
      <c r="AM1430" s="5">
        <v>100</v>
      </c>
      <c r="AN1430" s="4">
        <v>392</v>
      </c>
      <c r="AO1430">
        <v>0</v>
      </c>
      <c r="AP1430" s="4">
        <v>1</v>
      </c>
      <c r="AQ1430" t="s">
        <v>1619</v>
      </c>
      <c r="AR1430" t="s">
        <v>1620</v>
      </c>
      <c r="AT1430" s="16">
        <f>_xlfn.XLOOKUP(B1430,'SWiSH Demand Forecast Sep-26'!D:D,'SWiSH Demand Forecast Sep-26'!G:G,"Not Exist")</f>
        <v>1585</v>
      </c>
    </row>
    <row r="1431" spans="1:46" x14ac:dyDescent="0.3">
      <c r="A1431">
        <v>106800231</v>
      </c>
      <c r="B1431" t="s">
        <v>3254</v>
      </c>
      <c r="C1431" t="s">
        <v>10</v>
      </c>
      <c r="D1431" t="s">
        <v>1699</v>
      </c>
      <c r="E1431" t="s">
        <v>1663</v>
      </c>
      <c r="F1431" t="s">
        <v>1664</v>
      </c>
      <c r="G1431" t="s">
        <v>1624</v>
      </c>
      <c r="H1431" t="s">
        <v>1665</v>
      </c>
      <c r="I1431" t="s">
        <v>1634</v>
      </c>
      <c r="J1431" t="s">
        <v>10</v>
      </c>
      <c r="K1431">
        <v>3.0000000000000001E-3</v>
      </c>
      <c r="L1431">
        <v>102</v>
      </c>
      <c r="M1431" s="1">
        <v>15</v>
      </c>
      <c r="N1431">
        <v>0</v>
      </c>
      <c r="O1431">
        <v>0</v>
      </c>
      <c r="P1431">
        <v>34000</v>
      </c>
      <c r="Q1431" s="1">
        <v>34000</v>
      </c>
      <c r="R1431">
        <v>3.0000000000000001E-3</v>
      </c>
      <c r="S1431" s="2">
        <v>46089</v>
      </c>
      <c r="T1431" s="2">
        <v>46133</v>
      </c>
      <c r="U1431">
        <v>2500</v>
      </c>
      <c r="V1431">
        <v>0</v>
      </c>
      <c r="W1431">
        <v>0</v>
      </c>
      <c r="X1431">
        <v>0</v>
      </c>
      <c r="Y1431">
        <v>0</v>
      </c>
      <c r="Z1431" s="8">
        <v>2500</v>
      </c>
      <c r="AA1431">
        <v>625</v>
      </c>
      <c r="AB1431">
        <v>0</v>
      </c>
      <c r="AC1431">
        <v>4</v>
      </c>
      <c r="AD1431" s="1">
        <v>408</v>
      </c>
      <c r="AE1431" s="2">
        <v>46656</v>
      </c>
      <c r="AF1431" s="2">
        <v>46664</v>
      </c>
      <c r="AG1431" s="2">
        <v>46671</v>
      </c>
      <c r="AH1431">
        <v>0</v>
      </c>
      <c r="AI1431" s="3">
        <v>0</v>
      </c>
      <c r="AJ1431" s="1" t="s">
        <v>1635</v>
      </c>
      <c r="AK1431" s="2" t="s">
        <v>1635</v>
      </c>
      <c r="AL1431" s="4" t="s">
        <v>1658</v>
      </c>
      <c r="AM1431" s="5" t="s">
        <v>1658</v>
      </c>
      <c r="AN1431" s="4">
        <v>408</v>
      </c>
      <c r="AO1431" t="s">
        <v>1635</v>
      </c>
      <c r="AP1431" s="4" t="s">
        <v>1658</v>
      </c>
      <c r="AQ1431" t="s">
        <v>1619</v>
      </c>
      <c r="AR1431" t="s">
        <v>1620</v>
      </c>
      <c r="AT1431" s="16" t="str">
        <f>_xlfn.XLOOKUP(B1431,'SWiSH Demand Forecast Sep-26'!D:D,'SWiSH Demand Forecast Sep-26'!G:G,"Not Exist")</f>
        <v>Not Exist</v>
      </c>
    </row>
    <row r="1432" spans="1:46" x14ac:dyDescent="0.3">
      <c r="A1432">
        <v>103700036</v>
      </c>
      <c r="B1432" t="s">
        <v>3255</v>
      </c>
      <c r="C1432" t="s">
        <v>136</v>
      </c>
      <c r="D1432" t="s">
        <v>1613</v>
      </c>
      <c r="E1432" t="s">
        <v>3256</v>
      </c>
      <c r="F1432" t="s">
        <v>1615</v>
      </c>
      <c r="G1432" t="s">
        <v>1616</v>
      </c>
      <c r="H1432" t="s">
        <v>1617</v>
      </c>
      <c r="I1432" t="s">
        <v>1618</v>
      </c>
      <c r="J1432" t="s">
        <v>136</v>
      </c>
      <c r="K1432">
        <v>4.6206896500000001</v>
      </c>
      <c r="L1432">
        <v>64.689655099999996</v>
      </c>
      <c r="M1432" s="1">
        <v>3</v>
      </c>
      <c r="N1432">
        <v>0</v>
      </c>
      <c r="O1432">
        <v>0</v>
      </c>
      <c r="P1432">
        <v>14</v>
      </c>
      <c r="Q1432" s="1">
        <v>14</v>
      </c>
      <c r="R1432">
        <v>4.5</v>
      </c>
      <c r="S1432" s="2">
        <v>46011</v>
      </c>
      <c r="T1432" s="2">
        <v>46177</v>
      </c>
      <c r="U1432">
        <v>1</v>
      </c>
      <c r="V1432">
        <v>0</v>
      </c>
      <c r="W1432">
        <v>1</v>
      </c>
      <c r="X1432">
        <v>0</v>
      </c>
      <c r="Y1432">
        <v>0</v>
      </c>
      <c r="Z1432" s="8">
        <v>1</v>
      </c>
      <c r="AA1432">
        <v>0.5</v>
      </c>
      <c r="AB1432">
        <v>0</v>
      </c>
      <c r="AC1432">
        <v>2</v>
      </c>
      <c r="AD1432" s="1">
        <v>420</v>
      </c>
      <c r="AE1432" s="2">
        <v>46668</v>
      </c>
      <c r="AF1432" s="2">
        <v>46676</v>
      </c>
      <c r="AG1432" s="2">
        <v>46683</v>
      </c>
      <c r="AH1432">
        <v>0</v>
      </c>
      <c r="AI1432" s="3">
        <v>0</v>
      </c>
      <c r="AJ1432" s="1" t="s">
        <v>1635</v>
      </c>
      <c r="AK1432" s="2" t="s">
        <v>1635</v>
      </c>
      <c r="AL1432" s="4">
        <v>30</v>
      </c>
      <c r="AM1432" s="5">
        <v>15</v>
      </c>
      <c r="AN1432" s="4">
        <v>420</v>
      </c>
      <c r="AO1432">
        <v>0</v>
      </c>
      <c r="AP1432" s="4">
        <v>1</v>
      </c>
      <c r="AQ1432" t="s">
        <v>1619</v>
      </c>
      <c r="AR1432" t="s">
        <v>1620</v>
      </c>
      <c r="AT1432" s="16" t="str">
        <f>_xlfn.XLOOKUP(B1432,'SWiSH Demand Forecast Sep-26'!D:D,'SWiSH Demand Forecast Sep-26'!G:G,"Not Exist")</f>
        <v>Not Exist</v>
      </c>
    </row>
    <row r="1433" spans="1:46" x14ac:dyDescent="0.3">
      <c r="A1433">
        <v>106800229</v>
      </c>
      <c r="B1433" t="s">
        <v>3257</v>
      </c>
      <c r="C1433" t="s">
        <v>10</v>
      </c>
      <c r="D1433" t="s">
        <v>1699</v>
      </c>
      <c r="E1433" t="s">
        <v>1663</v>
      </c>
      <c r="F1433" t="s">
        <v>1664</v>
      </c>
      <c r="G1433" t="s">
        <v>1624</v>
      </c>
      <c r="H1433" t="s">
        <v>1665</v>
      </c>
      <c r="I1433" t="s">
        <v>1634</v>
      </c>
      <c r="J1433" t="s">
        <v>10</v>
      </c>
      <c r="K1433">
        <v>3.0000000000000001E-3</v>
      </c>
      <c r="L1433">
        <v>105</v>
      </c>
      <c r="M1433" s="1">
        <v>15</v>
      </c>
      <c r="N1433">
        <v>0</v>
      </c>
      <c r="O1433">
        <v>0</v>
      </c>
      <c r="P1433">
        <v>35000</v>
      </c>
      <c r="Q1433" s="1">
        <v>35000</v>
      </c>
      <c r="R1433">
        <v>3.0000000000000001E-3</v>
      </c>
      <c r="S1433" s="2">
        <v>46149</v>
      </c>
      <c r="T1433" s="2">
        <v>46241</v>
      </c>
      <c r="U1433">
        <v>2500</v>
      </c>
      <c r="V1433">
        <v>0</v>
      </c>
      <c r="W1433">
        <v>0</v>
      </c>
      <c r="X1433">
        <v>0</v>
      </c>
      <c r="Y1433">
        <v>0</v>
      </c>
      <c r="Z1433" s="8">
        <v>2500</v>
      </c>
      <c r="AA1433">
        <v>625</v>
      </c>
      <c r="AB1433">
        <v>0</v>
      </c>
      <c r="AC1433">
        <v>4</v>
      </c>
      <c r="AD1433" s="1">
        <v>420</v>
      </c>
      <c r="AE1433" s="2">
        <v>46668</v>
      </c>
      <c r="AF1433" s="2">
        <v>46676</v>
      </c>
      <c r="AG1433" s="2">
        <v>46683</v>
      </c>
      <c r="AH1433">
        <v>0</v>
      </c>
      <c r="AI1433" s="3">
        <v>0</v>
      </c>
      <c r="AJ1433" s="1" t="s">
        <v>1635</v>
      </c>
      <c r="AK1433" s="2" t="s">
        <v>1635</v>
      </c>
      <c r="AL1433" s="4" t="s">
        <v>1658</v>
      </c>
      <c r="AM1433" s="5" t="s">
        <v>1658</v>
      </c>
      <c r="AN1433" s="4">
        <v>420</v>
      </c>
      <c r="AO1433" t="s">
        <v>1635</v>
      </c>
      <c r="AP1433" s="4" t="s">
        <v>1658</v>
      </c>
      <c r="AQ1433" t="s">
        <v>1619</v>
      </c>
      <c r="AR1433" t="s">
        <v>1620</v>
      </c>
      <c r="AT1433" s="16" t="str">
        <f>_xlfn.XLOOKUP(B1433,'SWiSH Demand Forecast Sep-26'!D:D,'SWiSH Demand Forecast Sep-26'!G:G,"Not Exist")</f>
        <v>Not Exist</v>
      </c>
    </row>
    <row r="1434" spans="1:46" hidden="1" x14ac:dyDescent="0.3">
      <c r="A1434">
        <v>106200017</v>
      </c>
      <c r="B1434" t="s">
        <v>1559</v>
      </c>
      <c r="C1434" t="s">
        <v>136</v>
      </c>
      <c r="D1434" t="s">
        <v>1613</v>
      </c>
      <c r="E1434" t="s">
        <v>3258</v>
      </c>
      <c r="F1434" t="s">
        <v>1615</v>
      </c>
      <c r="G1434" t="s">
        <v>1616</v>
      </c>
      <c r="H1434" t="s">
        <v>1672</v>
      </c>
      <c r="I1434" t="s">
        <v>1618</v>
      </c>
      <c r="J1434" t="s">
        <v>136</v>
      </c>
      <c r="K1434">
        <v>34.463000000000001</v>
      </c>
      <c r="L1434">
        <v>1929.9280000000001</v>
      </c>
      <c r="M1434" s="1">
        <v>90</v>
      </c>
      <c r="N1434">
        <v>0</v>
      </c>
      <c r="O1434">
        <v>0</v>
      </c>
      <c r="P1434">
        <v>56</v>
      </c>
      <c r="Q1434" s="1">
        <v>56</v>
      </c>
      <c r="R1434">
        <v>551.40800000000002</v>
      </c>
      <c r="S1434" s="2">
        <v>46166</v>
      </c>
      <c r="T1434" s="2">
        <v>46257</v>
      </c>
      <c r="U1434">
        <v>4</v>
      </c>
      <c r="V1434">
        <v>0</v>
      </c>
      <c r="W1434">
        <v>0</v>
      </c>
      <c r="X1434">
        <v>4</v>
      </c>
      <c r="Y1434">
        <v>0</v>
      </c>
      <c r="Z1434" s="8">
        <v>4</v>
      </c>
      <c r="AA1434">
        <v>2</v>
      </c>
      <c r="AB1434">
        <v>0</v>
      </c>
      <c r="AC1434">
        <v>2</v>
      </c>
      <c r="AD1434" s="1">
        <v>420</v>
      </c>
      <c r="AE1434" s="2">
        <v>46668</v>
      </c>
      <c r="AF1434" s="2">
        <v>46676</v>
      </c>
      <c r="AG1434" s="2">
        <v>46683</v>
      </c>
      <c r="AH1434">
        <v>8</v>
      </c>
      <c r="AI1434" s="3">
        <v>2.0689655172413794</v>
      </c>
      <c r="AJ1434" s="1">
        <v>203</v>
      </c>
      <c r="AK1434" s="2">
        <v>46466</v>
      </c>
      <c r="AL1434" s="4">
        <v>120</v>
      </c>
      <c r="AM1434" s="5">
        <v>100</v>
      </c>
      <c r="AN1434" s="4">
        <v>203</v>
      </c>
      <c r="AO1434">
        <v>33.103448275862071</v>
      </c>
      <c r="AP1434" s="4">
        <v>1</v>
      </c>
      <c r="AQ1434" t="s">
        <v>1619</v>
      </c>
      <c r="AR1434" t="s">
        <v>1620</v>
      </c>
      <c r="AT1434" s="16">
        <f>_xlfn.XLOOKUP(B1434,'SWiSH Demand Forecast Sep-26'!D:D,'SWiSH Demand Forecast Sep-26'!G:G,"Not Exist")</f>
        <v>0.15587241273129299</v>
      </c>
    </row>
    <row r="1435" spans="1:46" x14ac:dyDescent="0.3">
      <c r="A1435">
        <v>100400144</v>
      </c>
      <c r="B1435" t="s">
        <v>3259</v>
      </c>
      <c r="C1435" t="s">
        <v>10</v>
      </c>
      <c r="D1435" t="s">
        <v>1613</v>
      </c>
      <c r="E1435" t="s">
        <v>1775</v>
      </c>
      <c r="F1435" t="s">
        <v>1664</v>
      </c>
      <c r="G1435" t="s">
        <v>1624</v>
      </c>
      <c r="H1435" t="s">
        <v>1810</v>
      </c>
      <c r="I1435" t="s">
        <v>1634</v>
      </c>
      <c r="J1435" t="s">
        <v>10</v>
      </c>
      <c r="K1435">
        <v>0.12661343</v>
      </c>
      <c r="L1435">
        <v>715.99894664999999</v>
      </c>
      <c r="M1435" s="1">
        <v>30</v>
      </c>
      <c r="N1435">
        <v>0</v>
      </c>
      <c r="O1435">
        <v>0</v>
      </c>
      <c r="P1435">
        <v>5655</v>
      </c>
      <c r="Q1435" s="1">
        <v>5655</v>
      </c>
      <c r="R1435">
        <v>0.127</v>
      </c>
      <c r="S1435" s="2">
        <v>46221</v>
      </c>
      <c r="T1435" s="2">
        <v>46247</v>
      </c>
      <c r="U1435">
        <v>400</v>
      </c>
      <c r="V1435">
        <v>200</v>
      </c>
      <c r="W1435">
        <v>400</v>
      </c>
      <c r="X1435">
        <v>0</v>
      </c>
      <c r="Y1435">
        <v>0</v>
      </c>
      <c r="Z1435" s="8">
        <v>400</v>
      </c>
      <c r="AA1435">
        <v>250</v>
      </c>
      <c r="AB1435">
        <v>0</v>
      </c>
      <c r="AC1435">
        <v>1.6</v>
      </c>
      <c r="AD1435" s="1">
        <v>424</v>
      </c>
      <c r="AE1435" s="2">
        <v>46672</v>
      </c>
      <c r="AF1435" s="2">
        <v>46680</v>
      </c>
      <c r="AG1435" s="2">
        <v>46687</v>
      </c>
      <c r="AH1435">
        <v>100</v>
      </c>
      <c r="AI1435" s="3">
        <v>0.25862068965517243</v>
      </c>
      <c r="AJ1435" s="1">
        <v>1639</v>
      </c>
      <c r="AK1435" s="2">
        <v>47902</v>
      </c>
      <c r="AL1435" s="4">
        <v>30</v>
      </c>
      <c r="AM1435" s="5">
        <v>15</v>
      </c>
      <c r="AN1435" s="4">
        <v>424</v>
      </c>
      <c r="AO1435">
        <v>103.44827586206897</v>
      </c>
      <c r="AP1435" s="4">
        <v>1</v>
      </c>
      <c r="AQ1435" t="s">
        <v>1619</v>
      </c>
      <c r="AR1435" t="s">
        <v>1620</v>
      </c>
      <c r="AT1435" s="16" t="str">
        <f>_xlfn.XLOOKUP(B1435,'SWiSH Demand Forecast Sep-26'!D:D,'SWiSH Demand Forecast Sep-26'!G:G,"Not Exist")</f>
        <v>Not Exist</v>
      </c>
    </row>
    <row r="1436" spans="1:46" x14ac:dyDescent="0.3">
      <c r="A1436">
        <v>106600064</v>
      </c>
      <c r="B1436" t="s">
        <v>3260</v>
      </c>
      <c r="C1436" t="s">
        <v>10</v>
      </c>
      <c r="D1436" t="s">
        <v>1613</v>
      </c>
      <c r="E1436" t="s">
        <v>1685</v>
      </c>
      <c r="F1436" t="s">
        <v>1664</v>
      </c>
      <c r="G1436" t="s">
        <v>1624</v>
      </c>
      <c r="H1436" t="s">
        <v>1723</v>
      </c>
      <c r="I1436" t="s">
        <v>1634</v>
      </c>
      <c r="J1436" t="s">
        <v>10</v>
      </c>
      <c r="K1436">
        <v>1.0999999999999999E-2</v>
      </c>
      <c r="L1436">
        <v>140.79999999999998</v>
      </c>
      <c r="M1436" s="1">
        <v>15</v>
      </c>
      <c r="N1436">
        <v>0</v>
      </c>
      <c r="O1436">
        <v>0</v>
      </c>
      <c r="P1436">
        <v>12800</v>
      </c>
      <c r="Q1436" s="1">
        <v>12800</v>
      </c>
      <c r="R1436">
        <v>1.0999999999999999E-2</v>
      </c>
      <c r="S1436" s="2">
        <v>46242</v>
      </c>
      <c r="T1436" s="2">
        <v>46244</v>
      </c>
      <c r="U1436">
        <v>800</v>
      </c>
      <c r="V1436">
        <v>900</v>
      </c>
      <c r="W1436">
        <v>800</v>
      </c>
      <c r="X1436">
        <v>400</v>
      </c>
      <c r="Y1436">
        <v>400</v>
      </c>
      <c r="Z1436" s="8">
        <v>900</v>
      </c>
      <c r="AA1436">
        <v>725</v>
      </c>
      <c r="AB1436">
        <v>0.55172413793103448</v>
      </c>
      <c r="AC1436">
        <v>1.2413793103448276</v>
      </c>
      <c r="AD1436" s="1">
        <v>426</v>
      </c>
      <c r="AE1436" s="2">
        <v>46674</v>
      </c>
      <c r="AF1436" s="2">
        <v>46682</v>
      </c>
      <c r="AG1436" s="2">
        <v>46689</v>
      </c>
      <c r="AH1436">
        <v>200</v>
      </c>
      <c r="AI1436" s="3">
        <v>0.22988505747126436</v>
      </c>
      <c r="AJ1436" s="1">
        <v>1856</v>
      </c>
      <c r="AK1436" s="2">
        <v>48119</v>
      </c>
      <c r="AL1436" s="4">
        <v>30</v>
      </c>
      <c r="AM1436" s="5">
        <v>15</v>
      </c>
      <c r="AN1436" s="4">
        <v>426</v>
      </c>
      <c r="AO1436">
        <v>206.89655172413794</v>
      </c>
      <c r="AP1436" s="4">
        <v>1</v>
      </c>
      <c r="AQ1436" t="s">
        <v>1619</v>
      </c>
      <c r="AR1436" t="s">
        <v>1620</v>
      </c>
      <c r="AT1436" s="16" t="str">
        <f>_xlfn.XLOOKUP(B1436,'SWiSH Demand Forecast Sep-26'!D:D,'SWiSH Demand Forecast Sep-26'!G:G,"Not Exist")</f>
        <v>Not Exist</v>
      </c>
    </row>
    <row r="1437" spans="1:46" x14ac:dyDescent="0.3">
      <c r="A1437">
        <v>107400055</v>
      </c>
      <c r="B1437" t="s">
        <v>3261</v>
      </c>
      <c r="C1437" t="s">
        <v>10</v>
      </c>
      <c r="D1437" t="s">
        <v>1699</v>
      </c>
      <c r="E1437" t="s">
        <v>1796</v>
      </c>
      <c r="F1437" t="s">
        <v>1664</v>
      </c>
      <c r="G1437" t="s">
        <v>1624</v>
      </c>
      <c r="H1437" t="s">
        <v>2016</v>
      </c>
      <c r="I1437" t="s">
        <v>1634</v>
      </c>
      <c r="J1437" t="s">
        <v>10</v>
      </c>
      <c r="K1437">
        <v>1.059233E-2</v>
      </c>
      <c r="L1437">
        <v>307.17757</v>
      </c>
      <c r="M1437" s="1">
        <v>15</v>
      </c>
      <c r="N1437">
        <v>0</v>
      </c>
      <c r="O1437">
        <v>0</v>
      </c>
      <c r="P1437">
        <v>29000</v>
      </c>
      <c r="Q1437" s="1">
        <v>29000</v>
      </c>
      <c r="R1437">
        <v>0.01</v>
      </c>
      <c r="S1437" s="2">
        <v>46091</v>
      </c>
      <c r="T1437" s="2">
        <v>46208</v>
      </c>
      <c r="U1437">
        <v>2000</v>
      </c>
      <c r="V1437">
        <v>1000</v>
      </c>
      <c r="W1437">
        <v>0</v>
      </c>
      <c r="X1437">
        <v>0</v>
      </c>
      <c r="Y1437">
        <v>0</v>
      </c>
      <c r="Z1437" s="8">
        <v>2000</v>
      </c>
      <c r="AA1437">
        <v>750</v>
      </c>
      <c r="AB1437">
        <v>0</v>
      </c>
      <c r="AC1437">
        <v>2.6666666666666665</v>
      </c>
      <c r="AD1437" s="1">
        <v>435</v>
      </c>
      <c r="AE1437" s="2">
        <v>46683</v>
      </c>
      <c r="AF1437" s="2">
        <v>46691</v>
      </c>
      <c r="AG1437" s="2">
        <v>46698</v>
      </c>
      <c r="AH1437">
        <v>0</v>
      </c>
      <c r="AI1437" s="3">
        <v>0</v>
      </c>
      <c r="AJ1437" s="1" t="s">
        <v>1635</v>
      </c>
      <c r="AK1437" s="2" t="s">
        <v>1635</v>
      </c>
      <c r="AL1437" s="4" t="s">
        <v>1658</v>
      </c>
      <c r="AM1437" s="5" t="s">
        <v>1658</v>
      </c>
      <c r="AN1437" s="4">
        <v>435</v>
      </c>
      <c r="AO1437" t="s">
        <v>1635</v>
      </c>
      <c r="AP1437" s="4" t="s">
        <v>1658</v>
      </c>
      <c r="AQ1437" t="s">
        <v>1619</v>
      </c>
      <c r="AR1437" t="s">
        <v>1620</v>
      </c>
      <c r="AT1437" s="16" t="str">
        <f>_xlfn.XLOOKUP(B1437,'SWiSH Demand Forecast Sep-26'!D:D,'SWiSH Demand Forecast Sep-26'!G:G,"Not Exist")</f>
        <v>Not Exist</v>
      </c>
    </row>
    <row r="1438" spans="1:46" x14ac:dyDescent="0.3">
      <c r="A1438">
        <v>100400161</v>
      </c>
      <c r="B1438" t="s">
        <v>3262</v>
      </c>
      <c r="C1438" t="s">
        <v>10</v>
      </c>
      <c r="D1438" t="s">
        <v>1613</v>
      </c>
      <c r="E1438" t="s">
        <v>2075</v>
      </c>
      <c r="F1438" t="s">
        <v>1664</v>
      </c>
      <c r="G1438" t="s">
        <v>1624</v>
      </c>
      <c r="H1438" t="s">
        <v>1810</v>
      </c>
      <c r="I1438" t="s">
        <v>1634</v>
      </c>
      <c r="J1438" t="s">
        <v>10</v>
      </c>
      <c r="K1438">
        <v>4.7E-2</v>
      </c>
      <c r="L1438">
        <v>136.30000000000001</v>
      </c>
      <c r="M1438" s="1">
        <v>30</v>
      </c>
      <c r="N1438">
        <v>0</v>
      </c>
      <c r="O1438">
        <v>0</v>
      </c>
      <c r="P1438">
        <v>2900</v>
      </c>
      <c r="Q1438" s="1">
        <v>2900</v>
      </c>
      <c r="R1438">
        <v>4.7E-2</v>
      </c>
      <c r="S1438" s="2">
        <v>45860</v>
      </c>
      <c r="T1438" s="2">
        <v>46229</v>
      </c>
      <c r="U1438">
        <v>0</v>
      </c>
      <c r="V1438">
        <v>0</v>
      </c>
      <c r="W1438">
        <v>200</v>
      </c>
      <c r="X1438">
        <v>200</v>
      </c>
      <c r="Y1438">
        <v>0</v>
      </c>
      <c r="Z1438" s="8">
        <v>200</v>
      </c>
      <c r="AA1438">
        <v>100</v>
      </c>
      <c r="AB1438">
        <v>0</v>
      </c>
      <c r="AC1438">
        <v>2</v>
      </c>
      <c r="AD1438" s="1">
        <v>435</v>
      </c>
      <c r="AE1438" s="2">
        <v>46683</v>
      </c>
      <c r="AF1438" s="2">
        <v>46691</v>
      </c>
      <c r="AG1438" s="2">
        <v>46698</v>
      </c>
      <c r="AH1438">
        <v>0</v>
      </c>
      <c r="AI1438" s="3">
        <v>0</v>
      </c>
      <c r="AJ1438" s="1" t="s">
        <v>1635</v>
      </c>
      <c r="AK1438" s="2" t="s">
        <v>1635</v>
      </c>
      <c r="AL1438" s="4">
        <v>30</v>
      </c>
      <c r="AM1438" s="5">
        <v>15</v>
      </c>
      <c r="AN1438" s="4">
        <v>435</v>
      </c>
      <c r="AO1438">
        <v>0</v>
      </c>
      <c r="AP1438" s="4">
        <v>1</v>
      </c>
      <c r="AQ1438" t="s">
        <v>1619</v>
      </c>
      <c r="AR1438" t="s">
        <v>1620</v>
      </c>
      <c r="AT1438" s="16" t="str">
        <f>_xlfn.XLOOKUP(B1438,'SWiSH Demand Forecast Sep-26'!D:D,'SWiSH Demand Forecast Sep-26'!G:G,"Not Exist")</f>
        <v>Not Exist</v>
      </c>
    </row>
    <row r="1439" spans="1:46" hidden="1" x14ac:dyDescent="0.3">
      <c r="A1439">
        <v>100400210</v>
      </c>
      <c r="B1439" t="s">
        <v>794</v>
      </c>
      <c r="C1439" t="s">
        <v>10</v>
      </c>
      <c r="D1439" t="s">
        <v>1613</v>
      </c>
      <c r="E1439" t="s">
        <v>1701</v>
      </c>
      <c r="F1439" t="s">
        <v>1664</v>
      </c>
      <c r="G1439" t="s">
        <v>1624</v>
      </c>
      <c r="H1439" t="s">
        <v>1810</v>
      </c>
      <c r="I1439" t="s">
        <v>1634</v>
      </c>
      <c r="J1439" t="s">
        <v>10</v>
      </c>
      <c r="K1439">
        <v>4.2000000000000003E-2</v>
      </c>
      <c r="L1439">
        <v>336</v>
      </c>
      <c r="M1439" s="1">
        <v>30</v>
      </c>
      <c r="N1439">
        <v>0</v>
      </c>
      <c r="O1439">
        <v>0</v>
      </c>
      <c r="P1439">
        <v>8000</v>
      </c>
      <c r="Q1439" s="1">
        <v>8000</v>
      </c>
      <c r="R1439">
        <v>4.2000000000000003E-2</v>
      </c>
      <c r="S1439" s="2">
        <v>45934</v>
      </c>
      <c r="T1439" s="2">
        <v>46244</v>
      </c>
      <c r="U1439">
        <v>550</v>
      </c>
      <c r="V1439">
        <v>350</v>
      </c>
      <c r="W1439">
        <v>0</v>
      </c>
      <c r="X1439">
        <v>150</v>
      </c>
      <c r="Y1439">
        <v>0</v>
      </c>
      <c r="Z1439" s="8">
        <v>550</v>
      </c>
      <c r="AA1439">
        <v>262.5</v>
      </c>
      <c r="AB1439">
        <v>0</v>
      </c>
      <c r="AC1439">
        <v>2.0952380952380953</v>
      </c>
      <c r="AD1439" s="1">
        <v>436</v>
      </c>
      <c r="AE1439" s="2">
        <v>46684</v>
      </c>
      <c r="AF1439" s="2">
        <v>46692</v>
      </c>
      <c r="AG1439" s="2">
        <v>46699</v>
      </c>
      <c r="AH1439">
        <v>200</v>
      </c>
      <c r="AI1439" s="3">
        <v>0.37617554858934171</v>
      </c>
      <c r="AJ1439" s="1">
        <v>1160</v>
      </c>
      <c r="AK1439" s="2">
        <v>47423</v>
      </c>
      <c r="AL1439" s="4">
        <v>30</v>
      </c>
      <c r="AM1439" s="5">
        <v>15</v>
      </c>
      <c r="AN1439" s="4">
        <v>436</v>
      </c>
      <c r="AO1439">
        <v>206.89655172413794</v>
      </c>
      <c r="AP1439" s="4">
        <v>1</v>
      </c>
      <c r="AQ1439" t="s">
        <v>1619</v>
      </c>
      <c r="AR1439" t="s">
        <v>1620</v>
      </c>
      <c r="AT1439" s="16">
        <f>_xlfn.XLOOKUP(B1439,'SWiSH Demand Forecast Sep-26'!D:D,'SWiSH Demand Forecast Sep-26'!G:G,"Not Exist")</f>
        <v>407</v>
      </c>
    </row>
    <row r="1440" spans="1:46" x14ac:dyDescent="0.3">
      <c r="A1440">
        <v>106800338</v>
      </c>
      <c r="B1440" t="s">
        <v>3263</v>
      </c>
      <c r="C1440" t="s">
        <v>10</v>
      </c>
      <c r="D1440" t="s">
        <v>1613</v>
      </c>
      <c r="E1440" t="s">
        <v>1663</v>
      </c>
      <c r="F1440" t="s">
        <v>1664</v>
      </c>
      <c r="G1440" t="s">
        <v>1624</v>
      </c>
      <c r="H1440" t="s">
        <v>1665</v>
      </c>
      <c r="I1440" t="s">
        <v>1634</v>
      </c>
      <c r="J1440" t="s">
        <v>10</v>
      </c>
      <c r="K1440">
        <v>2E-3</v>
      </c>
      <c r="L1440">
        <v>180</v>
      </c>
      <c r="M1440" s="1">
        <v>7</v>
      </c>
      <c r="N1440">
        <v>0</v>
      </c>
      <c r="O1440">
        <v>0</v>
      </c>
      <c r="P1440">
        <v>90000</v>
      </c>
      <c r="Q1440" s="1">
        <v>90000</v>
      </c>
      <c r="R1440">
        <v>2E-3</v>
      </c>
      <c r="S1440" s="2">
        <v>46148</v>
      </c>
      <c r="T1440" s="2">
        <v>46260</v>
      </c>
      <c r="U1440">
        <v>0</v>
      </c>
      <c r="V1440">
        <v>1000</v>
      </c>
      <c r="W1440">
        <v>5000</v>
      </c>
      <c r="X1440">
        <v>6000</v>
      </c>
      <c r="Y1440">
        <v>0</v>
      </c>
      <c r="Z1440" s="8">
        <v>6000</v>
      </c>
      <c r="AA1440">
        <v>3000</v>
      </c>
      <c r="AB1440">
        <v>0</v>
      </c>
      <c r="AC1440">
        <v>2</v>
      </c>
      <c r="AD1440" s="1">
        <v>450</v>
      </c>
      <c r="AE1440" s="2">
        <v>46698</v>
      </c>
      <c r="AF1440" s="2">
        <v>46706</v>
      </c>
      <c r="AG1440" s="2">
        <v>46713</v>
      </c>
      <c r="AH1440">
        <v>4000</v>
      </c>
      <c r="AI1440" s="3">
        <v>0.68965517241379304</v>
      </c>
      <c r="AJ1440" s="1">
        <v>652</v>
      </c>
      <c r="AK1440" s="2">
        <v>46915</v>
      </c>
      <c r="AL1440" s="4">
        <v>30</v>
      </c>
      <c r="AM1440" s="5">
        <v>15</v>
      </c>
      <c r="AN1440" s="4">
        <v>450</v>
      </c>
      <c r="AO1440">
        <v>4137.9310344827582</v>
      </c>
      <c r="AP1440" s="4">
        <v>1</v>
      </c>
      <c r="AQ1440" t="s">
        <v>1619</v>
      </c>
      <c r="AR1440" t="s">
        <v>1620</v>
      </c>
      <c r="AT1440" s="16" t="str">
        <f>_xlfn.XLOOKUP(B1440,'SWiSH Demand Forecast Sep-26'!D:D,'SWiSH Demand Forecast Sep-26'!G:G,"Not Exist")</f>
        <v>Not Exist</v>
      </c>
    </row>
    <row r="1441" spans="1:46" x14ac:dyDescent="0.3">
      <c r="A1441">
        <v>100100125</v>
      </c>
      <c r="B1441" t="s">
        <v>3264</v>
      </c>
      <c r="C1441" t="s">
        <v>10</v>
      </c>
      <c r="D1441" t="s">
        <v>1629</v>
      </c>
      <c r="E1441" t="s">
        <v>1732</v>
      </c>
      <c r="F1441" t="s">
        <v>1752</v>
      </c>
      <c r="G1441" t="s">
        <v>1616</v>
      </c>
      <c r="H1441" t="s">
        <v>1877</v>
      </c>
      <c r="I1441" t="s">
        <v>1754</v>
      </c>
      <c r="J1441" t="s">
        <v>3265</v>
      </c>
      <c r="K1441">
        <v>1.4375000000000001E-2</v>
      </c>
      <c r="L1441">
        <v>43.125</v>
      </c>
      <c r="M1441" s="1">
        <v>3</v>
      </c>
      <c r="N1441">
        <v>0</v>
      </c>
      <c r="O1441">
        <v>0</v>
      </c>
      <c r="P1441">
        <v>3000</v>
      </c>
      <c r="Q1441" s="1">
        <v>3000</v>
      </c>
      <c r="R1441">
        <v>11.5</v>
      </c>
      <c r="S1441" s="2">
        <v>45903</v>
      </c>
      <c r="T1441" s="2">
        <v>46167</v>
      </c>
      <c r="U1441">
        <v>0</v>
      </c>
      <c r="V1441">
        <v>200</v>
      </c>
      <c r="W1441">
        <v>0</v>
      </c>
      <c r="X1441">
        <v>0</v>
      </c>
      <c r="Y1441">
        <v>0</v>
      </c>
      <c r="Z1441" s="8">
        <v>200</v>
      </c>
      <c r="AA1441">
        <v>50</v>
      </c>
      <c r="AB1441">
        <v>0</v>
      </c>
      <c r="AC1441">
        <v>4</v>
      </c>
      <c r="AD1441" s="1">
        <v>450</v>
      </c>
      <c r="AE1441" s="2">
        <v>46698</v>
      </c>
      <c r="AF1441" s="2">
        <v>46706</v>
      </c>
      <c r="AG1441" s="2">
        <v>46713</v>
      </c>
      <c r="AH1441">
        <v>0</v>
      </c>
      <c r="AI1441" s="3">
        <v>0</v>
      </c>
      <c r="AJ1441" s="1" t="s">
        <v>1635</v>
      </c>
      <c r="AK1441" s="2" t="s">
        <v>1635</v>
      </c>
      <c r="AL1441" s="4" t="s">
        <v>1636</v>
      </c>
      <c r="AM1441" s="5" t="s">
        <v>1636</v>
      </c>
      <c r="AN1441" s="4">
        <v>450</v>
      </c>
      <c r="AO1441" t="s">
        <v>1635</v>
      </c>
      <c r="AP1441" s="4" t="s">
        <v>1636</v>
      </c>
      <c r="AQ1441" t="s">
        <v>1619</v>
      </c>
      <c r="AR1441" t="s">
        <v>1620</v>
      </c>
      <c r="AT1441" s="16" t="str">
        <f>_xlfn.XLOOKUP(B1441,'SWiSH Demand Forecast Sep-26'!D:D,'SWiSH Demand Forecast Sep-26'!G:G,"Not Exist")</f>
        <v>Not Exist</v>
      </c>
    </row>
    <row r="1442" spans="1:46" hidden="1" x14ac:dyDescent="0.3">
      <c r="A1442">
        <v>106800191</v>
      </c>
      <c r="B1442" t="s">
        <v>955</v>
      </c>
      <c r="C1442" t="s">
        <v>10</v>
      </c>
      <c r="D1442" t="s">
        <v>1613</v>
      </c>
      <c r="E1442" t="s">
        <v>1926</v>
      </c>
      <c r="F1442" t="s">
        <v>1664</v>
      </c>
      <c r="G1442" t="s">
        <v>1624</v>
      </c>
      <c r="H1442" t="s">
        <v>1665</v>
      </c>
      <c r="I1442" t="s">
        <v>1634</v>
      </c>
      <c r="J1442" t="s">
        <v>10</v>
      </c>
      <c r="K1442">
        <v>3.51111E-3</v>
      </c>
      <c r="L1442">
        <v>105.33329999999999</v>
      </c>
      <c r="M1442" s="1">
        <v>7</v>
      </c>
      <c r="N1442">
        <v>0</v>
      </c>
      <c r="O1442">
        <v>0</v>
      </c>
      <c r="P1442">
        <v>30000</v>
      </c>
      <c r="Q1442" s="1">
        <v>30000</v>
      </c>
      <c r="R1442">
        <v>4.0000000000000001E-3</v>
      </c>
      <c r="S1442" s="2">
        <v>45782</v>
      </c>
      <c r="T1442" s="2">
        <v>46175</v>
      </c>
      <c r="U1442">
        <v>0</v>
      </c>
      <c r="V1442">
        <v>2000</v>
      </c>
      <c r="W1442">
        <v>1000</v>
      </c>
      <c r="X1442">
        <v>0</v>
      </c>
      <c r="Y1442">
        <v>0</v>
      </c>
      <c r="Z1442" s="8">
        <v>2000</v>
      </c>
      <c r="AA1442">
        <v>750</v>
      </c>
      <c r="AB1442">
        <v>0</v>
      </c>
      <c r="AC1442">
        <v>2.6666666666666665</v>
      </c>
      <c r="AD1442" s="1">
        <v>450</v>
      </c>
      <c r="AE1442" s="2">
        <v>46698</v>
      </c>
      <c r="AF1442" s="2">
        <v>46706</v>
      </c>
      <c r="AG1442" s="2">
        <v>46713</v>
      </c>
      <c r="AH1442">
        <v>0</v>
      </c>
      <c r="AI1442" s="3">
        <v>0</v>
      </c>
      <c r="AJ1442" s="1" t="s">
        <v>1635</v>
      </c>
      <c r="AK1442" s="2" t="s">
        <v>1635</v>
      </c>
      <c r="AL1442" s="4">
        <v>30</v>
      </c>
      <c r="AM1442" s="5">
        <v>15</v>
      </c>
      <c r="AN1442" s="4">
        <v>450</v>
      </c>
      <c r="AO1442">
        <v>0</v>
      </c>
      <c r="AP1442" s="4">
        <v>1</v>
      </c>
      <c r="AQ1442" t="s">
        <v>1619</v>
      </c>
      <c r="AR1442" t="s">
        <v>1620</v>
      </c>
      <c r="AT1442" s="16">
        <f>_xlfn.XLOOKUP(B1442,'SWiSH Demand Forecast Sep-26'!D:D,'SWiSH Demand Forecast Sep-26'!G:G,"Not Exist")</f>
        <v>188</v>
      </c>
    </row>
    <row r="1443" spans="1:46" hidden="1" x14ac:dyDescent="0.3">
      <c r="A1443">
        <v>100400135</v>
      </c>
      <c r="B1443" t="s">
        <v>795</v>
      </c>
      <c r="C1443" t="s">
        <v>10</v>
      </c>
      <c r="D1443" t="s">
        <v>1613</v>
      </c>
      <c r="E1443" t="s">
        <v>1655</v>
      </c>
      <c r="F1443" t="s">
        <v>1631</v>
      </c>
      <c r="G1443" t="s">
        <v>1624</v>
      </c>
      <c r="H1443" t="s">
        <v>1810</v>
      </c>
      <c r="I1443" t="s">
        <v>1634</v>
      </c>
      <c r="J1443" t="s">
        <v>10</v>
      </c>
      <c r="K1443">
        <v>1.9001259999999999E-2</v>
      </c>
      <c r="L1443">
        <v>71.254724999999993</v>
      </c>
      <c r="M1443" s="1">
        <v>30</v>
      </c>
      <c r="N1443">
        <v>0</v>
      </c>
      <c r="O1443">
        <v>0</v>
      </c>
      <c r="P1443">
        <v>3750</v>
      </c>
      <c r="Q1443" s="1">
        <v>3750</v>
      </c>
      <c r="R1443">
        <v>4.75</v>
      </c>
      <c r="S1443" s="2">
        <v>46182</v>
      </c>
      <c r="T1443" s="2">
        <v>46261</v>
      </c>
      <c r="U1443">
        <v>250</v>
      </c>
      <c r="V1443">
        <v>250</v>
      </c>
      <c r="W1443">
        <v>250</v>
      </c>
      <c r="X1443">
        <v>0</v>
      </c>
      <c r="Y1443">
        <v>0</v>
      </c>
      <c r="Z1443" s="8">
        <v>250</v>
      </c>
      <c r="AA1443">
        <v>187.5</v>
      </c>
      <c r="AB1443">
        <v>0</v>
      </c>
      <c r="AC1443">
        <v>1.3333333333333333</v>
      </c>
      <c r="AD1443" s="1">
        <v>450</v>
      </c>
      <c r="AE1443" s="2">
        <v>46698</v>
      </c>
      <c r="AF1443" s="2">
        <v>46706</v>
      </c>
      <c r="AG1443" s="2">
        <v>46713</v>
      </c>
      <c r="AH1443">
        <v>250</v>
      </c>
      <c r="AI1443" s="3">
        <v>1.0344827586206895</v>
      </c>
      <c r="AJ1443" s="1">
        <v>435</v>
      </c>
      <c r="AK1443" s="2">
        <v>46698</v>
      </c>
      <c r="AL1443" s="4">
        <v>30</v>
      </c>
      <c r="AM1443" s="5">
        <v>15</v>
      </c>
      <c r="AN1443" s="4">
        <v>435</v>
      </c>
      <c r="AO1443">
        <v>258.62068965517238</v>
      </c>
      <c r="AP1443" s="4">
        <v>1</v>
      </c>
      <c r="AQ1443" t="s">
        <v>1619</v>
      </c>
      <c r="AR1443" t="s">
        <v>1620</v>
      </c>
      <c r="AT1443" s="16">
        <f>_xlfn.XLOOKUP(B1443,'SWiSH Demand Forecast Sep-26'!D:D,'SWiSH Demand Forecast Sep-26'!G:G,"Not Exist")</f>
        <v>406</v>
      </c>
    </row>
    <row r="1444" spans="1:46" hidden="1" x14ac:dyDescent="0.3">
      <c r="A1444">
        <v>106800080</v>
      </c>
      <c r="B1444" t="s">
        <v>676</v>
      </c>
      <c r="C1444" t="s">
        <v>10</v>
      </c>
      <c r="D1444" t="s">
        <v>1613</v>
      </c>
      <c r="E1444" t="s">
        <v>1655</v>
      </c>
      <c r="F1444" t="s">
        <v>1664</v>
      </c>
      <c r="G1444" t="s">
        <v>1624</v>
      </c>
      <c r="H1444" t="s">
        <v>1665</v>
      </c>
      <c r="I1444" t="s">
        <v>1634</v>
      </c>
      <c r="J1444" t="s">
        <v>10</v>
      </c>
      <c r="K1444">
        <v>4.7407400000000002E-3</v>
      </c>
      <c r="L1444">
        <v>218.07404</v>
      </c>
      <c r="M1444" s="1">
        <v>7</v>
      </c>
      <c r="N1444">
        <v>0</v>
      </c>
      <c r="O1444">
        <v>0</v>
      </c>
      <c r="P1444">
        <v>46000</v>
      </c>
      <c r="Q1444" s="1">
        <v>46000</v>
      </c>
      <c r="R1444">
        <v>5.0000000000000001E-3</v>
      </c>
      <c r="S1444" s="2">
        <v>46125</v>
      </c>
      <c r="T1444" s="2">
        <v>46256</v>
      </c>
      <c r="U1444">
        <v>1000</v>
      </c>
      <c r="V1444">
        <v>2000</v>
      </c>
      <c r="W1444">
        <v>3000</v>
      </c>
      <c r="X1444">
        <v>0</v>
      </c>
      <c r="Y1444">
        <v>0</v>
      </c>
      <c r="Z1444" s="8">
        <v>3000</v>
      </c>
      <c r="AA1444">
        <v>1500</v>
      </c>
      <c r="AB1444">
        <v>0</v>
      </c>
      <c r="AC1444">
        <v>2</v>
      </c>
      <c r="AD1444" s="1">
        <v>460</v>
      </c>
      <c r="AE1444" s="2">
        <v>46708</v>
      </c>
      <c r="AF1444" s="2">
        <v>46716</v>
      </c>
      <c r="AG1444" s="2">
        <v>46723</v>
      </c>
      <c r="AH1444">
        <v>3000</v>
      </c>
      <c r="AI1444" s="3">
        <v>1.0344827586206897</v>
      </c>
      <c r="AJ1444" s="1">
        <v>444</v>
      </c>
      <c r="AK1444" s="2">
        <v>46707</v>
      </c>
      <c r="AL1444" s="4">
        <v>30</v>
      </c>
      <c r="AM1444" s="5">
        <v>15</v>
      </c>
      <c r="AN1444" s="4">
        <v>444</v>
      </c>
      <c r="AO1444">
        <v>3103.4482758620693</v>
      </c>
      <c r="AP1444" s="4">
        <v>1</v>
      </c>
      <c r="AQ1444" t="s">
        <v>1619</v>
      </c>
      <c r="AR1444" t="s">
        <v>1620</v>
      </c>
      <c r="AT1444" s="16">
        <f>_xlfn.XLOOKUP(B1444,'SWiSH Demand Forecast Sep-26'!D:D,'SWiSH Demand Forecast Sep-26'!G:G,"Not Exist")</f>
        <v>658</v>
      </c>
    </row>
    <row r="1445" spans="1:46" hidden="1" x14ac:dyDescent="0.3">
      <c r="A1445">
        <v>106800077</v>
      </c>
      <c r="B1445" t="s">
        <v>752</v>
      </c>
      <c r="C1445" t="s">
        <v>10</v>
      </c>
      <c r="D1445" t="s">
        <v>1613</v>
      </c>
      <c r="E1445" t="s">
        <v>1655</v>
      </c>
      <c r="F1445" t="s">
        <v>1664</v>
      </c>
      <c r="G1445" t="s">
        <v>1624</v>
      </c>
      <c r="H1445" t="s">
        <v>1665</v>
      </c>
      <c r="I1445" t="s">
        <v>1634</v>
      </c>
      <c r="J1445" t="s">
        <v>10</v>
      </c>
      <c r="K1445">
        <v>3.0000000000000001E-3</v>
      </c>
      <c r="L1445">
        <v>93</v>
      </c>
      <c r="M1445" s="1">
        <v>7</v>
      </c>
      <c r="N1445">
        <v>0</v>
      </c>
      <c r="O1445">
        <v>0</v>
      </c>
      <c r="P1445">
        <v>31000</v>
      </c>
      <c r="Q1445" s="1">
        <v>31000</v>
      </c>
      <c r="R1445">
        <v>3.0000000000000001E-3</v>
      </c>
      <c r="S1445" s="2">
        <v>46204</v>
      </c>
      <c r="T1445" s="2">
        <v>46261</v>
      </c>
      <c r="U1445">
        <v>2000</v>
      </c>
      <c r="V1445">
        <v>1000</v>
      </c>
      <c r="W1445">
        <v>1000</v>
      </c>
      <c r="X1445">
        <v>0</v>
      </c>
      <c r="Y1445">
        <v>0</v>
      </c>
      <c r="Z1445" s="8">
        <v>2000</v>
      </c>
      <c r="AA1445">
        <v>1000</v>
      </c>
      <c r="AB1445">
        <v>0</v>
      </c>
      <c r="AC1445">
        <v>2</v>
      </c>
      <c r="AD1445" s="1">
        <v>465</v>
      </c>
      <c r="AE1445" s="2">
        <v>46713</v>
      </c>
      <c r="AF1445" s="2">
        <v>46721</v>
      </c>
      <c r="AG1445" s="2">
        <v>46728</v>
      </c>
      <c r="AH1445">
        <v>1000</v>
      </c>
      <c r="AI1445" s="3">
        <v>0.51724137931034475</v>
      </c>
      <c r="AJ1445" s="1">
        <v>899</v>
      </c>
      <c r="AK1445" s="2">
        <v>47162</v>
      </c>
      <c r="AL1445" s="4">
        <v>30</v>
      </c>
      <c r="AM1445" s="5">
        <v>15</v>
      </c>
      <c r="AN1445" s="4">
        <v>465</v>
      </c>
      <c r="AO1445">
        <v>1034.4827586206895</v>
      </c>
      <c r="AP1445" s="4">
        <v>1</v>
      </c>
      <c r="AQ1445">
        <v>20000</v>
      </c>
      <c r="AR1445" t="s">
        <v>1829</v>
      </c>
      <c r="AT1445" s="16">
        <f>_xlfn.XLOOKUP(B1445,'SWiSH Demand Forecast Sep-26'!D:D,'SWiSH Demand Forecast Sep-26'!G:G,"Not Exist")</f>
        <v>498</v>
      </c>
    </row>
    <row r="1446" spans="1:46" x14ac:dyDescent="0.3">
      <c r="A1446">
        <v>106600105</v>
      </c>
      <c r="B1446" t="s">
        <v>3266</v>
      </c>
      <c r="C1446" t="s">
        <v>10</v>
      </c>
      <c r="D1446" t="s">
        <v>1699</v>
      </c>
      <c r="E1446" t="s">
        <v>1663</v>
      </c>
      <c r="F1446" t="s">
        <v>1664</v>
      </c>
      <c r="G1446" t="s">
        <v>1624</v>
      </c>
      <c r="H1446" t="s">
        <v>1723</v>
      </c>
      <c r="I1446" t="s">
        <v>1634</v>
      </c>
      <c r="J1446" t="s">
        <v>10</v>
      </c>
      <c r="K1446">
        <v>6.0000000000000001E-3</v>
      </c>
      <c r="L1446">
        <v>768</v>
      </c>
      <c r="M1446" s="1">
        <v>15</v>
      </c>
      <c r="N1446">
        <v>0</v>
      </c>
      <c r="O1446">
        <v>0</v>
      </c>
      <c r="P1446">
        <v>128000</v>
      </c>
      <c r="Q1446" s="1">
        <v>128000</v>
      </c>
      <c r="R1446">
        <v>6.0000000000000001E-3</v>
      </c>
      <c r="S1446" s="2">
        <v>46259</v>
      </c>
      <c r="T1446" s="2">
        <v>46128</v>
      </c>
      <c r="U1446">
        <v>8000</v>
      </c>
      <c r="V1446">
        <v>0</v>
      </c>
      <c r="W1446">
        <v>0</v>
      </c>
      <c r="X1446">
        <v>0</v>
      </c>
      <c r="Y1446">
        <v>0</v>
      </c>
      <c r="Z1446" s="8">
        <v>8000</v>
      </c>
      <c r="AA1446">
        <v>2000</v>
      </c>
      <c r="AB1446">
        <v>0</v>
      </c>
      <c r="AC1446">
        <v>4</v>
      </c>
      <c r="AD1446" s="1">
        <v>480</v>
      </c>
      <c r="AE1446" s="2">
        <v>46728</v>
      </c>
      <c r="AF1446" s="2">
        <v>46736</v>
      </c>
      <c r="AG1446" s="2">
        <v>46743</v>
      </c>
      <c r="AH1446">
        <v>0</v>
      </c>
      <c r="AI1446" s="3">
        <v>0</v>
      </c>
      <c r="AJ1446" s="1" t="s">
        <v>1635</v>
      </c>
      <c r="AK1446" s="2" t="s">
        <v>1635</v>
      </c>
      <c r="AL1446" s="4" t="s">
        <v>1658</v>
      </c>
      <c r="AM1446" s="5" t="s">
        <v>1658</v>
      </c>
      <c r="AN1446" s="4">
        <v>480</v>
      </c>
      <c r="AO1446" t="s">
        <v>1635</v>
      </c>
      <c r="AP1446" s="4" t="s">
        <v>1658</v>
      </c>
      <c r="AQ1446" t="s">
        <v>1619</v>
      </c>
      <c r="AR1446" t="s">
        <v>1620</v>
      </c>
      <c r="AT1446" s="16" t="str">
        <f>_xlfn.XLOOKUP(B1446,'SWiSH Demand Forecast Sep-26'!D:D,'SWiSH Demand Forecast Sep-26'!G:G,"Not Exist")</f>
        <v>Not Exist</v>
      </c>
    </row>
    <row r="1447" spans="1:46" x14ac:dyDescent="0.3">
      <c r="A1447">
        <v>105600017</v>
      </c>
      <c r="B1447" t="s">
        <v>3267</v>
      </c>
      <c r="C1447" t="s">
        <v>136</v>
      </c>
      <c r="D1447" t="s">
        <v>1613</v>
      </c>
      <c r="E1447" t="s">
        <v>3268</v>
      </c>
      <c r="F1447" t="s">
        <v>1664</v>
      </c>
      <c r="G1447" t="s">
        <v>1624</v>
      </c>
      <c r="H1447" t="s">
        <v>1679</v>
      </c>
      <c r="I1447" t="s">
        <v>1634</v>
      </c>
      <c r="J1447" t="s">
        <v>136</v>
      </c>
      <c r="K1447">
        <v>0.57999999999999996</v>
      </c>
      <c r="L1447">
        <v>234.89999999999998</v>
      </c>
      <c r="M1447" s="1">
        <v>30</v>
      </c>
      <c r="N1447">
        <v>0</v>
      </c>
      <c r="O1447">
        <v>0</v>
      </c>
      <c r="P1447">
        <v>405</v>
      </c>
      <c r="Q1447" s="1">
        <v>405</v>
      </c>
      <c r="R1447">
        <v>0.58499999999999996</v>
      </c>
      <c r="S1447" s="2">
        <v>45773</v>
      </c>
      <c r="T1447" s="2">
        <v>46256</v>
      </c>
      <c r="U1447">
        <v>25</v>
      </c>
      <c r="V1447">
        <v>20</v>
      </c>
      <c r="W1447">
        <v>10</v>
      </c>
      <c r="X1447">
        <v>15</v>
      </c>
      <c r="Y1447">
        <v>10</v>
      </c>
      <c r="Z1447" s="8">
        <v>25</v>
      </c>
      <c r="AA1447">
        <v>17.5</v>
      </c>
      <c r="AB1447">
        <v>0.5714285714285714</v>
      </c>
      <c r="AC1447">
        <v>1.4285714285714286</v>
      </c>
      <c r="AD1447" s="1">
        <v>486</v>
      </c>
      <c r="AE1447" s="2">
        <v>46734</v>
      </c>
      <c r="AF1447" s="2">
        <v>46742</v>
      </c>
      <c r="AG1447" s="2">
        <v>46749</v>
      </c>
      <c r="AH1447">
        <v>10</v>
      </c>
      <c r="AI1447" s="3">
        <v>0.41379310344827586</v>
      </c>
      <c r="AJ1447" s="1">
        <v>1174</v>
      </c>
      <c r="AK1447" s="2">
        <v>47437</v>
      </c>
      <c r="AL1447" s="4">
        <v>30</v>
      </c>
      <c r="AM1447" s="5">
        <v>15</v>
      </c>
      <c r="AN1447" s="4">
        <v>486</v>
      </c>
      <c r="AO1447">
        <v>10.344827586206897</v>
      </c>
      <c r="AP1447" s="4">
        <v>1</v>
      </c>
      <c r="AQ1447" t="s">
        <v>1619</v>
      </c>
      <c r="AR1447" t="s">
        <v>1620</v>
      </c>
      <c r="AT1447" s="16" t="str">
        <f>_xlfn.XLOOKUP(B1447,'SWiSH Demand Forecast Sep-26'!D:D,'SWiSH Demand Forecast Sep-26'!G:G,"Not Exist")</f>
        <v>Not Exist</v>
      </c>
    </row>
    <row r="1448" spans="1:46" x14ac:dyDescent="0.3">
      <c r="A1448">
        <v>105200010</v>
      </c>
      <c r="B1448" t="s">
        <v>3269</v>
      </c>
      <c r="C1448" t="s">
        <v>10</v>
      </c>
      <c r="D1448" t="s">
        <v>1613</v>
      </c>
      <c r="E1448" t="s">
        <v>2587</v>
      </c>
      <c r="F1448" t="s">
        <v>1664</v>
      </c>
      <c r="G1448" t="s">
        <v>1624</v>
      </c>
      <c r="H1448" t="s">
        <v>1779</v>
      </c>
      <c r="I1448" t="s">
        <v>1634</v>
      </c>
      <c r="J1448" t="s">
        <v>10</v>
      </c>
      <c r="K1448">
        <v>3.2000000000000001E-2</v>
      </c>
      <c r="L1448">
        <v>136</v>
      </c>
      <c r="M1448" s="1">
        <v>30</v>
      </c>
      <c r="N1448">
        <v>0</v>
      </c>
      <c r="O1448">
        <v>0</v>
      </c>
      <c r="P1448">
        <v>4250</v>
      </c>
      <c r="Q1448" s="1">
        <v>4250</v>
      </c>
      <c r="R1448">
        <v>3.2000000000000001E-2</v>
      </c>
      <c r="S1448" s="2">
        <v>45773</v>
      </c>
      <c r="T1448" s="2">
        <v>46241</v>
      </c>
      <c r="U1448">
        <v>250</v>
      </c>
      <c r="V1448">
        <v>250</v>
      </c>
      <c r="W1448">
        <v>250</v>
      </c>
      <c r="X1448">
        <v>250</v>
      </c>
      <c r="Y1448">
        <v>250</v>
      </c>
      <c r="Z1448" s="8">
        <v>250</v>
      </c>
      <c r="AA1448">
        <v>250</v>
      </c>
      <c r="AB1448">
        <v>1</v>
      </c>
      <c r="AC1448">
        <v>1</v>
      </c>
      <c r="AD1448" s="1">
        <v>510</v>
      </c>
      <c r="AE1448" s="2">
        <v>46758</v>
      </c>
      <c r="AF1448" s="2">
        <v>46766</v>
      </c>
      <c r="AG1448" s="2">
        <v>46773</v>
      </c>
      <c r="AH1448">
        <v>250</v>
      </c>
      <c r="AI1448" s="3">
        <v>1.0344827586206895</v>
      </c>
      <c r="AJ1448" s="1">
        <v>493</v>
      </c>
      <c r="AK1448" s="2">
        <v>46756</v>
      </c>
      <c r="AL1448" s="4">
        <v>30</v>
      </c>
      <c r="AM1448" s="5">
        <v>15</v>
      </c>
      <c r="AN1448" s="4">
        <v>493</v>
      </c>
      <c r="AO1448">
        <v>258.62068965517238</v>
      </c>
      <c r="AP1448" s="4">
        <v>1</v>
      </c>
      <c r="AQ1448" t="s">
        <v>1619</v>
      </c>
      <c r="AR1448" t="s">
        <v>1620</v>
      </c>
      <c r="AT1448" s="16" t="str">
        <f>_xlfn.XLOOKUP(B1448,'SWiSH Demand Forecast Sep-26'!D:D,'SWiSH Demand Forecast Sep-26'!G:G,"Not Exist")</f>
        <v>Not Exist</v>
      </c>
    </row>
    <row r="1449" spans="1:46" hidden="1" x14ac:dyDescent="0.3">
      <c r="A1449">
        <v>106800058</v>
      </c>
      <c r="B1449" t="s">
        <v>303</v>
      </c>
      <c r="C1449" t="s">
        <v>10</v>
      </c>
      <c r="D1449" t="s">
        <v>1613</v>
      </c>
      <c r="E1449" t="s">
        <v>1663</v>
      </c>
      <c r="F1449" t="s">
        <v>1664</v>
      </c>
      <c r="G1449" t="s">
        <v>1624</v>
      </c>
      <c r="H1449" t="s">
        <v>1665</v>
      </c>
      <c r="I1449" t="s">
        <v>1634</v>
      </c>
      <c r="J1449" t="s">
        <v>10</v>
      </c>
      <c r="K1449">
        <v>3.0000000000000001E-3</v>
      </c>
      <c r="L1449">
        <v>261</v>
      </c>
      <c r="M1449" s="1">
        <v>7</v>
      </c>
      <c r="N1449">
        <v>0</v>
      </c>
      <c r="O1449">
        <v>0</v>
      </c>
      <c r="P1449">
        <v>87000</v>
      </c>
      <c r="Q1449" s="1">
        <v>87000</v>
      </c>
      <c r="R1449">
        <v>3.0000000000000001E-3</v>
      </c>
      <c r="S1449" s="2">
        <v>46141</v>
      </c>
      <c r="T1449" s="2">
        <v>46222</v>
      </c>
      <c r="U1449">
        <v>1000</v>
      </c>
      <c r="V1449">
        <v>5000</v>
      </c>
      <c r="W1449">
        <v>1000</v>
      </c>
      <c r="X1449">
        <v>2000</v>
      </c>
      <c r="Y1449">
        <v>1000</v>
      </c>
      <c r="Z1449" s="8">
        <v>5000</v>
      </c>
      <c r="AA1449">
        <v>2250</v>
      </c>
      <c r="AB1449">
        <v>0.44444444444444442</v>
      </c>
      <c r="AC1449">
        <v>2.2222222222222223</v>
      </c>
      <c r="AD1449" s="1">
        <v>522</v>
      </c>
      <c r="AE1449" s="2">
        <v>46770</v>
      </c>
      <c r="AF1449" s="2">
        <v>46778</v>
      </c>
      <c r="AG1449" s="2">
        <v>46785</v>
      </c>
      <c r="AH1449">
        <v>0</v>
      </c>
      <c r="AI1449" s="3">
        <v>0</v>
      </c>
      <c r="AJ1449" s="1" t="s">
        <v>1635</v>
      </c>
      <c r="AK1449" s="2" t="s">
        <v>1635</v>
      </c>
      <c r="AL1449" s="4">
        <v>30</v>
      </c>
      <c r="AM1449" s="5">
        <v>15</v>
      </c>
      <c r="AN1449" s="4">
        <v>522</v>
      </c>
      <c r="AO1449">
        <v>0</v>
      </c>
      <c r="AP1449" s="4">
        <v>1</v>
      </c>
      <c r="AQ1449" t="s">
        <v>1619</v>
      </c>
      <c r="AR1449" t="s">
        <v>1620</v>
      </c>
      <c r="AT1449" s="16">
        <f>_xlfn.XLOOKUP(B1449,'SWiSH Demand Forecast Sep-26'!D:D,'SWiSH Demand Forecast Sep-26'!G:G,"Not Exist")</f>
        <v>4880</v>
      </c>
    </row>
    <row r="1450" spans="1:46" hidden="1" x14ac:dyDescent="0.3">
      <c r="A1450">
        <v>105900057</v>
      </c>
      <c r="B1450" t="s">
        <v>743</v>
      </c>
      <c r="C1450" t="s">
        <v>10</v>
      </c>
      <c r="D1450" t="s">
        <v>1613</v>
      </c>
      <c r="E1450" t="s">
        <v>1732</v>
      </c>
      <c r="F1450" t="s">
        <v>1664</v>
      </c>
      <c r="G1450" t="s">
        <v>1616</v>
      </c>
      <c r="H1450" t="s">
        <v>1729</v>
      </c>
      <c r="I1450" t="s">
        <v>1634</v>
      </c>
      <c r="J1450" t="s">
        <v>10</v>
      </c>
      <c r="K1450">
        <v>4.9083299999999998E-3</v>
      </c>
      <c r="L1450">
        <v>171.79155</v>
      </c>
      <c r="M1450" s="1">
        <v>90</v>
      </c>
      <c r="N1450">
        <v>0</v>
      </c>
      <c r="O1450">
        <v>0</v>
      </c>
      <c r="P1450">
        <v>35000</v>
      </c>
      <c r="Q1450" s="1">
        <v>35000</v>
      </c>
      <c r="R1450">
        <v>5.4799999999999996E-3</v>
      </c>
      <c r="S1450" s="2">
        <v>46214</v>
      </c>
      <c r="T1450" s="2">
        <v>46218</v>
      </c>
      <c r="U1450">
        <v>0</v>
      </c>
      <c r="V1450">
        <v>2000</v>
      </c>
      <c r="W1450">
        <v>1000</v>
      </c>
      <c r="X1450">
        <v>2000</v>
      </c>
      <c r="Y1450">
        <v>0</v>
      </c>
      <c r="Z1450" s="8">
        <v>2000</v>
      </c>
      <c r="AA1450">
        <v>1250</v>
      </c>
      <c r="AB1450">
        <v>0</v>
      </c>
      <c r="AC1450">
        <v>1.6</v>
      </c>
      <c r="AD1450" s="1">
        <v>525</v>
      </c>
      <c r="AE1450" s="2">
        <v>46773</v>
      </c>
      <c r="AF1450" s="2">
        <v>46781</v>
      </c>
      <c r="AG1450" s="2">
        <v>46788</v>
      </c>
      <c r="AH1450">
        <v>0</v>
      </c>
      <c r="AI1450" s="3">
        <v>0</v>
      </c>
      <c r="AJ1450" s="1" t="s">
        <v>1635</v>
      </c>
      <c r="AK1450" s="2" t="s">
        <v>1635</v>
      </c>
      <c r="AL1450" s="4">
        <v>120</v>
      </c>
      <c r="AM1450" s="5">
        <v>100</v>
      </c>
      <c r="AN1450" s="4">
        <v>525</v>
      </c>
      <c r="AO1450">
        <v>0</v>
      </c>
      <c r="AP1450" s="4">
        <v>1</v>
      </c>
      <c r="AQ1450" t="s">
        <v>1619</v>
      </c>
      <c r="AR1450" t="s">
        <v>1620</v>
      </c>
      <c r="AT1450" s="16">
        <f>_xlfn.XLOOKUP(B1450,'SWiSH Demand Forecast Sep-26'!D:D,'SWiSH Demand Forecast Sep-26'!G:G,"Not Exist")</f>
        <v>520</v>
      </c>
    </row>
    <row r="1451" spans="1:46" hidden="1" x14ac:dyDescent="0.3">
      <c r="A1451">
        <v>106200108</v>
      </c>
      <c r="B1451" t="s">
        <v>1564</v>
      </c>
      <c r="C1451" t="s">
        <v>240</v>
      </c>
      <c r="D1451" t="s">
        <v>1613</v>
      </c>
      <c r="E1451" t="s">
        <v>2193</v>
      </c>
      <c r="F1451" t="s">
        <v>1671</v>
      </c>
      <c r="G1451" t="s">
        <v>1616</v>
      </c>
      <c r="H1451" t="s">
        <v>1672</v>
      </c>
      <c r="I1451" t="s">
        <v>1618</v>
      </c>
      <c r="J1451" t="s">
        <v>3270</v>
      </c>
      <c r="K1451">
        <v>1.075</v>
      </c>
      <c r="L1451">
        <v>37.625</v>
      </c>
      <c r="M1451" s="1">
        <v>3</v>
      </c>
      <c r="N1451">
        <v>0</v>
      </c>
      <c r="O1451">
        <v>0</v>
      </c>
      <c r="P1451">
        <v>35</v>
      </c>
      <c r="Q1451" s="1">
        <v>35</v>
      </c>
      <c r="R1451">
        <v>2.15</v>
      </c>
      <c r="S1451" s="2">
        <v>46245</v>
      </c>
      <c r="T1451" s="2">
        <v>46256</v>
      </c>
      <c r="U1451">
        <v>0</v>
      </c>
      <c r="V1451">
        <v>1</v>
      </c>
      <c r="W1451">
        <v>2</v>
      </c>
      <c r="X1451">
        <v>0</v>
      </c>
      <c r="Y1451">
        <v>0</v>
      </c>
      <c r="Z1451" s="8">
        <v>2</v>
      </c>
      <c r="AA1451">
        <v>0.75</v>
      </c>
      <c r="AB1451">
        <v>0</v>
      </c>
      <c r="AC1451">
        <v>2.6666666666666665</v>
      </c>
      <c r="AD1451" s="1">
        <v>525</v>
      </c>
      <c r="AE1451" s="2">
        <v>46773</v>
      </c>
      <c r="AF1451" s="2">
        <v>46781</v>
      </c>
      <c r="AG1451" s="2">
        <v>46788</v>
      </c>
      <c r="AH1451">
        <v>10</v>
      </c>
      <c r="AI1451" s="3">
        <v>5.1724137931034484</v>
      </c>
      <c r="AJ1451" s="1">
        <v>101</v>
      </c>
      <c r="AK1451" s="2">
        <v>46364</v>
      </c>
      <c r="AL1451" s="4">
        <v>30</v>
      </c>
      <c r="AM1451" s="5">
        <v>15</v>
      </c>
      <c r="AN1451" s="4">
        <v>101</v>
      </c>
      <c r="AO1451">
        <v>10.344827586206897</v>
      </c>
      <c r="AP1451" s="4">
        <v>1</v>
      </c>
      <c r="AQ1451" t="s">
        <v>1619</v>
      </c>
      <c r="AR1451" t="s">
        <v>1620</v>
      </c>
      <c r="AT1451" s="16">
        <f>_xlfn.XLOOKUP(B1451,'SWiSH Demand Forecast Sep-26'!D:D,'SWiSH Demand Forecast Sep-26'!G:G,"Not Exist")</f>
        <v>5.11769250579448E-2</v>
      </c>
    </row>
    <row r="1452" spans="1:46" hidden="1" x14ac:dyDescent="0.3">
      <c r="A1452">
        <v>100400186</v>
      </c>
      <c r="B1452" t="s">
        <v>850</v>
      </c>
      <c r="C1452" t="s">
        <v>10</v>
      </c>
      <c r="D1452" t="s">
        <v>1613</v>
      </c>
      <c r="E1452" t="s">
        <v>1745</v>
      </c>
      <c r="F1452" t="s">
        <v>1664</v>
      </c>
      <c r="G1452" t="s">
        <v>1624</v>
      </c>
      <c r="H1452" t="s">
        <v>1810</v>
      </c>
      <c r="I1452" t="s">
        <v>1634</v>
      </c>
      <c r="J1452" t="s">
        <v>10</v>
      </c>
      <c r="K1452">
        <v>6.0999999999999999E-2</v>
      </c>
      <c r="L1452">
        <v>428.21999999999997</v>
      </c>
      <c r="M1452" s="1">
        <v>30</v>
      </c>
      <c r="N1452">
        <v>0</v>
      </c>
      <c r="O1452">
        <v>0</v>
      </c>
      <c r="P1452">
        <v>7020</v>
      </c>
      <c r="Q1452" s="1">
        <v>7020</v>
      </c>
      <c r="R1452">
        <v>6.5000000000000002E-2</v>
      </c>
      <c r="S1452" s="2">
        <v>46222</v>
      </c>
      <c r="T1452" s="2">
        <v>46261</v>
      </c>
      <c r="U1452">
        <v>400</v>
      </c>
      <c r="V1452">
        <v>200</v>
      </c>
      <c r="W1452">
        <v>400</v>
      </c>
      <c r="X1452">
        <v>400</v>
      </c>
      <c r="Y1452">
        <v>200</v>
      </c>
      <c r="Z1452" s="8">
        <v>400</v>
      </c>
      <c r="AA1452">
        <v>350</v>
      </c>
      <c r="AB1452">
        <v>0.5714285714285714</v>
      </c>
      <c r="AC1452">
        <v>1.1428571428571428</v>
      </c>
      <c r="AD1452" s="1">
        <v>526</v>
      </c>
      <c r="AE1452" s="2">
        <v>46774</v>
      </c>
      <c r="AF1452" s="2">
        <v>46782</v>
      </c>
      <c r="AG1452" s="2">
        <v>46789</v>
      </c>
      <c r="AH1452">
        <v>400</v>
      </c>
      <c r="AI1452" s="3">
        <v>1.0344827586206897</v>
      </c>
      <c r="AJ1452" s="1">
        <v>508</v>
      </c>
      <c r="AK1452" s="2">
        <v>46771</v>
      </c>
      <c r="AL1452" s="4">
        <v>30</v>
      </c>
      <c r="AM1452" s="5">
        <v>15</v>
      </c>
      <c r="AN1452" s="4">
        <v>508</v>
      </c>
      <c r="AO1452">
        <v>413.79310344827587</v>
      </c>
      <c r="AP1452" s="4">
        <v>1</v>
      </c>
      <c r="AQ1452" t="s">
        <v>1619</v>
      </c>
      <c r="AR1452" t="s">
        <v>1620</v>
      </c>
      <c r="AT1452" s="16">
        <f>_xlfn.XLOOKUP(B1452,'SWiSH Demand Forecast Sep-26'!D:D,'SWiSH Demand Forecast Sep-26'!G:G,"Not Exist")</f>
        <v>311</v>
      </c>
    </row>
    <row r="1453" spans="1:46" x14ac:dyDescent="0.3">
      <c r="A1453">
        <v>104900028</v>
      </c>
      <c r="B1453" t="s">
        <v>3271</v>
      </c>
      <c r="C1453" t="s">
        <v>10</v>
      </c>
      <c r="D1453" t="s">
        <v>1613</v>
      </c>
      <c r="E1453" t="s">
        <v>1663</v>
      </c>
      <c r="F1453" t="s">
        <v>1664</v>
      </c>
      <c r="G1453" t="s">
        <v>1624</v>
      </c>
      <c r="H1453" t="s">
        <v>1759</v>
      </c>
      <c r="I1453" t="s">
        <v>1634</v>
      </c>
      <c r="J1453" t="s">
        <v>2113</v>
      </c>
      <c r="K1453">
        <v>8.3215700000000004E-3</v>
      </c>
      <c r="L1453">
        <v>615.79618000000005</v>
      </c>
      <c r="M1453" s="1">
        <v>15</v>
      </c>
      <c r="N1453">
        <v>0</v>
      </c>
      <c r="O1453">
        <v>0</v>
      </c>
      <c r="P1453">
        <v>74000</v>
      </c>
      <c r="Q1453" s="1">
        <v>74000</v>
      </c>
      <c r="R1453">
        <v>8.6</v>
      </c>
      <c r="S1453" s="2">
        <v>46200</v>
      </c>
      <c r="T1453" s="2">
        <v>46260</v>
      </c>
      <c r="U1453">
        <v>1000</v>
      </c>
      <c r="V1453">
        <v>2000</v>
      </c>
      <c r="W1453">
        <v>1000</v>
      </c>
      <c r="X1453">
        <v>4000</v>
      </c>
      <c r="Y1453">
        <v>1000</v>
      </c>
      <c r="Z1453" s="8">
        <v>4000</v>
      </c>
      <c r="AA1453">
        <v>2000</v>
      </c>
      <c r="AB1453">
        <v>0.5</v>
      </c>
      <c r="AC1453">
        <v>2</v>
      </c>
      <c r="AD1453" s="1">
        <v>555</v>
      </c>
      <c r="AE1453" s="2">
        <v>46803</v>
      </c>
      <c r="AF1453" s="2">
        <v>46811</v>
      </c>
      <c r="AG1453" s="2">
        <v>46818</v>
      </c>
      <c r="AH1453">
        <v>5000</v>
      </c>
      <c r="AI1453" s="3">
        <v>1.2931034482758621</v>
      </c>
      <c r="AJ1453" s="1">
        <v>429</v>
      </c>
      <c r="AK1453" s="2">
        <v>46692</v>
      </c>
      <c r="AL1453" s="4">
        <v>30</v>
      </c>
      <c r="AM1453" s="5">
        <v>15</v>
      </c>
      <c r="AN1453" s="4">
        <v>429</v>
      </c>
      <c r="AO1453">
        <v>5172.4137931034493</v>
      </c>
      <c r="AP1453" s="4">
        <v>1</v>
      </c>
      <c r="AQ1453" t="s">
        <v>1619</v>
      </c>
      <c r="AR1453" t="s">
        <v>1620</v>
      </c>
      <c r="AT1453" s="16" t="str">
        <f>_xlfn.XLOOKUP(B1453,'SWiSH Demand Forecast Sep-26'!D:D,'SWiSH Demand Forecast Sep-26'!G:G,"Not Exist")</f>
        <v>Not Exist</v>
      </c>
    </row>
    <row r="1454" spans="1:46" x14ac:dyDescent="0.3">
      <c r="A1454">
        <v>100100141</v>
      </c>
      <c r="B1454" t="s">
        <v>3272</v>
      </c>
      <c r="C1454" t="s">
        <v>240</v>
      </c>
      <c r="D1454" t="s">
        <v>1613</v>
      </c>
      <c r="E1454" t="s">
        <v>3273</v>
      </c>
      <c r="F1454" t="s">
        <v>1941</v>
      </c>
      <c r="G1454" t="s">
        <v>1616</v>
      </c>
      <c r="H1454" t="s">
        <v>1877</v>
      </c>
      <c r="I1454" t="s">
        <v>1618</v>
      </c>
      <c r="J1454" t="s">
        <v>3274</v>
      </c>
      <c r="K1454">
        <v>5.5357142899999996</v>
      </c>
      <c r="L1454">
        <v>17.360000013440001</v>
      </c>
      <c r="M1454" s="1">
        <v>3</v>
      </c>
      <c r="N1454">
        <v>0</v>
      </c>
      <c r="O1454">
        <v>0</v>
      </c>
      <c r="P1454">
        <v>3.1360000000000001</v>
      </c>
      <c r="Q1454" s="1">
        <v>3.1360000000000001</v>
      </c>
      <c r="R1454">
        <v>0.155</v>
      </c>
      <c r="S1454" s="2">
        <v>45944</v>
      </c>
      <c r="T1454" s="2">
        <v>46250</v>
      </c>
      <c r="U1454">
        <v>8.4000000000000005E-2</v>
      </c>
      <c r="V1454">
        <v>5.6000000000000001E-2</v>
      </c>
      <c r="W1454">
        <v>0</v>
      </c>
      <c r="X1454">
        <v>0.16800000000000001</v>
      </c>
      <c r="Y1454">
        <v>0</v>
      </c>
      <c r="Z1454" s="8">
        <v>0.16800000000000001</v>
      </c>
      <c r="AA1454">
        <v>7.7000000000000013E-2</v>
      </c>
      <c r="AB1454">
        <v>0</v>
      </c>
      <c r="AC1454">
        <v>2.1818181818181817</v>
      </c>
      <c r="AD1454" s="1">
        <v>560</v>
      </c>
      <c r="AE1454" s="2">
        <v>46808</v>
      </c>
      <c r="AF1454" s="2">
        <v>46816</v>
      </c>
      <c r="AG1454" s="2">
        <v>46823</v>
      </c>
      <c r="AH1454">
        <v>2.8000000000000001E-2</v>
      </c>
      <c r="AI1454" s="3">
        <v>0.17241379310344829</v>
      </c>
      <c r="AJ1454" s="1">
        <v>3248</v>
      </c>
      <c r="AK1454" s="2">
        <v>49511</v>
      </c>
      <c r="AL1454" s="4">
        <v>30</v>
      </c>
      <c r="AM1454" s="5">
        <v>15</v>
      </c>
      <c r="AN1454" s="4">
        <v>560</v>
      </c>
      <c r="AO1454">
        <v>2.8965517241379315E-2</v>
      </c>
      <c r="AP1454" s="4">
        <v>1</v>
      </c>
      <c r="AQ1454" t="s">
        <v>1619</v>
      </c>
      <c r="AR1454" t="s">
        <v>1620</v>
      </c>
      <c r="AT1454" s="16" t="str">
        <f>_xlfn.XLOOKUP(B1454,'SWiSH Demand Forecast Sep-26'!D:D,'SWiSH Demand Forecast Sep-26'!G:G,"Not Exist")</f>
        <v>Not Exist</v>
      </c>
    </row>
    <row r="1455" spans="1:46" x14ac:dyDescent="0.3">
      <c r="A1455">
        <v>100400250</v>
      </c>
      <c r="B1455" t="s">
        <v>3275</v>
      </c>
      <c r="C1455" t="s">
        <v>10</v>
      </c>
      <c r="D1455" t="s">
        <v>1613</v>
      </c>
      <c r="E1455" t="s">
        <v>1732</v>
      </c>
      <c r="F1455" t="s">
        <v>1664</v>
      </c>
      <c r="G1455" t="s">
        <v>1616</v>
      </c>
      <c r="H1455" t="s">
        <v>1810</v>
      </c>
      <c r="I1455" t="s">
        <v>1634</v>
      </c>
      <c r="J1455" t="s">
        <v>10</v>
      </c>
      <c r="K1455">
        <v>0.1</v>
      </c>
      <c r="L1455">
        <v>467.5</v>
      </c>
      <c r="M1455" s="1">
        <v>30</v>
      </c>
      <c r="N1455">
        <v>0</v>
      </c>
      <c r="O1455">
        <v>0</v>
      </c>
      <c r="P1455">
        <v>4675</v>
      </c>
      <c r="Q1455" s="1">
        <v>4675</v>
      </c>
      <c r="R1455">
        <v>0.1</v>
      </c>
      <c r="S1455" s="2">
        <v>46174</v>
      </c>
      <c r="T1455" s="2">
        <v>46230</v>
      </c>
      <c r="U1455">
        <v>0</v>
      </c>
      <c r="V1455">
        <v>0</v>
      </c>
      <c r="W1455">
        <v>250</v>
      </c>
      <c r="X1455">
        <v>25</v>
      </c>
      <c r="Y1455">
        <v>0</v>
      </c>
      <c r="Z1455" s="8">
        <v>250</v>
      </c>
      <c r="AA1455">
        <v>68.75</v>
      </c>
      <c r="AB1455">
        <v>0</v>
      </c>
      <c r="AC1455">
        <v>3.6363636363636362</v>
      </c>
      <c r="AD1455" s="1">
        <v>561</v>
      </c>
      <c r="AE1455" s="2">
        <v>46809</v>
      </c>
      <c r="AF1455" s="2">
        <v>46817</v>
      </c>
      <c r="AG1455" s="2">
        <v>46824</v>
      </c>
      <c r="AH1455">
        <v>0</v>
      </c>
      <c r="AI1455" s="3">
        <v>0</v>
      </c>
      <c r="AJ1455" s="1" t="s">
        <v>1635</v>
      </c>
      <c r="AK1455" s="2" t="s">
        <v>1635</v>
      </c>
      <c r="AL1455" s="4">
        <v>30</v>
      </c>
      <c r="AM1455" s="5">
        <v>15</v>
      </c>
      <c r="AN1455" s="4">
        <v>561</v>
      </c>
      <c r="AO1455">
        <v>0</v>
      </c>
      <c r="AP1455" s="4">
        <v>1</v>
      </c>
      <c r="AQ1455" t="s">
        <v>1619</v>
      </c>
      <c r="AR1455" t="s">
        <v>1620</v>
      </c>
      <c r="AT1455" s="16" t="str">
        <f>_xlfn.XLOOKUP(B1455,'SWiSH Demand Forecast Sep-26'!D:D,'SWiSH Demand Forecast Sep-26'!G:G,"Not Exist")</f>
        <v>Not Exist</v>
      </c>
    </row>
    <row r="1456" spans="1:46" x14ac:dyDescent="0.3">
      <c r="A1456">
        <v>100400165</v>
      </c>
      <c r="B1456" t="s">
        <v>3276</v>
      </c>
      <c r="C1456" t="s">
        <v>10</v>
      </c>
      <c r="D1456" t="s">
        <v>1613</v>
      </c>
      <c r="E1456" t="s">
        <v>2075</v>
      </c>
      <c r="F1456" t="s">
        <v>1664</v>
      </c>
      <c r="G1456" t="s">
        <v>1624</v>
      </c>
      <c r="H1456" t="s">
        <v>1810</v>
      </c>
      <c r="I1456" t="s">
        <v>1634</v>
      </c>
      <c r="J1456" t="s">
        <v>10</v>
      </c>
      <c r="K1456">
        <v>5.3560000000000003E-2</v>
      </c>
      <c r="L1456">
        <v>203.52800000000002</v>
      </c>
      <c r="M1456" s="1">
        <v>30</v>
      </c>
      <c r="N1456">
        <v>0</v>
      </c>
      <c r="O1456">
        <v>0</v>
      </c>
      <c r="P1456">
        <v>3800</v>
      </c>
      <c r="Q1456" s="1">
        <v>3800</v>
      </c>
      <c r="R1456">
        <v>5.3560000000000003E-2</v>
      </c>
      <c r="S1456" s="2">
        <v>45773</v>
      </c>
      <c r="T1456" s="2">
        <v>46259</v>
      </c>
      <c r="U1456">
        <v>0</v>
      </c>
      <c r="V1456">
        <v>100</v>
      </c>
      <c r="W1456">
        <v>0</v>
      </c>
      <c r="X1456">
        <v>200</v>
      </c>
      <c r="Y1456">
        <v>0</v>
      </c>
      <c r="Z1456" s="8">
        <v>200</v>
      </c>
      <c r="AA1456">
        <v>75</v>
      </c>
      <c r="AB1456">
        <v>0</v>
      </c>
      <c r="AC1456">
        <v>2.6666666666666665</v>
      </c>
      <c r="AD1456" s="1">
        <v>570</v>
      </c>
      <c r="AE1456" s="2">
        <v>46818</v>
      </c>
      <c r="AF1456" s="2">
        <v>46826</v>
      </c>
      <c r="AG1456" s="2">
        <v>46833</v>
      </c>
      <c r="AH1456">
        <v>200</v>
      </c>
      <c r="AI1456" s="3">
        <v>1.0344827586206897</v>
      </c>
      <c r="AJ1456" s="1">
        <v>551</v>
      </c>
      <c r="AK1456" s="2">
        <v>46814</v>
      </c>
      <c r="AL1456" s="4">
        <v>30</v>
      </c>
      <c r="AM1456" s="5">
        <v>15</v>
      </c>
      <c r="AN1456" s="4">
        <v>551</v>
      </c>
      <c r="AO1456">
        <v>206.89655172413794</v>
      </c>
      <c r="AP1456" s="4">
        <v>1</v>
      </c>
      <c r="AQ1456" t="s">
        <v>1619</v>
      </c>
      <c r="AR1456" t="s">
        <v>1620</v>
      </c>
      <c r="AT1456" s="16" t="str">
        <f>_xlfn.XLOOKUP(B1456,'SWiSH Demand Forecast Sep-26'!D:D,'SWiSH Demand Forecast Sep-26'!G:G,"Not Exist")</f>
        <v>Not Exist</v>
      </c>
    </row>
    <row r="1457" spans="1:46" x14ac:dyDescent="0.3">
      <c r="A1457">
        <v>106600104</v>
      </c>
      <c r="B1457" t="s">
        <v>3277</v>
      </c>
      <c r="C1457" t="s">
        <v>10</v>
      </c>
      <c r="D1457" t="s">
        <v>1699</v>
      </c>
      <c r="E1457" t="s">
        <v>1663</v>
      </c>
      <c r="F1457" t="s">
        <v>1664</v>
      </c>
      <c r="G1457" t="s">
        <v>1624</v>
      </c>
      <c r="H1457" t="s">
        <v>1723</v>
      </c>
      <c r="I1457" t="s">
        <v>1634</v>
      </c>
      <c r="J1457" t="s">
        <v>10</v>
      </c>
      <c r="K1457">
        <v>6.0000000000000001E-3</v>
      </c>
      <c r="L1457">
        <v>1399.2</v>
      </c>
      <c r="M1457" s="1">
        <v>15</v>
      </c>
      <c r="N1457">
        <v>0</v>
      </c>
      <c r="O1457">
        <v>0</v>
      </c>
      <c r="P1457">
        <v>233200</v>
      </c>
      <c r="Q1457" s="1">
        <v>233200</v>
      </c>
      <c r="R1457">
        <v>6.0000000000000001E-3</v>
      </c>
      <c r="S1457" s="2">
        <v>46259</v>
      </c>
      <c r="T1457" s="2">
        <v>46134</v>
      </c>
      <c r="U1457">
        <v>12000</v>
      </c>
      <c r="V1457">
        <v>0</v>
      </c>
      <c r="W1457">
        <v>0</v>
      </c>
      <c r="X1457">
        <v>0</v>
      </c>
      <c r="Y1457">
        <v>0</v>
      </c>
      <c r="Z1457" s="8">
        <v>12000</v>
      </c>
      <c r="AA1457">
        <v>3000</v>
      </c>
      <c r="AB1457">
        <v>0</v>
      </c>
      <c r="AC1457">
        <v>4</v>
      </c>
      <c r="AD1457" s="1">
        <v>583</v>
      </c>
      <c r="AE1457" s="2">
        <v>46831</v>
      </c>
      <c r="AF1457" s="2">
        <v>46839</v>
      </c>
      <c r="AG1457" s="2">
        <v>46846</v>
      </c>
      <c r="AH1457">
        <v>0</v>
      </c>
      <c r="AI1457" s="3">
        <v>0</v>
      </c>
      <c r="AJ1457" s="1" t="s">
        <v>1635</v>
      </c>
      <c r="AK1457" s="2" t="s">
        <v>1635</v>
      </c>
      <c r="AL1457" s="4" t="s">
        <v>1658</v>
      </c>
      <c r="AM1457" s="5" t="s">
        <v>1658</v>
      </c>
      <c r="AN1457" s="4">
        <v>583</v>
      </c>
      <c r="AO1457" t="s">
        <v>1635</v>
      </c>
      <c r="AP1457" s="4" t="s">
        <v>1658</v>
      </c>
      <c r="AQ1457" t="s">
        <v>1619</v>
      </c>
      <c r="AR1457" t="s">
        <v>1620</v>
      </c>
      <c r="AT1457" s="16" t="str">
        <f>_xlfn.XLOOKUP(B1457,'SWiSH Demand Forecast Sep-26'!D:D,'SWiSH Demand Forecast Sep-26'!G:G,"Not Exist")</f>
        <v>Not Exist</v>
      </c>
    </row>
    <row r="1458" spans="1:46" x14ac:dyDescent="0.3">
      <c r="A1458">
        <v>100400092</v>
      </c>
      <c r="B1458" t="s">
        <v>3278</v>
      </c>
      <c r="C1458" t="s">
        <v>10</v>
      </c>
      <c r="D1458" t="s">
        <v>1613</v>
      </c>
      <c r="E1458" t="s">
        <v>1638</v>
      </c>
      <c r="F1458" t="s">
        <v>1664</v>
      </c>
      <c r="G1458" t="s">
        <v>1624</v>
      </c>
      <c r="H1458" t="s">
        <v>1810</v>
      </c>
      <c r="I1458" t="s">
        <v>1634</v>
      </c>
      <c r="J1458" t="s">
        <v>10</v>
      </c>
      <c r="K1458">
        <v>1.603164E-2</v>
      </c>
      <c r="L1458">
        <v>641.26559999999995</v>
      </c>
      <c r="M1458" s="1">
        <v>30</v>
      </c>
      <c r="N1458">
        <v>0</v>
      </c>
      <c r="O1458">
        <v>0</v>
      </c>
      <c r="P1458">
        <v>40000</v>
      </c>
      <c r="Q1458" s="1">
        <v>40000</v>
      </c>
      <c r="R1458">
        <v>0.01</v>
      </c>
      <c r="S1458" s="2">
        <v>46209</v>
      </c>
      <c r="T1458" s="2">
        <v>46261</v>
      </c>
      <c r="U1458">
        <v>2000</v>
      </c>
      <c r="V1458">
        <v>2000</v>
      </c>
      <c r="W1458">
        <v>1000</v>
      </c>
      <c r="X1458">
        <v>0</v>
      </c>
      <c r="Y1458">
        <v>0</v>
      </c>
      <c r="Z1458" s="8">
        <v>2000</v>
      </c>
      <c r="AA1458">
        <v>1250</v>
      </c>
      <c r="AB1458">
        <v>0</v>
      </c>
      <c r="AC1458">
        <v>1.6</v>
      </c>
      <c r="AD1458" s="1">
        <v>600</v>
      </c>
      <c r="AE1458" s="2">
        <v>46848</v>
      </c>
      <c r="AF1458" s="2">
        <v>46856</v>
      </c>
      <c r="AG1458" s="2">
        <v>46863</v>
      </c>
      <c r="AH1458">
        <v>0</v>
      </c>
      <c r="AI1458" s="3">
        <v>0</v>
      </c>
      <c r="AJ1458" s="1" t="s">
        <v>1635</v>
      </c>
      <c r="AK1458" s="2" t="s">
        <v>1635</v>
      </c>
      <c r="AL1458" s="4">
        <v>30</v>
      </c>
      <c r="AM1458" s="5">
        <v>15</v>
      </c>
      <c r="AN1458" s="4">
        <v>600</v>
      </c>
      <c r="AO1458">
        <v>0</v>
      </c>
      <c r="AP1458" s="4">
        <v>1</v>
      </c>
      <c r="AQ1458" t="s">
        <v>1619</v>
      </c>
      <c r="AR1458" t="s">
        <v>1620</v>
      </c>
      <c r="AT1458" s="16" t="str">
        <f>_xlfn.XLOOKUP(B1458,'SWiSH Demand Forecast Sep-26'!D:D,'SWiSH Demand Forecast Sep-26'!G:G,"Not Exist")</f>
        <v>Not Exist</v>
      </c>
    </row>
    <row r="1459" spans="1:46" hidden="1" x14ac:dyDescent="0.3">
      <c r="A1459">
        <v>106800219</v>
      </c>
      <c r="B1459" t="s">
        <v>702</v>
      </c>
      <c r="C1459" t="s">
        <v>10</v>
      </c>
      <c r="D1459" t="s">
        <v>1613</v>
      </c>
      <c r="E1459" t="s">
        <v>1926</v>
      </c>
      <c r="F1459" t="s">
        <v>1664</v>
      </c>
      <c r="G1459" t="s">
        <v>1624</v>
      </c>
      <c r="H1459" t="s">
        <v>1665</v>
      </c>
      <c r="I1459" t="s">
        <v>1634</v>
      </c>
      <c r="J1459" t="s">
        <v>10</v>
      </c>
      <c r="K1459">
        <v>3.51111E-3</v>
      </c>
      <c r="L1459">
        <v>70.222200000000001</v>
      </c>
      <c r="M1459" s="1">
        <v>7</v>
      </c>
      <c r="N1459">
        <v>0</v>
      </c>
      <c r="O1459">
        <v>0</v>
      </c>
      <c r="P1459">
        <v>20000</v>
      </c>
      <c r="Q1459" s="1">
        <v>20000</v>
      </c>
      <c r="R1459">
        <v>4.0000000000000001E-3</v>
      </c>
      <c r="S1459" s="2">
        <v>45782</v>
      </c>
      <c r="T1459" s="2">
        <v>46256</v>
      </c>
      <c r="U1459">
        <v>1000</v>
      </c>
      <c r="V1459">
        <v>0</v>
      </c>
      <c r="W1459">
        <v>1000</v>
      </c>
      <c r="X1459">
        <v>1000</v>
      </c>
      <c r="Y1459">
        <v>0</v>
      </c>
      <c r="Z1459" s="8">
        <v>1000</v>
      </c>
      <c r="AA1459">
        <v>750</v>
      </c>
      <c r="AB1459">
        <v>0</v>
      </c>
      <c r="AC1459">
        <v>1.3333333333333333</v>
      </c>
      <c r="AD1459" s="1">
        <v>600</v>
      </c>
      <c r="AE1459" s="2">
        <v>46848</v>
      </c>
      <c r="AF1459" s="2">
        <v>46856</v>
      </c>
      <c r="AG1459" s="2">
        <v>46863</v>
      </c>
      <c r="AH1459">
        <v>1000</v>
      </c>
      <c r="AI1459" s="3">
        <v>1.0344827586206895</v>
      </c>
      <c r="AJ1459" s="1">
        <v>580</v>
      </c>
      <c r="AK1459" s="2">
        <v>46843</v>
      </c>
      <c r="AL1459" s="4">
        <v>30</v>
      </c>
      <c r="AM1459" s="5">
        <v>15</v>
      </c>
      <c r="AN1459" s="4">
        <v>580</v>
      </c>
      <c r="AO1459">
        <v>1034.4827586206895</v>
      </c>
      <c r="AP1459" s="4">
        <v>1</v>
      </c>
      <c r="AQ1459" t="s">
        <v>1619</v>
      </c>
      <c r="AR1459" t="s">
        <v>1620</v>
      </c>
      <c r="AT1459" s="16">
        <f>_xlfn.XLOOKUP(B1459,'SWiSH Demand Forecast Sep-26'!D:D,'SWiSH Demand Forecast Sep-26'!G:G,"Not Exist")</f>
        <v>618</v>
      </c>
    </row>
    <row r="1460" spans="1:46" hidden="1" x14ac:dyDescent="0.3">
      <c r="A1460">
        <v>100400211</v>
      </c>
      <c r="B1460" t="s">
        <v>771</v>
      </c>
      <c r="C1460" t="s">
        <v>10</v>
      </c>
      <c r="D1460" t="s">
        <v>1699</v>
      </c>
      <c r="E1460" t="s">
        <v>1701</v>
      </c>
      <c r="F1460" t="s">
        <v>1664</v>
      </c>
      <c r="G1460" t="s">
        <v>1624</v>
      </c>
      <c r="H1460" t="s">
        <v>1810</v>
      </c>
      <c r="I1460" t="s">
        <v>1634</v>
      </c>
      <c r="J1460" t="s">
        <v>10</v>
      </c>
      <c r="K1460">
        <v>0.14899999999999999</v>
      </c>
      <c r="L1460">
        <v>938.69999999999993</v>
      </c>
      <c r="M1460" s="1">
        <v>30</v>
      </c>
      <c r="N1460">
        <v>0</v>
      </c>
      <c r="O1460">
        <v>0</v>
      </c>
      <c r="P1460">
        <v>6300</v>
      </c>
      <c r="Q1460" s="1">
        <v>6300</v>
      </c>
      <c r="R1460">
        <v>0.14699999999999999</v>
      </c>
      <c r="S1460" s="2">
        <v>45870</v>
      </c>
      <c r="T1460" s="2">
        <v>46256</v>
      </c>
      <c r="U1460">
        <v>300</v>
      </c>
      <c r="V1460">
        <v>100</v>
      </c>
      <c r="W1460">
        <v>0</v>
      </c>
      <c r="X1460">
        <v>0</v>
      </c>
      <c r="Y1460">
        <v>0</v>
      </c>
      <c r="Z1460" s="8">
        <v>300</v>
      </c>
      <c r="AA1460">
        <v>100</v>
      </c>
      <c r="AB1460">
        <v>0</v>
      </c>
      <c r="AC1460">
        <v>3</v>
      </c>
      <c r="AD1460" s="1">
        <v>630</v>
      </c>
      <c r="AE1460" s="2">
        <v>46878</v>
      </c>
      <c r="AF1460" s="2">
        <v>46886</v>
      </c>
      <c r="AG1460" s="2">
        <v>46893</v>
      </c>
      <c r="AH1460">
        <v>100</v>
      </c>
      <c r="AI1460" s="3">
        <v>0.34482758620689657</v>
      </c>
      <c r="AJ1460" s="1">
        <v>1827</v>
      </c>
      <c r="AK1460" s="2">
        <v>48090</v>
      </c>
      <c r="AL1460" s="4" t="s">
        <v>1658</v>
      </c>
      <c r="AM1460" s="5" t="s">
        <v>1658</v>
      </c>
      <c r="AN1460" s="4">
        <v>630</v>
      </c>
      <c r="AO1460" t="s">
        <v>1635</v>
      </c>
      <c r="AP1460" s="4" t="s">
        <v>1658</v>
      </c>
      <c r="AQ1460" t="s">
        <v>1619</v>
      </c>
      <c r="AR1460" t="s">
        <v>1620</v>
      </c>
      <c r="AT1460" s="16">
        <f>_xlfn.XLOOKUP(B1460,'SWiSH Demand Forecast Sep-26'!D:D,'SWiSH Demand Forecast Sep-26'!G:G,"Not Exist")</f>
        <v>447</v>
      </c>
    </row>
    <row r="1461" spans="1:46" hidden="1" x14ac:dyDescent="0.3">
      <c r="A1461">
        <v>100400145</v>
      </c>
      <c r="B1461" t="s">
        <v>1027</v>
      </c>
      <c r="C1461" t="s">
        <v>10</v>
      </c>
      <c r="D1461" t="s">
        <v>1613</v>
      </c>
      <c r="E1461" t="s">
        <v>1775</v>
      </c>
      <c r="F1461" t="s">
        <v>1664</v>
      </c>
      <c r="G1461" t="s">
        <v>1624</v>
      </c>
      <c r="H1461" t="s">
        <v>1810</v>
      </c>
      <c r="I1461" t="s">
        <v>1634</v>
      </c>
      <c r="J1461" t="s">
        <v>10</v>
      </c>
      <c r="K1461">
        <v>0.35014204999999998</v>
      </c>
      <c r="L1461">
        <v>1554.6307019999999</v>
      </c>
      <c r="M1461" s="1">
        <v>30</v>
      </c>
      <c r="N1461">
        <v>0</v>
      </c>
      <c r="O1461">
        <v>0</v>
      </c>
      <c r="P1461">
        <v>4440</v>
      </c>
      <c r="Q1461" s="1">
        <v>4440</v>
      </c>
      <c r="R1461">
        <v>0.35</v>
      </c>
      <c r="S1461" s="2">
        <v>46124</v>
      </c>
      <c r="T1461" s="2">
        <v>46245</v>
      </c>
      <c r="U1461">
        <v>210</v>
      </c>
      <c r="V1461">
        <v>150</v>
      </c>
      <c r="W1461">
        <v>180</v>
      </c>
      <c r="X1461">
        <v>210</v>
      </c>
      <c r="Y1461">
        <v>150</v>
      </c>
      <c r="Z1461" s="8">
        <v>210</v>
      </c>
      <c r="AA1461">
        <v>187.5</v>
      </c>
      <c r="AB1461">
        <v>0.8</v>
      </c>
      <c r="AC1461">
        <v>1.1200000000000001</v>
      </c>
      <c r="AD1461" s="1">
        <v>634</v>
      </c>
      <c r="AE1461" s="2">
        <v>46882</v>
      </c>
      <c r="AF1461" s="2">
        <v>46890</v>
      </c>
      <c r="AG1461" s="2">
        <v>46897</v>
      </c>
      <c r="AH1461">
        <v>120</v>
      </c>
      <c r="AI1461" s="3">
        <v>0.59113300492610843</v>
      </c>
      <c r="AJ1461" s="1">
        <v>1073</v>
      </c>
      <c r="AK1461" s="2">
        <v>47336</v>
      </c>
      <c r="AL1461" s="4">
        <v>30</v>
      </c>
      <c r="AM1461" s="5">
        <v>15</v>
      </c>
      <c r="AN1461" s="4">
        <v>634</v>
      </c>
      <c r="AO1461">
        <v>124.13793103448278</v>
      </c>
      <c r="AP1461" s="4">
        <v>1</v>
      </c>
      <c r="AQ1461" t="s">
        <v>1619</v>
      </c>
      <c r="AR1461" t="s">
        <v>1620</v>
      </c>
      <c r="AT1461" s="16">
        <f>_xlfn.XLOOKUP(B1461,'SWiSH Demand Forecast Sep-26'!D:D,'SWiSH Demand Forecast Sep-26'!G:G,"Not Exist")</f>
        <v>136</v>
      </c>
    </row>
    <row r="1462" spans="1:46" x14ac:dyDescent="0.3">
      <c r="A1462">
        <v>106600107</v>
      </c>
      <c r="B1462" t="s">
        <v>3279</v>
      </c>
      <c r="C1462" t="s">
        <v>10</v>
      </c>
      <c r="D1462" t="s">
        <v>1699</v>
      </c>
      <c r="E1462" t="s">
        <v>1663</v>
      </c>
      <c r="F1462" t="s">
        <v>1664</v>
      </c>
      <c r="G1462" t="s">
        <v>1624</v>
      </c>
      <c r="H1462" t="s">
        <v>1723</v>
      </c>
      <c r="I1462" t="s">
        <v>1634</v>
      </c>
      <c r="J1462" t="s">
        <v>10</v>
      </c>
      <c r="K1462">
        <v>6.0000000000000001E-3</v>
      </c>
      <c r="L1462">
        <v>528</v>
      </c>
      <c r="M1462" s="1">
        <v>15</v>
      </c>
      <c r="N1462">
        <v>0</v>
      </c>
      <c r="O1462">
        <v>0</v>
      </c>
      <c r="P1462">
        <v>88000</v>
      </c>
      <c r="Q1462" s="1">
        <v>88000</v>
      </c>
      <c r="R1462">
        <v>6.0000000000000001E-3</v>
      </c>
      <c r="S1462" s="2">
        <v>46054</v>
      </c>
      <c r="T1462" s="2">
        <v>46128</v>
      </c>
      <c r="U1462">
        <v>4000</v>
      </c>
      <c r="V1462">
        <v>0</v>
      </c>
      <c r="W1462">
        <v>0</v>
      </c>
      <c r="X1462">
        <v>0</v>
      </c>
      <c r="Y1462">
        <v>0</v>
      </c>
      <c r="Z1462" s="8">
        <v>4000</v>
      </c>
      <c r="AA1462">
        <v>1000</v>
      </c>
      <c r="AB1462">
        <v>0</v>
      </c>
      <c r="AC1462">
        <v>4</v>
      </c>
      <c r="AD1462" s="1">
        <v>660</v>
      </c>
      <c r="AE1462" s="2">
        <v>46908</v>
      </c>
      <c r="AF1462" s="2">
        <v>46916</v>
      </c>
      <c r="AG1462" s="2">
        <v>46923</v>
      </c>
      <c r="AH1462">
        <v>0</v>
      </c>
      <c r="AI1462" s="3">
        <v>0</v>
      </c>
      <c r="AJ1462" s="1" t="s">
        <v>1635</v>
      </c>
      <c r="AK1462" s="2" t="s">
        <v>1635</v>
      </c>
      <c r="AL1462" s="4" t="s">
        <v>1658</v>
      </c>
      <c r="AM1462" s="5" t="s">
        <v>1658</v>
      </c>
      <c r="AN1462" s="4">
        <v>660</v>
      </c>
      <c r="AO1462" t="s">
        <v>1635</v>
      </c>
      <c r="AP1462" s="4" t="s">
        <v>1658</v>
      </c>
      <c r="AQ1462" t="s">
        <v>1619</v>
      </c>
      <c r="AR1462" t="s">
        <v>1620</v>
      </c>
      <c r="AT1462" s="16" t="str">
        <f>_xlfn.XLOOKUP(B1462,'SWiSH Demand Forecast Sep-26'!D:D,'SWiSH Demand Forecast Sep-26'!G:G,"Not Exist")</f>
        <v>Not Exist</v>
      </c>
    </row>
    <row r="1463" spans="1:46" hidden="1" x14ac:dyDescent="0.3">
      <c r="A1463">
        <v>106600086</v>
      </c>
      <c r="B1463" t="s">
        <v>284</v>
      </c>
      <c r="C1463" t="s">
        <v>10</v>
      </c>
      <c r="D1463" t="s">
        <v>1613</v>
      </c>
      <c r="E1463" t="s">
        <v>1926</v>
      </c>
      <c r="F1463" t="s">
        <v>1664</v>
      </c>
      <c r="G1463" t="s">
        <v>1624</v>
      </c>
      <c r="H1463" t="s">
        <v>1723</v>
      </c>
      <c r="I1463" t="s">
        <v>1634</v>
      </c>
      <c r="J1463" t="s">
        <v>10</v>
      </c>
      <c r="K1463">
        <v>4.2987600000000004E-3</v>
      </c>
      <c r="L1463">
        <v>481.89099600000003</v>
      </c>
      <c r="M1463" s="1">
        <v>15</v>
      </c>
      <c r="N1463">
        <v>0</v>
      </c>
      <c r="O1463">
        <v>0</v>
      </c>
      <c r="P1463">
        <v>112100</v>
      </c>
      <c r="Q1463" s="1">
        <v>112100</v>
      </c>
      <c r="R1463">
        <v>5.4000000000000003E-3</v>
      </c>
      <c r="S1463" s="2">
        <v>46222</v>
      </c>
      <c r="T1463" s="2">
        <v>46225</v>
      </c>
      <c r="U1463">
        <v>5000</v>
      </c>
      <c r="V1463">
        <v>5000</v>
      </c>
      <c r="W1463">
        <v>5000</v>
      </c>
      <c r="X1463">
        <v>5000</v>
      </c>
      <c r="Y1463">
        <v>5000</v>
      </c>
      <c r="Z1463" s="8">
        <v>5000</v>
      </c>
      <c r="AA1463">
        <v>5000</v>
      </c>
      <c r="AB1463">
        <v>1</v>
      </c>
      <c r="AC1463">
        <v>1</v>
      </c>
      <c r="AD1463" s="1">
        <v>672</v>
      </c>
      <c r="AE1463" s="2">
        <v>46920</v>
      </c>
      <c r="AF1463" s="2">
        <v>46928</v>
      </c>
      <c r="AG1463" s="2">
        <v>46935</v>
      </c>
      <c r="AH1463">
        <v>0</v>
      </c>
      <c r="AI1463" s="3">
        <v>0</v>
      </c>
      <c r="AJ1463" s="1" t="s">
        <v>1635</v>
      </c>
      <c r="AK1463" s="2" t="s">
        <v>1635</v>
      </c>
      <c r="AL1463" s="4">
        <v>30</v>
      </c>
      <c r="AM1463" s="5">
        <v>15</v>
      </c>
      <c r="AN1463" s="4">
        <v>672</v>
      </c>
      <c r="AO1463">
        <v>0</v>
      </c>
      <c r="AP1463" s="4">
        <v>1</v>
      </c>
      <c r="AQ1463" t="s">
        <v>1619</v>
      </c>
      <c r="AR1463" t="s">
        <v>1620</v>
      </c>
      <c r="AT1463" s="16">
        <f>_xlfn.XLOOKUP(B1463,'SWiSH Demand Forecast Sep-26'!D:D,'SWiSH Demand Forecast Sep-26'!G:G,"Not Exist")</f>
        <v>5460</v>
      </c>
    </row>
    <row r="1464" spans="1:46" x14ac:dyDescent="0.3">
      <c r="A1464">
        <v>106800300</v>
      </c>
      <c r="B1464" t="s">
        <v>3280</v>
      </c>
      <c r="C1464" t="s">
        <v>10</v>
      </c>
      <c r="D1464" t="s">
        <v>1955</v>
      </c>
      <c r="E1464" t="s">
        <v>1701</v>
      </c>
      <c r="F1464" t="s">
        <v>1664</v>
      </c>
      <c r="G1464" t="s">
        <v>1624</v>
      </c>
      <c r="H1464" t="s">
        <v>1665</v>
      </c>
      <c r="I1464" t="s">
        <v>1634</v>
      </c>
      <c r="J1464" t="s">
        <v>10</v>
      </c>
      <c r="K1464">
        <v>3.0192399999999999E-3</v>
      </c>
      <c r="L1464">
        <v>135.86580000000001</v>
      </c>
      <c r="M1464" s="1">
        <v>7</v>
      </c>
      <c r="N1464">
        <v>0</v>
      </c>
      <c r="O1464">
        <v>0</v>
      </c>
      <c r="P1464">
        <v>45000</v>
      </c>
      <c r="Q1464" s="1">
        <v>45000</v>
      </c>
      <c r="R1464">
        <v>3.0000000000000001E-3</v>
      </c>
      <c r="S1464" s="2">
        <v>46100</v>
      </c>
      <c r="T1464" s="2">
        <v>46256</v>
      </c>
      <c r="U1464">
        <v>0</v>
      </c>
      <c r="V1464">
        <v>1000</v>
      </c>
      <c r="W1464">
        <v>2000</v>
      </c>
      <c r="X1464">
        <v>0</v>
      </c>
      <c r="Y1464">
        <v>0</v>
      </c>
      <c r="Z1464" s="8">
        <v>2000</v>
      </c>
      <c r="AA1464">
        <v>750</v>
      </c>
      <c r="AB1464">
        <v>0</v>
      </c>
      <c r="AC1464">
        <v>2.6666666666666665</v>
      </c>
      <c r="AD1464" s="1">
        <v>675</v>
      </c>
      <c r="AE1464" s="2">
        <v>46923</v>
      </c>
      <c r="AF1464" s="2">
        <v>46931</v>
      </c>
      <c r="AG1464" s="2">
        <v>46938</v>
      </c>
      <c r="AH1464">
        <v>3000</v>
      </c>
      <c r="AI1464" s="3">
        <v>1.5517241379310345</v>
      </c>
      <c r="AJ1464" s="1">
        <v>435</v>
      </c>
      <c r="AK1464" s="2">
        <v>46698</v>
      </c>
      <c r="AL1464" s="4" t="s">
        <v>1658</v>
      </c>
      <c r="AM1464" s="5" t="s">
        <v>1658</v>
      </c>
      <c r="AN1464" s="4">
        <v>435</v>
      </c>
      <c r="AO1464" t="s">
        <v>1635</v>
      </c>
      <c r="AP1464" s="4" t="s">
        <v>1658</v>
      </c>
      <c r="AQ1464">
        <v>12000</v>
      </c>
      <c r="AR1464" t="s">
        <v>1829</v>
      </c>
      <c r="AT1464" s="16" t="str">
        <f>_xlfn.XLOOKUP(B1464,'SWiSH Demand Forecast Sep-26'!D:D,'SWiSH Demand Forecast Sep-26'!G:G,"Not Exist")</f>
        <v>Not Exist</v>
      </c>
    </row>
    <row r="1465" spans="1:46" x14ac:dyDescent="0.3">
      <c r="A1465">
        <v>106700123</v>
      </c>
      <c r="B1465" t="s">
        <v>3281</v>
      </c>
      <c r="C1465" t="s">
        <v>10</v>
      </c>
      <c r="D1465" t="s">
        <v>1613</v>
      </c>
      <c r="E1465" t="s">
        <v>3282</v>
      </c>
      <c r="F1465" t="s">
        <v>1650</v>
      </c>
      <c r="G1465" t="s">
        <v>1624</v>
      </c>
      <c r="H1465" t="s">
        <v>1651</v>
      </c>
      <c r="I1465" t="s">
        <v>1634</v>
      </c>
      <c r="J1465" t="s">
        <v>10</v>
      </c>
      <c r="K1465">
        <v>0.16500000000000001</v>
      </c>
      <c r="L1465">
        <v>76.725000000000009</v>
      </c>
      <c r="M1465" s="1">
        <v>3</v>
      </c>
      <c r="N1465">
        <v>0</v>
      </c>
      <c r="O1465">
        <v>0</v>
      </c>
      <c r="P1465">
        <v>465</v>
      </c>
      <c r="Q1465" s="1">
        <v>465</v>
      </c>
      <c r="R1465">
        <v>1.65</v>
      </c>
      <c r="S1465" s="2">
        <v>46025</v>
      </c>
      <c r="T1465" s="2">
        <v>46248</v>
      </c>
      <c r="U1465">
        <v>10</v>
      </c>
      <c r="V1465">
        <v>15</v>
      </c>
      <c r="W1465">
        <v>20</v>
      </c>
      <c r="X1465">
        <v>0</v>
      </c>
      <c r="Y1465">
        <v>0</v>
      </c>
      <c r="Z1465" s="8">
        <v>20</v>
      </c>
      <c r="AA1465">
        <v>11.25</v>
      </c>
      <c r="AB1465">
        <v>0</v>
      </c>
      <c r="AC1465">
        <v>1.7777777777777777</v>
      </c>
      <c r="AD1465" s="1">
        <v>697</v>
      </c>
      <c r="AE1465" s="2">
        <v>46945</v>
      </c>
      <c r="AF1465" s="2">
        <v>46953</v>
      </c>
      <c r="AG1465" s="2">
        <v>46960</v>
      </c>
      <c r="AH1465">
        <v>40</v>
      </c>
      <c r="AI1465" s="3">
        <v>2.0689655172413794</v>
      </c>
      <c r="AJ1465" s="1">
        <v>337</v>
      </c>
      <c r="AK1465" s="2">
        <v>46600</v>
      </c>
      <c r="AL1465" s="4">
        <v>30</v>
      </c>
      <c r="AM1465" s="5">
        <v>15</v>
      </c>
      <c r="AN1465" s="4">
        <v>337</v>
      </c>
      <c r="AO1465">
        <v>41.379310344827587</v>
      </c>
      <c r="AP1465" s="4">
        <v>1</v>
      </c>
      <c r="AQ1465" t="s">
        <v>1619</v>
      </c>
      <c r="AR1465" t="s">
        <v>1620</v>
      </c>
      <c r="AT1465" s="16" t="str">
        <f>_xlfn.XLOOKUP(B1465,'SWiSH Demand Forecast Sep-26'!D:D,'SWiSH Demand Forecast Sep-26'!G:G,"Not Exist")</f>
        <v>Not Exist</v>
      </c>
    </row>
    <row r="1466" spans="1:46" x14ac:dyDescent="0.3">
      <c r="A1466">
        <v>106800366</v>
      </c>
      <c r="B1466" t="s">
        <v>3283</v>
      </c>
      <c r="C1466" t="s">
        <v>10</v>
      </c>
      <c r="D1466" t="s">
        <v>1699</v>
      </c>
      <c r="E1466" t="s">
        <v>1663</v>
      </c>
      <c r="F1466" t="s">
        <v>1664</v>
      </c>
      <c r="G1466" t="s">
        <v>1624</v>
      </c>
      <c r="H1466" t="s">
        <v>1665</v>
      </c>
      <c r="I1466" t="s">
        <v>1634</v>
      </c>
      <c r="J1466" t="s">
        <v>10</v>
      </c>
      <c r="K1466">
        <v>5.4999999999999997E-3</v>
      </c>
      <c r="L1466">
        <v>528</v>
      </c>
      <c r="M1466" s="1">
        <v>7</v>
      </c>
      <c r="N1466">
        <v>0</v>
      </c>
      <c r="O1466">
        <v>0</v>
      </c>
      <c r="P1466">
        <v>96000</v>
      </c>
      <c r="Q1466" s="1">
        <v>96000</v>
      </c>
      <c r="R1466">
        <v>5.4999999999999997E-3</v>
      </c>
      <c r="S1466" s="2">
        <v>46160</v>
      </c>
      <c r="T1466" s="2">
        <v>46162</v>
      </c>
      <c r="U1466">
        <v>0</v>
      </c>
      <c r="V1466">
        <v>4000</v>
      </c>
      <c r="W1466">
        <v>0</v>
      </c>
      <c r="X1466">
        <v>0</v>
      </c>
      <c r="Y1466">
        <v>0</v>
      </c>
      <c r="Z1466" s="8">
        <v>4000</v>
      </c>
      <c r="AA1466">
        <v>1000</v>
      </c>
      <c r="AB1466">
        <v>0</v>
      </c>
      <c r="AC1466">
        <v>4</v>
      </c>
      <c r="AD1466" s="1">
        <v>720</v>
      </c>
      <c r="AE1466" s="2">
        <v>46968</v>
      </c>
      <c r="AF1466" s="2">
        <v>46976</v>
      </c>
      <c r="AG1466" s="2">
        <v>46983</v>
      </c>
      <c r="AH1466">
        <v>0</v>
      </c>
      <c r="AI1466" s="3">
        <v>0</v>
      </c>
      <c r="AJ1466" s="1" t="s">
        <v>1635</v>
      </c>
      <c r="AK1466" s="2" t="s">
        <v>1635</v>
      </c>
      <c r="AL1466" s="4" t="s">
        <v>1658</v>
      </c>
      <c r="AM1466" s="5" t="s">
        <v>1658</v>
      </c>
      <c r="AN1466" s="4">
        <v>720</v>
      </c>
      <c r="AO1466" t="s">
        <v>1635</v>
      </c>
      <c r="AP1466" s="4" t="s">
        <v>1658</v>
      </c>
      <c r="AQ1466" t="s">
        <v>1619</v>
      </c>
      <c r="AR1466" t="s">
        <v>1620</v>
      </c>
      <c r="AT1466" s="16" t="str">
        <f>_xlfn.XLOOKUP(B1466,'SWiSH Demand Forecast Sep-26'!D:D,'SWiSH Demand Forecast Sep-26'!G:G,"Not Exist")</f>
        <v>Not Exist</v>
      </c>
    </row>
    <row r="1467" spans="1:46" x14ac:dyDescent="0.3">
      <c r="A1467">
        <v>107400079</v>
      </c>
      <c r="B1467" t="s">
        <v>3284</v>
      </c>
      <c r="C1467" t="s">
        <v>10</v>
      </c>
      <c r="D1467" t="s">
        <v>1629</v>
      </c>
      <c r="E1467" t="s">
        <v>1685</v>
      </c>
      <c r="F1467" t="s">
        <v>1664</v>
      </c>
      <c r="G1467" t="s">
        <v>1704</v>
      </c>
      <c r="H1467" t="s">
        <v>2016</v>
      </c>
      <c r="I1467" t="s">
        <v>1634</v>
      </c>
      <c r="J1467" t="e">
        <v>#N/A</v>
      </c>
      <c r="K1467">
        <v>6.0000000000000001E-3</v>
      </c>
      <c r="L1467">
        <v>156</v>
      </c>
      <c r="M1467" s="1">
        <v>15</v>
      </c>
      <c r="N1467">
        <v>0</v>
      </c>
      <c r="O1467">
        <v>0</v>
      </c>
      <c r="P1467">
        <v>26000</v>
      </c>
      <c r="Q1467" s="1">
        <v>26000</v>
      </c>
      <c r="R1467">
        <v>6.0000000000000001E-3</v>
      </c>
      <c r="S1467" s="2">
        <v>45972</v>
      </c>
      <c r="T1467" s="2">
        <v>46236</v>
      </c>
      <c r="U1467">
        <v>1000</v>
      </c>
      <c r="V1467">
        <v>1000</v>
      </c>
      <c r="W1467">
        <v>0</v>
      </c>
      <c r="X1467">
        <v>0</v>
      </c>
      <c r="Y1467">
        <v>0</v>
      </c>
      <c r="Z1467" s="8">
        <v>1000</v>
      </c>
      <c r="AA1467">
        <v>500</v>
      </c>
      <c r="AB1467">
        <v>0</v>
      </c>
      <c r="AC1467">
        <v>2</v>
      </c>
      <c r="AD1467" s="1">
        <v>780</v>
      </c>
      <c r="AE1467" s="2">
        <v>47028</v>
      </c>
      <c r="AF1467" s="2">
        <v>47036</v>
      </c>
      <c r="AG1467" s="2">
        <v>47043</v>
      </c>
      <c r="AH1467">
        <v>0</v>
      </c>
      <c r="AI1467" s="3">
        <v>0</v>
      </c>
      <c r="AJ1467" s="1" t="s">
        <v>1635</v>
      </c>
      <c r="AK1467" s="2" t="s">
        <v>1635</v>
      </c>
      <c r="AL1467" s="4" t="s">
        <v>1636</v>
      </c>
      <c r="AM1467" s="5" t="s">
        <v>1636</v>
      </c>
      <c r="AN1467" s="4">
        <v>780</v>
      </c>
      <c r="AO1467" t="s">
        <v>1635</v>
      </c>
      <c r="AP1467" s="4" t="s">
        <v>1636</v>
      </c>
      <c r="AQ1467" t="s">
        <v>1619</v>
      </c>
      <c r="AR1467" t="s">
        <v>1620</v>
      </c>
      <c r="AT1467" s="16" t="str">
        <f>_xlfn.XLOOKUP(B1467,'SWiSH Demand Forecast Sep-26'!D:D,'SWiSH Demand Forecast Sep-26'!G:G,"Not Exist")</f>
        <v>Not Exist</v>
      </c>
    </row>
    <row r="1468" spans="1:46" hidden="1" x14ac:dyDescent="0.3">
      <c r="A1468">
        <v>106800106</v>
      </c>
      <c r="B1468" t="s">
        <v>605</v>
      </c>
      <c r="C1468" t="s">
        <v>10</v>
      </c>
      <c r="D1468" t="s">
        <v>1613</v>
      </c>
      <c r="E1468" t="s">
        <v>1663</v>
      </c>
      <c r="F1468" t="s">
        <v>1664</v>
      </c>
      <c r="G1468" t="s">
        <v>1624</v>
      </c>
      <c r="H1468" t="s">
        <v>1665</v>
      </c>
      <c r="I1468" t="s">
        <v>1634</v>
      </c>
      <c r="J1468" t="s">
        <v>10</v>
      </c>
      <c r="K1468">
        <v>2.77941E-3</v>
      </c>
      <c r="L1468">
        <v>113.95581</v>
      </c>
      <c r="M1468" s="1">
        <v>7</v>
      </c>
      <c r="N1468">
        <v>0</v>
      </c>
      <c r="O1468">
        <v>0</v>
      </c>
      <c r="P1468">
        <v>41000</v>
      </c>
      <c r="Q1468" s="1">
        <v>41000</v>
      </c>
      <c r="R1468">
        <v>2.5000000000000001E-3</v>
      </c>
      <c r="S1468" s="2">
        <v>45874</v>
      </c>
      <c r="T1468" s="2">
        <v>46208</v>
      </c>
      <c r="U1468">
        <v>0</v>
      </c>
      <c r="V1468">
        <v>0</v>
      </c>
      <c r="W1468">
        <v>1000</v>
      </c>
      <c r="X1468">
        <v>1500</v>
      </c>
      <c r="Y1468">
        <v>0</v>
      </c>
      <c r="Z1468" s="8">
        <v>1500</v>
      </c>
      <c r="AA1468">
        <v>625</v>
      </c>
      <c r="AB1468">
        <v>0</v>
      </c>
      <c r="AC1468">
        <v>2.4</v>
      </c>
      <c r="AD1468" s="1">
        <v>820</v>
      </c>
      <c r="AE1468" s="2">
        <v>47068</v>
      </c>
      <c r="AF1468" s="2">
        <v>47076</v>
      </c>
      <c r="AG1468" s="2">
        <v>47083</v>
      </c>
      <c r="AH1468">
        <v>0</v>
      </c>
      <c r="AI1468" s="3">
        <v>0</v>
      </c>
      <c r="AJ1468" s="1" t="s">
        <v>1635</v>
      </c>
      <c r="AK1468" s="2" t="s">
        <v>1635</v>
      </c>
      <c r="AL1468" s="4">
        <v>30</v>
      </c>
      <c r="AM1468" s="5">
        <v>15</v>
      </c>
      <c r="AN1468" s="4">
        <v>820</v>
      </c>
      <c r="AO1468">
        <v>0</v>
      </c>
      <c r="AP1468" s="4">
        <v>1</v>
      </c>
      <c r="AQ1468" t="s">
        <v>1619</v>
      </c>
      <c r="AR1468" t="s">
        <v>1620</v>
      </c>
      <c r="AT1468" s="16">
        <f>_xlfn.XLOOKUP(B1468,'SWiSH Demand Forecast Sep-26'!D:D,'SWiSH Demand Forecast Sep-26'!G:G,"Not Exist")</f>
        <v>995</v>
      </c>
    </row>
    <row r="1469" spans="1:46" hidden="1" x14ac:dyDescent="0.3">
      <c r="A1469">
        <v>106800313</v>
      </c>
      <c r="B1469" t="s">
        <v>789</v>
      </c>
      <c r="C1469" t="s">
        <v>10</v>
      </c>
      <c r="D1469" t="s">
        <v>1613</v>
      </c>
      <c r="E1469" t="s">
        <v>1701</v>
      </c>
      <c r="F1469" t="s">
        <v>1664</v>
      </c>
      <c r="G1469" t="s">
        <v>1624</v>
      </c>
      <c r="H1469" t="s">
        <v>1665</v>
      </c>
      <c r="I1469" t="s">
        <v>1634</v>
      </c>
      <c r="J1469" t="s">
        <v>10</v>
      </c>
      <c r="K1469">
        <v>4.6774199999999998E-3</v>
      </c>
      <c r="L1469">
        <v>130.96776</v>
      </c>
      <c r="M1469" s="1">
        <v>7</v>
      </c>
      <c r="N1469">
        <v>0</v>
      </c>
      <c r="O1469">
        <v>0</v>
      </c>
      <c r="P1469">
        <v>28000</v>
      </c>
      <c r="Q1469" s="1">
        <v>28000</v>
      </c>
      <c r="R1469">
        <v>3.0000000000000001E-3</v>
      </c>
      <c r="S1469" s="2">
        <v>45956</v>
      </c>
      <c r="T1469" s="2">
        <v>46246</v>
      </c>
      <c r="U1469">
        <v>1000</v>
      </c>
      <c r="V1469">
        <v>1000</v>
      </c>
      <c r="W1469">
        <v>0</v>
      </c>
      <c r="X1469">
        <v>1000</v>
      </c>
      <c r="Y1469">
        <v>0</v>
      </c>
      <c r="Z1469" s="8">
        <v>1000</v>
      </c>
      <c r="AA1469">
        <v>750</v>
      </c>
      <c r="AB1469">
        <v>0</v>
      </c>
      <c r="AC1469">
        <v>1.3333333333333333</v>
      </c>
      <c r="AD1469" s="1">
        <v>840</v>
      </c>
      <c r="AE1469" s="2">
        <v>47088</v>
      </c>
      <c r="AF1469" s="2">
        <v>47096</v>
      </c>
      <c r="AG1469" s="2">
        <v>47103</v>
      </c>
      <c r="AH1469">
        <v>1000</v>
      </c>
      <c r="AI1469" s="3">
        <v>1.0344827586206895</v>
      </c>
      <c r="AJ1469" s="1">
        <v>812</v>
      </c>
      <c r="AK1469" s="2">
        <v>47075</v>
      </c>
      <c r="AL1469" s="4">
        <v>30</v>
      </c>
      <c r="AM1469" s="5">
        <v>15</v>
      </c>
      <c r="AN1469" s="4">
        <v>812</v>
      </c>
      <c r="AO1469">
        <v>1034.4827586206895</v>
      </c>
      <c r="AP1469" s="4">
        <v>1</v>
      </c>
      <c r="AQ1469" t="s">
        <v>1619</v>
      </c>
      <c r="AR1469" t="s">
        <v>1620</v>
      </c>
      <c r="AT1469" s="16">
        <f>_xlfn.XLOOKUP(B1469,'SWiSH Demand Forecast Sep-26'!D:D,'SWiSH Demand Forecast Sep-26'!G:G,"Not Exist")</f>
        <v>421</v>
      </c>
    </row>
    <row r="1470" spans="1:46" x14ac:dyDescent="0.3">
      <c r="A1470">
        <v>106700049</v>
      </c>
      <c r="B1470" t="s">
        <v>3285</v>
      </c>
      <c r="C1470" t="s">
        <v>10</v>
      </c>
      <c r="D1470" t="s">
        <v>1613</v>
      </c>
      <c r="E1470" t="s">
        <v>3286</v>
      </c>
      <c r="F1470" t="s">
        <v>1650</v>
      </c>
      <c r="G1470" t="s">
        <v>1624</v>
      </c>
      <c r="H1470" t="s">
        <v>1651</v>
      </c>
      <c r="I1470" t="s">
        <v>1634</v>
      </c>
      <c r="J1470" t="s">
        <v>3287</v>
      </c>
      <c r="K1470">
        <v>1.9999750999999999</v>
      </c>
      <c r="L1470">
        <v>679.991534</v>
      </c>
      <c r="M1470" s="1">
        <v>3</v>
      </c>
      <c r="N1470">
        <v>0</v>
      </c>
      <c r="O1470">
        <v>0</v>
      </c>
      <c r="P1470">
        <v>340</v>
      </c>
      <c r="Q1470" s="1">
        <v>340</v>
      </c>
      <c r="R1470">
        <v>20</v>
      </c>
      <c r="S1470" s="2">
        <v>46085</v>
      </c>
      <c r="T1470" s="2">
        <v>46216</v>
      </c>
      <c r="U1470">
        <v>11</v>
      </c>
      <c r="V1470">
        <v>12</v>
      </c>
      <c r="W1470">
        <v>1</v>
      </c>
      <c r="X1470">
        <v>2</v>
      </c>
      <c r="Y1470">
        <v>1</v>
      </c>
      <c r="Z1470" s="8">
        <v>12</v>
      </c>
      <c r="AA1470">
        <v>6.5</v>
      </c>
      <c r="AB1470">
        <v>0.15384615384615385</v>
      </c>
      <c r="AC1470">
        <v>1.8461538461538463</v>
      </c>
      <c r="AD1470" s="1">
        <v>850</v>
      </c>
      <c r="AE1470" s="2">
        <v>47098</v>
      </c>
      <c r="AF1470" s="2">
        <v>47106</v>
      </c>
      <c r="AG1470" s="2">
        <v>47113</v>
      </c>
      <c r="AH1470">
        <v>0</v>
      </c>
      <c r="AI1470" s="3">
        <v>0</v>
      </c>
      <c r="AJ1470" s="1" t="s">
        <v>1635</v>
      </c>
      <c r="AK1470" s="2" t="s">
        <v>1635</v>
      </c>
      <c r="AL1470" s="4">
        <v>30</v>
      </c>
      <c r="AM1470" s="5">
        <v>15</v>
      </c>
      <c r="AN1470" s="4">
        <v>850</v>
      </c>
      <c r="AO1470">
        <v>0</v>
      </c>
      <c r="AP1470" s="4">
        <v>1</v>
      </c>
      <c r="AQ1470" t="s">
        <v>1619</v>
      </c>
      <c r="AR1470" t="s">
        <v>2335</v>
      </c>
      <c r="AT1470" s="16" t="str">
        <f>_xlfn.XLOOKUP(B1470,'SWiSH Demand Forecast Sep-26'!D:D,'SWiSH Demand Forecast Sep-26'!G:G,"Not Exist")</f>
        <v>Not Exist</v>
      </c>
    </row>
    <row r="1471" spans="1:46" x14ac:dyDescent="0.3">
      <c r="A1471">
        <v>106700074</v>
      </c>
      <c r="B1471" t="s">
        <v>3288</v>
      </c>
      <c r="C1471" t="s">
        <v>10</v>
      </c>
      <c r="D1471" t="s">
        <v>1613</v>
      </c>
      <c r="E1471" t="s">
        <v>3232</v>
      </c>
      <c r="F1471" t="s">
        <v>1650</v>
      </c>
      <c r="G1471" t="s">
        <v>1624</v>
      </c>
      <c r="H1471" t="s">
        <v>1651</v>
      </c>
      <c r="I1471" t="s">
        <v>1634</v>
      </c>
      <c r="J1471" t="s">
        <v>10</v>
      </c>
      <c r="K1471">
        <v>3.5000000000000001E-3</v>
      </c>
      <c r="L1471">
        <v>10.15</v>
      </c>
      <c r="M1471" s="1">
        <v>3</v>
      </c>
      <c r="N1471">
        <v>0</v>
      </c>
      <c r="O1471">
        <v>0</v>
      </c>
      <c r="P1471">
        <v>2900</v>
      </c>
      <c r="Q1471" s="1">
        <v>2900</v>
      </c>
      <c r="R1471">
        <v>0.35</v>
      </c>
      <c r="S1471" s="2">
        <v>44881</v>
      </c>
      <c r="T1471" s="2">
        <v>46208</v>
      </c>
      <c r="U1471">
        <v>0</v>
      </c>
      <c r="V1471">
        <v>0</v>
      </c>
      <c r="W1471">
        <v>0</v>
      </c>
      <c r="X1471">
        <v>100</v>
      </c>
      <c r="Y1471">
        <v>0</v>
      </c>
      <c r="Z1471" s="8">
        <v>100</v>
      </c>
      <c r="AA1471">
        <v>25</v>
      </c>
      <c r="AB1471">
        <v>0</v>
      </c>
      <c r="AC1471">
        <v>4</v>
      </c>
      <c r="AD1471" s="1">
        <v>870</v>
      </c>
      <c r="AE1471" s="2">
        <v>47118</v>
      </c>
      <c r="AF1471" s="2">
        <v>47126</v>
      </c>
      <c r="AG1471" s="2">
        <v>47133</v>
      </c>
      <c r="AH1471">
        <v>0</v>
      </c>
      <c r="AI1471" s="3">
        <v>0</v>
      </c>
      <c r="AJ1471" s="1" t="s">
        <v>1635</v>
      </c>
      <c r="AK1471" s="2" t="s">
        <v>1635</v>
      </c>
      <c r="AL1471" s="4">
        <v>30</v>
      </c>
      <c r="AM1471" s="5">
        <v>15</v>
      </c>
      <c r="AN1471" s="4">
        <v>870</v>
      </c>
      <c r="AO1471">
        <v>0</v>
      </c>
      <c r="AP1471" s="4">
        <v>1</v>
      </c>
      <c r="AQ1471" t="s">
        <v>1619</v>
      </c>
      <c r="AR1471" t="s">
        <v>1620</v>
      </c>
      <c r="AT1471" s="16" t="str">
        <f>_xlfn.XLOOKUP(B1471,'SWiSH Demand Forecast Sep-26'!D:D,'SWiSH Demand Forecast Sep-26'!G:G,"Not Exist")</f>
        <v>Not Exist</v>
      </c>
    </row>
    <row r="1472" spans="1:46" x14ac:dyDescent="0.3">
      <c r="A1472">
        <v>106600055</v>
      </c>
      <c r="B1472" t="s">
        <v>3289</v>
      </c>
      <c r="C1472" t="s">
        <v>10</v>
      </c>
      <c r="D1472" t="s">
        <v>1699</v>
      </c>
      <c r="E1472" t="s">
        <v>1685</v>
      </c>
      <c r="F1472" t="s">
        <v>1664</v>
      </c>
      <c r="G1472" t="s">
        <v>1624</v>
      </c>
      <c r="H1472" t="s">
        <v>1723</v>
      </c>
      <c r="I1472" t="s">
        <v>1634</v>
      </c>
      <c r="J1472" t="s">
        <v>10</v>
      </c>
      <c r="K1472">
        <v>1.1820000000000001E-2</v>
      </c>
      <c r="L1472">
        <v>354.6</v>
      </c>
      <c r="M1472" s="1">
        <v>15</v>
      </c>
      <c r="N1472">
        <v>0</v>
      </c>
      <c r="O1472">
        <v>0</v>
      </c>
      <c r="P1472">
        <v>30000</v>
      </c>
      <c r="Q1472" s="1">
        <v>30000</v>
      </c>
      <c r="R1472">
        <v>1.1820000000000001E-2</v>
      </c>
      <c r="S1472" s="2">
        <v>45774</v>
      </c>
      <c r="T1472" s="2">
        <v>46138</v>
      </c>
      <c r="U1472">
        <v>1000</v>
      </c>
      <c r="V1472">
        <v>0</v>
      </c>
      <c r="W1472">
        <v>0</v>
      </c>
      <c r="X1472">
        <v>0</v>
      </c>
      <c r="Y1472">
        <v>0</v>
      </c>
      <c r="Z1472" s="8">
        <v>1000</v>
      </c>
      <c r="AA1472">
        <v>250</v>
      </c>
      <c r="AB1472">
        <v>0</v>
      </c>
      <c r="AC1472">
        <v>4</v>
      </c>
      <c r="AD1472" s="1">
        <v>900</v>
      </c>
      <c r="AE1472" s="2">
        <v>47148</v>
      </c>
      <c r="AF1472" s="2">
        <v>47156</v>
      </c>
      <c r="AG1472" s="2">
        <v>47163</v>
      </c>
      <c r="AH1472">
        <v>0</v>
      </c>
      <c r="AI1472" s="3">
        <v>0</v>
      </c>
      <c r="AJ1472" s="1" t="s">
        <v>1635</v>
      </c>
      <c r="AK1472" s="2" t="s">
        <v>1635</v>
      </c>
      <c r="AL1472" s="4" t="s">
        <v>1658</v>
      </c>
      <c r="AM1472" s="5" t="s">
        <v>1658</v>
      </c>
      <c r="AN1472" s="4">
        <v>900</v>
      </c>
      <c r="AO1472" t="s">
        <v>1635</v>
      </c>
      <c r="AP1472" s="4" t="s">
        <v>1658</v>
      </c>
      <c r="AQ1472" t="s">
        <v>1619</v>
      </c>
      <c r="AR1472" t="s">
        <v>1620</v>
      </c>
      <c r="AT1472" s="16" t="str">
        <f>_xlfn.XLOOKUP(B1472,'SWiSH Demand Forecast Sep-26'!D:D,'SWiSH Demand Forecast Sep-26'!G:G,"Not Exist")</f>
        <v>Not Exist</v>
      </c>
    </row>
    <row r="1473" spans="1:46" hidden="1" x14ac:dyDescent="0.3">
      <c r="A1473">
        <v>106800089</v>
      </c>
      <c r="B1473" t="s">
        <v>527</v>
      </c>
      <c r="C1473" t="s">
        <v>10</v>
      </c>
      <c r="D1473" t="s">
        <v>1613</v>
      </c>
      <c r="E1473" t="s">
        <v>1655</v>
      </c>
      <c r="F1473" t="s">
        <v>1664</v>
      </c>
      <c r="G1473" t="s">
        <v>1624</v>
      </c>
      <c r="H1473" t="s">
        <v>1665</v>
      </c>
      <c r="I1473" t="s">
        <v>1634</v>
      </c>
      <c r="J1473" t="s">
        <v>10</v>
      </c>
      <c r="K1473">
        <v>4.8701300000000003E-3</v>
      </c>
      <c r="L1473">
        <v>160.71429000000001</v>
      </c>
      <c r="M1473" s="1">
        <v>7</v>
      </c>
      <c r="N1473">
        <v>0</v>
      </c>
      <c r="O1473">
        <v>0</v>
      </c>
      <c r="P1473">
        <v>33000</v>
      </c>
      <c r="Q1473" s="1">
        <v>33000</v>
      </c>
      <c r="R1473">
        <v>5.0000000000000001E-3</v>
      </c>
      <c r="S1473" s="2">
        <v>46186</v>
      </c>
      <c r="T1473" s="2">
        <v>46205</v>
      </c>
      <c r="U1473">
        <v>1000</v>
      </c>
      <c r="V1473">
        <v>0</v>
      </c>
      <c r="W1473">
        <v>1000</v>
      </c>
      <c r="X1473">
        <v>1000</v>
      </c>
      <c r="Y1473">
        <v>0</v>
      </c>
      <c r="Z1473" s="8">
        <v>1000</v>
      </c>
      <c r="AA1473">
        <v>750</v>
      </c>
      <c r="AB1473">
        <v>0</v>
      </c>
      <c r="AC1473">
        <v>1.3333333333333333</v>
      </c>
      <c r="AD1473" s="1">
        <v>990</v>
      </c>
      <c r="AE1473" s="2">
        <v>47238</v>
      </c>
      <c r="AF1473" s="2">
        <v>47246</v>
      </c>
      <c r="AG1473" s="2">
        <v>47253</v>
      </c>
      <c r="AH1473">
        <v>0</v>
      </c>
      <c r="AI1473" s="3">
        <v>0</v>
      </c>
      <c r="AJ1473" s="1" t="s">
        <v>1635</v>
      </c>
      <c r="AK1473" s="2" t="s">
        <v>1635</v>
      </c>
      <c r="AL1473" s="4">
        <v>30</v>
      </c>
      <c r="AM1473" s="5">
        <v>15</v>
      </c>
      <c r="AN1473" s="4">
        <v>990</v>
      </c>
      <c r="AO1473">
        <v>0</v>
      </c>
      <c r="AP1473" s="4">
        <v>1</v>
      </c>
      <c r="AQ1473" t="s">
        <v>1619</v>
      </c>
      <c r="AR1473" t="s">
        <v>1620</v>
      </c>
      <c r="AT1473" s="16">
        <f>_xlfn.XLOOKUP(B1473,'SWiSH Demand Forecast Sep-26'!D:D,'SWiSH Demand Forecast Sep-26'!G:G,"Not Exist")</f>
        <v>1357</v>
      </c>
    </row>
    <row r="1474" spans="1:46" hidden="1" x14ac:dyDescent="0.3">
      <c r="A1474">
        <v>106800312</v>
      </c>
      <c r="B1474" t="s">
        <v>514</v>
      </c>
      <c r="C1474" t="s">
        <v>10</v>
      </c>
      <c r="D1474" t="s">
        <v>1675</v>
      </c>
      <c r="E1474" t="s">
        <v>1701</v>
      </c>
      <c r="F1474" t="s">
        <v>1664</v>
      </c>
      <c r="G1474" t="s">
        <v>1624</v>
      </c>
      <c r="H1474" t="s">
        <v>1665</v>
      </c>
      <c r="I1474" t="s">
        <v>1634</v>
      </c>
      <c r="J1474" t="s">
        <v>10</v>
      </c>
      <c r="K1474">
        <v>4.7297299999999997E-3</v>
      </c>
      <c r="L1474">
        <v>160.81081999999998</v>
      </c>
      <c r="M1474" s="1">
        <v>7</v>
      </c>
      <c r="N1474">
        <v>0</v>
      </c>
      <c r="O1474">
        <v>0</v>
      </c>
      <c r="P1474">
        <v>34000</v>
      </c>
      <c r="Q1474" s="1">
        <v>34000</v>
      </c>
      <c r="R1474">
        <v>3.0000000000000001E-3</v>
      </c>
      <c r="S1474" s="2">
        <v>45956</v>
      </c>
      <c r="T1474" s="2">
        <v>46128</v>
      </c>
      <c r="U1474">
        <v>1000</v>
      </c>
      <c r="V1474">
        <v>0</v>
      </c>
      <c r="W1474">
        <v>0</v>
      </c>
      <c r="X1474">
        <v>0</v>
      </c>
      <c r="Y1474">
        <v>0</v>
      </c>
      <c r="Z1474" s="8">
        <v>1000</v>
      </c>
      <c r="AA1474">
        <v>250</v>
      </c>
      <c r="AB1474">
        <v>0</v>
      </c>
      <c r="AC1474">
        <v>4</v>
      </c>
      <c r="AD1474" s="1">
        <v>1020</v>
      </c>
      <c r="AE1474" s="2">
        <v>47268</v>
      </c>
      <c r="AF1474" s="2">
        <v>47276</v>
      </c>
      <c r="AG1474" s="2">
        <v>47283</v>
      </c>
      <c r="AH1474">
        <v>0</v>
      </c>
      <c r="AI1474" s="3">
        <v>0</v>
      </c>
      <c r="AJ1474" s="1" t="s">
        <v>1635</v>
      </c>
      <c r="AK1474" s="2" t="s">
        <v>1635</v>
      </c>
      <c r="AL1474" s="4" t="s">
        <v>1658</v>
      </c>
      <c r="AM1474" s="5" t="s">
        <v>1658</v>
      </c>
      <c r="AN1474" s="4">
        <v>1020</v>
      </c>
      <c r="AO1474" t="s">
        <v>1635</v>
      </c>
      <c r="AP1474" s="4" t="s">
        <v>1658</v>
      </c>
      <c r="AQ1474" t="s">
        <v>1619</v>
      </c>
      <c r="AR1474" t="s">
        <v>1620</v>
      </c>
      <c r="AT1474" s="16">
        <f>_xlfn.XLOOKUP(B1474,'SWiSH Demand Forecast Sep-26'!D:D,'SWiSH Demand Forecast Sep-26'!G:G,"Not Exist")</f>
        <v>1470</v>
      </c>
    </row>
    <row r="1475" spans="1:46" hidden="1" x14ac:dyDescent="0.3">
      <c r="A1475">
        <v>106800156</v>
      </c>
      <c r="B1475" t="s">
        <v>802</v>
      </c>
      <c r="C1475" t="s">
        <v>10</v>
      </c>
      <c r="D1475" t="s">
        <v>1675</v>
      </c>
      <c r="E1475" t="s">
        <v>1926</v>
      </c>
      <c r="F1475" t="s">
        <v>1664</v>
      </c>
      <c r="G1475" t="s">
        <v>1624</v>
      </c>
      <c r="H1475" t="s">
        <v>1665</v>
      </c>
      <c r="I1475" t="s">
        <v>1634</v>
      </c>
      <c r="J1475" t="s">
        <v>10</v>
      </c>
      <c r="K1475">
        <v>3.4810800000000001E-3</v>
      </c>
      <c r="L1475">
        <v>121.8378</v>
      </c>
      <c r="M1475" s="1">
        <v>7</v>
      </c>
      <c r="N1475">
        <v>0</v>
      </c>
      <c r="O1475">
        <v>0</v>
      </c>
      <c r="P1475">
        <v>35000</v>
      </c>
      <c r="Q1475" s="1">
        <v>35000</v>
      </c>
      <c r="R1475">
        <v>4.0000000000000001E-3</v>
      </c>
      <c r="S1475" s="2">
        <v>45782</v>
      </c>
      <c r="T1475" s="2">
        <v>46114</v>
      </c>
      <c r="U1475">
        <v>1000</v>
      </c>
      <c r="V1475">
        <v>0</v>
      </c>
      <c r="W1475">
        <v>0</v>
      </c>
      <c r="X1475">
        <v>0</v>
      </c>
      <c r="Y1475">
        <v>0</v>
      </c>
      <c r="Z1475" s="8">
        <v>1000</v>
      </c>
      <c r="AA1475">
        <v>250</v>
      </c>
      <c r="AB1475">
        <v>0</v>
      </c>
      <c r="AC1475">
        <v>4</v>
      </c>
      <c r="AD1475" s="1">
        <v>1050</v>
      </c>
      <c r="AE1475" s="2">
        <v>47298</v>
      </c>
      <c r="AF1475" s="2">
        <v>47306</v>
      </c>
      <c r="AG1475" s="2">
        <v>47313</v>
      </c>
      <c r="AH1475">
        <v>0</v>
      </c>
      <c r="AI1475" s="3">
        <v>0</v>
      </c>
      <c r="AJ1475" s="1" t="s">
        <v>1635</v>
      </c>
      <c r="AK1475" s="2" t="s">
        <v>1635</v>
      </c>
      <c r="AL1475" s="4" t="s">
        <v>1658</v>
      </c>
      <c r="AM1475" s="5" t="s">
        <v>1658</v>
      </c>
      <c r="AN1475" s="4">
        <v>1050</v>
      </c>
      <c r="AO1475" t="s">
        <v>1635</v>
      </c>
      <c r="AP1475" s="4" t="s">
        <v>1658</v>
      </c>
      <c r="AQ1475" t="s">
        <v>1619</v>
      </c>
      <c r="AR1475" t="s">
        <v>1620</v>
      </c>
      <c r="AT1475" s="16">
        <f>_xlfn.XLOOKUP(B1475,'SWiSH Demand Forecast Sep-26'!D:D,'SWiSH Demand Forecast Sep-26'!G:G,"Not Exist")</f>
        <v>396</v>
      </c>
    </row>
    <row r="1476" spans="1:46" hidden="1" x14ac:dyDescent="0.3">
      <c r="A1476">
        <v>106800107</v>
      </c>
      <c r="B1476" t="s">
        <v>223</v>
      </c>
      <c r="C1476" t="s">
        <v>10</v>
      </c>
      <c r="D1476" t="s">
        <v>1699</v>
      </c>
      <c r="E1476" t="s">
        <v>1638</v>
      </c>
      <c r="F1476" t="s">
        <v>1664</v>
      </c>
      <c r="G1476" t="s">
        <v>1624</v>
      </c>
      <c r="H1476" t="s">
        <v>1665</v>
      </c>
      <c r="I1476" t="s">
        <v>1634</v>
      </c>
      <c r="J1476" t="s">
        <v>10</v>
      </c>
      <c r="K1476">
        <v>5.0075199999999997E-3</v>
      </c>
      <c r="L1476">
        <v>488.23319999999995</v>
      </c>
      <c r="M1476" s="1">
        <v>7</v>
      </c>
      <c r="N1476">
        <v>0</v>
      </c>
      <c r="O1476">
        <v>0</v>
      </c>
      <c r="P1476">
        <v>97500</v>
      </c>
      <c r="Q1476" s="1">
        <v>97500</v>
      </c>
      <c r="R1476">
        <v>5.0000000000000001E-3</v>
      </c>
      <c r="S1476" s="2">
        <v>46044</v>
      </c>
      <c r="T1476" s="2">
        <v>46240</v>
      </c>
      <c r="U1476">
        <v>0</v>
      </c>
      <c r="V1476">
        <v>2500</v>
      </c>
      <c r="W1476">
        <v>0</v>
      </c>
      <c r="X1476">
        <v>0</v>
      </c>
      <c r="Y1476">
        <v>0</v>
      </c>
      <c r="Z1476" s="8">
        <v>2500</v>
      </c>
      <c r="AA1476">
        <v>625</v>
      </c>
      <c r="AB1476">
        <v>0</v>
      </c>
      <c r="AC1476">
        <v>4</v>
      </c>
      <c r="AD1476" s="1">
        <v>1170</v>
      </c>
      <c r="AE1476" s="2">
        <v>47418</v>
      </c>
      <c r="AF1476" s="2">
        <v>47426</v>
      </c>
      <c r="AG1476" s="2">
        <v>47433</v>
      </c>
      <c r="AH1476">
        <v>0</v>
      </c>
      <c r="AI1476" s="3">
        <v>0</v>
      </c>
      <c r="AJ1476" s="1" t="s">
        <v>1635</v>
      </c>
      <c r="AK1476" s="2" t="s">
        <v>1635</v>
      </c>
      <c r="AL1476" s="4" t="s">
        <v>1658</v>
      </c>
      <c r="AM1476" s="5" t="s">
        <v>1658</v>
      </c>
      <c r="AN1476" s="4">
        <v>1170</v>
      </c>
      <c r="AO1476" t="s">
        <v>1635</v>
      </c>
      <c r="AP1476" s="4" t="s">
        <v>1658</v>
      </c>
      <c r="AQ1476" t="s">
        <v>1619</v>
      </c>
      <c r="AR1476" t="s">
        <v>1620</v>
      </c>
      <c r="AT1476" s="16">
        <f>_xlfn.XLOOKUP(B1476,'SWiSH Demand Forecast Sep-26'!D:D,'SWiSH Demand Forecast Sep-26'!G:G,"Not Exist")</f>
        <v>7602</v>
      </c>
    </row>
    <row r="1477" spans="1:46" x14ac:dyDescent="0.3">
      <c r="A1477">
        <v>105900034</v>
      </c>
      <c r="B1477" t="s">
        <v>3290</v>
      </c>
      <c r="C1477" t="s">
        <v>10</v>
      </c>
      <c r="D1477" t="s">
        <v>1675</v>
      </c>
      <c r="E1477" t="s">
        <v>1949</v>
      </c>
      <c r="F1477" t="s">
        <v>1664</v>
      </c>
      <c r="G1477" t="s">
        <v>1616</v>
      </c>
      <c r="H1477" t="s">
        <v>1729</v>
      </c>
      <c r="I1477" t="s">
        <v>1634</v>
      </c>
      <c r="J1477" t="s">
        <v>10</v>
      </c>
      <c r="K1477">
        <v>4.3324699999999997E-3</v>
      </c>
      <c r="L1477">
        <v>173.2988</v>
      </c>
      <c r="M1477" s="1">
        <v>90</v>
      </c>
      <c r="N1477">
        <v>0</v>
      </c>
      <c r="O1477">
        <v>0</v>
      </c>
      <c r="P1477">
        <v>40000</v>
      </c>
      <c r="Q1477" s="1">
        <v>40000</v>
      </c>
      <c r="R1477">
        <v>4.3324699999999998</v>
      </c>
      <c r="S1477" s="2">
        <v>45054</v>
      </c>
      <c r="T1477" s="2">
        <v>46143</v>
      </c>
      <c r="U1477">
        <v>0</v>
      </c>
      <c r="V1477">
        <v>1000</v>
      </c>
      <c r="W1477">
        <v>0</v>
      </c>
      <c r="X1477">
        <v>0</v>
      </c>
      <c r="Y1477">
        <v>0</v>
      </c>
      <c r="Z1477" s="8">
        <v>1000</v>
      </c>
      <c r="AA1477">
        <v>250</v>
      </c>
      <c r="AB1477">
        <v>0</v>
      </c>
      <c r="AC1477">
        <v>4</v>
      </c>
      <c r="AD1477" s="1">
        <v>1200</v>
      </c>
      <c r="AE1477" s="2">
        <v>47448</v>
      </c>
      <c r="AF1477" s="2">
        <v>47456</v>
      </c>
      <c r="AG1477" s="2">
        <v>47463</v>
      </c>
      <c r="AH1477">
        <v>0</v>
      </c>
      <c r="AI1477" s="3">
        <v>0</v>
      </c>
      <c r="AJ1477" s="1" t="s">
        <v>1635</v>
      </c>
      <c r="AK1477" s="2" t="s">
        <v>1635</v>
      </c>
      <c r="AL1477" s="4" t="s">
        <v>1658</v>
      </c>
      <c r="AM1477" s="5" t="s">
        <v>1658</v>
      </c>
      <c r="AN1477" s="4">
        <v>1200</v>
      </c>
      <c r="AO1477" t="s">
        <v>1635</v>
      </c>
      <c r="AP1477" s="4" t="s">
        <v>1658</v>
      </c>
      <c r="AQ1477" t="s">
        <v>1619</v>
      </c>
      <c r="AR1477" t="s">
        <v>1620</v>
      </c>
      <c r="AT1477" s="16" t="str">
        <f>_xlfn.XLOOKUP(B1477,'SWiSH Demand Forecast Sep-26'!D:D,'SWiSH Demand Forecast Sep-26'!G:G,"Not Exist")</f>
        <v>Not Exist</v>
      </c>
    </row>
    <row r="1478" spans="1:46" x14ac:dyDescent="0.3">
      <c r="A1478">
        <v>106800329</v>
      </c>
      <c r="B1478" t="s">
        <v>3291</v>
      </c>
      <c r="C1478" t="s">
        <v>10</v>
      </c>
      <c r="D1478" t="s">
        <v>1613</v>
      </c>
      <c r="E1478" t="s">
        <v>2075</v>
      </c>
      <c r="F1478" t="s">
        <v>1664</v>
      </c>
      <c r="G1478" t="s">
        <v>1624</v>
      </c>
      <c r="H1478" t="s">
        <v>1665</v>
      </c>
      <c r="I1478" t="s">
        <v>1634</v>
      </c>
      <c r="J1478" t="s">
        <v>10</v>
      </c>
      <c r="K1478">
        <v>3</v>
      </c>
      <c r="L1478">
        <v>363</v>
      </c>
      <c r="M1478" s="1">
        <v>7</v>
      </c>
      <c r="N1478">
        <v>0</v>
      </c>
      <c r="O1478">
        <v>0</v>
      </c>
      <c r="P1478">
        <v>121</v>
      </c>
      <c r="Q1478" s="1">
        <v>121</v>
      </c>
      <c r="R1478">
        <v>3</v>
      </c>
      <c r="S1478" s="2">
        <v>45773</v>
      </c>
      <c r="T1478" s="2">
        <v>46224</v>
      </c>
      <c r="U1478">
        <v>0</v>
      </c>
      <c r="V1478">
        <v>3</v>
      </c>
      <c r="W1478">
        <v>0</v>
      </c>
      <c r="X1478">
        <v>2</v>
      </c>
      <c r="Y1478">
        <v>0</v>
      </c>
      <c r="Z1478" s="8">
        <v>3</v>
      </c>
      <c r="AA1478">
        <v>1.25</v>
      </c>
      <c r="AB1478">
        <v>0</v>
      </c>
      <c r="AC1478">
        <v>2.4</v>
      </c>
      <c r="AD1478" s="1">
        <v>1210</v>
      </c>
      <c r="AE1478" s="2">
        <v>47458</v>
      </c>
      <c r="AF1478" s="2">
        <v>47466</v>
      </c>
      <c r="AG1478" s="2">
        <v>47473</v>
      </c>
      <c r="AH1478">
        <v>0</v>
      </c>
      <c r="AI1478" s="3">
        <v>0</v>
      </c>
      <c r="AJ1478" s="1" t="s">
        <v>1635</v>
      </c>
      <c r="AK1478" s="2" t="s">
        <v>1635</v>
      </c>
      <c r="AL1478" s="4">
        <v>120</v>
      </c>
      <c r="AM1478" s="5">
        <v>100</v>
      </c>
      <c r="AN1478" s="4">
        <v>1210</v>
      </c>
      <c r="AO1478">
        <v>0</v>
      </c>
      <c r="AP1478" s="4">
        <v>1</v>
      </c>
      <c r="AQ1478" t="s">
        <v>1619</v>
      </c>
      <c r="AR1478" t="s">
        <v>1620</v>
      </c>
      <c r="AT1478" s="16" t="str">
        <f>_xlfn.XLOOKUP(B1478,'SWiSH Demand Forecast Sep-26'!D:D,'SWiSH Demand Forecast Sep-26'!G:G,"Not Exist")</f>
        <v>Not Exist</v>
      </c>
    </row>
    <row r="1479" spans="1:46" x14ac:dyDescent="0.3">
      <c r="A1479">
        <v>106800330</v>
      </c>
      <c r="B1479" t="s">
        <v>3292</v>
      </c>
      <c r="C1479" t="s">
        <v>10</v>
      </c>
      <c r="D1479" t="s">
        <v>1699</v>
      </c>
      <c r="E1479" t="s">
        <v>2075</v>
      </c>
      <c r="F1479" t="s">
        <v>1664</v>
      </c>
      <c r="G1479" t="s">
        <v>1624</v>
      </c>
      <c r="H1479" t="s">
        <v>1665</v>
      </c>
      <c r="I1479" t="s">
        <v>1634</v>
      </c>
      <c r="J1479" t="s">
        <v>10</v>
      </c>
      <c r="K1479">
        <v>3</v>
      </c>
      <c r="L1479">
        <v>429</v>
      </c>
      <c r="M1479" s="1">
        <v>7</v>
      </c>
      <c r="N1479">
        <v>0</v>
      </c>
      <c r="O1479">
        <v>0</v>
      </c>
      <c r="P1479">
        <v>143</v>
      </c>
      <c r="Q1479" s="1">
        <v>143</v>
      </c>
      <c r="R1479">
        <v>3</v>
      </c>
      <c r="S1479" s="2">
        <v>45773</v>
      </c>
      <c r="T1479" s="2">
        <v>46147</v>
      </c>
      <c r="U1479">
        <v>0</v>
      </c>
      <c r="V1479">
        <v>3</v>
      </c>
      <c r="W1479">
        <v>0</v>
      </c>
      <c r="X1479">
        <v>0</v>
      </c>
      <c r="Y1479">
        <v>0</v>
      </c>
      <c r="Z1479" s="8">
        <v>3</v>
      </c>
      <c r="AA1479">
        <v>0.75</v>
      </c>
      <c r="AB1479">
        <v>0</v>
      </c>
      <c r="AC1479">
        <v>4</v>
      </c>
      <c r="AD1479" s="1">
        <v>1430</v>
      </c>
      <c r="AE1479" s="2">
        <v>47678</v>
      </c>
      <c r="AF1479" s="2">
        <v>47686</v>
      </c>
      <c r="AG1479" s="2">
        <v>47693</v>
      </c>
      <c r="AH1479">
        <v>0</v>
      </c>
      <c r="AI1479" s="3">
        <v>0</v>
      </c>
      <c r="AJ1479" s="1" t="s">
        <v>1635</v>
      </c>
      <c r="AK1479" s="2" t="s">
        <v>1635</v>
      </c>
      <c r="AL1479" s="4" t="s">
        <v>1658</v>
      </c>
      <c r="AM1479" s="5" t="s">
        <v>1658</v>
      </c>
      <c r="AN1479" s="4">
        <v>1430</v>
      </c>
      <c r="AO1479" t="s">
        <v>1635</v>
      </c>
      <c r="AP1479" s="4" t="s">
        <v>1658</v>
      </c>
      <c r="AQ1479" t="s">
        <v>1619</v>
      </c>
      <c r="AR1479" t="s">
        <v>1620</v>
      </c>
      <c r="AT1479" s="16" t="str">
        <f>_xlfn.XLOOKUP(B1479,'SWiSH Demand Forecast Sep-26'!D:D,'SWiSH Demand Forecast Sep-26'!G:G,"Not Exist")</f>
        <v>Not Exist</v>
      </c>
    </row>
    <row r="1480" spans="1:46" x14ac:dyDescent="0.3">
      <c r="A1480">
        <v>106600106</v>
      </c>
      <c r="B1480" t="s">
        <v>3293</v>
      </c>
      <c r="C1480" t="s">
        <v>10</v>
      </c>
      <c r="D1480" t="s">
        <v>1699</v>
      </c>
      <c r="E1480" t="s">
        <v>1663</v>
      </c>
      <c r="F1480" t="s">
        <v>1664</v>
      </c>
      <c r="G1480" t="s">
        <v>1624</v>
      </c>
      <c r="H1480" t="s">
        <v>1723</v>
      </c>
      <c r="I1480" t="s">
        <v>1634</v>
      </c>
      <c r="J1480" t="s">
        <v>10</v>
      </c>
      <c r="K1480">
        <v>6.0000000000000001E-3</v>
      </c>
      <c r="L1480">
        <v>2323.5</v>
      </c>
      <c r="M1480" s="1">
        <v>15</v>
      </c>
      <c r="N1480">
        <v>0</v>
      </c>
      <c r="O1480">
        <v>0</v>
      </c>
      <c r="P1480">
        <v>387250</v>
      </c>
      <c r="Q1480" s="1">
        <v>387250</v>
      </c>
      <c r="R1480">
        <v>6.0000000000000001E-3</v>
      </c>
      <c r="S1480" s="2">
        <v>46259</v>
      </c>
      <c r="T1480" s="2">
        <v>46133</v>
      </c>
      <c r="U1480">
        <v>8000</v>
      </c>
      <c r="V1480">
        <v>0</v>
      </c>
      <c r="W1480">
        <v>0</v>
      </c>
      <c r="X1480">
        <v>0</v>
      </c>
      <c r="Y1480">
        <v>0</v>
      </c>
      <c r="Z1480" s="8">
        <v>8000</v>
      </c>
      <c r="AA1480">
        <v>2000</v>
      </c>
      <c r="AB1480">
        <v>0</v>
      </c>
      <c r="AC1480">
        <v>4</v>
      </c>
      <c r="AD1480" s="1">
        <v>1452</v>
      </c>
      <c r="AE1480" s="2">
        <v>47700</v>
      </c>
      <c r="AF1480" s="2">
        <v>47708</v>
      </c>
      <c r="AG1480" s="2">
        <v>47715</v>
      </c>
      <c r="AH1480">
        <v>0</v>
      </c>
      <c r="AI1480" s="3">
        <v>0</v>
      </c>
      <c r="AJ1480" s="1" t="s">
        <v>1635</v>
      </c>
      <c r="AK1480" s="2" t="s">
        <v>1635</v>
      </c>
      <c r="AL1480" s="4" t="s">
        <v>1658</v>
      </c>
      <c r="AM1480" s="5" t="s">
        <v>1658</v>
      </c>
      <c r="AN1480" s="4">
        <v>1452</v>
      </c>
      <c r="AO1480" t="s">
        <v>1635</v>
      </c>
      <c r="AP1480" s="4" t="s">
        <v>1658</v>
      </c>
      <c r="AQ1480" t="s">
        <v>1619</v>
      </c>
      <c r="AR1480" t="s">
        <v>1620</v>
      </c>
      <c r="AT1480" s="16" t="str">
        <f>_xlfn.XLOOKUP(B1480,'SWiSH Demand Forecast Sep-26'!D:D,'SWiSH Demand Forecast Sep-26'!G:G,"Not Exist")</f>
        <v>Not Exist</v>
      </c>
    </row>
    <row r="1481" spans="1:46" hidden="1" x14ac:dyDescent="0.3">
      <c r="A1481">
        <v>106800063</v>
      </c>
      <c r="B1481" t="s">
        <v>553</v>
      </c>
      <c r="C1481" t="s">
        <v>10</v>
      </c>
      <c r="D1481" t="s">
        <v>1613</v>
      </c>
      <c r="E1481" t="s">
        <v>1663</v>
      </c>
      <c r="F1481" t="s">
        <v>1664</v>
      </c>
      <c r="G1481" t="s">
        <v>1624</v>
      </c>
      <c r="H1481" t="s">
        <v>1665</v>
      </c>
      <c r="I1481" t="s">
        <v>1634</v>
      </c>
      <c r="J1481" t="s">
        <v>10</v>
      </c>
      <c r="K1481">
        <v>3.0000000000000001E-3</v>
      </c>
      <c r="L1481">
        <v>150</v>
      </c>
      <c r="M1481" s="1">
        <v>7</v>
      </c>
      <c r="N1481">
        <v>0</v>
      </c>
      <c r="O1481">
        <v>0</v>
      </c>
      <c r="P1481">
        <v>50000</v>
      </c>
      <c r="Q1481" s="1">
        <v>50000</v>
      </c>
      <c r="R1481">
        <v>3.0000000000000001E-3</v>
      </c>
      <c r="S1481" s="2">
        <v>46141</v>
      </c>
      <c r="T1481" s="2">
        <v>46210</v>
      </c>
      <c r="U1481">
        <v>1000</v>
      </c>
      <c r="V1481">
        <v>0</v>
      </c>
      <c r="W1481">
        <v>0</v>
      </c>
      <c r="X1481">
        <v>1000</v>
      </c>
      <c r="Y1481">
        <v>0</v>
      </c>
      <c r="Z1481" s="8">
        <v>1000</v>
      </c>
      <c r="AA1481">
        <v>500</v>
      </c>
      <c r="AB1481">
        <v>0</v>
      </c>
      <c r="AC1481">
        <v>2</v>
      </c>
      <c r="AD1481" s="1">
        <v>1500</v>
      </c>
      <c r="AE1481" s="2">
        <v>47748</v>
      </c>
      <c r="AF1481" s="2">
        <v>47756</v>
      </c>
      <c r="AG1481" s="2">
        <v>47763</v>
      </c>
      <c r="AH1481">
        <v>0</v>
      </c>
      <c r="AI1481" s="3">
        <v>0</v>
      </c>
      <c r="AJ1481" s="1" t="s">
        <v>1635</v>
      </c>
      <c r="AK1481" s="2" t="s">
        <v>1635</v>
      </c>
      <c r="AL1481" s="4">
        <v>30</v>
      </c>
      <c r="AM1481" s="5">
        <v>15</v>
      </c>
      <c r="AN1481" s="4">
        <v>1500</v>
      </c>
      <c r="AO1481">
        <v>0</v>
      </c>
      <c r="AP1481" s="4">
        <v>1</v>
      </c>
      <c r="AQ1481" t="s">
        <v>1619</v>
      </c>
      <c r="AR1481" t="s">
        <v>1620</v>
      </c>
      <c r="AT1481" s="16">
        <f>_xlfn.XLOOKUP(B1481,'SWiSH Demand Forecast Sep-26'!D:D,'SWiSH Demand Forecast Sep-26'!G:G,"Not Exist")</f>
        <v>1237</v>
      </c>
    </row>
    <row r="1482" spans="1:46" hidden="1" x14ac:dyDescent="0.3">
      <c r="A1482">
        <v>106800316</v>
      </c>
      <c r="B1482" t="s">
        <v>737</v>
      </c>
      <c r="C1482" t="s">
        <v>10</v>
      </c>
      <c r="D1482" t="s">
        <v>1613</v>
      </c>
      <c r="E1482" t="s">
        <v>1701</v>
      </c>
      <c r="F1482" t="s">
        <v>1664</v>
      </c>
      <c r="G1482" t="s">
        <v>1624</v>
      </c>
      <c r="H1482" t="s">
        <v>1665</v>
      </c>
      <c r="I1482" t="s">
        <v>1634</v>
      </c>
      <c r="J1482" t="s">
        <v>10</v>
      </c>
      <c r="K1482">
        <v>4.8630100000000001E-3</v>
      </c>
      <c r="L1482">
        <v>248.01351</v>
      </c>
      <c r="M1482" s="1">
        <v>7</v>
      </c>
      <c r="N1482">
        <v>0</v>
      </c>
      <c r="O1482">
        <v>0</v>
      </c>
      <c r="P1482">
        <v>51000</v>
      </c>
      <c r="Q1482" s="1">
        <v>51000</v>
      </c>
      <c r="R1482">
        <v>3.0000000000000001E-3</v>
      </c>
      <c r="S1482" s="2">
        <v>45956</v>
      </c>
      <c r="T1482" s="2">
        <v>46236</v>
      </c>
      <c r="U1482">
        <v>1000</v>
      </c>
      <c r="V1482">
        <v>0</v>
      </c>
      <c r="W1482">
        <v>1000</v>
      </c>
      <c r="X1482">
        <v>1000</v>
      </c>
      <c r="Y1482">
        <v>0</v>
      </c>
      <c r="Z1482" s="8">
        <v>1000</v>
      </c>
      <c r="AA1482">
        <v>750</v>
      </c>
      <c r="AB1482">
        <v>0</v>
      </c>
      <c r="AC1482">
        <v>1.3333333333333333</v>
      </c>
      <c r="AD1482" s="1">
        <v>1530</v>
      </c>
      <c r="AE1482" s="2">
        <v>47778</v>
      </c>
      <c r="AF1482" s="2">
        <v>47786</v>
      </c>
      <c r="AG1482" s="2">
        <v>47793</v>
      </c>
      <c r="AH1482">
        <v>1000</v>
      </c>
      <c r="AI1482" s="3">
        <v>1.0344827586206895</v>
      </c>
      <c r="AJ1482" s="1">
        <v>1479</v>
      </c>
      <c r="AK1482" s="2">
        <v>47742</v>
      </c>
      <c r="AL1482" s="4">
        <v>30</v>
      </c>
      <c r="AM1482" s="5">
        <v>15</v>
      </c>
      <c r="AN1482" s="4">
        <v>1479</v>
      </c>
      <c r="AO1482">
        <v>1034.4827586206895</v>
      </c>
      <c r="AP1482" s="4">
        <v>1</v>
      </c>
      <c r="AQ1482" t="s">
        <v>1619</v>
      </c>
      <c r="AR1482" t="s">
        <v>1620</v>
      </c>
      <c r="AT1482" s="16">
        <f>_xlfn.XLOOKUP(B1482,'SWiSH Demand Forecast Sep-26'!D:D,'SWiSH Demand Forecast Sep-26'!G:G,"Not Exist")</f>
        <v>537</v>
      </c>
    </row>
    <row r="1483" spans="1:46" x14ac:dyDescent="0.3">
      <c r="A1483">
        <v>106800062</v>
      </c>
      <c r="B1483" t="s">
        <v>3294</v>
      </c>
      <c r="C1483" t="s">
        <v>10</v>
      </c>
      <c r="D1483" t="s">
        <v>1613</v>
      </c>
      <c r="E1483" t="s">
        <v>1663</v>
      </c>
      <c r="F1483" t="s">
        <v>1664</v>
      </c>
      <c r="G1483" t="s">
        <v>1624</v>
      </c>
      <c r="H1483" t="s">
        <v>1665</v>
      </c>
      <c r="I1483" t="s">
        <v>1634</v>
      </c>
      <c r="J1483" t="s">
        <v>10</v>
      </c>
      <c r="K1483">
        <v>3.0000000000000001E-3</v>
      </c>
      <c r="L1483">
        <v>153</v>
      </c>
      <c r="M1483" s="1">
        <v>7</v>
      </c>
      <c r="N1483">
        <v>0</v>
      </c>
      <c r="O1483">
        <v>0</v>
      </c>
      <c r="P1483">
        <v>51000</v>
      </c>
      <c r="Q1483" s="1">
        <v>51000</v>
      </c>
      <c r="R1483">
        <v>3.0000000000000001E-3</v>
      </c>
      <c r="S1483" s="2">
        <v>46141</v>
      </c>
      <c r="T1483" s="2">
        <v>46247</v>
      </c>
      <c r="U1483">
        <v>1000</v>
      </c>
      <c r="V1483">
        <v>0</v>
      </c>
      <c r="W1483">
        <v>1000</v>
      </c>
      <c r="X1483">
        <v>0</v>
      </c>
      <c r="Y1483">
        <v>0</v>
      </c>
      <c r="Z1483" s="8">
        <v>1000</v>
      </c>
      <c r="AA1483">
        <v>500</v>
      </c>
      <c r="AB1483">
        <v>0</v>
      </c>
      <c r="AC1483">
        <v>2</v>
      </c>
      <c r="AD1483" s="1">
        <v>1530</v>
      </c>
      <c r="AE1483" s="2">
        <v>47778</v>
      </c>
      <c r="AF1483" s="2">
        <v>47786</v>
      </c>
      <c r="AG1483" s="2">
        <v>47793</v>
      </c>
      <c r="AH1483">
        <v>3000</v>
      </c>
      <c r="AI1483" s="3">
        <v>3.103448275862069</v>
      </c>
      <c r="AJ1483" s="1">
        <v>493</v>
      </c>
      <c r="AK1483" s="2">
        <v>46756</v>
      </c>
      <c r="AL1483" s="4">
        <v>30</v>
      </c>
      <c r="AM1483" s="5">
        <v>15</v>
      </c>
      <c r="AN1483" s="4">
        <v>493</v>
      </c>
      <c r="AO1483">
        <v>3103.4482758620693</v>
      </c>
      <c r="AP1483" s="4">
        <v>1</v>
      </c>
      <c r="AQ1483" t="s">
        <v>1619</v>
      </c>
      <c r="AR1483" t="s">
        <v>1620</v>
      </c>
      <c r="AT1483" s="16" t="str">
        <f>_xlfn.XLOOKUP(B1483,'SWiSH Demand Forecast Sep-26'!D:D,'SWiSH Demand Forecast Sep-26'!G:G,"Not Exist")</f>
        <v>Not Exist</v>
      </c>
    </row>
    <row r="1484" spans="1:46" x14ac:dyDescent="0.3">
      <c r="A1484">
        <v>103200008</v>
      </c>
      <c r="B1484" t="s">
        <v>3295</v>
      </c>
      <c r="C1484" t="s">
        <v>136</v>
      </c>
      <c r="D1484" t="s">
        <v>1613</v>
      </c>
      <c r="E1484" t="s">
        <v>1663</v>
      </c>
      <c r="F1484" t="s">
        <v>1752</v>
      </c>
      <c r="G1484" t="s">
        <v>1616</v>
      </c>
      <c r="H1484" t="s">
        <v>1753</v>
      </c>
      <c r="I1484" t="s">
        <v>1754</v>
      </c>
      <c r="J1484" t="s">
        <v>136</v>
      </c>
      <c r="K1484">
        <v>3</v>
      </c>
      <c r="L1484">
        <v>2016</v>
      </c>
      <c r="M1484" s="1">
        <v>3</v>
      </c>
      <c r="N1484">
        <v>0</v>
      </c>
      <c r="O1484">
        <v>0</v>
      </c>
      <c r="P1484">
        <v>672</v>
      </c>
      <c r="Q1484" s="1">
        <v>672</v>
      </c>
      <c r="R1484">
        <v>16.8</v>
      </c>
      <c r="S1484" s="2">
        <v>46160</v>
      </c>
      <c r="T1484" s="2">
        <v>46200</v>
      </c>
      <c r="U1484">
        <v>0</v>
      </c>
      <c r="V1484">
        <v>0</v>
      </c>
      <c r="W1484">
        <v>12.950000000000001</v>
      </c>
      <c r="X1484">
        <v>0</v>
      </c>
      <c r="Y1484">
        <v>0</v>
      </c>
      <c r="Z1484" s="8">
        <v>12.950000000000001</v>
      </c>
      <c r="AA1484">
        <v>3.2375000000000003</v>
      </c>
      <c r="AB1484">
        <v>0</v>
      </c>
      <c r="AC1484">
        <v>4</v>
      </c>
      <c r="AD1484" s="1">
        <v>1556</v>
      </c>
      <c r="AE1484" s="2">
        <v>47804</v>
      </c>
      <c r="AF1484" s="2">
        <v>47812</v>
      </c>
      <c r="AG1484" s="2">
        <v>47819</v>
      </c>
      <c r="AH1484">
        <v>0</v>
      </c>
      <c r="AI1484" s="3">
        <v>0</v>
      </c>
      <c r="AJ1484" s="1" t="s">
        <v>1635</v>
      </c>
      <c r="AK1484" s="2" t="s">
        <v>1635</v>
      </c>
      <c r="AL1484" s="4">
        <v>30</v>
      </c>
      <c r="AM1484" s="5">
        <v>15</v>
      </c>
      <c r="AN1484" s="4">
        <v>1556</v>
      </c>
      <c r="AO1484">
        <v>0</v>
      </c>
      <c r="AP1484" s="4">
        <v>1</v>
      </c>
      <c r="AQ1484" t="s">
        <v>1619</v>
      </c>
      <c r="AR1484" t="s">
        <v>1620</v>
      </c>
      <c r="AT1484" s="16" t="str">
        <f>_xlfn.XLOOKUP(B1484,'SWiSH Demand Forecast Sep-26'!D:D,'SWiSH Demand Forecast Sep-26'!G:G,"Not Exist")</f>
        <v>Not Exist</v>
      </c>
    </row>
    <row r="1485" spans="1:46" x14ac:dyDescent="0.3">
      <c r="A1485">
        <v>104200055</v>
      </c>
      <c r="B1485" t="s">
        <v>3296</v>
      </c>
      <c r="C1485" t="s">
        <v>10</v>
      </c>
      <c r="D1485" t="s">
        <v>1675</v>
      </c>
      <c r="E1485" t="s">
        <v>1796</v>
      </c>
      <c r="F1485" t="s">
        <v>1631</v>
      </c>
      <c r="G1485" t="s">
        <v>1704</v>
      </c>
      <c r="H1485" t="s">
        <v>1633</v>
      </c>
      <c r="I1485" t="s">
        <v>1634</v>
      </c>
      <c r="J1485" t="s">
        <v>3297</v>
      </c>
      <c r="K1485">
        <v>5.4166700000000002E-3</v>
      </c>
      <c r="L1485">
        <v>59.583370000000002</v>
      </c>
      <c r="M1485" s="1">
        <v>3</v>
      </c>
      <c r="N1485">
        <v>0</v>
      </c>
      <c r="O1485">
        <v>0</v>
      </c>
      <c r="P1485">
        <v>11000</v>
      </c>
      <c r="Q1485" s="1">
        <v>11000</v>
      </c>
      <c r="R1485">
        <v>6.5</v>
      </c>
      <c r="S1485" s="2">
        <v>45958</v>
      </c>
      <c r="T1485" s="2">
        <v>46224</v>
      </c>
      <c r="U1485">
        <v>0</v>
      </c>
      <c r="V1485">
        <v>200</v>
      </c>
      <c r="W1485">
        <v>200</v>
      </c>
      <c r="X1485">
        <v>0</v>
      </c>
      <c r="Y1485">
        <v>0</v>
      </c>
      <c r="Z1485" s="8">
        <v>200</v>
      </c>
      <c r="AA1485">
        <v>100</v>
      </c>
      <c r="AB1485">
        <v>0</v>
      </c>
      <c r="AC1485">
        <v>2</v>
      </c>
      <c r="AD1485" s="1">
        <v>1650</v>
      </c>
      <c r="AE1485" s="2">
        <v>47898</v>
      </c>
      <c r="AF1485" s="2">
        <v>47906</v>
      </c>
      <c r="AG1485" s="2">
        <v>47913</v>
      </c>
      <c r="AH1485">
        <v>0</v>
      </c>
      <c r="AI1485" s="3">
        <v>0</v>
      </c>
      <c r="AJ1485" s="1" t="s">
        <v>1635</v>
      </c>
      <c r="AK1485" s="2" t="s">
        <v>1635</v>
      </c>
      <c r="AL1485" s="4" t="s">
        <v>1658</v>
      </c>
      <c r="AM1485" s="5" t="s">
        <v>1658</v>
      </c>
      <c r="AN1485" s="4">
        <v>1650</v>
      </c>
      <c r="AO1485" t="s">
        <v>1635</v>
      </c>
      <c r="AP1485" s="4" t="s">
        <v>1658</v>
      </c>
      <c r="AQ1485" t="s">
        <v>1619</v>
      </c>
      <c r="AR1485" t="s">
        <v>1620</v>
      </c>
      <c r="AT1485" s="16" t="str">
        <f>_xlfn.XLOOKUP(B1485,'SWiSH Demand Forecast Sep-26'!D:D,'SWiSH Demand Forecast Sep-26'!G:G,"Not Exist")</f>
        <v>Not Exist</v>
      </c>
    </row>
    <row r="1486" spans="1:46" x14ac:dyDescent="0.3">
      <c r="A1486">
        <v>106700112</v>
      </c>
      <c r="B1486" t="s">
        <v>3298</v>
      </c>
      <c r="C1486" t="s">
        <v>10</v>
      </c>
      <c r="D1486" t="s">
        <v>1613</v>
      </c>
      <c r="E1486" t="s">
        <v>1819</v>
      </c>
      <c r="F1486" t="s">
        <v>1650</v>
      </c>
      <c r="G1486" t="s">
        <v>1624</v>
      </c>
      <c r="H1486" t="s">
        <v>1651</v>
      </c>
      <c r="I1486" t="s">
        <v>1634</v>
      </c>
      <c r="J1486" t="s">
        <v>2979</v>
      </c>
      <c r="K1486">
        <v>0.24</v>
      </c>
      <c r="L1486">
        <v>232.79999999999998</v>
      </c>
      <c r="M1486" s="1">
        <v>3</v>
      </c>
      <c r="N1486">
        <v>0</v>
      </c>
      <c r="O1486">
        <v>0</v>
      </c>
      <c r="P1486">
        <v>970</v>
      </c>
      <c r="Q1486" s="1">
        <v>970</v>
      </c>
      <c r="R1486">
        <v>12</v>
      </c>
      <c r="S1486" s="2">
        <v>46085</v>
      </c>
      <c r="T1486" s="2">
        <v>46232</v>
      </c>
      <c r="U1486">
        <v>15</v>
      </c>
      <c r="V1486">
        <v>0</v>
      </c>
      <c r="W1486">
        <v>10</v>
      </c>
      <c r="X1486">
        <v>5</v>
      </c>
      <c r="Y1486">
        <v>0</v>
      </c>
      <c r="Z1486" s="8">
        <v>15</v>
      </c>
      <c r="AA1486">
        <v>7.5</v>
      </c>
      <c r="AB1486">
        <v>0</v>
      </c>
      <c r="AC1486">
        <v>2</v>
      </c>
      <c r="AD1486" s="1">
        <v>1940</v>
      </c>
      <c r="AE1486" s="2">
        <v>48188</v>
      </c>
      <c r="AF1486" s="2">
        <v>48196</v>
      </c>
      <c r="AG1486" s="2">
        <v>48203</v>
      </c>
      <c r="AH1486">
        <v>0</v>
      </c>
      <c r="AI1486" s="3">
        <v>0</v>
      </c>
      <c r="AJ1486" s="1" t="s">
        <v>1635</v>
      </c>
      <c r="AK1486" s="2" t="s">
        <v>1635</v>
      </c>
      <c r="AL1486" s="4">
        <v>30</v>
      </c>
      <c r="AM1486" s="5">
        <v>15</v>
      </c>
      <c r="AN1486" s="4">
        <v>1940</v>
      </c>
      <c r="AO1486">
        <v>0</v>
      </c>
      <c r="AP1486" s="4">
        <v>1</v>
      </c>
      <c r="AQ1486" t="s">
        <v>1619</v>
      </c>
      <c r="AR1486" t="s">
        <v>1620</v>
      </c>
      <c r="AT1486" s="16" t="str">
        <f>_xlfn.XLOOKUP(B1486,'SWiSH Demand Forecast Sep-26'!D:D,'SWiSH Demand Forecast Sep-26'!G:G,"Not Exist")</f>
        <v>Not Exist</v>
      </c>
    </row>
    <row r="1487" spans="1:46" x14ac:dyDescent="0.3">
      <c r="A1487">
        <v>100700009</v>
      </c>
      <c r="B1487" t="s">
        <v>3299</v>
      </c>
      <c r="C1487" t="s">
        <v>136</v>
      </c>
      <c r="D1487" t="s">
        <v>1613</v>
      </c>
      <c r="E1487" t="s">
        <v>1879</v>
      </c>
      <c r="F1487" t="s">
        <v>1875</v>
      </c>
      <c r="G1487" t="s">
        <v>1616</v>
      </c>
      <c r="H1487" t="s">
        <v>1867</v>
      </c>
      <c r="I1487" t="s">
        <v>1618</v>
      </c>
      <c r="J1487" t="s">
        <v>3300</v>
      </c>
      <c r="K1487">
        <v>2.16047864</v>
      </c>
      <c r="L1487">
        <v>379.16400132000001</v>
      </c>
      <c r="M1487" s="1">
        <v>3</v>
      </c>
      <c r="N1487">
        <v>0</v>
      </c>
      <c r="O1487">
        <v>0</v>
      </c>
      <c r="P1487">
        <v>175.5</v>
      </c>
      <c r="Q1487" s="1">
        <v>175.5</v>
      </c>
      <c r="R1487">
        <v>35</v>
      </c>
      <c r="S1487" s="2">
        <v>45933</v>
      </c>
      <c r="T1487" s="2">
        <v>46193</v>
      </c>
      <c r="U1487">
        <v>0</v>
      </c>
      <c r="V1487">
        <v>0</v>
      </c>
      <c r="W1487">
        <v>2.7</v>
      </c>
      <c r="X1487">
        <v>0</v>
      </c>
      <c r="Y1487">
        <v>0</v>
      </c>
      <c r="Z1487" s="8">
        <v>2.7</v>
      </c>
      <c r="AA1487">
        <v>0.67500000000000004</v>
      </c>
      <c r="AB1487">
        <v>0</v>
      </c>
      <c r="AC1487">
        <v>4</v>
      </c>
      <c r="AD1487" s="1">
        <v>1950</v>
      </c>
      <c r="AE1487" s="2">
        <v>48198</v>
      </c>
      <c r="AF1487" s="2">
        <v>48206</v>
      </c>
      <c r="AG1487" s="2">
        <v>48213</v>
      </c>
      <c r="AH1487">
        <v>0</v>
      </c>
      <c r="AI1487" s="3">
        <v>0</v>
      </c>
      <c r="AJ1487" s="1" t="s">
        <v>1635</v>
      </c>
      <c r="AK1487" s="2" t="s">
        <v>1635</v>
      </c>
      <c r="AL1487" s="4">
        <v>15</v>
      </c>
      <c r="AM1487" s="5">
        <v>15</v>
      </c>
      <c r="AN1487" s="4">
        <v>1950</v>
      </c>
      <c r="AO1487">
        <v>0</v>
      </c>
      <c r="AP1487" s="4">
        <v>2</v>
      </c>
      <c r="AQ1487" t="s">
        <v>1619</v>
      </c>
      <c r="AR1487" t="s">
        <v>1620</v>
      </c>
      <c r="AT1487" s="16" t="str">
        <f>_xlfn.XLOOKUP(B1487,'SWiSH Demand Forecast Sep-26'!D:D,'SWiSH Demand Forecast Sep-26'!G:G,"Not Exist")</f>
        <v>Not Exist</v>
      </c>
    </row>
    <row r="1488" spans="1:46" x14ac:dyDescent="0.3">
      <c r="A1488">
        <v>106100001</v>
      </c>
      <c r="B1488" t="s">
        <v>3301</v>
      </c>
      <c r="C1488" t="s">
        <v>10</v>
      </c>
      <c r="D1488" t="s">
        <v>1613</v>
      </c>
      <c r="E1488" t="s">
        <v>3302</v>
      </c>
      <c r="F1488" t="s">
        <v>1650</v>
      </c>
      <c r="G1488" t="s">
        <v>1624</v>
      </c>
      <c r="H1488" t="s">
        <v>2242</v>
      </c>
      <c r="I1488" t="s">
        <v>1634</v>
      </c>
      <c r="J1488" t="s">
        <v>2979</v>
      </c>
      <c r="K1488">
        <v>0.21</v>
      </c>
      <c r="L1488">
        <v>463.68</v>
      </c>
      <c r="M1488" s="1">
        <v>3</v>
      </c>
      <c r="N1488">
        <v>0</v>
      </c>
      <c r="O1488">
        <v>0</v>
      </c>
      <c r="P1488">
        <v>2208</v>
      </c>
      <c r="Q1488" s="1">
        <v>2208</v>
      </c>
      <c r="R1488">
        <v>10.5</v>
      </c>
      <c r="S1488" s="2">
        <v>46056</v>
      </c>
      <c r="T1488" s="2">
        <v>46172</v>
      </c>
      <c r="U1488">
        <v>0</v>
      </c>
      <c r="V1488">
        <v>30</v>
      </c>
      <c r="W1488">
        <v>0</v>
      </c>
      <c r="X1488">
        <v>0</v>
      </c>
      <c r="Y1488">
        <v>0</v>
      </c>
      <c r="Z1488" s="8">
        <v>30</v>
      </c>
      <c r="AA1488">
        <v>7.5</v>
      </c>
      <c r="AB1488">
        <v>0</v>
      </c>
      <c r="AC1488">
        <v>4</v>
      </c>
      <c r="AD1488" s="1">
        <v>2208</v>
      </c>
      <c r="AE1488" s="2">
        <v>48456</v>
      </c>
      <c r="AF1488" s="2">
        <v>48464</v>
      </c>
      <c r="AG1488" s="2">
        <v>48471</v>
      </c>
      <c r="AH1488">
        <v>0</v>
      </c>
      <c r="AI1488" s="3">
        <v>0</v>
      </c>
      <c r="AJ1488" s="1" t="s">
        <v>1635</v>
      </c>
      <c r="AK1488" s="2" t="s">
        <v>1635</v>
      </c>
      <c r="AL1488" s="4">
        <v>30</v>
      </c>
      <c r="AM1488" s="5">
        <v>15</v>
      </c>
      <c r="AN1488" s="4">
        <v>2208</v>
      </c>
      <c r="AO1488">
        <v>0</v>
      </c>
      <c r="AP1488" s="4">
        <v>1</v>
      </c>
      <c r="AQ1488" t="s">
        <v>1619</v>
      </c>
      <c r="AR1488" t="s">
        <v>2335</v>
      </c>
      <c r="AT1488" s="16" t="str">
        <f>_xlfn.XLOOKUP(B1488,'SWiSH Demand Forecast Sep-26'!D:D,'SWiSH Demand Forecast Sep-26'!G:G,"Not Exist")</f>
        <v>Not Exist</v>
      </c>
    </row>
    <row r="1489" spans="1:46" x14ac:dyDescent="0.3">
      <c r="A1489">
        <v>106700051</v>
      </c>
      <c r="B1489" t="s">
        <v>3303</v>
      </c>
      <c r="C1489" t="s">
        <v>10</v>
      </c>
      <c r="D1489" t="s">
        <v>1613</v>
      </c>
      <c r="E1489" t="s">
        <v>1643</v>
      </c>
      <c r="F1489" t="s">
        <v>1650</v>
      </c>
      <c r="G1489" t="s">
        <v>1624</v>
      </c>
      <c r="H1489" t="s">
        <v>1651</v>
      </c>
      <c r="I1489" t="s">
        <v>1634</v>
      </c>
      <c r="J1489" t="s">
        <v>10</v>
      </c>
      <c r="K1489">
        <v>0.125</v>
      </c>
      <c r="L1489">
        <v>11.125</v>
      </c>
      <c r="M1489" s="1">
        <v>3</v>
      </c>
      <c r="N1489">
        <v>0</v>
      </c>
      <c r="O1489">
        <v>0</v>
      </c>
      <c r="P1489">
        <v>89</v>
      </c>
      <c r="Q1489" s="1">
        <v>89</v>
      </c>
      <c r="R1489">
        <v>0.125</v>
      </c>
      <c r="S1489" s="2">
        <v>46181</v>
      </c>
      <c r="T1489" s="2">
        <v>46143</v>
      </c>
      <c r="U1489">
        <v>0</v>
      </c>
      <c r="V1489">
        <v>1</v>
      </c>
      <c r="W1489">
        <v>0</v>
      </c>
      <c r="X1489">
        <v>0</v>
      </c>
      <c r="Y1489">
        <v>0</v>
      </c>
      <c r="Z1489" s="8">
        <v>1</v>
      </c>
      <c r="AA1489">
        <v>0.25</v>
      </c>
      <c r="AB1489">
        <v>0</v>
      </c>
      <c r="AC1489">
        <v>4</v>
      </c>
      <c r="AD1489" s="1">
        <v>2670</v>
      </c>
      <c r="AE1489" s="2">
        <v>48918</v>
      </c>
      <c r="AF1489" s="2">
        <v>48926</v>
      </c>
      <c r="AG1489" s="2">
        <v>48933</v>
      </c>
      <c r="AH1489">
        <v>0</v>
      </c>
      <c r="AI1489" s="3">
        <v>0</v>
      </c>
      <c r="AJ1489" s="1" t="s">
        <v>1635</v>
      </c>
      <c r="AK1489" s="2" t="s">
        <v>1635</v>
      </c>
      <c r="AL1489" s="4">
        <v>30</v>
      </c>
      <c r="AM1489" s="5">
        <v>15</v>
      </c>
      <c r="AN1489" s="4">
        <v>2670</v>
      </c>
      <c r="AO1489">
        <v>0</v>
      </c>
      <c r="AP1489" s="4">
        <v>1</v>
      </c>
      <c r="AQ1489" t="s">
        <v>1619</v>
      </c>
      <c r="AR1489" t="s">
        <v>1620</v>
      </c>
      <c r="AT1489" s="16" t="str">
        <f>_xlfn.XLOOKUP(B1489,'SWiSH Demand Forecast Sep-26'!D:D,'SWiSH Demand Forecast Sep-26'!G:G,"Not Exist")</f>
        <v>Not Exist</v>
      </c>
    </row>
    <row r="1490" spans="1:46" hidden="1" x14ac:dyDescent="0.3">
      <c r="A1490">
        <v>107400088</v>
      </c>
      <c r="B1490" t="s">
        <v>54</v>
      </c>
      <c r="C1490" t="s">
        <v>10</v>
      </c>
      <c r="D1490" t="s">
        <v>1699</v>
      </c>
      <c r="E1490" t="s">
        <v>1663</v>
      </c>
      <c r="F1490" t="s">
        <v>1664</v>
      </c>
      <c r="G1490" t="s">
        <v>1624</v>
      </c>
      <c r="H1490" t="s">
        <v>2016</v>
      </c>
      <c r="I1490" t="s">
        <v>1634</v>
      </c>
      <c r="J1490" t="s">
        <v>10</v>
      </c>
      <c r="K1490">
        <v>3.0000000000000001E-3</v>
      </c>
      <c r="L1490">
        <v>135</v>
      </c>
      <c r="M1490" s="1">
        <v>15</v>
      </c>
      <c r="N1490">
        <v>0</v>
      </c>
      <c r="O1490">
        <v>0</v>
      </c>
      <c r="P1490">
        <v>45000</v>
      </c>
      <c r="Q1490" s="1">
        <v>45000</v>
      </c>
      <c r="R1490">
        <v>3.0000000000000001E-3</v>
      </c>
      <c r="S1490" s="2">
        <v>45635</v>
      </c>
      <c r="T1490" s="2">
        <v>46149</v>
      </c>
      <c r="U1490">
        <v>500</v>
      </c>
      <c r="V1490">
        <v>500</v>
      </c>
      <c r="W1490">
        <v>0</v>
      </c>
      <c r="X1490">
        <v>0</v>
      </c>
      <c r="Y1490">
        <v>0</v>
      </c>
      <c r="Z1490" s="8">
        <v>500</v>
      </c>
      <c r="AA1490">
        <v>250</v>
      </c>
      <c r="AB1490">
        <v>0</v>
      </c>
      <c r="AC1490">
        <v>2</v>
      </c>
      <c r="AD1490" s="1">
        <v>2700</v>
      </c>
      <c r="AE1490" s="2">
        <v>48948</v>
      </c>
      <c r="AF1490" s="2">
        <v>48956</v>
      </c>
      <c r="AG1490" s="2">
        <v>48963</v>
      </c>
      <c r="AH1490">
        <v>0</v>
      </c>
      <c r="AI1490" s="3">
        <v>0</v>
      </c>
      <c r="AJ1490" s="1" t="s">
        <v>1635</v>
      </c>
      <c r="AK1490" s="2" t="s">
        <v>1635</v>
      </c>
      <c r="AL1490" s="4" t="s">
        <v>1658</v>
      </c>
      <c r="AM1490" s="5" t="s">
        <v>1658</v>
      </c>
      <c r="AN1490" s="4">
        <v>2700</v>
      </c>
      <c r="AO1490" t="s">
        <v>1635</v>
      </c>
      <c r="AP1490" s="4" t="s">
        <v>1658</v>
      </c>
      <c r="AQ1490" t="s">
        <v>1619</v>
      </c>
      <c r="AR1490" t="s">
        <v>1620</v>
      </c>
      <c r="AT1490" s="16">
        <f>_xlfn.XLOOKUP(B1490,'SWiSH Demand Forecast Sep-26'!D:D,'SWiSH Demand Forecast Sep-26'!G:G,"Not Exist")</f>
        <v>43959</v>
      </c>
    </row>
    <row r="1491" spans="1:46" x14ac:dyDescent="0.3">
      <c r="A1491">
        <v>106800340</v>
      </c>
      <c r="B1491" t="s">
        <v>3304</v>
      </c>
      <c r="C1491" t="s">
        <v>10</v>
      </c>
      <c r="D1491" t="s">
        <v>1613</v>
      </c>
      <c r="E1491" t="s">
        <v>1663</v>
      </c>
      <c r="F1491" t="s">
        <v>1664</v>
      </c>
      <c r="G1491" t="s">
        <v>1624</v>
      </c>
      <c r="H1491" t="s">
        <v>1665</v>
      </c>
      <c r="I1491" t="s">
        <v>1634</v>
      </c>
      <c r="J1491" t="s">
        <v>10</v>
      </c>
      <c r="K1491">
        <v>2E-3</v>
      </c>
      <c r="L1491">
        <v>200</v>
      </c>
      <c r="M1491" s="1">
        <v>7</v>
      </c>
      <c r="N1491">
        <v>0</v>
      </c>
      <c r="O1491">
        <v>0</v>
      </c>
      <c r="P1491">
        <v>100000</v>
      </c>
      <c r="Q1491" s="1">
        <v>100000</v>
      </c>
      <c r="R1491">
        <v>2E-3</v>
      </c>
      <c r="S1491" s="2">
        <v>46148</v>
      </c>
      <c r="T1491" s="2">
        <v>46183</v>
      </c>
      <c r="U1491">
        <v>0</v>
      </c>
      <c r="V1491">
        <v>0</v>
      </c>
      <c r="W1491">
        <v>1000</v>
      </c>
      <c r="X1491">
        <v>0</v>
      </c>
      <c r="Y1491">
        <v>0</v>
      </c>
      <c r="Z1491" s="8">
        <v>1000</v>
      </c>
      <c r="AA1491">
        <v>250</v>
      </c>
      <c r="AB1491">
        <v>0</v>
      </c>
      <c r="AC1491">
        <v>4</v>
      </c>
      <c r="AD1491" s="1">
        <v>3000</v>
      </c>
      <c r="AE1491" s="2">
        <v>49248</v>
      </c>
      <c r="AF1491" s="2">
        <v>49256</v>
      </c>
      <c r="AG1491" s="2">
        <v>49263</v>
      </c>
      <c r="AH1491">
        <v>0</v>
      </c>
      <c r="AI1491" s="3">
        <v>0</v>
      </c>
      <c r="AJ1491" s="1" t="s">
        <v>1635</v>
      </c>
      <c r="AK1491" s="2" t="s">
        <v>1635</v>
      </c>
      <c r="AL1491" s="4">
        <v>30</v>
      </c>
      <c r="AM1491" s="5">
        <v>15</v>
      </c>
      <c r="AN1491" s="4">
        <v>3000</v>
      </c>
      <c r="AO1491">
        <v>0</v>
      </c>
      <c r="AP1491" s="4">
        <v>1</v>
      </c>
      <c r="AQ1491" t="s">
        <v>1619</v>
      </c>
      <c r="AR1491" t="s">
        <v>1620</v>
      </c>
      <c r="AT1491" s="16" t="str">
        <f>_xlfn.XLOOKUP(B1491,'SWiSH Demand Forecast Sep-26'!D:D,'SWiSH Demand Forecast Sep-26'!G:G,"Not Exist")</f>
        <v>Not Exist</v>
      </c>
    </row>
    <row r="1492" spans="1:46" hidden="1" x14ac:dyDescent="0.3">
      <c r="A1492">
        <v>107400058</v>
      </c>
      <c r="B1492" t="s">
        <v>247</v>
      </c>
      <c r="C1492" t="s">
        <v>10</v>
      </c>
      <c r="D1492" t="s">
        <v>1699</v>
      </c>
      <c r="E1492" t="s">
        <v>1663</v>
      </c>
      <c r="F1492" t="s">
        <v>1664</v>
      </c>
      <c r="G1492" t="s">
        <v>1624</v>
      </c>
      <c r="H1492" t="s">
        <v>2016</v>
      </c>
      <c r="I1492" t="s">
        <v>1634</v>
      </c>
      <c r="J1492" t="s">
        <v>10</v>
      </c>
      <c r="K1492">
        <v>6.0000000000000001E-3</v>
      </c>
      <c r="L1492">
        <v>750</v>
      </c>
      <c r="M1492" s="1">
        <v>15</v>
      </c>
      <c r="N1492">
        <v>0</v>
      </c>
      <c r="O1492">
        <v>0</v>
      </c>
      <c r="P1492">
        <v>125000</v>
      </c>
      <c r="Q1492" s="1">
        <v>125000</v>
      </c>
      <c r="R1492">
        <v>6.0000000000000001E-3</v>
      </c>
      <c r="S1492" s="2">
        <v>46069</v>
      </c>
      <c r="T1492" s="2">
        <v>46155</v>
      </c>
      <c r="U1492">
        <v>1000</v>
      </c>
      <c r="V1492">
        <v>1000</v>
      </c>
      <c r="W1492">
        <v>0</v>
      </c>
      <c r="X1492">
        <v>0</v>
      </c>
      <c r="Y1492">
        <v>0</v>
      </c>
      <c r="Z1492" s="8">
        <v>1000</v>
      </c>
      <c r="AA1492">
        <v>500</v>
      </c>
      <c r="AB1492">
        <v>0</v>
      </c>
      <c r="AC1492">
        <v>2</v>
      </c>
      <c r="AD1492" s="1">
        <v>3750</v>
      </c>
      <c r="AE1492" s="2">
        <v>49998</v>
      </c>
      <c r="AF1492" s="2">
        <v>50006</v>
      </c>
      <c r="AG1492" s="2">
        <v>50013</v>
      </c>
      <c r="AH1492">
        <v>0</v>
      </c>
      <c r="AI1492" s="3">
        <v>0</v>
      </c>
      <c r="AJ1492" s="1" t="s">
        <v>1635</v>
      </c>
      <c r="AK1492" s="2" t="s">
        <v>1635</v>
      </c>
      <c r="AL1492" s="4" t="s">
        <v>1658</v>
      </c>
      <c r="AM1492" s="5" t="s">
        <v>1658</v>
      </c>
      <c r="AN1492" s="4">
        <v>3750</v>
      </c>
      <c r="AO1492" t="s">
        <v>1635</v>
      </c>
      <c r="AP1492" s="4" t="s">
        <v>1658</v>
      </c>
      <c r="AQ1492" t="s">
        <v>1619</v>
      </c>
      <c r="AR1492" t="s">
        <v>1620</v>
      </c>
      <c r="AT1492" s="16">
        <f>_xlfn.XLOOKUP(B1492,'SWiSH Demand Forecast Sep-26'!D:D,'SWiSH Demand Forecast Sep-26'!G:G,"Not Exist")</f>
        <v>6940</v>
      </c>
    </row>
    <row r="1493" spans="1:46" x14ac:dyDescent="0.3">
      <c r="A1493">
        <v>107400085</v>
      </c>
      <c r="B1493" t="s">
        <v>3305</v>
      </c>
      <c r="C1493" t="s">
        <v>10</v>
      </c>
      <c r="D1493" t="s">
        <v>1699</v>
      </c>
      <c r="E1493" t="s">
        <v>1663</v>
      </c>
      <c r="F1493" t="s">
        <v>1664</v>
      </c>
      <c r="G1493" t="s">
        <v>1624</v>
      </c>
      <c r="H1493" t="s">
        <v>2016</v>
      </c>
      <c r="I1493" t="s">
        <v>1634</v>
      </c>
      <c r="J1493" t="s">
        <v>10</v>
      </c>
      <c r="K1493">
        <v>5.0000000000000001E-3</v>
      </c>
      <c r="L1493">
        <v>488</v>
      </c>
      <c r="M1493" s="1">
        <v>15</v>
      </c>
      <c r="N1493">
        <v>0</v>
      </c>
      <c r="O1493">
        <v>0</v>
      </c>
      <c r="P1493">
        <v>97600</v>
      </c>
      <c r="Q1493" s="1">
        <v>97600</v>
      </c>
      <c r="R1493">
        <v>5.0000000000000001E-3</v>
      </c>
      <c r="S1493" s="2">
        <v>46085</v>
      </c>
      <c r="T1493" s="2">
        <v>46134</v>
      </c>
      <c r="U1493">
        <v>500</v>
      </c>
      <c r="V1493">
        <v>0</v>
      </c>
      <c r="W1493">
        <v>0</v>
      </c>
      <c r="X1493">
        <v>0</v>
      </c>
      <c r="Y1493">
        <v>0</v>
      </c>
      <c r="Z1493" s="8">
        <v>500</v>
      </c>
      <c r="AA1493">
        <v>125</v>
      </c>
      <c r="AB1493">
        <v>0</v>
      </c>
      <c r="AC1493">
        <v>4</v>
      </c>
      <c r="AD1493" s="1">
        <v>5856</v>
      </c>
      <c r="AE1493" s="2">
        <v>52104</v>
      </c>
      <c r="AF1493" s="2">
        <v>52112</v>
      </c>
      <c r="AG1493" s="2">
        <v>52119</v>
      </c>
      <c r="AH1493">
        <v>0</v>
      </c>
      <c r="AI1493" s="3">
        <v>0</v>
      </c>
      <c r="AJ1493" s="1" t="s">
        <v>1635</v>
      </c>
      <c r="AK1493" s="2" t="s">
        <v>1635</v>
      </c>
      <c r="AL1493" s="4" t="s">
        <v>1658</v>
      </c>
      <c r="AM1493" s="5" t="s">
        <v>1658</v>
      </c>
      <c r="AN1493" s="4">
        <v>5856</v>
      </c>
      <c r="AO1493" t="s">
        <v>1635</v>
      </c>
      <c r="AP1493" s="4" t="s">
        <v>1658</v>
      </c>
      <c r="AQ1493" t="s">
        <v>1619</v>
      </c>
      <c r="AR1493" t="s">
        <v>1620</v>
      </c>
      <c r="AT1493" s="16" t="str">
        <f>_xlfn.XLOOKUP(B1493,'SWiSH Demand Forecast Sep-26'!D:D,'SWiSH Demand Forecast Sep-26'!G:G,"Not Exist")</f>
        <v>Not Exist</v>
      </c>
    </row>
    <row r="1494" spans="1:46" x14ac:dyDescent="0.3">
      <c r="A1494">
        <v>100400126</v>
      </c>
      <c r="B1494" t="s">
        <v>3306</v>
      </c>
      <c r="C1494" t="s">
        <v>10</v>
      </c>
      <c r="D1494" t="s">
        <v>1629</v>
      </c>
      <c r="E1494" t="s">
        <v>3307</v>
      </c>
      <c r="F1494" t="s">
        <v>1631</v>
      </c>
      <c r="G1494" t="s">
        <v>1632</v>
      </c>
      <c r="H1494" t="s">
        <v>1810</v>
      </c>
      <c r="I1494" t="s">
        <v>1634</v>
      </c>
      <c r="J1494" t="s">
        <v>2487</v>
      </c>
      <c r="K1494">
        <v>2.5000000000000001E-2</v>
      </c>
      <c r="L1494">
        <v>0</v>
      </c>
      <c r="M1494" s="1">
        <v>3</v>
      </c>
      <c r="N1494">
        <v>0</v>
      </c>
      <c r="O1494">
        <v>0</v>
      </c>
      <c r="P1494">
        <v>0</v>
      </c>
      <c r="Q1494" s="1">
        <v>0</v>
      </c>
      <c r="R1494">
        <v>2.5</v>
      </c>
      <c r="S1494" s="2">
        <v>45978</v>
      </c>
      <c r="T1494" s="2">
        <v>45990</v>
      </c>
      <c r="U1494">
        <v>0</v>
      </c>
      <c r="V1494">
        <v>0</v>
      </c>
      <c r="W1494">
        <v>0</v>
      </c>
      <c r="X1494">
        <v>0</v>
      </c>
      <c r="Y1494">
        <v>0</v>
      </c>
      <c r="Z1494" s="8">
        <v>0</v>
      </c>
      <c r="AA1494">
        <v>0</v>
      </c>
      <c r="AB1494" t="s">
        <v>1635</v>
      </c>
      <c r="AC1494" t="s">
        <v>1635</v>
      </c>
      <c r="AD1494" s="1" t="s">
        <v>1635</v>
      </c>
      <c r="AE1494" s="2" t="s">
        <v>1635</v>
      </c>
      <c r="AF1494" s="2" t="s">
        <v>1635</v>
      </c>
      <c r="AG1494" s="2" t="s">
        <v>1635</v>
      </c>
      <c r="AH1494">
        <v>0</v>
      </c>
      <c r="AI1494" s="3" t="s">
        <v>1635</v>
      </c>
      <c r="AJ1494" s="1" t="s">
        <v>1635</v>
      </c>
      <c r="AK1494" s="2" t="s">
        <v>1635</v>
      </c>
      <c r="AL1494" s="4" t="s">
        <v>1636</v>
      </c>
      <c r="AM1494" s="5" t="s">
        <v>1636</v>
      </c>
      <c r="AN1494" s="4">
        <v>0</v>
      </c>
      <c r="AO1494" t="s">
        <v>1635</v>
      </c>
      <c r="AP1494" s="4" t="s">
        <v>1636</v>
      </c>
      <c r="AQ1494" t="s">
        <v>1619</v>
      </c>
      <c r="AR1494" t="s">
        <v>1620</v>
      </c>
      <c r="AT1494" s="16" t="str">
        <f>_xlfn.XLOOKUP(B1494,'SWiSH Demand Forecast Sep-26'!D:D,'SWiSH Demand Forecast Sep-26'!G:G,"Not Exist")</f>
        <v>Not Exist</v>
      </c>
    </row>
    <row r="1495" spans="1:46" x14ac:dyDescent="0.3">
      <c r="A1495">
        <v>100400011</v>
      </c>
      <c r="B1495" t="s">
        <v>3308</v>
      </c>
      <c r="C1495" t="s">
        <v>10</v>
      </c>
      <c r="D1495" t="s">
        <v>1629</v>
      </c>
      <c r="E1495" t="s">
        <v>1732</v>
      </c>
      <c r="F1495" t="s">
        <v>1631</v>
      </c>
      <c r="G1495" t="s">
        <v>1632</v>
      </c>
      <c r="H1495" t="s">
        <v>1810</v>
      </c>
      <c r="I1495" t="s">
        <v>1634</v>
      </c>
      <c r="J1495">
        <v>0</v>
      </c>
      <c r="K1495">
        <v>1.45</v>
      </c>
      <c r="L1495">
        <v>0</v>
      </c>
      <c r="M1495" s="1">
        <v>3</v>
      </c>
      <c r="N1495">
        <v>0</v>
      </c>
      <c r="O1495">
        <v>0</v>
      </c>
      <c r="P1495">
        <v>0</v>
      </c>
      <c r="Q1495" s="1">
        <v>0</v>
      </c>
      <c r="R1495">
        <v>1.45</v>
      </c>
      <c r="S1495" s="2">
        <v>45246</v>
      </c>
      <c r="T1495" s="2">
        <v>46054</v>
      </c>
      <c r="U1495">
        <v>0</v>
      </c>
      <c r="V1495">
        <v>0</v>
      </c>
      <c r="W1495">
        <v>0</v>
      </c>
      <c r="X1495">
        <v>0</v>
      </c>
      <c r="Y1495">
        <v>0</v>
      </c>
      <c r="Z1495" s="8">
        <v>0</v>
      </c>
      <c r="AA1495">
        <v>0</v>
      </c>
      <c r="AB1495" t="s">
        <v>1635</v>
      </c>
      <c r="AC1495" t="s">
        <v>1635</v>
      </c>
      <c r="AD1495" s="1" t="s">
        <v>1635</v>
      </c>
      <c r="AE1495" s="2" t="s">
        <v>1635</v>
      </c>
      <c r="AF1495" s="2" t="s">
        <v>1635</v>
      </c>
      <c r="AG1495" s="2" t="s">
        <v>1635</v>
      </c>
      <c r="AH1495">
        <v>0</v>
      </c>
      <c r="AI1495" s="3" t="s">
        <v>1635</v>
      </c>
      <c r="AJ1495" s="1" t="s">
        <v>1635</v>
      </c>
      <c r="AK1495" s="2" t="s">
        <v>1635</v>
      </c>
      <c r="AL1495" s="4" t="s">
        <v>1636</v>
      </c>
      <c r="AM1495" s="5" t="s">
        <v>1636</v>
      </c>
      <c r="AN1495" s="4">
        <v>0</v>
      </c>
      <c r="AO1495" t="s">
        <v>1635</v>
      </c>
      <c r="AP1495" s="4" t="s">
        <v>1636</v>
      </c>
      <c r="AQ1495" t="s">
        <v>1619</v>
      </c>
      <c r="AR1495" t="s">
        <v>1620</v>
      </c>
      <c r="AT1495" s="16" t="str">
        <f>_xlfn.XLOOKUP(B1495,'SWiSH Demand Forecast Sep-26'!D:D,'SWiSH Demand Forecast Sep-26'!G:G,"Not Exist")</f>
        <v>Not Exist</v>
      </c>
    </row>
    <row r="1496" spans="1:46" x14ac:dyDescent="0.3">
      <c r="A1496">
        <v>107400026</v>
      </c>
      <c r="B1496" t="s">
        <v>3309</v>
      </c>
      <c r="C1496" t="s">
        <v>10</v>
      </c>
      <c r="D1496" t="s">
        <v>1629</v>
      </c>
      <c r="E1496" t="s">
        <v>1685</v>
      </c>
      <c r="F1496" t="s">
        <v>1664</v>
      </c>
      <c r="G1496" t="s">
        <v>1690</v>
      </c>
      <c r="H1496" t="s">
        <v>2016</v>
      </c>
      <c r="I1496" t="s">
        <v>1634</v>
      </c>
      <c r="J1496" t="s">
        <v>10</v>
      </c>
      <c r="K1496">
        <v>6.0000000000000001E-3</v>
      </c>
      <c r="L1496">
        <v>0</v>
      </c>
      <c r="M1496" s="1">
        <v>15</v>
      </c>
      <c r="N1496">
        <v>0</v>
      </c>
      <c r="O1496">
        <v>0</v>
      </c>
      <c r="P1496">
        <v>0</v>
      </c>
      <c r="Q1496" s="1">
        <v>0</v>
      </c>
      <c r="R1496">
        <v>6.0000000000000001E-3</v>
      </c>
      <c r="S1496" s="2">
        <v>45823</v>
      </c>
      <c r="T1496" s="2">
        <v>46150</v>
      </c>
      <c r="U1496">
        <v>0</v>
      </c>
      <c r="V1496">
        <v>0</v>
      </c>
      <c r="W1496">
        <v>0</v>
      </c>
      <c r="X1496">
        <v>0</v>
      </c>
      <c r="Y1496">
        <v>0</v>
      </c>
      <c r="Z1496" s="8">
        <v>0</v>
      </c>
      <c r="AA1496">
        <v>0</v>
      </c>
      <c r="AB1496" t="s">
        <v>1635</v>
      </c>
      <c r="AC1496" t="s">
        <v>1635</v>
      </c>
      <c r="AD1496" s="1" t="s">
        <v>1635</v>
      </c>
      <c r="AE1496" s="2" t="s">
        <v>1635</v>
      </c>
      <c r="AF1496" s="2" t="s">
        <v>1635</v>
      </c>
      <c r="AG1496" s="2" t="s">
        <v>1635</v>
      </c>
      <c r="AH1496">
        <v>0</v>
      </c>
      <c r="AI1496" s="3" t="s">
        <v>1635</v>
      </c>
      <c r="AJ1496" s="1" t="s">
        <v>1635</v>
      </c>
      <c r="AK1496" s="2" t="s">
        <v>1635</v>
      </c>
      <c r="AL1496" s="4" t="s">
        <v>1636</v>
      </c>
      <c r="AM1496" s="5" t="s">
        <v>1636</v>
      </c>
      <c r="AN1496" s="4">
        <v>0</v>
      </c>
      <c r="AO1496" t="s">
        <v>1635</v>
      </c>
      <c r="AP1496" s="4" t="s">
        <v>1636</v>
      </c>
      <c r="AQ1496" t="s">
        <v>1619</v>
      </c>
      <c r="AR1496" t="s">
        <v>1620</v>
      </c>
      <c r="AT1496" s="16" t="str">
        <f>_xlfn.XLOOKUP(B1496,'SWiSH Demand Forecast Sep-26'!D:D,'SWiSH Demand Forecast Sep-26'!G:G,"Not Exist")</f>
        <v>Not Exist</v>
      </c>
    </row>
    <row r="1497" spans="1:46" hidden="1" x14ac:dyDescent="0.3">
      <c r="A1497">
        <v>103100009</v>
      </c>
      <c r="B1497" t="s">
        <v>950</v>
      </c>
      <c r="C1497" t="s">
        <v>10</v>
      </c>
      <c r="D1497" t="s">
        <v>1629</v>
      </c>
      <c r="E1497" t="s">
        <v>1638</v>
      </c>
      <c r="F1497" t="s">
        <v>1752</v>
      </c>
      <c r="G1497" t="s">
        <v>1681</v>
      </c>
      <c r="H1497" t="s">
        <v>1869</v>
      </c>
      <c r="I1497" t="s">
        <v>1754</v>
      </c>
      <c r="J1497">
        <v>0</v>
      </c>
      <c r="K1497">
        <v>0.10416667</v>
      </c>
      <c r="L1497">
        <v>0</v>
      </c>
      <c r="M1497" s="1">
        <v>3</v>
      </c>
      <c r="N1497">
        <v>0</v>
      </c>
      <c r="O1497">
        <v>0</v>
      </c>
      <c r="P1497">
        <v>0</v>
      </c>
      <c r="Q1497" s="1">
        <v>0</v>
      </c>
      <c r="R1497">
        <v>7.5</v>
      </c>
      <c r="S1497" s="2">
        <v>43855</v>
      </c>
      <c r="T1497" s="2">
        <v>46259</v>
      </c>
      <c r="U1497">
        <v>0</v>
      </c>
      <c r="V1497">
        <v>0</v>
      </c>
      <c r="W1497">
        <v>0</v>
      </c>
      <c r="X1497">
        <v>0</v>
      </c>
      <c r="Y1497">
        <v>0</v>
      </c>
      <c r="Z1497" s="8">
        <v>0</v>
      </c>
      <c r="AA1497">
        <v>0</v>
      </c>
      <c r="AB1497" t="s">
        <v>1635</v>
      </c>
      <c r="AC1497" t="s">
        <v>1635</v>
      </c>
      <c r="AD1497" s="1" t="s">
        <v>1635</v>
      </c>
      <c r="AE1497" s="2" t="s">
        <v>1635</v>
      </c>
      <c r="AF1497" s="2" t="s">
        <v>1635</v>
      </c>
      <c r="AG1497" s="2" t="s">
        <v>1635</v>
      </c>
      <c r="AH1497">
        <v>0</v>
      </c>
      <c r="AI1497" s="3" t="s">
        <v>1635</v>
      </c>
      <c r="AJ1497" s="1" t="s">
        <v>1635</v>
      </c>
      <c r="AK1497" s="2" t="s">
        <v>1635</v>
      </c>
      <c r="AL1497" s="4" t="s">
        <v>1636</v>
      </c>
      <c r="AM1497" s="5" t="s">
        <v>1636</v>
      </c>
      <c r="AN1497" s="4">
        <v>0</v>
      </c>
      <c r="AO1497" t="s">
        <v>1635</v>
      </c>
      <c r="AP1497" s="4" t="s">
        <v>1636</v>
      </c>
      <c r="AQ1497" t="s">
        <v>1619</v>
      </c>
      <c r="AR1497" t="s">
        <v>1620</v>
      </c>
      <c r="AS1497" t="s">
        <v>1666</v>
      </c>
      <c r="AT1497" s="16">
        <f>_xlfn.XLOOKUP(B1497,'SWiSH Demand Forecast Sep-26'!D:D,'SWiSH Demand Forecast Sep-26'!G:G,"Not Exist")</f>
        <v>194</v>
      </c>
    </row>
    <row r="1498" spans="1:46" x14ac:dyDescent="0.3">
      <c r="A1498">
        <v>103400018</v>
      </c>
      <c r="B1498" t="s">
        <v>3310</v>
      </c>
      <c r="C1498" t="s">
        <v>136</v>
      </c>
      <c r="D1498" t="s">
        <v>1629</v>
      </c>
      <c r="E1498" t="s">
        <v>1655</v>
      </c>
      <c r="F1498" t="s">
        <v>1752</v>
      </c>
      <c r="G1498" t="s">
        <v>1678</v>
      </c>
      <c r="H1498" t="s">
        <v>1931</v>
      </c>
      <c r="I1498" t="s">
        <v>1754</v>
      </c>
      <c r="J1498" t="s">
        <v>1959</v>
      </c>
      <c r="K1498">
        <v>0.74999998999999995</v>
      </c>
      <c r="L1498">
        <v>0</v>
      </c>
      <c r="M1498" s="1">
        <v>3</v>
      </c>
      <c r="N1498">
        <v>0</v>
      </c>
      <c r="O1498">
        <v>0</v>
      </c>
      <c r="P1498">
        <v>0</v>
      </c>
      <c r="Q1498" s="1">
        <v>0</v>
      </c>
      <c r="R1498">
        <v>5.7</v>
      </c>
      <c r="S1498" s="2">
        <v>45990</v>
      </c>
      <c r="T1498" s="2">
        <v>46095</v>
      </c>
      <c r="U1498">
        <v>0</v>
      </c>
      <c r="V1498">
        <v>0</v>
      </c>
      <c r="W1498">
        <v>0</v>
      </c>
      <c r="X1498">
        <v>0</v>
      </c>
      <c r="Y1498">
        <v>0</v>
      </c>
      <c r="Z1498" s="8">
        <v>0</v>
      </c>
      <c r="AA1498">
        <v>0</v>
      </c>
      <c r="AB1498" t="s">
        <v>1635</v>
      </c>
      <c r="AC1498" t="s">
        <v>1635</v>
      </c>
      <c r="AD1498" s="1" t="s">
        <v>1635</v>
      </c>
      <c r="AE1498" s="2" t="s">
        <v>1635</v>
      </c>
      <c r="AF1498" s="2" t="s">
        <v>1635</v>
      </c>
      <c r="AG1498" s="2" t="s">
        <v>1635</v>
      </c>
      <c r="AH1498">
        <v>0</v>
      </c>
      <c r="AI1498" s="3" t="s">
        <v>1635</v>
      </c>
      <c r="AJ1498" s="1" t="s">
        <v>1635</v>
      </c>
      <c r="AK1498" s="2" t="s">
        <v>1635</v>
      </c>
      <c r="AL1498" s="4" t="s">
        <v>1636</v>
      </c>
      <c r="AM1498" s="5" t="s">
        <v>1636</v>
      </c>
      <c r="AN1498" s="4">
        <v>0</v>
      </c>
      <c r="AO1498" t="s">
        <v>1635</v>
      </c>
      <c r="AP1498" s="4" t="s">
        <v>1636</v>
      </c>
      <c r="AQ1498" t="s">
        <v>1619</v>
      </c>
      <c r="AR1498" t="s">
        <v>1620</v>
      </c>
      <c r="AT1498" s="16" t="str">
        <f>_xlfn.XLOOKUP(B1498,'SWiSH Demand Forecast Sep-26'!D:D,'SWiSH Demand Forecast Sep-26'!G:G,"Not Exist")</f>
        <v>Not Exist</v>
      </c>
    </row>
    <row r="1499" spans="1:46" x14ac:dyDescent="0.3">
      <c r="A1499">
        <v>101700004</v>
      </c>
      <c r="B1499" t="s">
        <v>3311</v>
      </c>
      <c r="C1499" t="s">
        <v>136</v>
      </c>
      <c r="D1499" t="s">
        <v>1629</v>
      </c>
      <c r="E1499" t="s">
        <v>1663</v>
      </c>
      <c r="F1499" t="s">
        <v>1752</v>
      </c>
      <c r="G1499" t="s">
        <v>3312</v>
      </c>
      <c r="H1499" t="s">
        <v>2221</v>
      </c>
      <c r="I1499" t="s">
        <v>1754</v>
      </c>
      <c r="J1499" t="s">
        <v>3313</v>
      </c>
      <c r="K1499">
        <v>0.4</v>
      </c>
      <c r="L1499">
        <v>0</v>
      </c>
      <c r="M1499" s="1">
        <v>3</v>
      </c>
      <c r="N1499">
        <v>0</v>
      </c>
      <c r="O1499">
        <v>0</v>
      </c>
      <c r="P1499">
        <v>0</v>
      </c>
      <c r="Q1499" s="1">
        <v>0</v>
      </c>
      <c r="R1499">
        <v>4</v>
      </c>
      <c r="S1499" s="2">
        <v>45990</v>
      </c>
      <c r="T1499" s="2">
        <v>46054</v>
      </c>
      <c r="U1499">
        <v>0</v>
      </c>
      <c r="V1499">
        <v>0</v>
      </c>
      <c r="W1499">
        <v>0</v>
      </c>
      <c r="X1499">
        <v>0</v>
      </c>
      <c r="Y1499">
        <v>0</v>
      </c>
      <c r="Z1499" s="8">
        <v>0</v>
      </c>
      <c r="AA1499">
        <v>0</v>
      </c>
      <c r="AB1499" t="s">
        <v>1635</v>
      </c>
      <c r="AC1499" t="s">
        <v>1635</v>
      </c>
      <c r="AD1499" s="1" t="s">
        <v>1635</v>
      </c>
      <c r="AE1499" s="2" t="s">
        <v>1635</v>
      </c>
      <c r="AF1499" s="2" t="s">
        <v>1635</v>
      </c>
      <c r="AG1499" s="2" t="s">
        <v>1635</v>
      </c>
      <c r="AH1499">
        <v>0</v>
      </c>
      <c r="AI1499" s="3" t="s">
        <v>1635</v>
      </c>
      <c r="AJ1499" s="1" t="s">
        <v>1635</v>
      </c>
      <c r="AK1499" s="2" t="s">
        <v>1635</v>
      </c>
      <c r="AL1499" s="4" t="s">
        <v>1636</v>
      </c>
      <c r="AM1499" s="5" t="s">
        <v>1636</v>
      </c>
      <c r="AN1499" s="4">
        <v>0</v>
      </c>
      <c r="AO1499" t="s">
        <v>1635</v>
      </c>
      <c r="AP1499" s="4" t="s">
        <v>1636</v>
      </c>
      <c r="AQ1499" t="s">
        <v>1619</v>
      </c>
      <c r="AR1499" t="s">
        <v>1859</v>
      </c>
      <c r="AT1499" s="16" t="str">
        <f>_xlfn.XLOOKUP(B1499,'SWiSH Demand Forecast Sep-26'!D:D,'SWiSH Demand Forecast Sep-26'!G:G,"Not Exist")</f>
        <v>Not Exist</v>
      </c>
    </row>
    <row r="1500" spans="1:46" x14ac:dyDescent="0.3">
      <c r="A1500">
        <v>103100026</v>
      </c>
      <c r="B1500" t="s">
        <v>3314</v>
      </c>
      <c r="C1500" t="s">
        <v>10</v>
      </c>
      <c r="D1500" t="s">
        <v>1629</v>
      </c>
      <c r="E1500" t="s">
        <v>2091</v>
      </c>
      <c r="F1500" t="s">
        <v>1752</v>
      </c>
      <c r="G1500" t="s">
        <v>1690</v>
      </c>
      <c r="H1500" t="s">
        <v>1869</v>
      </c>
      <c r="I1500" t="s">
        <v>1754</v>
      </c>
      <c r="J1500" t="s">
        <v>2618</v>
      </c>
      <c r="K1500">
        <v>0.20277777999999999</v>
      </c>
      <c r="L1500">
        <v>0</v>
      </c>
      <c r="M1500" s="1">
        <v>3</v>
      </c>
      <c r="N1500">
        <v>0</v>
      </c>
      <c r="O1500">
        <v>0</v>
      </c>
      <c r="P1500">
        <v>0</v>
      </c>
      <c r="Q1500" s="1">
        <v>0</v>
      </c>
      <c r="R1500">
        <v>17.34</v>
      </c>
      <c r="S1500" s="2">
        <v>45942</v>
      </c>
      <c r="T1500" s="2">
        <v>46051</v>
      </c>
      <c r="U1500">
        <v>0</v>
      </c>
      <c r="V1500">
        <v>0</v>
      </c>
      <c r="W1500">
        <v>0</v>
      </c>
      <c r="X1500">
        <v>0</v>
      </c>
      <c r="Y1500">
        <v>0</v>
      </c>
      <c r="Z1500" s="8">
        <v>0</v>
      </c>
      <c r="AA1500">
        <v>0</v>
      </c>
      <c r="AB1500" t="s">
        <v>1635</v>
      </c>
      <c r="AC1500" t="s">
        <v>1635</v>
      </c>
      <c r="AD1500" s="1" t="s">
        <v>1635</v>
      </c>
      <c r="AE1500" s="2" t="s">
        <v>1635</v>
      </c>
      <c r="AF1500" s="2" t="s">
        <v>1635</v>
      </c>
      <c r="AG1500" s="2" t="s">
        <v>1635</v>
      </c>
      <c r="AH1500">
        <v>0</v>
      </c>
      <c r="AI1500" s="3" t="s">
        <v>1635</v>
      </c>
      <c r="AJ1500" s="1" t="s">
        <v>1635</v>
      </c>
      <c r="AK1500" s="2" t="s">
        <v>1635</v>
      </c>
      <c r="AL1500" s="4" t="s">
        <v>1636</v>
      </c>
      <c r="AM1500" s="5" t="s">
        <v>1636</v>
      </c>
      <c r="AN1500" s="4">
        <v>0</v>
      </c>
      <c r="AO1500" t="s">
        <v>1635</v>
      </c>
      <c r="AP1500" s="4" t="s">
        <v>1636</v>
      </c>
      <c r="AQ1500" t="s">
        <v>1619</v>
      </c>
      <c r="AR1500" t="s">
        <v>1620</v>
      </c>
      <c r="AT1500" s="16" t="str">
        <f>_xlfn.XLOOKUP(B1500,'SWiSH Demand Forecast Sep-26'!D:D,'SWiSH Demand Forecast Sep-26'!G:G,"Not Exist")</f>
        <v>Not Exist</v>
      </c>
    </row>
    <row r="1501" spans="1:46" x14ac:dyDescent="0.3">
      <c r="A1501">
        <v>106400641</v>
      </c>
      <c r="B1501" t="s">
        <v>3315</v>
      </c>
      <c r="C1501" t="s">
        <v>10</v>
      </c>
      <c r="D1501" t="s">
        <v>1966</v>
      </c>
      <c r="E1501" t="s">
        <v>1655</v>
      </c>
      <c r="F1501" t="s">
        <v>1812</v>
      </c>
      <c r="G1501" t="s">
        <v>1678</v>
      </c>
      <c r="H1501" t="s">
        <v>1764</v>
      </c>
      <c r="I1501" t="s">
        <v>1754</v>
      </c>
      <c r="J1501" t="e">
        <v>#N/A</v>
      </c>
      <c r="K1501">
        <v>8.8783600000000001E-3</v>
      </c>
      <c r="L1501">
        <v>0</v>
      </c>
      <c r="M1501" s="1">
        <v>3</v>
      </c>
      <c r="N1501">
        <v>0</v>
      </c>
      <c r="O1501">
        <v>0</v>
      </c>
      <c r="P1501">
        <v>0</v>
      </c>
      <c r="Q1501" s="1">
        <v>0</v>
      </c>
      <c r="R1501">
        <v>0</v>
      </c>
      <c r="S1501" s="2">
        <v>0</v>
      </c>
      <c r="T1501" s="2">
        <v>46203</v>
      </c>
      <c r="U1501">
        <v>0</v>
      </c>
      <c r="V1501">
        <v>0</v>
      </c>
      <c r="W1501">
        <v>0</v>
      </c>
      <c r="X1501">
        <v>0</v>
      </c>
      <c r="Y1501">
        <v>0</v>
      </c>
      <c r="Z1501" s="8">
        <v>0</v>
      </c>
      <c r="AA1501">
        <v>0</v>
      </c>
      <c r="AB1501" t="s">
        <v>1635</v>
      </c>
      <c r="AC1501" t="s">
        <v>1635</v>
      </c>
      <c r="AD1501" s="1" t="s">
        <v>1635</v>
      </c>
      <c r="AE1501" s="2" t="s">
        <v>1635</v>
      </c>
      <c r="AF1501" s="2" t="s">
        <v>1635</v>
      </c>
      <c r="AG1501" s="2" t="s">
        <v>1635</v>
      </c>
      <c r="AH1501">
        <v>0</v>
      </c>
      <c r="AI1501" s="3" t="s">
        <v>1635</v>
      </c>
      <c r="AJ1501" s="1" t="s">
        <v>1635</v>
      </c>
      <c r="AK1501" s="2" t="s">
        <v>1635</v>
      </c>
      <c r="AL1501" s="4" t="s">
        <v>1658</v>
      </c>
      <c r="AM1501" s="5" t="s">
        <v>1658</v>
      </c>
      <c r="AN1501" s="4">
        <v>0</v>
      </c>
      <c r="AO1501" t="s">
        <v>1635</v>
      </c>
      <c r="AP1501" s="4" t="s">
        <v>1658</v>
      </c>
      <c r="AQ1501" t="s">
        <v>1619</v>
      </c>
      <c r="AR1501" t="s">
        <v>1620</v>
      </c>
      <c r="AT1501" s="16" t="str">
        <f>_xlfn.XLOOKUP(B1501,'SWiSH Demand Forecast Sep-26'!D:D,'SWiSH Demand Forecast Sep-26'!G:G,"Not Exist")</f>
        <v>Not Exist</v>
      </c>
    </row>
    <row r="1502" spans="1:46" x14ac:dyDescent="0.3">
      <c r="A1502">
        <v>102100001</v>
      </c>
      <c r="B1502" t="s">
        <v>3316</v>
      </c>
      <c r="C1502" t="s">
        <v>136</v>
      </c>
      <c r="D1502" t="s">
        <v>1629</v>
      </c>
      <c r="E1502" t="s">
        <v>1677</v>
      </c>
      <c r="F1502" t="s">
        <v>1752</v>
      </c>
      <c r="G1502" t="s">
        <v>1678</v>
      </c>
      <c r="H1502" t="s">
        <v>1939</v>
      </c>
      <c r="I1502" t="s">
        <v>1754</v>
      </c>
      <c r="J1502" t="s">
        <v>3317</v>
      </c>
      <c r="K1502">
        <v>1.4</v>
      </c>
      <c r="L1502">
        <v>0</v>
      </c>
      <c r="M1502" s="1">
        <v>3</v>
      </c>
      <c r="N1502">
        <v>0</v>
      </c>
      <c r="O1502">
        <v>0</v>
      </c>
      <c r="P1502">
        <v>0</v>
      </c>
      <c r="Q1502" s="1">
        <v>0</v>
      </c>
      <c r="R1502">
        <v>14</v>
      </c>
      <c r="S1502" s="2">
        <v>45924</v>
      </c>
      <c r="T1502" s="2">
        <v>45944</v>
      </c>
      <c r="U1502">
        <v>0</v>
      </c>
      <c r="V1502">
        <v>0</v>
      </c>
      <c r="W1502">
        <v>0</v>
      </c>
      <c r="X1502">
        <v>0</v>
      </c>
      <c r="Y1502">
        <v>0</v>
      </c>
      <c r="Z1502" s="8">
        <v>0</v>
      </c>
      <c r="AA1502">
        <v>0</v>
      </c>
      <c r="AB1502" t="s">
        <v>1635</v>
      </c>
      <c r="AC1502" t="s">
        <v>1635</v>
      </c>
      <c r="AD1502" s="1" t="s">
        <v>1635</v>
      </c>
      <c r="AE1502" s="2" t="s">
        <v>1635</v>
      </c>
      <c r="AF1502" s="2" t="s">
        <v>1635</v>
      </c>
      <c r="AG1502" s="2" t="s">
        <v>1635</v>
      </c>
      <c r="AH1502">
        <v>0</v>
      </c>
      <c r="AI1502" s="3" t="s">
        <v>1635</v>
      </c>
      <c r="AJ1502" s="1" t="s">
        <v>1635</v>
      </c>
      <c r="AK1502" s="2" t="s">
        <v>1635</v>
      </c>
      <c r="AL1502" s="4" t="s">
        <v>1636</v>
      </c>
      <c r="AM1502" s="5" t="s">
        <v>1636</v>
      </c>
      <c r="AN1502" s="4">
        <v>0</v>
      </c>
      <c r="AO1502" t="s">
        <v>1635</v>
      </c>
      <c r="AP1502" s="4" t="s">
        <v>1636</v>
      </c>
      <c r="AQ1502" t="s">
        <v>1619</v>
      </c>
      <c r="AR1502" t="s">
        <v>1620</v>
      </c>
      <c r="AT1502" s="16" t="str">
        <f>_xlfn.XLOOKUP(B1502,'SWiSH Demand Forecast Sep-26'!D:D,'SWiSH Demand Forecast Sep-26'!G:G,"Not Exist")</f>
        <v>Not Exist</v>
      </c>
    </row>
    <row r="1503" spans="1:46" x14ac:dyDescent="0.3">
      <c r="A1503">
        <v>101300025</v>
      </c>
      <c r="B1503" t="s">
        <v>3318</v>
      </c>
      <c r="C1503" t="s">
        <v>136</v>
      </c>
      <c r="D1503" t="s">
        <v>1629</v>
      </c>
      <c r="E1503" t="s">
        <v>1879</v>
      </c>
      <c r="F1503" t="s">
        <v>1752</v>
      </c>
      <c r="G1503" t="s">
        <v>1678</v>
      </c>
      <c r="H1503" t="s">
        <v>1980</v>
      </c>
      <c r="I1503" t="s">
        <v>1754</v>
      </c>
      <c r="J1503" t="s">
        <v>136</v>
      </c>
      <c r="K1503">
        <v>1.1000000000000001</v>
      </c>
      <c r="L1503">
        <v>0</v>
      </c>
      <c r="M1503" s="1">
        <v>3</v>
      </c>
      <c r="N1503">
        <v>0</v>
      </c>
      <c r="O1503">
        <v>0</v>
      </c>
      <c r="P1503">
        <v>0</v>
      </c>
      <c r="Q1503" s="1">
        <v>0</v>
      </c>
      <c r="R1503">
        <v>0.61099999999999999</v>
      </c>
      <c r="S1503" s="2">
        <v>45873</v>
      </c>
      <c r="T1503" s="2">
        <v>46081</v>
      </c>
      <c r="U1503">
        <v>0</v>
      </c>
      <c r="V1503">
        <v>0</v>
      </c>
      <c r="W1503">
        <v>0</v>
      </c>
      <c r="X1503">
        <v>0</v>
      </c>
      <c r="Y1503">
        <v>0</v>
      </c>
      <c r="Z1503" s="8">
        <v>0</v>
      </c>
      <c r="AA1503">
        <v>0</v>
      </c>
      <c r="AB1503" t="s">
        <v>1635</v>
      </c>
      <c r="AC1503" t="s">
        <v>1635</v>
      </c>
      <c r="AD1503" s="1" t="s">
        <v>1635</v>
      </c>
      <c r="AE1503" s="2" t="s">
        <v>1635</v>
      </c>
      <c r="AF1503" s="2" t="s">
        <v>1635</v>
      </c>
      <c r="AG1503" s="2" t="s">
        <v>1635</v>
      </c>
      <c r="AH1503">
        <v>0</v>
      </c>
      <c r="AI1503" s="3" t="s">
        <v>1635</v>
      </c>
      <c r="AJ1503" s="1" t="s">
        <v>1635</v>
      </c>
      <c r="AK1503" s="2" t="s">
        <v>1635</v>
      </c>
      <c r="AL1503" s="4" t="s">
        <v>1636</v>
      </c>
      <c r="AM1503" s="5" t="s">
        <v>1636</v>
      </c>
      <c r="AN1503" s="4">
        <v>0</v>
      </c>
      <c r="AO1503" t="s">
        <v>1635</v>
      </c>
      <c r="AP1503" s="4" t="s">
        <v>1636</v>
      </c>
      <c r="AQ1503" t="s">
        <v>1619</v>
      </c>
      <c r="AR1503" t="s">
        <v>1620</v>
      </c>
      <c r="AT1503" s="16" t="str">
        <f>_xlfn.XLOOKUP(B1503,'SWiSH Demand Forecast Sep-26'!D:D,'SWiSH Demand Forecast Sep-26'!G:G,"Not Exist")</f>
        <v>Not Exist</v>
      </c>
    </row>
    <row r="1504" spans="1:46" x14ac:dyDescent="0.3">
      <c r="A1504">
        <v>106200151</v>
      </c>
      <c r="B1504" t="s">
        <v>3319</v>
      </c>
      <c r="C1504" t="s">
        <v>240</v>
      </c>
      <c r="D1504" t="s">
        <v>1629</v>
      </c>
      <c r="E1504" t="s">
        <v>1832</v>
      </c>
      <c r="F1504" t="s">
        <v>1671</v>
      </c>
      <c r="G1504" t="s">
        <v>1686</v>
      </c>
      <c r="H1504" t="s">
        <v>1672</v>
      </c>
      <c r="I1504" t="s">
        <v>1618</v>
      </c>
      <c r="J1504" t="s">
        <v>240</v>
      </c>
      <c r="K1504">
        <v>5.3333333300000003</v>
      </c>
      <c r="L1504">
        <v>0</v>
      </c>
      <c r="M1504" s="1">
        <v>3</v>
      </c>
      <c r="N1504">
        <v>0</v>
      </c>
      <c r="O1504">
        <v>0</v>
      </c>
      <c r="P1504">
        <v>0</v>
      </c>
      <c r="Q1504" s="1">
        <v>0</v>
      </c>
      <c r="R1504">
        <v>4</v>
      </c>
      <c r="S1504" s="2">
        <v>46025</v>
      </c>
      <c r="T1504" s="2">
        <v>46073</v>
      </c>
      <c r="U1504">
        <v>0</v>
      </c>
      <c r="V1504">
        <v>0</v>
      </c>
      <c r="W1504">
        <v>0</v>
      </c>
      <c r="X1504">
        <v>0</v>
      </c>
      <c r="Y1504">
        <v>0</v>
      </c>
      <c r="Z1504" s="8">
        <v>0</v>
      </c>
      <c r="AA1504">
        <v>0</v>
      </c>
      <c r="AB1504" t="s">
        <v>1635</v>
      </c>
      <c r="AC1504" t="s">
        <v>1635</v>
      </c>
      <c r="AD1504" s="1" t="s">
        <v>1635</v>
      </c>
      <c r="AE1504" s="2" t="s">
        <v>1635</v>
      </c>
      <c r="AF1504" s="2" t="s">
        <v>1635</v>
      </c>
      <c r="AG1504" s="2" t="s">
        <v>1635</v>
      </c>
      <c r="AH1504">
        <v>0</v>
      </c>
      <c r="AI1504" s="3" t="s">
        <v>1635</v>
      </c>
      <c r="AJ1504" s="1" t="s">
        <v>1635</v>
      </c>
      <c r="AK1504" s="2" t="s">
        <v>1635</v>
      </c>
      <c r="AL1504" s="4" t="s">
        <v>1636</v>
      </c>
      <c r="AM1504" s="5" t="s">
        <v>1636</v>
      </c>
      <c r="AN1504" s="4">
        <v>0</v>
      </c>
      <c r="AO1504" t="s">
        <v>1635</v>
      </c>
      <c r="AP1504" s="4" t="s">
        <v>1636</v>
      </c>
      <c r="AQ1504" t="s">
        <v>1619</v>
      </c>
      <c r="AR1504" t="s">
        <v>1620</v>
      </c>
      <c r="AT1504" s="16" t="str">
        <f>_xlfn.XLOOKUP(B1504,'SWiSH Demand Forecast Sep-26'!D:D,'SWiSH Demand Forecast Sep-26'!G:G,"Not Exist")</f>
        <v>Not Exist</v>
      </c>
    </row>
    <row r="1505" spans="1:46" x14ac:dyDescent="0.3">
      <c r="A1505">
        <v>103700011</v>
      </c>
      <c r="B1505" t="s">
        <v>3320</v>
      </c>
      <c r="C1505" t="s">
        <v>136</v>
      </c>
      <c r="D1505" t="s">
        <v>1629</v>
      </c>
      <c r="E1505" t="s">
        <v>1732</v>
      </c>
      <c r="F1505" t="s">
        <v>1615</v>
      </c>
      <c r="G1505" t="e">
        <v>#N/A</v>
      </c>
      <c r="H1505" t="s">
        <v>1617</v>
      </c>
      <c r="I1505" t="s">
        <v>1618</v>
      </c>
      <c r="J1505" t="s">
        <v>136</v>
      </c>
      <c r="K1505" t="e">
        <v>#N/A</v>
      </c>
      <c r="L1505" t="e">
        <v>#N/A</v>
      </c>
      <c r="M1505" s="1">
        <v>3</v>
      </c>
      <c r="N1505">
        <v>0</v>
      </c>
      <c r="O1505">
        <v>0</v>
      </c>
      <c r="P1505">
        <v>0</v>
      </c>
      <c r="Q1505" s="1">
        <v>0</v>
      </c>
      <c r="R1505">
        <v>0</v>
      </c>
      <c r="S1505" s="2">
        <v>0</v>
      </c>
      <c r="T1505" s="2">
        <v>46160</v>
      </c>
      <c r="U1505">
        <v>0</v>
      </c>
      <c r="V1505">
        <v>0</v>
      </c>
      <c r="W1505">
        <v>0</v>
      </c>
      <c r="X1505">
        <v>0</v>
      </c>
      <c r="Y1505">
        <v>0</v>
      </c>
      <c r="Z1505" s="8">
        <v>0</v>
      </c>
      <c r="AA1505">
        <v>0</v>
      </c>
      <c r="AB1505" t="s">
        <v>1635</v>
      </c>
      <c r="AC1505" t="s">
        <v>1635</v>
      </c>
      <c r="AD1505" s="1" t="s">
        <v>1635</v>
      </c>
      <c r="AE1505" s="2" t="s">
        <v>1635</v>
      </c>
      <c r="AF1505" s="2" t="s">
        <v>1635</v>
      </c>
      <c r="AG1505" s="2" t="s">
        <v>1635</v>
      </c>
      <c r="AH1505">
        <v>0</v>
      </c>
      <c r="AI1505" s="3" t="s">
        <v>1635</v>
      </c>
      <c r="AJ1505" s="1" t="s">
        <v>1635</v>
      </c>
      <c r="AK1505" s="2" t="s">
        <v>1635</v>
      </c>
      <c r="AL1505" s="4" t="s">
        <v>1636</v>
      </c>
      <c r="AM1505" s="5" t="s">
        <v>1636</v>
      </c>
      <c r="AN1505" s="4">
        <v>0</v>
      </c>
      <c r="AO1505" t="s">
        <v>1635</v>
      </c>
      <c r="AP1505" s="4" t="s">
        <v>1636</v>
      </c>
      <c r="AQ1505" t="s">
        <v>1619</v>
      </c>
      <c r="AR1505" t="s">
        <v>1620</v>
      </c>
      <c r="AS1505" t="s">
        <v>1666</v>
      </c>
      <c r="AT1505" s="16" t="str">
        <f>_xlfn.XLOOKUP(B1505,'SWiSH Demand Forecast Sep-26'!D:D,'SWiSH Demand Forecast Sep-26'!G:G,"Not Exist")</f>
        <v>Not Exist</v>
      </c>
    </row>
    <row r="1506" spans="1:46" x14ac:dyDescent="0.3">
      <c r="A1506" t="s">
        <v>3321</v>
      </c>
      <c r="B1506" t="s">
        <v>3322</v>
      </c>
      <c r="C1506" t="s">
        <v>136</v>
      </c>
      <c r="D1506" t="s">
        <v>1629</v>
      </c>
      <c r="E1506" t="s">
        <v>3323</v>
      </c>
      <c r="F1506" t="s">
        <v>1752</v>
      </c>
      <c r="G1506" t="e">
        <v>#N/A</v>
      </c>
      <c r="H1506" t="s">
        <v>1931</v>
      </c>
      <c r="I1506" t="s">
        <v>1754</v>
      </c>
      <c r="J1506" t="s">
        <v>3324</v>
      </c>
      <c r="K1506" t="e">
        <v>#N/A</v>
      </c>
      <c r="L1506" t="e">
        <v>#N/A</v>
      </c>
      <c r="M1506" s="1">
        <v>3</v>
      </c>
      <c r="N1506">
        <v>0</v>
      </c>
      <c r="O1506">
        <v>0</v>
      </c>
      <c r="P1506">
        <v>0</v>
      </c>
      <c r="Q1506" s="1">
        <v>0</v>
      </c>
      <c r="R1506" t="e">
        <v>#N/A</v>
      </c>
      <c r="S1506" s="2" t="e">
        <v>#N/A</v>
      </c>
      <c r="T1506" s="2" t="e">
        <v>#N/A</v>
      </c>
      <c r="U1506">
        <v>0</v>
      </c>
      <c r="V1506">
        <v>0</v>
      </c>
      <c r="W1506">
        <v>0</v>
      </c>
      <c r="X1506">
        <v>0</v>
      </c>
      <c r="Y1506">
        <v>0</v>
      </c>
      <c r="Z1506" s="8">
        <v>0</v>
      </c>
      <c r="AA1506">
        <v>0</v>
      </c>
      <c r="AB1506" t="s">
        <v>1635</v>
      </c>
      <c r="AC1506" t="s">
        <v>1635</v>
      </c>
      <c r="AD1506" s="1" t="s">
        <v>1635</v>
      </c>
      <c r="AE1506" s="2" t="s">
        <v>1635</v>
      </c>
      <c r="AF1506" s="2" t="s">
        <v>1635</v>
      </c>
      <c r="AG1506" s="2" t="s">
        <v>1635</v>
      </c>
      <c r="AH1506">
        <v>0</v>
      </c>
      <c r="AI1506" s="3" t="s">
        <v>1635</v>
      </c>
      <c r="AJ1506" s="1" t="s">
        <v>1635</v>
      </c>
      <c r="AK1506" s="2" t="s">
        <v>1635</v>
      </c>
      <c r="AL1506" s="4" t="s">
        <v>1636</v>
      </c>
      <c r="AM1506" s="5" t="s">
        <v>1636</v>
      </c>
      <c r="AN1506" s="4">
        <v>0</v>
      </c>
      <c r="AO1506" t="s">
        <v>1635</v>
      </c>
      <c r="AP1506" s="4" t="s">
        <v>1636</v>
      </c>
      <c r="AQ1506" t="s">
        <v>1619</v>
      </c>
      <c r="AR1506" t="s">
        <v>1620</v>
      </c>
      <c r="AT1506" s="16" t="str">
        <f>_xlfn.XLOOKUP(B1506,'SWiSH Demand Forecast Sep-26'!D:D,'SWiSH Demand Forecast Sep-26'!G:G,"Not Exist")</f>
        <v>Not Exist</v>
      </c>
    </row>
    <row r="1507" spans="1:46" x14ac:dyDescent="0.3">
      <c r="A1507">
        <v>104800010</v>
      </c>
      <c r="B1507" t="s">
        <v>3325</v>
      </c>
      <c r="C1507" t="s">
        <v>10</v>
      </c>
      <c r="D1507" t="s">
        <v>1629</v>
      </c>
      <c r="E1507" t="s">
        <v>1707</v>
      </c>
      <c r="F1507" t="s">
        <v>1639</v>
      </c>
      <c r="G1507" t="s">
        <v>1632</v>
      </c>
      <c r="H1507" t="s">
        <v>1687</v>
      </c>
      <c r="I1507" t="s">
        <v>1618</v>
      </c>
      <c r="J1507" t="s">
        <v>10</v>
      </c>
      <c r="K1507">
        <v>0.8</v>
      </c>
      <c r="L1507">
        <v>0</v>
      </c>
      <c r="M1507" s="1">
        <v>3</v>
      </c>
      <c r="N1507">
        <v>0</v>
      </c>
      <c r="O1507">
        <v>0</v>
      </c>
      <c r="P1507">
        <v>0</v>
      </c>
      <c r="Q1507" s="1">
        <v>0</v>
      </c>
      <c r="R1507">
        <v>0.8</v>
      </c>
      <c r="S1507" s="2">
        <v>45938</v>
      </c>
      <c r="T1507" s="2">
        <v>46054</v>
      </c>
      <c r="U1507">
        <v>0</v>
      </c>
      <c r="V1507">
        <v>0</v>
      </c>
      <c r="W1507">
        <v>0</v>
      </c>
      <c r="X1507">
        <v>0</v>
      </c>
      <c r="Y1507">
        <v>0</v>
      </c>
      <c r="Z1507" s="8">
        <v>0</v>
      </c>
      <c r="AA1507">
        <v>0</v>
      </c>
      <c r="AB1507" t="s">
        <v>1635</v>
      </c>
      <c r="AC1507" t="s">
        <v>1635</v>
      </c>
      <c r="AD1507" s="1" t="s">
        <v>1635</v>
      </c>
      <c r="AE1507" s="2" t="s">
        <v>1635</v>
      </c>
      <c r="AF1507" s="2" t="s">
        <v>1635</v>
      </c>
      <c r="AG1507" s="2" t="s">
        <v>1635</v>
      </c>
      <c r="AH1507">
        <v>0</v>
      </c>
      <c r="AI1507" s="3" t="s">
        <v>1635</v>
      </c>
      <c r="AJ1507" s="1" t="s">
        <v>1635</v>
      </c>
      <c r="AK1507" s="2" t="s">
        <v>1635</v>
      </c>
      <c r="AL1507" s="4" t="s">
        <v>1636</v>
      </c>
      <c r="AM1507" s="5" t="s">
        <v>1636</v>
      </c>
      <c r="AN1507" s="4">
        <v>0</v>
      </c>
      <c r="AO1507" t="s">
        <v>1635</v>
      </c>
      <c r="AP1507" s="4" t="s">
        <v>1636</v>
      </c>
      <c r="AQ1507" t="s">
        <v>1619</v>
      </c>
      <c r="AR1507" t="s">
        <v>1620</v>
      </c>
      <c r="AT1507" s="16" t="str">
        <f>_xlfn.XLOOKUP(B1507,'SWiSH Demand Forecast Sep-26'!D:D,'SWiSH Demand Forecast Sep-26'!G:G,"Not Exist")</f>
        <v>Not Exist</v>
      </c>
    </row>
    <row r="1508" spans="1:46" x14ac:dyDescent="0.3">
      <c r="A1508">
        <v>100100020</v>
      </c>
      <c r="B1508" t="s">
        <v>3326</v>
      </c>
      <c r="C1508" t="s">
        <v>10</v>
      </c>
      <c r="D1508" t="s">
        <v>1629</v>
      </c>
      <c r="E1508" t="s">
        <v>1685</v>
      </c>
      <c r="F1508" t="s">
        <v>1833</v>
      </c>
      <c r="G1508" t="s">
        <v>1690</v>
      </c>
      <c r="H1508" t="s">
        <v>1877</v>
      </c>
      <c r="I1508" t="s">
        <v>1626</v>
      </c>
      <c r="J1508" t="s">
        <v>1688</v>
      </c>
      <c r="K1508">
        <v>0.75</v>
      </c>
      <c r="L1508">
        <v>0</v>
      </c>
      <c r="M1508" s="1">
        <v>3</v>
      </c>
      <c r="N1508">
        <v>0</v>
      </c>
      <c r="O1508">
        <v>0</v>
      </c>
      <c r="P1508">
        <v>0</v>
      </c>
      <c r="Q1508" s="1">
        <v>0</v>
      </c>
      <c r="R1508">
        <v>9</v>
      </c>
      <c r="S1508" s="2">
        <v>45924</v>
      </c>
      <c r="T1508" s="2">
        <v>46078</v>
      </c>
      <c r="U1508">
        <v>0</v>
      </c>
      <c r="V1508">
        <v>0</v>
      </c>
      <c r="W1508">
        <v>0</v>
      </c>
      <c r="X1508">
        <v>0</v>
      </c>
      <c r="Y1508">
        <v>0</v>
      </c>
      <c r="Z1508" s="8">
        <v>0</v>
      </c>
      <c r="AA1508">
        <v>0</v>
      </c>
      <c r="AB1508" t="s">
        <v>1635</v>
      </c>
      <c r="AC1508" t="s">
        <v>1635</v>
      </c>
      <c r="AD1508" s="1" t="s">
        <v>1635</v>
      </c>
      <c r="AE1508" s="2" t="s">
        <v>1635</v>
      </c>
      <c r="AF1508" s="2" t="s">
        <v>1635</v>
      </c>
      <c r="AG1508" s="2" t="s">
        <v>1635</v>
      </c>
      <c r="AH1508">
        <v>0</v>
      </c>
      <c r="AI1508" s="3" t="s">
        <v>1635</v>
      </c>
      <c r="AJ1508" s="1" t="s">
        <v>1635</v>
      </c>
      <c r="AK1508" s="2" t="s">
        <v>1635</v>
      </c>
      <c r="AL1508" s="4" t="s">
        <v>1636</v>
      </c>
      <c r="AM1508" s="5" t="s">
        <v>1636</v>
      </c>
      <c r="AN1508" s="4">
        <v>0</v>
      </c>
      <c r="AO1508" t="s">
        <v>1635</v>
      </c>
      <c r="AP1508" s="4" t="s">
        <v>1636</v>
      </c>
      <c r="AQ1508" t="s">
        <v>1619</v>
      </c>
      <c r="AR1508" t="s">
        <v>1620</v>
      </c>
      <c r="AT1508" s="16" t="str">
        <f>_xlfn.XLOOKUP(B1508,'SWiSH Demand Forecast Sep-26'!D:D,'SWiSH Demand Forecast Sep-26'!G:G,"Not Exist")</f>
        <v>Not Exist</v>
      </c>
    </row>
    <row r="1509" spans="1:46" x14ac:dyDescent="0.3">
      <c r="A1509">
        <v>106200075</v>
      </c>
      <c r="B1509" t="s">
        <v>3327</v>
      </c>
      <c r="C1509" t="s">
        <v>240</v>
      </c>
      <c r="D1509" t="s">
        <v>1629</v>
      </c>
      <c r="E1509" t="s">
        <v>1677</v>
      </c>
      <c r="F1509" t="s">
        <v>1671</v>
      </c>
      <c r="G1509" t="s">
        <v>1632</v>
      </c>
      <c r="H1509" t="s">
        <v>1672</v>
      </c>
      <c r="I1509" t="s">
        <v>1618</v>
      </c>
      <c r="J1509" t="s">
        <v>1673</v>
      </c>
      <c r="K1509">
        <v>0.34920595999999998</v>
      </c>
      <c r="L1509">
        <v>0</v>
      </c>
      <c r="M1509" s="1">
        <v>3</v>
      </c>
      <c r="N1509">
        <v>0</v>
      </c>
      <c r="O1509">
        <v>0</v>
      </c>
      <c r="P1509">
        <v>0</v>
      </c>
      <c r="Q1509" s="1">
        <v>0</v>
      </c>
      <c r="R1509">
        <v>5.28</v>
      </c>
      <c r="S1509" s="2">
        <v>45944</v>
      </c>
      <c r="T1509" s="2">
        <v>46054</v>
      </c>
      <c r="U1509">
        <v>0</v>
      </c>
      <c r="V1509">
        <v>0</v>
      </c>
      <c r="W1509">
        <v>0</v>
      </c>
      <c r="X1509">
        <v>0</v>
      </c>
      <c r="Y1509">
        <v>0</v>
      </c>
      <c r="Z1509" s="8">
        <v>0</v>
      </c>
      <c r="AA1509">
        <v>0</v>
      </c>
      <c r="AB1509" t="s">
        <v>1635</v>
      </c>
      <c r="AC1509" t="s">
        <v>1635</v>
      </c>
      <c r="AD1509" s="1" t="s">
        <v>1635</v>
      </c>
      <c r="AE1509" s="2" t="s">
        <v>1635</v>
      </c>
      <c r="AF1509" s="2" t="s">
        <v>1635</v>
      </c>
      <c r="AG1509" s="2" t="s">
        <v>1635</v>
      </c>
      <c r="AH1509">
        <v>0</v>
      </c>
      <c r="AI1509" s="3" t="s">
        <v>1635</v>
      </c>
      <c r="AJ1509" s="1" t="s">
        <v>1635</v>
      </c>
      <c r="AK1509" s="2" t="s">
        <v>1635</v>
      </c>
      <c r="AL1509" s="4" t="s">
        <v>1636</v>
      </c>
      <c r="AM1509" s="5" t="s">
        <v>1636</v>
      </c>
      <c r="AN1509" s="4">
        <v>0</v>
      </c>
      <c r="AO1509" t="s">
        <v>1635</v>
      </c>
      <c r="AP1509" s="4" t="s">
        <v>1636</v>
      </c>
      <c r="AQ1509" t="s">
        <v>1619</v>
      </c>
      <c r="AR1509" t="s">
        <v>1620</v>
      </c>
      <c r="AT1509" s="16" t="str">
        <f>_xlfn.XLOOKUP(B1509,'SWiSH Demand Forecast Sep-26'!D:D,'SWiSH Demand Forecast Sep-26'!G:G,"Not Exist")</f>
        <v>Not Exist</v>
      </c>
    </row>
    <row r="1510" spans="1:46" x14ac:dyDescent="0.3">
      <c r="A1510">
        <v>106300052</v>
      </c>
      <c r="B1510" t="s">
        <v>3328</v>
      </c>
      <c r="C1510" t="s">
        <v>136</v>
      </c>
      <c r="D1510" t="s">
        <v>1629</v>
      </c>
      <c r="E1510" t="s">
        <v>1622</v>
      </c>
      <c r="F1510" t="s">
        <v>1615</v>
      </c>
      <c r="G1510" t="s">
        <v>1616</v>
      </c>
      <c r="H1510" t="s">
        <v>1860</v>
      </c>
      <c r="I1510" t="s">
        <v>1618</v>
      </c>
      <c r="J1510" t="s">
        <v>136</v>
      </c>
      <c r="K1510">
        <v>8</v>
      </c>
      <c r="L1510">
        <v>0</v>
      </c>
      <c r="M1510" s="1">
        <v>3</v>
      </c>
      <c r="N1510">
        <v>0</v>
      </c>
      <c r="O1510">
        <v>0</v>
      </c>
      <c r="P1510">
        <v>0</v>
      </c>
      <c r="Q1510" s="1">
        <v>0</v>
      </c>
      <c r="R1510">
        <v>8</v>
      </c>
      <c r="S1510" s="2">
        <v>45022</v>
      </c>
      <c r="T1510" s="2">
        <v>46065</v>
      </c>
      <c r="U1510">
        <v>0</v>
      </c>
      <c r="V1510">
        <v>0</v>
      </c>
      <c r="W1510">
        <v>0</v>
      </c>
      <c r="X1510">
        <v>0</v>
      </c>
      <c r="Y1510">
        <v>0</v>
      </c>
      <c r="Z1510" s="8">
        <v>0</v>
      </c>
      <c r="AA1510">
        <v>0</v>
      </c>
      <c r="AB1510" t="s">
        <v>1635</v>
      </c>
      <c r="AC1510" t="s">
        <v>1635</v>
      </c>
      <c r="AD1510" s="1" t="s">
        <v>1635</v>
      </c>
      <c r="AE1510" s="2" t="s">
        <v>1635</v>
      </c>
      <c r="AF1510" s="2" t="s">
        <v>1635</v>
      </c>
      <c r="AG1510" s="2" t="s">
        <v>1635</v>
      </c>
      <c r="AH1510">
        <v>0</v>
      </c>
      <c r="AI1510" s="3" t="s">
        <v>1635</v>
      </c>
      <c r="AJ1510" s="1" t="s">
        <v>1635</v>
      </c>
      <c r="AK1510" s="2" t="s">
        <v>1635</v>
      </c>
      <c r="AL1510" s="4" t="s">
        <v>1636</v>
      </c>
      <c r="AM1510" s="5" t="s">
        <v>1636</v>
      </c>
      <c r="AN1510" s="4">
        <v>0</v>
      </c>
      <c r="AO1510" t="s">
        <v>1635</v>
      </c>
      <c r="AP1510" s="4" t="s">
        <v>1636</v>
      </c>
      <c r="AQ1510" t="s">
        <v>1619</v>
      </c>
      <c r="AR1510" t="s">
        <v>1620</v>
      </c>
      <c r="AT1510" s="16" t="str">
        <f>_xlfn.XLOOKUP(B1510,'SWiSH Demand Forecast Sep-26'!D:D,'SWiSH Demand Forecast Sep-26'!G:G,"Not Exist")</f>
        <v>Not Exist</v>
      </c>
    </row>
    <row r="1511" spans="1:46" x14ac:dyDescent="0.3">
      <c r="A1511" t="s">
        <v>3321</v>
      </c>
      <c r="B1511" t="s">
        <v>3329</v>
      </c>
      <c r="C1511" t="s">
        <v>136</v>
      </c>
      <c r="D1511" t="s">
        <v>1629</v>
      </c>
      <c r="E1511" t="s">
        <v>1655</v>
      </c>
      <c r="F1511" t="s">
        <v>1752</v>
      </c>
      <c r="G1511" t="e">
        <v>#N/A</v>
      </c>
      <c r="H1511" t="s">
        <v>1931</v>
      </c>
      <c r="I1511" t="s">
        <v>1754</v>
      </c>
      <c r="J1511" t="s">
        <v>136</v>
      </c>
      <c r="K1511" t="e">
        <v>#N/A</v>
      </c>
      <c r="L1511" t="e">
        <v>#N/A</v>
      </c>
      <c r="M1511" s="1">
        <v>3</v>
      </c>
      <c r="N1511">
        <v>0</v>
      </c>
      <c r="O1511">
        <v>0</v>
      </c>
      <c r="P1511">
        <v>0</v>
      </c>
      <c r="Q1511" s="1">
        <v>0</v>
      </c>
      <c r="R1511" t="e">
        <v>#N/A</v>
      </c>
      <c r="S1511" s="2" t="e">
        <v>#N/A</v>
      </c>
      <c r="T1511" s="2" t="e">
        <v>#N/A</v>
      </c>
      <c r="U1511">
        <v>0</v>
      </c>
      <c r="V1511">
        <v>0</v>
      </c>
      <c r="W1511">
        <v>0</v>
      </c>
      <c r="X1511">
        <v>0</v>
      </c>
      <c r="Y1511">
        <v>0</v>
      </c>
      <c r="Z1511" s="8">
        <v>0</v>
      </c>
      <c r="AA1511">
        <v>0</v>
      </c>
      <c r="AB1511" t="s">
        <v>1635</v>
      </c>
      <c r="AC1511" t="s">
        <v>1635</v>
      </c>
      <c r="AD1511" s="1" t="s">
        <v>1635</v>
      </c>
      <c r="AE1511" s="2" t="s">
        <v>1635</v>
      </c>
      <c r="AF1511" s="2" t="s">
        <v>1635</v>
      </c>
      <c r="AG1511" s="2" t="s">
        <v>1635</v>
      </c>
      <c r="AH1511">
        <v>0</v>
      </c>
      <c r="AI1511" s="3" t="s">
        <v>1635</v>
      </c>
      <c r="AJ1511" s="1" t="s">
        <v>1635</v>
      </c>
      <c r="AK1511" s="2" t="s">
        <v>1635</v>
      </c>
      <c r="AL1511" s="4" t="s">
        <v>1636</v>
      </c>
      <c r="AM1511" s="5" t="s">
        <v>1636</v>
      </c>
      <c r="AN1511" s="4">
        <v>0</v>
      </c>
      <c r="AO1511" t="s">
        <v>1635</v>
      </c>
      <c r="AP1511" s="4" t="s">
        <v>1636</v>
      </c>
      <c r="AQ1511" t="s">
        <v>1619</v>
      </c>
      <c r="AR1511" t="s">
        <v>1620</v>
      </c>
      <c r="AT1511" s="16" t="str">
        <f>_xlfn.XLOOKUP(B1511,'SWiSH Demand Forecast Sep-26'!D:D,'SWiSH Demand Forecast Sep-26'!G:G,"Not Exist")</f>
        <v>Not Exist</v>
      </c>
    </row>
    <row r="1512" spans="1:46" x14ac:dyDescent="0.3">
      <c r="A1512">
        <v>101700023</v>
      </c>
      <c r="B1512" t="s">
        <v>3330</v>
      </c>
      <c r="C1512" t="s">
        <v>240</v>
      </c>
      <c r="D1512" t="s">
        <v>1629</v>
      </c>
      <c r="E1512" t="s">
        <v>1732</v>
      </c>
      <c r="F1512" t="s">
        <v>1833</v>
      </c>
      <c r="G1512" t="s">
        <v>1686</v>
      </c>
      <c r="H1512" t="s">
        <v>2221</v>
      </c>
      <c r="I1512" t="s">
        <v>1626</v>
      </c>
      <c r="J1512" t="s">
        <v>240</v>
      </c>
      <c r="K1512">
        <v>1.5416700000000001</v>
      </c>
      <c r="L1512">
        <v>0</v>
      </c>
      <c r="M1512" s="1">
        <v>3</v>
      </c>
      <c r="N1512">
        <v>0</v>
      </c>
      <c r="O1512">
        <v>0</v>
      </c>
      <c r="P1512">
        <v>0</v>
      </c>
      <c r="Q1512" s="1">
        <v>0</v>
      </c>
      <c r="R1512">
        <v>9.25</v>
      </c>
      <c r="S1512" s="2">
        <v>46089</v>
      </c>
      <c r="T1512" s="2">
        <v>46239</v>
      </c>
      <c r="U1512">
        <v>0</v>
      </c>
      <c r="V1512">
        <v>0</v>
      </c>
      <c r="W1512">
        <v>0</v>
      </c>
      <c r="X1512">
        <v>0</v>
      </c>
      <c r="Y1512">
        <v>0</v>
      </c>
      <c r="Z1512" s="8">
        <v>0</v>
      </c>
      <c r="AA1512">
        <v>0</v>
      </c>
      <c r="AB1512" t="s">
        <v>1635</v>
      </c>
      <c r="AC1512" t="s">
        <v>1635</v>
      </c>
      <c r="AD1512" s="1" t="s">
        <v>1635</v>
      </c>
      <c r="AE1512" s="2" t="s">
        <v>1635</v>
      </c>
      <c r="AF1512" s="2" t="s">
        <v>1635</v>
      </c>
      <c r="AG1512" s="2" t="s">
        <v>1635</v>
      </c>
      <c r="AH1512">
        <v>0</v>
      </c>
      <c r="AI1512" s="3" t="s">
        <v>1635</v>
      </c>
      <c r="AJ1512" s="1" t="s">
        <v>1635</v>
      </c>
      <c r="AK1512" s="2" t="s">
        <v>1635</v>
      </c>
      <c r="AL1512" s="4" t="s">
        <v>1636</v>
      </c>
      <c r="AM1512" s="5" t="s">
        <v>1636</v>
      </c>
      <c r="AN1512" s="4">
        <v>0</v>
      </c>
      <c r="AO1512" t="s">
        <v>1635</v>
      </c>
      <c r="AP1512" s="4" t="s">
        <v>1636</v>
      </c>
      <c r="AQ1512" t="s">
        <v>1619</v>
      </c>
      <c r="AR1512" t="s">
        <v>1620</v>
      </c>
      <c r="AT1512" s="16" t="str">
        <f>_xlfn.XLOOKUP(B1512,'SWiSH Demand Forecast Sep-26'!D:D,'SWiSH Demand Forecast Sep-26'!G:G,"Not Exist")</f>
        <v>Not Exist</v>
      </c>
    </row>
    <row r="1513" spans="1:46" x14ac:dyDescent="0.3">
      <c r="A1513" t="s">
        <v>3321</v>
      </c>
      <c r="B1513" t="s">
        <v>3331</v>
      </c>
      <c r="C1513" t="s">
        <v>136</v>
      </c>
      <c r="D1513" t="s">
        <v>1629</v>
      </c>
      <c r="E1513" t="s">
        <v>1732</v>
      </c>
      <c r="F1513" t="s">
        <v>1639</v>
      </c>
      <c r="G1513" t="e">
        <v>#N/A</v>
      </c>
      <c r="H1513" t="s">
        <v>1877</v>
      </c>
      <c r="I1513" t="s">
        <v>1618</v>
      </c>
      <c r="J1513" t="s">
        <v>136</v>
      </c>
      <c r="K1513" t="e">
        <v>#N/A</v>
      </c>
      <c r="L1513" t="e">
        <v>#N/A</v>
      </c>
      <c r="M1513" s="1">
        <v>3</v>
      </c>
      <c r="N1513">
        <v>0</v>
      </c>
      <c r="O1513">
        <v>0</v>
      </c>
      <c r="P1513">
        <v>0</v>
      </c>
      <c r="Q1513" s="1">
        <v>0</v>
      </c>
      <c r="R1513" t="e">
        <v>#N/A</v>
      </c>
      <c r="S1513" s="2" t="e">
        <v>#N/A</v>
      </c>
      <c r="T1513" s="2" t="e">
        <v>#N/A</v>
      </c>
      <c r="U1513">
        <v>0</v>
      </c>
      <c r="V1513">
        <v>0</v>
      </c>
      <c r="W1513">
        <v>0</v>
      </c>
      <c r="X1513">
        <v>0</v>
      </c>
      <c r="Y1513">
        <v>0</v>
      </c>
      <c r="Z1513" s="8">
        <v>0</v>
      </c>
      <c r="AA1513">
        <v>0</v>
      </c>
      <c r="AB1513" t="s">
        <v>1635</v>
      </c>
      <c r="AC1513" t="s">
        <v>1635</v>
      </c>
      <c r="AD1513" s="1" t="s">
        <v>1635</v>
      </c>
      <c r="AE1513" s="2" t="s">
        <v>1635</v>
      </c>
      <c r="AF1513" s="2" t="s">
        <v>1635</v>
      </c>
      <c r="AG1513" s="2" t="s">
        <v>1635</v>
      </c>
      <c r="AH1513">
        <v>0</v>
      </c>
      <c r="AI1513" s="3" t="s">
        <v>1635</v>
      </c>
      <c r="AJ1513" s="1" t="s">
        <v>1635</v>
      </c>
      <c r="AK1513" s="2" t="s">
        <v>1635</v>
      </c>
      <c r="AL1513" s="4" t="s">
        <v>1636</v>
      </c>
      <c r="AM1513" s="5" t="s">
        <v>1636</v>
      </c>
      <c r="AN1513" s="4">
        <v>0</v>
      </c>
      <c r="AO1513" t="s">
        <v>1635</v>
      </c>
      <c r="AP1513" s="4" t="s">
        <v>1636</v>
      </c>
      <c r="AQ1513" t="s">
        <v>1619</v>
      </c>
      <c r="AR1513" t="s">
        <v>1620</v>
      </c>
      <c r="AT1513" s="16" t="str">
        <f>_xlfn.XLOOKUP(B1513,'SWiSH Demand Forecast Sep-26'!D:D,'SWiSH Demand Forecast Sep-26'!G:G,"Not Exist")</f>
        <v>Not Exist</v>
      </c>
    </row>
    <row r="1514" spans="1:46" x14ac:dyDescent="0.3">
      <c r="A1514">
        <v>102700033</v>
      </c>
      <c r="B1514" t="s">
        <v>3332</v>
      </c>
      <c r="C1514" t="s">
        <v>10</v>
      </c>
      <c r="D1514" t="s">
        <v>1629</v>
      </c>
      <c r="E1514" t="s">
        <v>1819</v>
      </c>
      <c r="F1514" t="s">
        <v>1752</v>
      </c>
      <c r="G1514" t="s">
        <v>1678</v>
      </c>
      <c r="H1514" t="s">
        <v>1865</v>
      </c>
      <c r="I1514" t="s">
        <v>1754</v>
      </c>
      <c r="J1514" t="s">
        <v>3333</v>
      </c>
      <c r="K1514">
        <v>7.6041670000000006E-2</v>
      </c>
      <c r="L1514">
        <v>0</v>
      </c>
      <c r="M1514" s="1">
        <v>3</v>
      </c>
      <c r="N1514">
        <v>0</v>
      </c>
      <c r="O1514">
        <v>0</v>
      </c>
      <c r="P1514">
        <v>0</v>
      </c>
      <c r="Q1514" s="1">
        <v>0</v>
      </c>
      <c r="R1514">
        <v>18.25</v>
      </c>
      <c r="S1514" s="2">
        <v>45871</v>
      </c>
      <c r="T1514" s="2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 s="8">
        <v>0</v>
      </c>
      <c r="AA1514">
        <v>0</v>
      </c>
      <c r="AB1514" t="s">
        <v>1635</v>
      </c>
      <c r="AC1514" t="s">
        <v>1635</v>
      </c>
      <c r="AD1514" s="1" t="s">
        <v>1635</v>
      </c>
      <c r="AE1514" s="2" t="s">
        <v>1635</v>
      </c>
      <c r="AF1514" s="2" t="s">
        <v>1635</v>
      </c>
      <c r="AG1514" s="2" t="s">
        <v>1635</v>
      </c>
      <c r="AH1514">
        <v>0</v>
      </c>
      <c r="AI1514" s="3" t="s">
        <v>1635</v>
      </c>
      <c r="AJ1514" s="1" t="s">
        <v>1635</v>
      </c>
      <c r="AK1514" s="2" t="s">
        <v>1635</v>
      </c>
      <c r="AL1514" s="4" t="s">
        <v>1636</v>
      </c>
      <c r="AM1514" s="5" t="s">
        <v>1636</v>
      </c>
      <c r="AN1514" s="4">
        <v>0</v>
      </c>
      <c r="AO1514" t="s">
        <v>1635</v>
      </c>
      <c r="AP1514" s="4" t="s">
        <v>1636</v>
      </c>
      <c r="AQ1514" t="s">
        <v>1619</v>
      </c>
      <c r="AR1514" t="s">
        <v>1620</v>
      </c>
      <c r="AT1514" s="16" t="str">
        <f>_xlfn.XLOOKUP(B1514,'SWiSH Demand Forecast Sep-26'!D:D,'SWiSH Demand Forecast Sep-26'!G:G,"Not Exist")</f>
        <v>Not Exist</v>
      </c>
    </row>
    <row r="1515" spans="1:46" x14ac:dyDescent="0.3">
      <c r="A1515">
        <v>103700010</v>
      </c>
      <c r="B1515" t="s">
        <v>3334</v>
      </c>
      <c r="C1515" t="s">
        <v>136</v>
      </c>
      <c r="D1515" t="s">
        <v>1629</v>
      </c>
      <c r="E1515" t="s">
        <v>1655</v>
      </c>
      <c r="F1515" t="s">
        <v>1615</v>
      </c>
      <c r="G1515" t="s">
        <v>1616</v>
      </c>
      <c r="H1515" t="s">
        <v>3335</v>
      </c>
      <c r="I1515" t="s">
        <v>1618</v>
      </c>
      <c r="J1515" t="s">
        <v>136</v>
      </c>
      <c r="K1515">
        <v>0</v>
      </c>
      <c r="L1515">
        <v>0</v>
      </c>
      <c r="M1515" s="1">
        <v>3</v>
      </c>
      <c r="N1515">
        <v>0</v>
      </c>
      <c r="O1515">
        <v>0</v>
      </c>
      <c r="P1515">
        <v>0</v>
      </c>
      <c r="Q1515" s="1">
        <v>0</v>
      </c>
      <c r="R1515">
        <v>0</v>
      </c>
      <c r="S1515" s="2">
        <v>0</v>
      </c>
      <c r="T1515" s="2">
        <v>46064</v>
      </c>
      <c r="U1515">
        <v>0</v>
      </c>
      <c r="V1515">
        <v>0</v>
      </c>
      <c r="W1515">
        <v>0</v>
      </c>
      <c r="X1515">
        <v>0</v>
      </c>
      <c r="Y1515">
        <v>0</v>
      </c>
      <c r="Z1515" s="8">
        <v>0</v>
      </c>
      <c r="AA1515">
        <v>0</v>
      </c>
      <c r="AB1515" t="s">
        <v>1635</v>
      </c>
      <c r="AC1515" t="s">
        <v>1635</v>
      </c>
      <c r="AD1515" s="1" t="s">
        <v>1635</v>
      </c>
      <c r="AE1515" s="2" t="s">
        <v>1635</v>
      </c>
      <c r="AF1515" s="2" t="s">
        <v>1635</v>
      </c>
      <c r="AG1515" s="2" t="s">
        <v>1635</v>
      </c>
      <c r="AH1515">
        <v>0</v>
      </c>
      <c r="AI1515" s="3" t="s">
        <v>1635</v>
      </c>
      <c r="AJ1515" s="1" t="s">
        <v>1635</v>
      </c>
      <c r="AK1515" s="2" t="s">
        <v>1635</v>
      </c>
      <c r="AL1515" s="4" t="s">
        <v>1636</v>
      </c>
      <c r="AM1515" s="5" t="s">
        <v>1636</v>
      </c>
      <c r="AN1515" s="4">
        <v>0</v>
      </c>
      <c r="AO1515" t="s">
        <v>1635</v>
      </c>
      <c r="AP1515" s="4" t="s">
        <v>1636</v>
      </c>
      <c r="AQ1515" t="s">
        <v>1619</v>
      </c>
      <c r="AR1515" t="s">
        <v>1620</v>
      </c>
      <c r="AT1515" s="16" t="str">
        <f>_xlfn.XLOOKUP(B1515,'SWiSH Demand Forecast Sep-26'!D:D,'SWiSH Demand Forecast Sep-26'!G:G,"Not Exist")</f>
        <v>Not Exist</v>
      </c>
    </row>
    <row r="1516" spans="1:46" x14ac:dyDescent="0.3">
      <c r="A1516">
        <v>107200088</v>
      </c>
      <c r="B1516" t="s">
        <v>3336</v>
      </c>
      <c r="C1516" t="s">
        <v>10</v>
      </c>
      <c r="D1516" t="s">
        <v>1629</v>
      </c>
      <c r="E1516" t="s">
        <v>3337</v>
      </c>
      <c r="F1516" t="s">
        <v>1656</v>
      </c>
      <c r="G1516" t="e">
        <v>#N/A</v>
      </c>
      <c r="H1516" t="s">
        <v>1657</v>
      </c>
      <c r="I1516" t="s">
        <v>1634</v>
      </c>
      <c r="J1516" t="s">
        <v>10</v>
      </c>
      <c r="K1516" t="e">
        <v>#N/A</v>
      </c>
      <c r="L1516" t="e">
        <v>#N/A</v>
      </c>
      <c r="M1516" s="1">
        <v>15</v>
      </c>
      <c r="N1516">
        <v>0</v>
      </c>
      <c r="O1516">
        <v>0</v>
      </c>
      <c r="P1516">
        <v>0</v>
      </c>
      <c r="Q1516" s="1">
        <v>0</v>
      </c>
      <c r="R1516">
        <v>3.3024499999999999</v>
      </c>
      <c r="S1516" s="2">
        <v>45848</v>
      </c>
      <c r="T1516" s="2">
        <v>46200</v>
      </c>
      <c r="U1516">
        <v>0</v>
      </c>
      <c r="V1516">
        <v>0</v>
      </c>
      <c r="W1516">
        <v>0</v>
      </c>
      <c r="X1516">
        <v>0</v>
      </c>
      <c r="Y1516">
        <v>0</v>
      </c>
      <c r="Z1516" s="8">
        <v>0</v>
      </c>
      <c r="AA1516">
        <v>0</v>
      </c>
      <c r="AB1516" t="s">
        <v>1635</v>
      </c>
      <c r="AC1516" t="s">
        <v>1635</v>
      </c>
      <c r="AD1516" s="1" t="s">
        <v>1635</v>
      </c>
      <c r="AE1516" s="2" t="s">
        <v>1635</v>
      </c>
      <c r="AF1516" s="2" t="s">
        <v>1635</v>
      </c>
      <c r="AG1516" s="2" t="s">
        <v>1635</v>
      </c>
      <c r="AH1516">
        <v>0</v>
      </c>
      <c r="AI1516" s="3" t="s">
        <v>1635</v>
      </c>
      <c r="AJ1516" s="1" t="s">
        <v>1635</v>
      </c>
      <c r="AK1516" s="2" t="s">
        <v>1635</v>
      </c>
      <c r="AL1516" s="4" t="s">
        <v>1636</v>
      </c>
      <c r="AM1516" s="5" t="s">
        <v>1636</v>
      </c>
      <c r="AN1516" s="4">
        <v>0</v>
      </c>
      <c r="AO1516" t="s">
        <v>1635</v>
      </c>
      <c r="AP1516" s="4" t="s">
        <v>1636</v>
      </c>
      <c r="AQ1516" t="s">
        <v>1619</v>
      </c>
      <c r="AR1516" t="s">
        <v>1620</v>
      </c>
      <c r="AT1516" s="16" t="str">
        <f>_xlfn.XLOOKUP(B1516,'SWiSH Demand Forecast Sep-26'!D:D,'SWiSH Demand Forecast Sep-26'!G:G,"Not Exist")</f>
        <v>Not Exist</v>
      </c>
    </row>
    <row r="1517" spans="1:46" x14ac:dyDescent="0.3">
      <c r="A1517">
        <v>107200085</v>
      </c>
      <c r="B1517" t="s">
        <v>3338</v>
      </c>
      <c r="C1517" t="s">
        <v>10</v>
      </c>
      <c r="D1517" t="s">
        <v>1629</v>
      </c>
      <c r="E1517" t="s">
        <v>3339</v>
      </c>
      <c r="F1517" t="s">
        <v>1656</v>
      </c>
      <c r="G1517" t="e">
        <v>#N/A</v>
      </c>
      <c r="H1517" t="s">
        <v>1657</v>
      </c>
      <c r="I1517" t="s">
        <v>1634</v>
      </c>
      <c r="J1517" t="s">
        <v>10</v>
      </c>
      <c r="K1517" t="e">
        <v>#N/A</v>
      </c>
      <c r="L1517" t="e">
        <v>#N/A</v>
      </c>
      <c r="M1517" s="1">
        <v>15</v>
      </c>
      <c r="N1517">
        <v>0</v>
      </c>
      <c r="O1517">
        <v>0</v>
      </c>
      <c r="P1517">
        <v>0</v>
      </c>
      <c r="Q1517" s="1">
        <v>0</v>
      </c>
      <c r="R1517">
        <v>3.3024499999999999</v>
      </c>
      <c r="S1517" s="2">
        <v>45848</v>
      </c>
      <c r="T1517" s="2">
        <v>46233</v>
      </c>
      <c r="U1517">
        <v>0</v>
      </c>
      <c r="V1517">
        <v>0</v>
      </c>
      <c r="W1517">
        <v>0</v>
      </c>
      <c r="X1517">
        <v>0</v>
      </c>
      <c r="Y1517">
        <v>0</v>
      </c>
      <c r="Z1517" s="8">
        <v>0</v>
      </c>
      <c r="AA1517">
        <v>0</v>
      </c>
      <c r="AB1517" t="s">
        <v>1635</v>
      </c>
      <c r="AC1517" t="s">
        <v>1635</v>
      </c>
      <c r="AD1517" s="1" t="s">
        <v>1635</v>
      </c>
      <c r="AE1517" s="2" t="s">
        <v>1635</v>
      </c>
      <c r="AF1517" s="2" t="s">
        <v>1635</v>
      </c>
      <c r="AG1517" s="2" t="s">
        <v>1635</v>
      </c>
      <c r="AH1517">
        <v>0</v>
      </c>
      <c r="AI1517" s="3" t="s">
        <v>1635</v>
      </c>
      <c r="AJ1517" s="1" t="s">
        <v>1635</v>
      </c>
      <c r="AK1517" s="2" t="s">
        <v>1635</v>
      </c>
      <c r="AL1517" s="4" t="s">
        <v>1636</v>
      </c>
      <c r="AM1517" s="5" t="s">
        <v>1636</v>
      </c>
      <c r="AN1517" s="4">
        <v>0</v>
      </c>
      <c r="AO1517" t="s">
        <v>1635</v>
      </c>
      <c r="AP1517" s="4" t="s">
        <v>1636</v>
      </c>
      <c r="AQ1517" t="s">
        <v>1619</v>
      </c>
      <c r="AR1517" t="s">
        <v>1620</v>
      </c>
      <c r="AT1517" s="16" t="str">
        <f>_xlfn.XLOOKUP(B1517,'SWiSH Demand Forecast Sep-26'!D:D,'SWiSH Demand Forecast Sep-26'!G:G,"Not Exist")</f>
        <v>Not Exist</v>
      </c>
    </row>
    <row r="1518" spans="1:46" x14ac:dyDescent="0.3">
      <c r="A1518">
        <v>107200096</v>
      </c>
      <c r="B1518" t="s">
        <v>3340</v>
      </c>
      <c r="C1518" t="s">
        <v>10</v>
      </c>
      <c r="D1518" t="s">
        <v>1629</v>
      </c>
      <c r="E1518" t="s">
        <v>1663</v>
      </c>
      <c r="F1518" t="s">
        <v>1656</v>
      </c>
      <c r="G1518" t="e">
        <v>#N/A</v>
      </c>
      <c r="H1518" t="s">
        <v>1657</v>
      </c>
      <c r="I1518" t="s">
        <v>1634</v>
      </c>
      <c r="J1518" t="s">
        <v>10</v>
      </c>
      <c r="K1518" t="e">
        <v>#N/A</v>
      </c>
      <c r="L1518" t="e">
        <v>#N/A</v>
      </c>
      <c r="M1518" s="1">
        <v>15</v>
      </c>
      <c r="N1518">
        <v>0</v>
      </c>
      <c r="O1518">
        <v>0</v>
      </c>
      <c r="P1518">
        <v>0</v>
      </c>
      <c r="Q1518" s="1">
        <v>0</v>
      </c>
      <c r="R1518">
        <v>4.5</v>
      </c>
      <c r="S1518" s="2">
        <v>46025</v>
      </c>
      <c r="T1518" s="2">
        <v>46099</v>
      </c>
      <c r="U1518">
        <v>0</v>
      </c>
      <c r="V1518">
        <v>0</v>
      </c>
      <c r="W1518">
        <v>0</v>
      </c>
      <c r="X1518">
        <v>0</v>
      </c>
      <c r="Y1518">
        <v>0</v>
      </c>
      <c r="Z1518" s="8">
        <v>0</v>
      </c>
      <c r="AA1518">
        <v>0</v>
      </c>
      <c r="AB1518" t="s">
        <v>1635</v>
      </c>
      <c r="AC1518" t="s">
        <v>1635</v>
      </c>
      <c r="AD1518" s="1" t="s">
        <v>1635</v>
      </c>
      <c r="AE1518" s="2" t="s">
        <v>1635</v>
      </c>
      <c r="AF1518" s="2" t="s">
        <v>1635</v>
      </c>
      <c r="AG1518" s="2" t="s">
        <v>1635</v>
      </c>
      <c r="AH1518">
        <v>0</v>
      </c>
      <c r="AI1518" s="3" t="s">
        <v>1635</v>
      </c>
      <c r="AJ1518" s="1" t="s">
        <v>1635</v>
      </c>
      <c r="AK1518" s="2" t="s">
        <v>1635</v>
      </c>
      <c r="AL1518" s="4" t="s">
        <v>1636</v>
      </c>
      <c r="AM1518" s="5" t="s">
        <v>1636</v>
      </c>
      <c r="AN1518" s="4">
        <v>0</v>
      </c>
      <c r="AO1518" t="s">
        <v>1635</v>
      </c>
      <c r="AP1518" s="4" t="s">
        <v>1636</v>
      </c>
      <c r="AQ1518" t="s">
        <v>1619</v>
      </c>
      <c r="AR1518" t="s">
        <v>1620</v>
      </c>
      <c r="AT1518" s="16" t="str">
        <f>_xlfn.XLOOKUP(B1518,'SWiSH Demand Forecast Sep-26'!D:D,'SWiSH Demand Forecast Sep-26'!G:G,"Not Exist")</f>
        <v>Not Exist</v>
      </c>
    </row>
    <row r="1519" spans="1:46" x14ac:dyDescent="0.3">
      <c r="A1519">
        <v>106800048</v>
      </c>
      <c r="B1519" t="s">
        <v>3341</v>
      </c>
      <c r="C1519" t="s">
        <v>10</v>
      </c>
      <c r="D1519" t="s">
        <v>1629</v>
      </c>
      <c r="E1519" t="s">
        <v>1732</v>
      </c>
      <c r="F1519" t="s">
        <v>1664</v>
      </c>
      <c r="G1519" t="e">
        <v>#N/A</v>
      </c>
      <c r="H1519" t="s">
        <v>1665</v>
      </c>
      <c r="I1519" t="s">
        <v>1634</v>
      </c>
      <c r="J1519" t="s">
        <v>10</v>
      </c>
      <c r="K1519" t="e">
        <v>#N/A</v>
      </c>
      <c r="L1519" t="e">
        <v>#N/A</v>
      </c>
      <c r="M1519" s="1">
        <v>7</v>
      </c>
      <c r="N1519">
        <v>0</v>
      </c>
      <c r="O1519">
        <v>0</v>
      </c>
      <c r="P1519">
        <v>0</v>
      </c>
      <c r="Q1519" s="1">
        <v>0</v>
      </c>
      <c r="R1519">
        <v>0.05</v>
      </c>
      <c r="S1519" s="2">
        <v>46076</v>
      </c>
      <c r="T1519" s="2">
        <v>46080</v>
      </c>
      <c r="U1519">
        <v>0</v>
      </c>
      <c r="V1519">
        <v>0</v>
      </c>
      <c r="W1519">
        <v>0</v>
      </c>
      <c r="X1519">
        <v>0</v>
      </c>
      <c r="Y1519">
        <v>0</v>
      </c>
      <c r="Z1519" s="8">
        <v>0</v>
      </c>
      <c r="AA1519">
        <v>0</v>
      </c>
      <c r="AB1519" t="s">
        <v>1635</v>
      </c>
      <c r="AC1519" t="s">
        <v>1635</v>
      </c>
      <c r="AD1519" s="1" t="s">
        <v>1635</v>
      </c>
      <c r="AE1519" s="2" t="s">
        <v>1635</v>
      </c>
      <c r="AF1519" s="2" t="s">
        <v>1635</v>
      </c>
      <c r="AG1519" s="2" t="s">
        <v>1635</v>
      </c>
      <c r="AH1519">
        <v>0</v>
      </c>
      <c r="AI1519" s="3" t="s">
        <v>1635</v>
      </c>
      <c r="AJ1519" s="1" t="s">
        <v>1635</v>
      </c>
      <c r="AK1519" s="2" t="s">
        <v>1635</v>
      </c>
      <c r="AL1519" s="4" t="s">
        <v>1636</v>
      </c>
      <c r="AM1519" s="5" t="s">
        <v>1636</v>
      </c>
      <c r="AN1519" s="4">
        <v>0</v>
      </c>
      <c r="AO1519" t="s">
        <v>1635</v>
      </c>
      <c r="AP1519" s="4" t="s">
        <v>1636</v>
      </c>
      <c r="AQ1519" t="s">
        <v>1619</v>
      </c>
      <c r="AR1519" t="s">
        <v>1620</v>
      </c>
      <c r="AT1519" s="16" t="str">
        <f>_xlfn.XLOOKUP(B1519,'SWiSH Demand Forecast Sep-26'!D:D,'SWiSH Demand Forecast Sep-26'!G:G,"Not Exist")</f>
        <v>Not Exist</v>
      </c>
    </row>
    <row r="1520" spans="1:46" x14ac:dyDescent="0.3">
      <c r="A1520">
        <v>107200092</v>
      </c>
      <c r="B1520" t="s">
        <v>3342</v>
      </c>
      <c r="C1520" t="s">
        <v>10</v>
      </c>
      <c r="D1520" t="s">
        <v>1629</v>
      </c>
      <c r="E1520" t="s">
        <v>1701</v>
      </c>
      <c r="F1520" t="s">
        <v>1656</v>
      </c>
      <c r="G1520" t="e">
        <v>#N/A</v>
      </c>
      <c r="H1520" t="s">
        <v>1657</v>
      </c>
      <c r="I1520" t="s">
        <v>1634</v>
      </c>
      <c r="J1520" t="s">
        <v>10</v>
      </c>
      <c r="K1520" t="e">
        <v>#N/A</v>
      </c>
      <c r="L1520" t="e">
        <v>#N/A</v>
      </c>
      <c r="M1520" s="1">
        <v>15</v>
      </c>
      <c r="N1520">
        <v>0</v>
      </c>
      <c r="O1520">
        <v>0</v>
      </c>
      <c r="P1520">
        <v>0</v>
      </c>
      <c r="Q1520" s="1">
        <v>0</v>
      </c>
      <c r="R1520">
        <v>4.75</v>
      </c>
      <c r="S1520" s="2">
        <v>46086</v>
      </c>
      <c r="T1520" s="2">
        <v>46203</v>
      </c>
      <c r="U1520">
        <v>0</v>
      </c>
      <c r="V1520">
        <v>0</v>
      </c>
      <c r="W1520">
        <v>0</v>
      </c>
      <c r="X1520">
        <v>0</v>
      </c>
      <c r="Y1520">
        <v>0</v>
      </c>
      <c r="Z1520" s="8">
        <v>0</v>
      </c>
      <c r="AA1520">
        <v>0</v>
      </c>
      <c r="AB1520" t="s">
        <v>1635</v>
      </c>
      <c r="AC1520" t="s">
        <v>1635</v>
      </c>
      <c r="AD1520" s="1" t="s">
        <v>1635</v>
      </c>
      <c r="AE1520" s="2" t="s">
        <v>1635</v>
      </c>
      <c r="AF1520" s="2" t="s">
        <v>1635</v>
      </c>
      <c r="AG1520" s="2" t="s">
        <v>1635</v>
      </c>
      <c r="AH1520">
        <v>0</v>
      </c>
      <c r="AI1520" s="3" t="s">
        <v>1635</v>
      </c>
      <c r="AJ1520" s="1" t="s">
        <v>1635</v>
      </c>
      <c r="AK1520" s="2" t="s">
        <v>1635</v>
      </c>
      <c r="AL1520" s="4" t="s">
        <v>1636</v>
      </c>
      <c r="AM1520" s="5" t="s">
        <v>1636</v>
      </c>
      <c r="AN1520" s="4">
        <v>0</v>
      </c>
      <c r="AO1520" t="s">
        <v>1635</v>
      </c>
      <c r="AP1520" s="4" t="s">
        <v>1636</v>
      </c>
      <c r="AQ1520" t="s">
        <v>1619</v>
      </c>
      <c r="AR1520" t="s">
        <v>1620</v>
      </c>
      <c r="AT1520" s="16" t="str">
        <f>_xlfn.XLOOKUP(B1520,'SWiSH Demand Forecast Sep-26'!D:D,'SWiSH Demand Forecast Sep-26'!G:G,"Not Exist")</f>
        <v>Not Exist</v>
      </c>
    </row>
    <row r="1521" spans="1:46" x14ac:dyDescent="0.3">
      <c r="A1521">
        <v>107200176</v>
      </c>
      <c r="B1521" t="s">
        <v>3343</v>
      </c>
      <c r="C1521" t="s">
        <v>10</v>
      </c>
      <c r="D1521" t="s">
        <v>1629</v>
      </c>
      <c r="E1521" t="s">
        <v>1701</v>
      </c>
      <c r="F1521" t="s">
        <v>1656</v>
      </c>
      <c r="G1521" t="e">
        <v>#N/A</v>
      </c>
      <c r="H1521" t="s">
        <v>1657</v>
      </c>
      <c r="I1521" t="s">
        <v>1634</v>
      </c>
      <c r="J1521" t="s">
        <v>10</v>
      </c>
      <c r="K1521" t="e">
        <v>#N/A</v>
      </c>
      <c r="L1521" t="e">
        <v>#N/A</v>
      </c>
      <c r="M1521" s="1">
        <v>15</v>
      </c>
      <c r="N1521">
        <v>0</v>
      </c>
      <c r="O1521">
        <v>0</v>
      </c>
      <c r="P1521">
        <v>0</v>
      </c>
      <c r="Q1521" s="1">
        <v>0</v>
      </c>
      <c r="R1521">
        <v>3.5</v>
      </c>
      <c r="S1521" s="2">
        <v>46086</v>
      </c>
      <c r="T1521" s="2">
        <v>46203</v>
      </c>
      <c r="U1521">
        <v>0</v>
      </c>
      <c r="V1521">
        <v>0</v>
      </c>
      <c r="W1521">
        <v>0</v>
      </c>
      <c r="X1521">
        <v>0</v>
      </c>
      <c r="Y1521">
        <v>0</v>
      </c>
      <c r="Z1521" s="8">
        <v>0</v>
      </c>
      <c r="AA1521">
        <v>0</v>
      </c>
      <c r="AB1521" t="s">
        <v>1635</v>
      </c>
      <c r="AC1521" t="s">
        <v>1635</v>
      </c>
      <c r="AD1521" s="1" t="s">
        <v>1635</v>
      </c>
      <c r="AE1521" s="2" t="s">
        <v>1635</v>
      </c>
      <c r="AF1521" s="2" t="s">
        <v>1635</v>
      </c>
      <c r="AG1521" s="2" t="s">
        <v>1635</v>
      </c>
      <c r="AH1521">
        <v>0</v>
      </c>
      <c r="AI1521" s="3" t="s">
        <v>1635</v>
      </c>
      <c r="AJ1521" s="1" t="s">
        <v>1635</v>
      </c>
      <c r="AK1521" s="2" t="s">
        <v>1635</v>
      </c>
      <c r="AL1521" s="4" t="s">
        <v>1636</v>
      </c>
      <c r="AM1521" s="5" t="s">
        <v>1636</v>
      </c>
      <c r="AN1521" s="4">
        <v>0</v>
      </c>
      <c r="AO1521" t="s">
        <v>1635</v>
      </c>
      <c r="AP1521" s="4" t="s">
        <v>1636</v>
      </c>
      <c r="AQ1521" t="s">
        <v>1619</v>
      </c>
      <c r="AR1521" t="s">
        <v>1620</v>
      </c>
      <c r="AT1521" s="16" t="str">
        <f>_xlfn.XLOOKUP(B1521,'SWiSH Demand Forecast Sep-26'!D:D,'SWiSH Demand Forecast Sep-26'!G:G,"Not Exist")</f>
        <v>Not Exist</v>
      </c>
    </row>
    <row r="1522" spans="1:46" x14ac:dyDescent="0.3">
      <c r="A1522">
        <v>107200150</v>
      </c>
      <c r="B1522" t="s">
        <v>3344</v>
      </c>
      <c r="C1522" t="s">
        <v>10</v>
      </c>
      <c r="D1522" t="s">
        <v>1629</v>
      </c>
      <c r="E1522" t="s">
        <v>1663</v>
      </c>
      <c r="F1522" t="s">
        <v>1656</v>
      </c>
      <c r="G1522" t="e">
        <v>#N/A</v>
      </c>
      <c r="H1522" t="s">
        <v>1657</v>
      </c>
      <c r="I1522" t="s">
        <v>1634</v>
      </c>
      <c r="J1522" t="s">
        <v>10</v>
      </c>
      <c r="K1522" t="e">
        <v>#N/A</v>
      </c>
      <c r="L1522" t="e">
        <v>#N/A</v>
      </c>
      <c r="M1522" s="1">
        <v>7</v>
      </c>
      <c r="N1522">
        <v>0</v>
      </c>
      <c r="O1522">
        <v>0</v>
      </c>
      <c r="P1522">
        <v>0</v>
      </c>
      <c r="Q1522" s="1">
        <v>0</v>
      </c>
      <c r="R1522">
        <v>3.5</v>
      </c>
      <c r="S1522" s="2">
        <v>46078</v>
      </c>
      <c r="T1522" s="2">
        <v>46119</v>
      </c>
      <c r="U1522">
        <v>0</v>
      </c>
      <c r="V1522">
        <v>0</v>
      </c>
      <c r="W1522">
        <v>0</v>
      </c>
      <c r="X1522">
        <v>0</v>
      </c>
      <c r="Y1522">
        <v>0</v>
      </c>
      <c r="Z1522" s="8">
        <v>0</v>
      </c>
      <c r="AA1522">
        <v>0</v>
      </c>
      <c r="AB1522" t="s">
        <v>1635</v>
      </c>
      <c r="AC1522" t="s">
        <v>1635</v>
      </c>
      <c r="AD1522" s="1" t="s">
        <v>1635</v>
      </c>
      <c r="AE1522" s="2" t="s">
        <v>1635</v>
      </c>
      <c r="AF1522" s="2" t="s">
        <v>1635</v>
      </c>
      <c r="AG1522" s="2" t="s">
        <v>1635</v>
      </c>
      <c r="AH1522">
        <v>0</v>
      </c>
      <c r="AI1522" s="3" t="s">
        <v>1635</v>
      </c>
      <c r="AJ1522" s="1" t="s">
        <v>1635</v>
      </c>
      <c r="AK1522" s="2" t="s">
        <v>1635</v>
      </c>
      <c r="AL1522" s="4" t="s">
        <v>1636</v>
      </c>
      <c r="AM1522" s="5" t="s">
        <v>1636</v>
      </c>
      <c r="AN1522" s="4">
        <v>0</v>
      </c>
      <c r="AO1522" t="s">
        <v>1635</v>
      </c>
      <c r="AP1522" s="4" t="s">
        <v>1636</v>
      </c>
      <c r="AQ1522" t="s">
        <v>1619</v>
      </c>
      <c r="AR1522" t="s">
        <v>1620</v>
      </c>
      <c r="AS1522" t="s">
        <v>1666</v>
      </c>
      <c r="AT1522" s="16" t="str">
        <f>_xlfn.XLOOKUP(B1522,'SWiSH Demand Forecast Sep-26'!D:D,'SWiSH Demand Forecast Sep-26'!G:G,"Not Exist")</f>
        <v>Not Exist</v>
      </c>
    </row>
    <row r="1523" spans="1:46" x14ac:dyDescent="0.3">
      <c r="A1523">
        <v>107200149</v>
      </c>
      <c r="B1523" t="s">
        <v>3345</v>
      </c>
      <c r="C1523" t="s">
        <v>10</v>
      </c>
      <c r="D1523" t="s">
        <v>1629</v>
      </c>
      <c r="E1523" t="s">
        <v>1663</v>
      </c>
      <c r="F1523" t="s">
        <v>1656</v>
      </c>
      <c r="G1523" t="e">
        <v>#N/A</v>
      </c>
      <c r="H1523" t="s">
        <v>1657</v>
      </c>
      <c r="I1523" t="s">
        <v>1634</v>
      </c>
      <c r="J1523" t="s">
        <v>10</v>
      </c>
      <c r="K1523" t="e">
        <v>#N/A</v>
      </c>
      <c r="L1523" t="e">
        <v>#N/A</v>
      </c>
      <c r="M1523" s="1">
        <v>7</v>
      </c>
      <c r="N1523">
        <v>0</v>
      </c>
      <c r="O1523">
        <v>0</v>
      </c>
      <c r="P1523">
        <v>0</v>
      </c>
      <c r="Q1523" s="1">
        <v>0</v>
      </c>
      <c r="R1523">
        <v>2.5</v>
      </c>
      <c r="S1523" s="2">
        <v>46078</v>
      </c>
      <c r="T1523" s="2">
        <v>46119</v>
      </c>
      <c r="U1523">
        <v>0</v>
      </c>
      <c r="V1523">
        <v>0</v>
      </c>
      <c r="W1523">
        <v>0</v>
      </c>
      <c r="X1523">
        <v>0</v>
      </c>
      <c r="Y1523">
        <v>0</v>
      </c>
      <c r="Z1523" s="8">
        <v>0</v>
      </c>
      <c r="AA1523">
        <v>0</v>
      </c>
      <c r="AB1523" t="s">
        <v>1635</v>
      </c>
      <c r="AC1523" t="s">
        <v>1635</v>
      </c>
      <c r="AD1523" s="1" t="s">
        <v>1635</v>
      </c>
      <c r="AE1523" s="2" t="s">
        <v>1635</v>
      </c>
      <c r="AF1523" s="2" t="s">
        <v>1635</v>
      </c>
      <c r="AG1523" s="2" t="s">
        <v>1635</v>
      </c>
      <c r="AH1523">
        <v>0</v>
      </c>
      <c r="AI1523" s="3" t="s">
        <v>1635</v>
      </c>
      <c r="AJ1523" s="1" t="s">
        <v>1635</v>
      </c>
      <c r="AK1523" s="2" t="s">
        <v>1635</v>
      </c>
      <c r="AL1523" s="4" t="s">
        <v>1636</v>
      </c>
      <c r="AM1523" s="5" t="s">
        <v>1636</v>
      </c>
      <c r="AN1523" s="4">
        <v>0</v>
      </c>
      <c r="AO1523" t="s">
        <v>1635</v>
      </c>
      <c r="AP1523" s="4" t="s">
        <v>1636</v>
      </c>
      <c r="AQ1523" t="s">
        <v>1619</v>
      </c>
      <c r="AR1523" t="s">
        <v>1620</v>
      </c>
      <c r="AS1523" t="s">
        <v>1666</v>
      </c>
      <c r="AT1523" s="16" t="str">
        <f>_xlfn.XLOOKUP(B1523,'SWiSH Demand Forecast Sep-26'!D:D,'SWiSH Demand Forecast Sep-26'!G:G,"Not Exist")</f>
        <v>Not Exist</v>
      </c>
    </row>
    <row r="1524" spans="1:46" x14ac:dyDescent="0.3">
      <c r="A1524">
        <v>105600010</v>
      </c>
      <c r="B1524" t="s">
        <v>3346</v>
      </c>
      <c r="C1524" t="s">
        <v>10</v>
      </c>
      <c r="D1524" t="s">
        <v>1629</v>
      </c>
      <c r="E1524" t="s">
        <v>1995</v>
      </c>
      <c r="F1524" t="s">
        <v>1631</v>
      </c>
      <c r="G1524" t="s">
        <v>1624</v>
      </c>
      <c r="H1524" t="s">
        <v>1679</v>
      </c>
      <c r="I1524" t="s">
        <v>1634</v>
      </c>
      <c r="J1524" t="s">
        <v>136</v>
      </c>
      <c r="K1524">
        <v>0.7</v>
      </c>
      <c r="L1524">
        <v>0</v>
      </c>
      <c r="M1524" s="1">
        <v>7</v>
      </c>
      <c r="N1524">
        <v>0</v>
      </c>
      <c r="O1524">
        <v>0</v>
      </c>
      <c r="P1524">
        <v>0</v>
      </c>
      <c r="Q1524" s="1">
        <v>0</v>
      </c>
      <c r="R1524">
        <v>0.7</v>
      </c>
      <c r="S1524" s="2">
        <v>45385</v>
      </c>
      <c r="T1524" s="2">
        <v>46065</v>
      </c>
      <c r="U1524">
        <v>0</v>
      </c>
      <c r="V1524">
        <v>0</v>
      </c>
      <c r="W1524">
        <v>0</v>
      </c>
      <c r="X1524">
        <v>0</v>
      </c>
      <c r="Y1524">
        <v>0</v>
      </c>
      <c r="Z1524" s="8">
        <v>0</v>
      </c>
      <c r="AA1524">
        <v>0</v>
      </c>
      <c r="AB1524" t="s">
        <v>1635</v>
      </c>
      <c r="AC1524" t="s">
        <v>1635</v>
      </c>
      <c r="AD1524" s="1" t="s">
        <v>1635</v>
      </c>
      <c r="AE1524" s="2" t="s">
        <v>1635</v>
      </c>
      <c r="AF1524" s="2" t="s">
        <v>1635</v>
      </c>
      <c r="AG1524" s="2" t="s">
        <v>1635</v>
      </c>
      <c r="AH1524">
        <v>0</v>
      </c>
      <c r="AI1524" s="3" t="s">
        <v>1635</v>
      </c>
      <c r="AJ1524" s="1" t="s">
        <v>1635</v>
      </c>
      <c r="AK1524" s="2" t="s">
        <v>1635</v>
      </c>
      <c r="AL1524" s="4" t="s">
        <v>1636</v>
      </c>
      <c r="AM1524" s="5" t="s">
        <v>1636</v>
      </c>
      <c r="AN1524" s="4">
        <v>0</v>
      </c>
      <c r="AO1524" t="s">
        <v>1635</v>
      </c>
      <c r="AP1524" s="4" t="s">
        <v>1636</v>
      </c>
      <c r="AQ1524" t="s">
        <v>1619</v>
      </c>
      <c r="AR1524" t="s">
        <v>1620</v>
      </c>
      <c r="AT1524" s="16" t="str">
        <f>_xlfn.XLOOKUP(B1524,'SWiSH Demand Forecast Sep-26'!D:D,'SWiSH Demand Forecast Sep-26'!G:G,"Not Exist")</f>
        <v>Not Exist</v>
      </c>
    </row>
    <row r="1525" spans="1:46" hidden="1" x14ac:dyDescent="0.3">
      <c r="A1525">
        <v>105300015</v>
      </c>
      <c r="B1525" t="s">
        <v>662</v>
      </c>
      <c r="C1525" t="s">
        <v>10</v>
      </c>
      <c r="D1525" t="s">
        <v>1629</v>
      </c>
      <c r="E1525" t="s">
        <v>1638</v>
      </c>
      <c r="F1525" t="s">
        <v>1664</v>
      </c>
      <c r="G1525" t="s">
        <v>1704</v>
      </c>
      <c r="H1525" t="s">
        <v>1978</v>
      </c>
      <c r="I1525" t="s">
        <v>1634</v>
      </c>
      <c r="J1525" t="s">
        <v>10</v>
      </c>
      <c r="K1525">
        <v>3.2000000000000001E-2</v>
      </c>
      <c r="L1525">
        <v>0</v>
      </c>
      <c r="M1525" s="1">
        <v>30</v>
      </c>
      <c r="N1525">
        <v>0</v>
      </c>
      <c r="O1525">
        <v>0</v>
      </c>
      <c r="P1525">
        <v>0</v>
      </c>
      <c r="Q1525" s="1">
        <v>0</v>
      </c>
      <c r="R1525">
        <v>3.2000000000000001E-2</v>
      </c>
      <c r="S1525" s="2">
        <v>46031</v>
      </c>
      <c r="T1525" s="2">
        <v>46260</v>
      </c>
      <c r="U1525">
        <v>0</v>
      </c>
      <c r="V1525">
        <v>0</v>
      </c>
      <c r="W1525">
        <v>0</v>
      </c>
      <c r="X1525">
        <v>0</v>
      </c>
      <c r="Y1525">
        <v>0</v>
      </c>
      <c r="Z1525" s="8">
        <v>0</v>
      </c>
      <c r="AA1525">
        <v>0</v>
      </c>
      <c r="AB1525" t="s">
        <v>1635</v>
      </c>
      <c r="AC1525" t="s">
        <v>1635</v>
      </c>
      <c r="AD1525" s="1" t="s">
        <v>1635</v>
      </c>
      <c r="AE1525" s="2" t="s">
        <v>1635</v>
      </c>
      <c r="AF1525" s="2" t="s">
        <v>1635</v>
      </c>
      <c r="AG1525" s="2" t="s">
        <v>1635</v>
      </c>
      <c r="AH1525">
        <v>0</v>
      </c>
      <c r="AI1525" s="3" t="s">
        <v>1635</v>
      </c>
      <c r="AJ1525" s="1" t="s">
        <v>1635</v>
      </c>
      <c r="AK1525" s="2" t="s">
        <v>1635</v>
      </c>
      <c r="AL1525" s="4" t="s">
        <v>1636</v>
      </c>
      <c r="AM1525" s="5" t="s">
        <v>1636</v>
      </c>
      <c r="AN1525" s="4">
        <v>0</v>
      </c>
      <c r="AO1525" t="s">
        <v>1635</v>
      </c>
      <c r="AP1525" s="4" t="s">
        <v>1636</v>
      </c>
      <c r="AQ1525" t="s">
        <v>1619</v>
      </c>
      <c r="AR1525" t="s">
        <v>1620</v>
      </c>
      <c r="AT1525" s="16">
        <f>_xlfn.XLOOKUP(B1525,'SWiSH Demand Forecast Sep-26'!D:D,'SWiSH Demand Forecast Sep-26'!G:G,"Not Exist")</f>
        <v>704</v>
      </c>
    </row>
    <row r="1526" spans="1:46" x14ac:dyDescent="0.3">
      <c r="A1526">
        <v>106600109</v>
      </c>
      <c r="B1526" t="s">
        <v>3347</v>
      </c>
      <c r="C1526" t="s">
        <v>10</v>
      </c>
      <c r="D1526" t="s">
        <v>1955</v>
      </c>
      <c r="E1526" t="s">
        <v>3348</v>
      </c>
      <c r="F1526" t="s">
        <v>1664</v>
      </c>
      <c r="G1526" t="e">
        <v>#N/A</v>
      </c>
      <c r="H1526" t="s">
        <v>1723</v>
      </c>
      <c r="I1526" t="s">
        <v>1634</v>
      </c>
      <c r="J1526" t="s">
        <v>10</v>
      </c>
      <c r="K1526" t="e">
        <v>#N/A</v>
      </c>
      <c r="L1526" t="e">
        <v>#N/A</v>
      </c>
      <c r="M1526" s="1">
        <v>7</v>
      </c>
      <c r="N1526">
        <v>0</v>
      </c>
      <c r="O1526">
        <v>0</v>
      </c>
      <c r="P1526">
        <v>0</v>
      </c>
      <c r="Q1526" s="1">
        <v>0</v>
      </c>
      <c r="R1526">
        <v>0.04</v>
      </c>
      <c r="S1526" s="2">
        <v>46081</v>
      </c>
      <c r="T1526" s="2">
        <v>46097</v>
      </c>
      <c r="U1526">
        <v>0</v>
      </c>
      <c r="V1526">
        <v>0</v>
      </c>
      <c r="W1526">
        <v>0</v>
      </c>
      <c r="X1526">
        <v>0</v>
      </c>
      <c r="Y1526">
        <v>0</v>
      </c>
      <c r="Z1526" s="8">
        <v>0</v>
      </c>
      <c r="AA1526">
        <v>0</v>
      </c>
      <c r="AB1526" t="s">
        <v>1635</v>
      </c>
      <c r="AC1526" t="s">
        <v>1635</v>
      </c>
      <c r="AD1526" s="1" t="s">
        <v>1635</v>
      </c>
      <c r="AE1526" s="2" t="s">
        <v>1635</v>
      </c>
      <c r="AF1526" s="2" t="s">
        <v>1635</v>
      </c>
      <c r="AG1526" s="2" t="s">
        <v>1635</v>
      </c>
      <c r="AH1526">
        <v>0</v>
      </c>
      <c r="AI1526" s="3" t="s">
        <v>1635</v>
      </c>
      <c r="AJ1526" s="1" t="s">
        <v>1635</v>
      </c>
      <c r="AK1526" s="2" t="s">
        <v>1635</v>
      </c>
      <c r="AL1526" s="4" t="s">
        <v>1658</v>
      </c>
      <c r="AM1526" s="5" t="s">
        <v>1658</v>
      </c>
      <c r="AN1526" s="4">
        <v>0</v>
      </c>
      <c r="AO1526" t="s">
        <v>1635</v>
      </c>
      <c r="AP1526" s="4" t="s">
        <v>1658</v>
      </c>
      <c r="AQ1526" t="s">
        <v>1619</v>
      </c>
      <c r="AR1526" t="s">
        <v>1620</v>
      </c>
      <c r="AT1526" s="16" t="str">
        <f>_xlfn.XLOOKUP(B1526,'SWiSH Demand Forecast Sep-26'!D:D,'SWiSH Demand Forecast Sep-26'!G:G,"Not Exist")</f>
        <v>Not Exist</v>
      </c>
    </row>
    <row r="1527" spans="1:46" x14ac:dyDescent="0.3">
      <c r="A1527">
        <v>106800291</v>
      </c>
      <c r="B1527" t="s">
        <v>3349</v>
      </c>
      <c r="C1527" t="s">
        <v>10</v>
      </c>
      <c r="D1527" t="s">
        <v>1955</v>
      </c>
      <c r="E1527" t="s">
        <v>1685</v>
      </c>
      <c r="F1527" t="s">
        <v>1664</v>
      </c>
      <c r="G1527" t="e">
        <v>#N/A</v>
      </c>
      <c r="H1527" t="s">
        <v>1665</v>
      </c>
      <c r="I1527" t="s">
        <v>1634</v>
      </c>
      <c r="J1527" t="s">
        <v>10</v>
      </c>
      <c r="K1527" t="e">
        <v>#N/A</v>
      </c>
      <c r="L1527" t="e">
        <v>#N/A</v>
      </c>
      <c r="M1527" s="1">
        <v>7</v>
      </c>
      <c r="N1527">
        <v>0</v>
      </c>
      <c r="O1527">
        <v>0</v>
      </c>
      <c r="P1527">
        <v>0</v>
      </c>
      <c r="Q1527" s="1">
        <v>0</v>
      </c>
      <c r="R1527">
        <v>5.0000000000000001E-3</v>
      </c>
      <c r="S1527" s="2">
        <v>46070</v>
      </c>
      <c r="T1527" s="2">
        <v>46096</v>
      </c>
      <c r="U1527">
        <v>0</v>
      </c>
      <c r="V1527">
        <v>0</v>
      </c>
      <c r="W1527">
        <v>0</v>
      </c>
      <c r="X1527">
        <v>0</v>
      </c>
      <c r="Y1527">
        <v>0</v>
      </c>
      <c r="Z1527" s="8">
        <v>0</v>
      </c>
      <c r="AA1527">
        <v>0</v>
      </c>
      <c r="AB1527" t="s">
        <v>1635</v>
      </c>
      <c r="AC1527" t="s">
        <v>1635</v>
      </c>
      <c r="AD1527" s="1" t="s">
        <v>1635</v>
      </c>
      <c r="AE1527" s="2" t="s">
        <v>1635</v>
      </c>
      <c r="AF1527" s="2" t="s">
        <v>1635</v>
      </c>
      <c r="AG1527" s="2" t="s">
        <v>1635</v>
      </c>
      <c r="AH1527">
        <v>0</v>
      </c>
      <c r="AI1527" s="3" t="s">
        <v>1635</v>
      </c>
      <c r="AJ1527" s="1" t="s">
        <v>1635</v>
      </c>
      <c r="AK1527" s="2" t="s">
        <v>1635</v>
      </c>
      <c r="AL1527" s="4" t="s">
        <v>1658</v>
      </c>
      <c r="AM1527" s="5" t="s">
        <v>1658</v>
      </c>
      <c r="AN1527" s="4">
        <v>0</v>
      </c>
      <c r="AO1527" t="s">
        <v>1635</v>
      </c>
      <c r="AP1527" s="4" t="s">
        <v>1658</v>
      </c>
      <c r="AQ1527" t="s">
        <v>1619</v>
      </c>
      <c r="AR1527" t="s">
        <v>1620</v>
      </c>
      <c r="AT1527" s="16" t="str">
        <f>_xlfn.XLOOKUP(B1527,'SWiSH Demand Forecast Sep-26'!D:D,'SWiSH Demand Forecast Sep-26'!G:G,"Not Exist")</f>
        <v>Not Exist</v>
      </c>
    </row>
    <row r="1528" spans="1:46" x14ac:dyDescent="0.3">
      <c r="A1528">
        <v>101500036</v>
      </c>
      <c r="B1528" t="s">
        <v>3350</v>
      </c>
      <c r="C1528" t="s">
        <v>10</v>
      </c>
      <c r="D1528" t="s">
        <v>1629</v>
      </c>
      <c r="E1528" t="s">
        <v>2277</v>
      </c>
      <c r="F1528" t="s">
        <v>1631</v>
      </c>
      <c r="G1528" t="s">
        <v>1632</v>
      </c>
      <c r="H1528" t="s">
        <v>1647</v>
      </c>
      <c r="I1528" t="s">
        <v>1634</v>
      </c>
      <c r="J1528" t="s">
        <v>2720</v>
      </c>
      <c r="K1528">
        <v>0.125</v>
      </c>
      <c r="L1528">
        <v>0</v>
      </c>
      <c r="M1528" s="1">
        <v>3</v>
      </c>
      <c r="N1528">
        <v>0</v>
      </c>
      <c r="O1528">
        <v>0</v>
      </c>
      <c r="P1528">
        <v>0</v>
      </c>
      <c r="Q1528" s="1">
        <v>0</v>
      </c>
      <c r="R1528">
        <v>1.25</v>
      </c>
      <c r="S1528" s="2">
        <v>45970</v>
      </c>
      <c r="T1528" s="2">
        <v>46064</v>
      </c>
      <c r="U1528">
        <v>0</v>
      </c>
      <c r="V1528">
        <v>0</v>
      </c>
      <c r="W1528">
        <v>0</v>
      </c>
      <c r="X1528">
        <v>0</v>
      </c>
      <c r="Y1528">
        <v>0</v>
      </c>
      <c r="Z1528" s="8">
        <v>0</v>
      </c>
      <c r="AA1528">
        <v>0</v>
      </c>
      <c r="AB1528" t="s">
        <v>1635</v>
      </c>
      <c r="AC1528" t="s">
        <v>1635</v>
      </c>
      <c r="AD1528" s="1" t="s">
        <v>1635</v>
      </c>
      <c r="AE1528" s="2" t="s">
        <v>1635</v>
      </c>
      <c r="AF1528" s="2" t="s">
        <v>1635</v>
      </c>
      <c r="AG1528" s="2" t="s">
        <v>1635</v>
      </c>
      <c r="AH1528">
        <v>0</v>
      </c>
      <c r="AI1528" s="3" t="s">
        <v>1635</v>
      </c>
      <c r="AJ1528" s="1" t="s">
        <v>1635</v>
      </c>
      <c r="AK1528" s="2" t="s">
        <v>1635</v>
      </c>
      <c r="AL1528" s="4" t="s">
        <v>1636</v>
      </c>
      <c r="AM1528" s="5" t="s">
        <v>1636</v>
      </c>
      <c r="AN1528" s="4">
        <v>0</v>
      </c>
      <c r="AO1528" t="s">
        <v>1635</v>
      </c>
      <c r="AP1528" s="4" t="s">
        <v>1636</v>
      </c>
      <c r="AQ1528" t="s">
        <v>1619</v>
      </c>
      <c r="AR1528" t="s">
        <v>1620</v>
      </c>
      <c r="AT1528" s="16" t="str">
        <f>_xlfn.XLOOKUP(B1528,'SWiSH Demand Forecast Sep-26'!D:D,'SWiSH Demand Forecast Sep-26'!G:G,"Not Exist")</f>
        <v>Not Exist</v>
      </c>
    </row>
    <row r="1529" spans="1:46" x14ac:dyDescent="0.3">
      <c r="A1529">
        <v>103600002</v>
      </c>
      <c r="B1529" t="s">
        <v>3351</v>
      </c>
      <c r="C1529" t="s">
        <v>10</v>
      </c>
      <c r="D1529" t="s">
        <v>1629</v>
      </c>
      <c r="E1529" t="s">
        <v>1796</v>
      </c>
      <c r="F1529" t="s">
        <v>1664</v>
      </c>
      <c r="G1529" t="s">
        <v>1624</v>
      </c>
      <c r="H1529" t="s">
        <v>3352</v>
      </c>
      <c r="I1529" t="s">
        <v>1634</v>
      </c>
      <c r="J1529" t="e">
        <v>#N/A</v>
      </c>
      <c r="K1529">
        <v>0</v>
      </c>
      <c r="L1529">
        <v>0</v>
      </c>
      <c r="M1529" s="1">
        <v>15</v>
      </c>
      <c r="N1529">
        <v>0</v>
      </c>
      <c r="O1529">
        <v>0</v>
      </c>
      <c r="P1529">
        <v>0</v>
      </c>
      <c r="Q1529" s="1">
        <v>0</v>
      </c>
      <c r="R1529">
        <v>0</v>
      </c>
      <c r="S1529" s="2">
        <v>45977</v>
      </c>
      <c r="T1529" s="2">
        <v>46164</v>
      </c>
      <c r="U1529">
        <v>0</v>
      </c>
      <c r="V1529">
        <v>0</v>
      </c>
      <c r="W1529">
        <v>0</v>
      </c>
      <c r="X1529">
        <v>0</v>
      </c>
      <c r="Y1529">
        <v>0</v>
      </c>
      <c r="Z1529" s="8">
        <v>0</v>
      </c>
      <c r="AA1529">
        <v>0</v>
      </c>
      <c r="AB1529" t="s">
        <v>1635</v>
      </c>
      <c r="AC1529" t="s">
        <v>1635</v>
      </c>
      <c r="AD1529" s="1" t="s">
        <v>1635</v>
      </c>
      <c r="AE1529" s="2" t="s">
        <v>1635</v>
      </c>
      <c r="AF1529" s="2" t="s">
        <v>1635</v>
      </c>
      <c r="AG1529" s="2" t="s">
        <v>1635</v>
      </c>
      <c r="AH1529">
        <v>0</v>
      </c>
      <c r="AI1529" s="3" t="s">
        <v>1635</v>
      </c>
      <c r="AJ1529" s="1" t="s">
        <v>1635</v>
      </c>
      <c r="AK1529" s="2" t="s">
        <v>1635</v>
      </c>
      <c r="AL1529" s="4" t="s">
        <v>1636</v>
      </c>
      <c r="AM1529" s="5" t="s">
        <v>1636</v>
      </c>
      <c r="AN1529" s="4">
        <v>0</v>
      </c>
      <c r="AO1529" t="s">
        <v>1635</v>
      </c>
      <c r="AP1529" s="4" t="s">
        <v>1636</v>
      </c>
      <c r="AQ1529" t="s">
        <v>1619</v>
      </c>
      <c r="AR1529" t="s">
        <v>1620</v>
      </c>
      <c r="AT1529" s="16" t="str">
        <f>_xlfn.XLOOKUP(B1529,'SWiSH Demand Forecast Sep-26'!D:D,'SWiSH Demand Forecast Sep-26'!G:G,"Not Exist")</f>
        <v>Not Exist</v>
      </c>
    </row>
    <row r="1530" spans="1:46" x14ac:dyDescent="0.3">
      <c r="A1530">
        <v>106800293</v>
      </c>
      <c r="B1530" t="s">
        <v>3353</v>
      </c>
      <c r="C1530" t="s">
        <v>10</v>
      </c>
      <c r="D1530" t="s">
        <v>1955</v>
      </c>
      <c r="E1530" t="s">
        <v>1685</v>
      </c>
      <c r="F1530" t="s">
        <v>1664</v>
      </c>
      <c r="G1530" t="e">
        <v>#N/A</v>
      </c>
      <c r="H1530" t="s">
        <v>1665</v>
      </c>
      <c r="I1530" t="s">
        <v>1634</v>
      </c>
      <c r="J1530" t="s">
        <v>10</v>
      </c>
      <c r="K1530" t="e">
        <v>#N/A</v>
      </c>
      <c r="L1530" t="e">
        <v>#N/A</v>
      </c>
      <c r="M1530" s="1">
        <v>7</v>
      </c>
      <c r="N1530">
        <v>0</v>
      </c>
      <c r="O1530">
        <v>0</v>
      </c>
      <c r="P1530">
        <v>0</v>
      </c>
      <c r="Q1530" s="1">
        <v>0</v>
      </c>
      <c r="R1530">
        <v>5.0000000000000001E-3</v>
      </c>
      <c r="S1530" s="2">
        <v>46070</v>
      </c>
      <c r="T1530" s="2">
        <v>46097</v>
      </c>
      <c r="U1530">
        <v>0</v>
      </c>
      <c r="V1530">
        <v>0</v>
      </c>
      <c r="W1530">
        <v>0</v>
      </c>
      <c r="X1530">
        <v>0</v>
      </c>
      <c r="Y1530">
        <v>0</v>
      </c>
      <c r="Z1530" s="8">
        <v>0</v>
      </c>
      <c r="AA1530">
        <v>0</v>
      </c>
      <c r="AB1530" t="s">
        <v>1635</v>
      </c>
      <c r="AC1530" t="s">
        <v>1635</v>
      </c>
      <c r="AD1530" s="1" t="s">
        <v>1635</v>
      </c>
      <c r="AE1530" s="2" t="s">
        <v>1635</v>
      </c>
      <c r="AF1530" s="2" t="s">
        <v>1635</v>
      </c>
      <c r="AG1530" s="2" t="s">
        <v>1635</v>
      </c>
      <c r="AH1530">
        <v>0</v>
      </c>
      <c r="AI1530" s="3" t="s">
        <v>1635</v>
      </c>
      <c r="AJ1530" s="1" t="s">
        <v>1635</v>
      </c>
      <c r="AK1530" s="2" t="s">
        <v>1635</v>
      </c>
      <c r="AL1530" s="4" t="s">
        <v>1658</v>
      </c>
      <c r="AM1530" s="5" t="s">
        <v>1658</v>
      </c>
      <c r="AN1530" s="4">
        <v>0</v>
      </c>
      <c r="AO1530" t="s">
        <v>1635</v>
      </c>
      <c r="AP1530" s="4" t="s">
        <v>1658</v>
      </c>
      <c r="AQ1530" t="s">
        <v>1619</v>
      </c>
      <c r="AR1530" t="s">
        <v>1620</v>
      </c>
      <c r="AS1530" t="s">
        <v>1666</v>
      </c>
      <c r="AT1530" s="16" t="str">
        <f>_xlfn.XLOOKUP(B1530,'SWiSH Demand Forecast Sep-26'!D:D,'SWiSH Demand Forecast Sep-26'!G:G,"Not Exist")</f>
        <v>Not Exist</v>
      </c>
    </row>
    <row r="1531" spans="1:46" x14ac:dyDescent="0.3">
      <c r="A1531">
        <v>106600072</v>
      </c>
      <c r="B1531" t="s">
        <v>3354</v>
      </c>
      <c r="C1531" t="s">
        <v>10</v>
      </c>
      <c r="D1531" t="s">
        <v>1955</v>
      </c>
      <c r="E1531" t="s">
        <v>1685</v>
      </c>
      <c r="F1531" t="s">
        <v>1664</v>
      </c>
      <c r="G1531" t="e">
        <v>#N/A</v>
      </c>
      <c r="H1531" t="s">
        <v>1723</v>
      </c>
      <c r="I1531" t="s">
        <v>1634</v>
      </c>
      <c r="J1531" t="s">
        <v>10</v>
      </c>
      <c r="K1531" t="e">
        <v>#N/A</v>
      </c>
      <c r="L1531" t="e">
        <v>#N/A</v>
      </c>
      <c r="M1531" s="1">
        <v>7</v>
      </c>
      <c r="N1531">
        <v>0</v>
      </c>
      <c r="O1531">
        <v>0</v>
      </c>
      <c r="P1531">
        <v>0</v>
      </c>
      <c r="Q1531" s="1">
        <v>0</v>
      </c>
      <c r="R1531">
        <v>2.1999999999999999E-2</v>
      </c>
      <c r="S1531" s="2">
        <v>46070</v>
      </c>
      <c r="T1531" s="2">
        <v>46127</v>
      </c>
      <c r="U1531">
        <v>0</v>
      </c>
      <c r="V1531">
        <v>0</v>
      </c>
      <c r="W1531">
        <v>0</v>
      </c>
      <c r="X1531">
        <v>0</v>
      </c>
      <c r="Y1531">
        <v>0</v>
      </c>
      <c r="Z1531" s="8">
        <v>0</v>
      </c>
      <c r="AA1531">
        <v>0</v>
      </c>
      <c r="AB1531" t="s">
        <v>1635</v>
      </c>
      <c r="AC1531" t="s">
        <v>1635</v>
      </c>
      <c r="AD1531" s="1" t="s">
        <v>1635</v>
      </c>
      <c r="AE1531" s="2" t="s">
        <v>1635</v>
      </c>
      <c r="AF1531" s="2" t="s">
        <v>1635</v>
      </c>
      <c r="AG1531" s="2" t="s">
        <v>1635</v>
      </c>
      <c r="AH1531">
        <v>0</v>
      </c>
      <c r="AI1531" s="3" t="s">
        <v>1635</v>
      </c>
      <c r="AJ1531" s="1" t="s">
        <v>1635</v>
      </c>
      <c r="AK1531" s="2" t="s">
        <v>1635</v>
      </c>
      <c r="AL1531" s="4" t="s">
        <v>1658</v>
      </c>
      <c r="AM1531" s="5" t="s">
        <v>1658</v>
      </c>
      <c r="AN1531" s="4">
        <v>0</v>
      </c>
      <c r="AO1531" t="s">
        <v>1635</v>
      </c>
      <c r="AP1531" s="4" t="s">
        <v>1658</v>
      </c>
      <c r="AQ1531" t="s">
        <v>1619</v>
      </c>
      <c r="AR1531" t="s">
        <v>1620</v>
      </c>
      <c r="AS1531" t="s">
        <v>1666</v>
      </c>
      <c r="AT1531" s="16" t="str">
        <f>_xlfn.XLOOKUP(B1531,'SWiSH Demand Forecast Sep-26'!D:D,'SWiSH Demand Forecast Sep-26'!G:G,"Not Exist")</f>
        <v>Not Exist</v>
      </c>
    </row>
    <row r="1532" spans="1:46" x14ac:dyDescent="0.3">
      <c r="A1532">
        <v>105200037</v>
      </c>
      <c r="B1532" t="s">
        <v>3355</v>
      </c>
      <c r="C1532" t="s">
        <v>10</v>
      </c>
      <c r="D1532" t="s">
        <v>1629</v>
      </c>
      <c r="E1532" t="s">
        <v>1796</v>
      </c>
      <c r="F1532" t="s">
        <v>1664</v>
      </c>
      <c r="G1532" t="s">
        <v>1624</v>
      </c>
      <c r="H1532" t="s">
        <v>1779</v>
      </c>
      <c r="I1532" t="s">
        <v>1634</v>
      </c>
      <c r="J1532" t="s">
        <v>10</v>
      </c>
      <c r="K1532">
        <v>2.8886180000000001E-2</v>
      </c>
      <c r="L1532">
        <v>0</v>
      </c>
      <c r="M1532" s="1">
        <v>15</v>
      </c>
      <c r="N1532">
        <v>0</v>
      </c>
      <c r="O1532">
        <v>0</v>
      </c>
      <c r="P1532">
        <v>0</v>
      </c>
      <c r="Q1532" s="1">
        <v>0</v>
      </c>
      <c r="R1532">
        <v>0.03</v>
      </c>
      <c r="S1532" s="2">
        <v>45988</v>
      </c>
      <c r="T1532" s="2">
        <v>46216</v>
      </c>
      <c r="U1532">
        <v>0</v>
      </c>
      <c r="V1532">
        <v>0</v>
      </c>
      <c r="W1532">
        <v>0</v>
      </c>
      <c r="X1532">
        <v>0</v>
      </c>
      <c r="Y1532">
        <v>0</v>
      </c>
      <c r="Z1532" s="8">
        <v>0</v>
      </c>
      <c r="AA1532">
        <v>0</v>
      </c>
      <c r="AB1532" t="s">
        <v>1635</v>
      </c>
      <c r="AC1532" t="s">
        <v>1635</v>
      </c>
      <c r="AD1532" s="1" t="s">
        <v>1635</v>
      </c>
      <c r="AE1532" s="2" t="s">
        <v>1635</v>
      </c>
      <c r="AF1532" s="2" t="s">
        <v>1635</v>
      </c>
      <c r="AG1532" s="2" t="s">
        <v>1635</v>
      </c>
      <c r="AH1532">
        <v>0</v>
      </c>
      <c r="AI1532" s="3" t="s">
        <v>1635</v>
      </c>
      <c r="AJ1532" s="1" t="s">
        <v>1635</v>
      </c>
      <c r="AK1532" s="2" t="s">
        <v>1635</v>
      </c>
      <c r="AL1532" s="4" t="s">
        <v>1636</v>
      </c>
      <c r="AM1532" s="5" t="s">
        <v>1636</v>
      </c>
      <c r="AN1532" s="4">
        <v>0</v>
      </c>
      <c r="AO1532" t="s">
        <v>1635</v>
      </c>
      <c r="AP1532" s="4" t="s">
        <v>1636</v>
      </c>
      <c r="AQ1532" t="s">
        <v>1619</v>
      </c>
      <c r="AR1532" t="s">
        <v>1620</v>
      </c>
      <c r="AT1532" s="16" t="str">
        <f>_xlfn.XLOOKUP(B1532,'SWiSH Demand Forecast Sep-26'!D:D,'SWiSH Demand Forecast Sep-26'!G:G,"Not Exist")</f>
        <v>Not Exist</v>
      </c>
    </row>
    <row r="1533" spans="1:46" x14ac:dyDescent="0.3">
      <c r="A1533">
        <v>106800292</v>
      </c>
      <c r="B1533" t="s">
        <v>3356</v>
      </c>
      <c r="C1533" t="s">
        <v>10</v>
      </c>
      <c r="D1533" t="s">
        <v>1955</v>
      </c>
      <c r="E1533" t="s">
        <v>1685</v>
      </c>
      <c r="F1533" t="s">
        <v>1664</v>
      </c>
      <c r="G1533" t="e">
        <v>#N/A</v>
      </c>
      <c r="H1533" t="s">
        <v>1665</v>
      </c>
      <c r="I1533" t="s">
        <v>1634</v>
      </c>
      <c r="J1533" t="s">
        <v>10</v>
      </c>
      <c r="K1533" t="e">
        <v>#N/A</v>
      </c>
      <c r="L1533" t="e">
        <v>#N/A</v>
      </c>
      <c r="M1533" s="1">
        <v>7</v>
      </c>
      <c r="N1533">
        <v>0</v>
      </c>
      <c r="O1533">
        <v>0</v>
      </c>
      <c r="P1533">
        <v>0</v>
      </c>
      <c r="Q1533" s="1">
        <v>0</v>
      </c>
      <c r="R1533">
        <v>5.0000000000000001E-3</v>
      </c>
      <c r="S1533" s="2">
        <v>46070</v>
      </c>
      <c r="T1533" s="2">
        <v>46097</v>
      </c>
      <c r="U1533">
        <v>0</v>
      </c>
      <c r="V1533">
        <v>0</v>
      </c>
      <c r="W1533">
        <v>0</v>
      </c>
      <c r="X1533">
        <v>0</v>
      </c>
      <c r="Y1533">
        <v>0</v>
      </c>
      <c r="Z1533" s="8">
        <v>0</v>
      </c>
      <c r="AA1533">
        <v>0</v>
      </c>
      <c r="AB1533" t="s">
        <v>1635</v>
      </c>
      <c r="AC1533" t="s">
        <v>1635</v>
      </c>
      <c r="AD1533" s="1" t="s">
        <v>1635</v>
      </c>
      <c r="AE1533" s="2" t="s">
        <v>1635</v>
      </c>
      <c r="AF1533" s="2" t="s">
        <v>1635</v>
      </c>
      <c r="AG1533" s="2" t="s">
        <v>1635</v>
      </c>
      <c r="AH1533">
        <v>0</v>
      </c>
      <c r="AI1533" s="3" t="s">
        <v>1635</v>
      </c>
      <c r="AJ1533" s="1" t="s">
        <v>1635</v>
      </c>
      <c r="AK1533" s="2" t="s">
        <v>1635</v>
      </c>
      <c r="AL1533" s="4" t="s">
        <v>1658</v>
      </c>
      <c r="AM1533" s="5" t="s">
        <v>1658</v>
      </c>
      <c r="AN1533" s="4">
        <v>0</v>
      </c>
      <c r="AO1533" t="s">
        <v>1635</v>
      </c>
      <c r="AP1533" s="4" t="s">
        <v>1658</v>
      </c>
      <c r="AQ1533" t="s">
        <v>1619</v>
      </c>
      <c r="AR1533" t="s">
        <v>1620</v>
      </c>
      <c r="AS1533" t="s">
        <v>1666</v>
      </c>
      <c r="AT1533" s="16" t="str">
        <f>_xlfn.XLOOKUP(B1533,'SWiSH Demand Forecast Sep-26'!D:D,'SWiSH Demand Forecast Sep-26'!G:G,"Not Exist")</f>
        <v>Not Exist</v>
      </c>
    </row>
    <row r="1534" spans="1:46" x14ac:dyDescent="0.3">
      <c r="A1534">
        <v>105600042</v>
      </c>
      <c r="B1534" t="s">
        <v>3357</v>
      </c>
      <c r="C1534" t="s">
        <v>136</v>
      </c>
      <c r="D1534" t="s">
        <v>1629</v>
      </c>
      <c r="E1534" t="s">
        <v>3358</v>
      </c>
      <c r="F1534" t="s">
        <v>1631</v>
      </c>
      <c r="G1534" t="s">
        <v>1624</v>
      </c>
      <c r="H1534" t="s">
        <v>1679</v>
      </c>
      <c r="I1534" t="s">
        <v>1634</v>
      </c>
      <c r="J1534" t="s">
        <v>136</v>
      </c>
      <c r="K1534">
        <v>0.6</v>
      </c>
      <c r="L1534">
        <v>0</v>
      </c>
      <c r="M1534" s="1">
        <v>30</v>
      </c>
      <c r="N1534">
        <v>0</v>
      </c>
      <c r="O1534">
        <v>0</v>
      </c>
      <c r="P1534">
        <v>0</v>
      </c>
      <c r="Q1534" s="1">
        <v>0</v>
      </c>
      <c r="R1534">
        <v>0.6</v>
      </c>
      <c r="S1534" s="2">
        <v>46085</v>
      </c>
      <c r="T1534" s="2">
        <v>46097</v>
      </c>
      <c r="U1534">
        <v>0</v>
      </c>
      <c r="V1534">
        <v>0</v>
      </c>
      <c r="W1534">
        <v>0</v>
      </c>
      <c r="X1534">
        <v>0</v>
      </c>
      <c r="Y1534">
        <v>0</v>
      </c>
      <c r="Z1534" s="8">
        <v>0</v>
      </c>
      <c r="AA1534">
        <v>0</v>
      </c>
      <c r="AB1534" t="s">
        <v>1635</v>
      </c>
      <c r="AC1534" t="s">
        <v>1635</v>
      </c>
      <c r="AD1534" s="1" t="s">
        <v>1635</v>
      </c>
      <c r="AE1534" s="2" t="s">
        <v>1635</v>
      </c>
      <c r="AF1534" s="2" t="s">
        <v>1635</v>
      </c>
      <c r="AG1534" s="2" t="s">
        <v>1635</v>
      </c>
      <c r="AH1534">
        <v>0</v>
      </c>
      <c r="AI1534" s="3" t="s">
        <v>1635</v>
      </c>
      <c r="AJ1534" s="1" t="s">
        <v>1635</v>
      </c>
      <c r="AK1534" s="2" t="s">
        <v>1635</v>
      </c>
      <c r="AL1534" s="4" t="s">
        <v>1636</v>
      </c>
      <c r="AM1534" s="5" t="s">
        <v>1636</v>
      </c>
      <c r="AN1534" s="4">
        <v>0</v>
      </c>
      <c r="AO1534" t="s">
        <v>1635</v>
      </c>
      <c r="AP1534" s="4" t="s">
        <v>1636</v>
      </c>
      <c r="AQ1534" t="s">
        <v>1619</v>
      </c>
      <c r="AR1534" t="s">
        <v>1620</v>
      </c>
      <c r="AT1534" s="16" t="str">
        <f>_xlfn.XLOOKUP(B1534,'SWiSH Demand Forecast Sep-26'!D:D,'SWiSH Demand Forecast Sep-26'!G:G,"Not Exist")</f>
        <v>Not Exist</v>
      </c>
    </row>
    <row r="1535" spans="1:46" x14ac:dyDescent="0.3">
      <c r="A1535">
        <v>106600059</v>
      </c>
      <c r="B1535" t="s">
        <v>3359</v>
      </c>
      <c r="C1535" t="s">
        <v>10</v>
      </c>
      <c r="D1535" t="s">
        <v>1955</v>
      </c>
      <c r="E1535" t="s">
        <v>1685</v>
      </c>
      <c r="F1535" t="s">
        <v>1664</v>
      </c>
      <c r="G1535" t="s">
        <v>1624</v>
      </c>
      <c r="H1535" t="s">
        <v>1723</v>
      </c>
      <c r="I1535" t="s">
        <v>1634</v>
      </c>
      <c r="J1535" t="s">
        <v>10</v>
      </c>
      <c r="K1535">
        <v>1.4999999999999999E-2</v>
      </c>
      <c r="L1535">
        <v>0</v>
      </c>
      <c r="M1535" s="1">
        <v>7</v>
      </c>
      <c r="N1535">
        <v>0</v>
      </c>
      <c r="O1535">
        <v>0</v>
      </c>
      <c r="P1535">
        <v>0</v>
      </c>
      <c r="Q1535" s="1">
        <v>0</v>
      </c>
      <c r="R1535">
        <v>1.4999999999999999E-2</v>
      </c>
      <c r="S1535" s="2">
        <v>46071</v>
      </c>
      <c r="T1535" s="2">
        <v>46098</v>
      </c>
      <c r="U1535">
        <v>0</v>
      </c>
      <c r="V1535">
        <v>0</v>
      </c>
      <c r="W1535">
        <v>0</v>
      </c>
      <c r="X1535">
        <v>0</v>
      </c>
      <c r="Y1535">
        <v>0</v>
      </c>
      <c r="Z1535" s="8">
        <v>0</v>
      </c>
      <c r="AA1535">
        <v>0</v>
      </c>
      <c r="AB1535" t="s">
        <v>1635</v>
      </c>
      <c r="AC1535" t="s">
        <v>1635</v>
      </c>
      <c r="AD1535" s="1" t="s">
        <v>1635</v>
      </c>
      <c r="AE1535" s="2" t="s">
        <v>1635</v>
      </c>
      <c r="AF1535" s="2" t="s">
        <v>1635</v>
      </c>
      <c r="AG1535" s="2" t="s">
        <v>1635</v>
      </c>
      <c r="AH1535">
        <v>0</v>
      </c>
      <c r="AI1535" s="3" t="s">
        <v>1635</v>
      </c>
      <c r="AJ1535" s="1" t="s">
        <v>1635</v>
      </c>
      <c r="AK1535" s="2" t="s">
        <v>1635</v>
      </c>
      <c r="AL1535" s="4" t="s">
        <v>1658</v>
      </c>
      <c r="AM1535" s="5" t="s">
        <v>1658</v>
      </c>
      <c r="AN1535" s="4">
        <v>0</v>
      </c>
      <c r="AO1535" t="s">
        <v>1635</v>
      </c>
      <c r="AP1535" s="4" t="s">
        <v>1658</v>
      </c>
      <c r="AQ1535" t="s">
        <v>1619</v>
      </c>
      <c r="AR1535" t="s">
        <v>1620</v>
      </c>
      <c r="AT1535" s="16" t="str">
        <f>_xlfn.XLOOKUP(B1535,'SWiSH Demand Forecast Sep-26'!D:D,'SWiSH Demand Forecast Sep-26'!G:G,"Not Exist")</f>
        <v>Not Exist</v>
      </c>
    </row>
    <row r="1536" spans="1:46" x14ac:dyDescent="0.3">
      <c r="A1536">
        <v>104900009</v>
      </c>
      <c r="B1536" t="s">
        <v>3360</v>
      </c>
      <c r="C1536" t="s">
        <v>10</v>
      </c>
      <c r="D1536" t="s">
        <v>1629</v>
      </c>
      <c r="E1536" t="s">
        <v>1655</v>
      </c>
      <c r="F1536" t="s">
        <v>1664</v>
      </c>
      <c r="G1536" t="s">
        <v>1624</v>
      </c>
      <c r="H1536" t="s">
        <v>1759</v>
      </c>
      <c r="I1536" t="s">
        <v>1634</v>
      </c>
      <c r="J1536" t="s">
        <v>10</v>
      </c>
      <c r="K1536">
        <v>7.3999999999999996E-2</v>
      </c>
      <c r="L1536">
        <v>0</v>
      </c>
      <c r="M1536" s="1">
        <v>30</v>
      </c>
      <c r="N1536">
        <v>0</v>
      </c>
      <c r="O1536">
        <v>0</v>
      </c>
      <c r="P1536">
        <v>0</v>
      </c>
      <c r="Q1536" s="1">
        <v>0</v>
      </c>
      <c r="R1536">
        <v>7.3999999999999996E-2</v>
      </c>
      <c r="S1536" s="2">
        <v>45920</v>
      </c>
      <c r="T1536" s="2">
        <v>46061</v>
      </c>
      <c r="U1536">
        <v>0</v>
      </c>
      <c r="V1536">
        <v>0</v>
      </c>
      <c r="W1536">
        <v>0</v>
      </c>
      <c r="X1536">
        <v>0</v>
      </c>
      <c r="Y1536">
        <v>0</v>
      </c>
      <c r="Z1536" s="8">
        <v>0</v>
      </c>
      <c r="AA1536">
        <v>0</v>
      </c>
      <c r="AB1536" t="s">
        <v>1635</v>
      </c>
      <c r="AC1536" t="s">
        <v>1635</v>
      </c>
      <c r="AD1536" s="1" t="s">
        <v>1635</v>
      </c>
      <c r="AE1536" s="2" t="s">
        <v>1635</v>
      </c>
      <c r="AF1536" s="2" t="s">
        <v>1635</v>
      </c>
      <c r="AG1536" s="2" t="s">
        <v>1635</v>
      </c>
      <c r="AH1536">
        <v>0</v>
      </c>
      <c r="AI1536" s="3" t="s">
        <v>1635</v>
      </c>
      <c r="AJ1536" s="1" t="s">
        <v>1635</v>
      </c>
      <c r="AK1536" s="2" t="s">
        <v>1635</v>
      </c>
      <c r="AL1536" s="4" t="s">
        <v>1636</v>
      </c>
      <c r="AM1536" s="5" t="s">
        <v>1636</v>
      </c>
      <c r="AN1536" s="4">
        <v>0</v>
      </c>
      <c r="AO1536" t="s">
        <v>1635</v>
      </c>
      <c r="AP1536" s="4" t="s">
        <v>1636</v>
      </c>
      <c r="AQ1536" t="s">
        <v>1619</v>
      </c>
      <c r="AR1536" t="s">
        <v>1620</v>
      </c>
      <c r="AT1536" s="16" t="str">
        <f>_xlfn.XLOOKUP(B1536,'SWiSH Demand Forecast Sep-26'!D:D,'SWiSH Demand Forecast Sep-26'!G:G,"Not Exist")</f>
        <v>Not Exist</v>
      </c>
    </row>
    <row r="1537" spans="1:46" x14ac:dyDescent="0.3">
      <c r="A1537">
        <v>106800225</v>
      </c>
      <c r="B1537" t="s">
        <v>3361</v>
      </c>
      <c r="C1537" t="s">
        <v>10</v>
      </c>
      <c r="D1537" t="s">
        <v>1629</v>
      </c>
      <c r="E1537" t="s">
        <v>1796</v>
      </c>
      <c r="F1537" t="s">
        <v>1664</v>
      </c>
      <c r="G1537" t="s">
        <v>1624</v>
      </c>
      <c r="H1537" t="s">
        <v>1665</v>
      </c>
      <c r="I1537" t="s">
        <v>1634</v>
      </c>
      <c r="J1537" t="s">
        <v>10</v>
      </c>
      <c r="K1537">
        <v>3.9416199999999998E-3</v>
      </c>
      <c r="L1537">
        <v>0</v>
      </c>
      <c r="M1537" s="1">
        <v>15</v>
      </c>
      <c r="N1537">
        <v>0</v>
      </c>
      <c r="O1537">
        <v>0</v>
      </c>
      <c r="P1537">
        <v>0</v>
      </c>
      <c r="Q1537" s="1">
        <v>0</v>
      </c>
      <c r="R1537">
        <v>4.0000000000000001E-3</v>
      </c>
      <c r="S1537" s="2">
        <v>46018</v>
      </c>
      <c r="T1537" s="2">
        <v>46197</v>
      </c>
      <c r="U1537">
        <v>0</v>
      </c>
      <c r="V1537">
        <v>0</v>
      </c>
      <c r="W1537">
        <v>0</v>
      </c>
      <c r="X1537">
        <v>0</v>
      </c>
      <c r="Y1537">
        <v>0</v>
      </c>
      <c r="Z1537" s="8">
        <v>0</v>
      </c>
      <c r="AA1537">
        <v>0</v>
      </c>
      <c r="AB1537" t="s">
        <v>1635</v>
      </c>
      <c r="AC1537" t="s">
        <v>1635</v>
      </c>
      <c r="AD1537" s="1" t="s">
        <v>1635</v>
      </c>
      <c r="AE1537" s="2" t="s">
        <v>1635</v>
      </c>
      <c r="AF1537" s="2" t="s">
        <v>1635</v>
      </c>
      <c r="AG1537" s="2" t="s">
        <v>1635</v>
      </c>
      <c r="AH1537">
        <v>0</v>
      </c>
      <c r="AI1537" s="3" t="s">
        <v>1635</v>
      </c>
      <c r="AJ1537" s="1" t="s">
        <v>1635</v>
      </c>
      <c r="AK1537" s="2" t="s">
        <v>1635</v>
      </c>
      <c r="AL1537" s="4" t="s">
        <v>1636</v>
      </c>
      <c r="AM1537" s="5" t="s">
        <v>1636</v>
      </c>
      <c r="AN1537" s="4">
        <v>0</v>
      </c>
      <c r="AO1537" t="s">
        <v>1635</v>
      </c>
      <c r="AP1537" s="4" t="s">
        <v>1636</v>
      </c>
      <c r="AQ1537" t="s">
        <v>1619</v>
      </c>
      <c r="AR1537" t="s">
        <v>1620</v>
      </c>
      <c r="AT1537" s="16" t="str">
        <f>_xlfn.XLOOKUP(B1537,'SWiSH Demand Forecast Sep-26'!D:D,'SWiSH Demand Forecast Sep-26'!G:G,"Not Exist")</f>
        <v>Not Exist</v>
      </c>
    </row>
    <row r="1538" spans="1:46" x14ac:dyDescent="0.3">
      <c r="A1538">
        <v>106600134</v>
      </c>
      <c r="B1538" t="s">
        <v>3362</v>
      </c>
      <c r="C1538" t="s">
        <v>10</v>
      </c>
      <c r="D1538" t="s">
        <v>1629</v>
      </c>
      <c r="E1538" t="s">
        <v>1655</v>
      </c>
      <c r="F1538" t="s">
        <v>1664</v>
      </c>
      <c r="G1538" t="s">
        <v>1624</v>
      </c>
      <c r="H1538" t="s">
        <v>1723</v>
      </c>
      <c r="I1538" t="s">
        <v>1634</v>
      </c>
      <c r="J1538" t="s">
        <v>10</v>
      </c>
      <c r="K1538">
        <v>1.2221030000000001E-2</v>
      </c>
      <c r="L1538">
        <v>0</v>
      </c>
      <c r="M1538" s="1">
        <v>15</v>
      </c>
      <c r="N1538">
        <v>0</v>
      </c>
      <c r="O1538">
        <v>0</v>
      </c>
      <c r="P1538">
        <v>0</v>
      </c>
      <c r="Q1538" s="1">
        <v>0</v>
      </c>
      <c r="R1538">
        <v>1.2999999999999999E-2</v>
      </c>
      <c r="S1538" s="2">
        <v>46109</v>
      </c>
      <c r="T1538" s="2">
        <v>46107</v>
      </c>
      <c r="U1538">
        <v>0</v>
      </c>
      <c r="V1538">
        <v>0</v>
      </c>
      <c r="W1538">
        <v>0</v>
      </c>
      <c r="X1538">
        <v>0</v>
      </c>
      <c r="Y1538">
        <v>0</v>
      </c>
      <c r="Z1538" s="8">
        <v>0</v>
      </c>
      <c r="AA1538">
        <v>0</v>
      </c>
      <c r="AB1538" t="s">
        <v>1635</v>
      </c>
      <c r="AC1538" t="s">
        <v>1635</v>
      </c>
      <c r="AD1538" s="1" t="s">
        <v>1635</v>
      </c>
      <c r="AE1538" s="2" t="s">
        <v>1635</v>
      </c>
      <c r="AF1538" s="2" t="s">
        <v>1635</v>
      </c>
      <c r="AG1538" s="2" t="s">
        <v>1635</v>
      </c>
      <c r="AH1538">
        <v>0</v>
      </c>
      <c r="AI1538" s="3" t="s">
        <v>1635</v>
      </c>
      <c r="AJ1538" s="1" t="s">
        <v>1635</v>
      </c>
      <c r="AK1538" s="2" t="s">
        <v>1635</v>
      </c>
      <c r="AL1538" s="4" t="s">
        <v>1636</v>
      </c>
      <c r="AM1538" s="5" t="s">
        <v>1636</v>
      </c>
      <c r="AN1538" s="4">
        <v>0</v>
      </c>
      <c r="AO1538" t="s">
        <v>1635</v>
      </c>
      <c r="AP1538" s="4" t="s">
        <v>1636</v>
      </c>
      <c r="AQ1538" t="s">
        <v>1619</v>
      </c>
      <c r="AR1538" t="s">
        <v>1620</v>
      </c>
      <c r="AT1538" s="16" t="str">
        <f>_xlfn.XLOOKUP(B1538,'SWiSH Demand Forecast Sep-26'!D:D,'SWiSH Demand Forecast Sep-26'!G:G,"Not Exist")</f>
        <v>Not Exist</v>
      </c>
    </row>
    <row r="1539" spans="1:46" x14ac:dyDescent="0.3">
      <c r="A1539">
        <v>107200022</v>
      </c>
      <c r="B1539" t="s">
        <v>3363</v>
      </c>
      <c r="C1539" t="s">
        <v>10</v>
      </c>
      <c r="D1539" t="s">
        <v>1613</v>
      </c>
      <c r="E1539" t="s">
        <v>1663</v>
      </c>
      <c r="F1539" t="s">
        <v>1656</v>
      </c>
      <c r="G1539" t="s">
        <v>1624</v>
      </c>
      <c r="H1539" t="s">
        <v>1657</v>
      </c>
      <c r="I1539" t="s">
        <v>1634</v>
      </c>
      <c r="J1539" t="s">
        <v>10</v>
      </c>
      <c r="K1539">
        <v>4</v>
      </c>
      <c r="L1539">
        <v>0</v>
      </c>
      <c r="M1539" s="1">
        <v>7</v>
      </c>
      <c r="N1539">
        <v>0</v>
      </c>
      <c r="O1539">
        <v>0</v>
      </c>
      <c r="P1539">
        <v>0</v>
      </c>
      <c r="Q1539" s="1">
        <v>0</v>
      </c>
      <c r="R1539">
        <v>4</v>
      </c>
      <c r="S1539" s="2">
        <v>46078</v>
      </c>
      <c r="T1539" s="2">
        <v>46182</v>
      </c>
      <c r="U1539">
        <v>0</v>
      </c>
      <c r="V1539">
        <v>0</v>
      </c>
      <c r="W1539">
        <v>0</v>
      </c>
      <c r="X1539">
        <v>0</v>
      </c>
      <c r="Y1539">
        <v>0</v>
      </c>
      <c r="Z1539" s="8">
        <v>0</v>
      </c>
      <c r="AA1539">
        <v>0</v>
      </c>
      <c r="AB1539" t="s">
        <v>1635</v>
      </c>
      <c r="AC1539" t="s">
        <v>1635</v>
      </c>
      <c r="AD1539" s="1" t="s">
        <v>1635</v>
      </c>
      <c r="AE1539" s="2" t="s">
        <v>1635</v>
      </c>
      <c r="AF1539" s="2" t="s">
        <v>1635</v>
      </c>
      <c r="AG1539" s="2" t="s">
        <v>1635</v>
      </c>
      <c r="AH1539">
        <v>0</v>
      </c>
      <c r="AI1539" s="3" t="s">
        <v>1635</v>
      </c>
      <c r="AJ1539" s="1" t="s">
        <v>1635</v>
      </c>
      <c r="AK1539" s="2" t="s">
        <v>1635</v>
      </c>
      <c r="AL1539" s="4" t="s">
        <v>1658</v>
      </c>
      <c r="AM1539" s="5" t="s">
        <v>1658</v>
      </c>
      <c r="AN1539" s="4">
        <v>0</v>
      </c>
      <c r="AO1539" t="s">
        <v>1635</v>
      </c>
      <c r="AP1539" s="4" t="s">
        <v>1658</v>
      </c>
      <c r="AQ1539" t="s">
        <v>1619</v>
      </c>
      <c r="AR1539" t="s">
        <v>1620</v>
      </c>
      <c r="AS1539" t="s">
        <v>1666</v>
      </c>
      <c r="AT1539" s="16" t="str">
        <f>_xlfn.XLOOKUP(B1539,'SWiSH Demand Forecast Sep-26'!D:D,'SWiSH Demand Forecast Sep-26'!G:G,"Not Exist")</f>
        <v>Not Exist</v>
      </c>
    </row>
    <row r="1540" spans="1:46" x14ac:dyDescent="0.3">
      <c r="A1540">
        <v>104200050</v>
      </c>
      <c r="B1540" t="s">
        <v>3364</v>
      </c>
      <c r="C1540" t="s">
        <v>10</v>
      </c>
      <c r="D1540" t="s">
        <v>1789</v>
      </c>
      <c r="E1540" t="s">
        <v>1732</v>
      </c>
      <c r="F1540" t="s">
        <v>1631</v>
      </c>
      <c r="G1540" t="s">
        <v>1616</v>
      </c>
      <c r="H1540" t="s">
        <v>1633</v>
      </c>
      <c r="I1540" t="s">
        <v>1634</v>
      </c>
      <c r="J1540" t="s">
        <v>3365</v>
      </c>
      <c r="K1540">
        <v>4.2105259999999999E-2</v>
      </c>
      <c r="L1540">
        <v>0</v>
      </c>
      <c r="M1540" s="1">
        <v>3</v>
      </c>
      <c r="N1540">
        <v>0</v>
      </c>
      <c r="O1540">
        <v>0</v>
      </c>
      <c r="P1540">
        <v>0</v>
      </c>
      <c r="Q1540" s="1">
        <v>0</v>
      </c>
      <c r="R1540">
        <v>20</v>
      </c>
      <c r="S1540" s="2">
        <v>46057</v>
      </c>
      <c r="T1540" s="2">
        <v>46126</v>
      </c>
      <c r="U1540">
        <v>0</v>
      </c>
      <c r="V1540">
        <v>0</v>
      </c>
      <c r="W1540">
        <v>0</v>
      </c>
      <c r="X1540">
        <v>0</v>
      </c>
      <c r="Y1540">
        <v>0</v>
      </c>
      <c r="Z1540" s="8">
        <v>0</v>
      </c>
      <c r="AA1540">
        <v>0</v>
      </c>
      <c r="AB1540" t="s">
        <v>1635</v>
      </c>
      <c r="AC1540" t="s">
        <v>1635</v>
      </c>
      <c r="AD1540" s="1" t="s">
        <v>1635</v>
      </c>
      <c r="AE1540" s="2" t="s">
        <v>1635</v>
      </c>
      <c r="AF1540" s="2" t="s">
        <v>1635</v>
      </c>
      <c r="AG1540" s="2" t="s">
        <v>1635</v>
      </c>
      <c r="AH1540">
        <v>0</v>
      </c>
      <c r="AI1540" s="3" t="s">
        <v>1635</v>
      </c>
      <c r="AJ1540" s="1" t="s">
        <v>1635</v>
      </c>
      <c r="AK1540" s="2" t="s">
        <v>1635</v>
      </c>
      <c r="AL1540" s="4" t="s">
        <v>1658</v>
      </c>
      <c r="AM1540" s="5" t="s">
        <v>1658</v>
      </c>
      <c r="AN1540" s="4">
        <v>0</v>
      </c>
      <c r="AO1540" t="s">
        <v>1635</v>
      </c>
      <c r="AP1540" s="4" t="s">
        <v>1658</v>
      </c>
      <c r="AQ1540" t="s">
        <v>1619</v>
      </c>
      <c r="AR1540" t="s">
        <v>2178</v>
      </c>
      <c r="AT1540" s="16" t="str">
        <f>_xlfn.XLOOKUP(B1540,'SWiSH Demand Forecast Sep-26'!D:D,'SWiSH Demand Forecast Sep-26'!G:G,"Not Exist")</f>
        <v>Not Exist</v>
      </c>
    </row>
    <row r="1541" spans="1:46" x14ac:dyDescent="0.3">
      <c r="A1541">
        <v>106800096</v>
      </c>
      <c r="B1541" t="s">
        <v>3366</v>
      </c>
      <c r="C1541" t="s">
        <v>10</v>
      </c>
      <c r="D1541" t="s">
        <v>1955</v>
      </c>
      <c r="E1541" t="s">
        <v>1655</v>
      </c>
      <c r="F1541" t="s">
        <v>1664</v>
      </c>
      <c r="G1541" t="s">
        <v>1624</v>
      </c>
      <c r="H1541" t="s">
        <v>1665</v>
      </c>
      <c r="I1541" t="s">
        <v>1634</v>
      </c>
      <c r="J1541" t="s">
        <v>10</v>
      </c>
      <c r="K1541">
        <v>2.7E-2</v>
      </c>
      <c r="L1541">
        <v>0</v>
      </c>
      <c r="M1541" s="1">
        <v>7</v>
      </c>
      <c r="N1541">
        <v>0</v>
      </c>
      <c r="O1541">
        <v>0</v>
      </c>
      <c r="P1541">
        <v>0</v>
      </c>
      <c r="Q1541" s="1">
        <v>0</v>
      </c>
      <c r="R1541">
        <v>0</v>
      </c>
      <c r="S1541" s="2">
        <v>45873</v>
      </c>
      <c r="T1541" s="2">
        <v>46081</v>
      </c>
      <c r="U1541">
        <v>0</v>
      </c>
      <c r="V1541">
        <v>0</v>
      </c>
      <c r="W1541">
        <v>0</v>
      </c>
      <c r="X1541">
        <v>0</v>
      </c>
      <c r="Y1541">
        <v>0</v>
      </c>
      <c r="Z1541" s="8">
        <v>0</v>
      </c>
      <c r="AA1541">
        <v>0</v>
      </c>
      <c r="AB1541" t="s">
        <v>1635</v>
      </c>
      <c r="AC1541" t="s">
        <v>1635</v>
      </c>
      <c r="AD1541" s="1" t="s">
        <v>1635</v>
      </c>
      <c r="AE1541" s="2" t="s">
        <v>1635</v>
      </c>
      <c r="AF1541" s="2" t="s">
        <v>1635</v>
      </c>
      <c r="AG1541" s="2" t="s">
        <v>1635</v>
      </c>
      <c r="AH1541">
        <v>0</v>
      </c>
      <c r="AI1541" s="3" t="s">
        <v>1635</v>
      </c>
      <c r="AJ1541" s="1" t="s">
        <v>1635</v>
      </c>
      <c r="AK1541" s="2" t="s">
        <v>1635</v>
      </c>
      <c r="AL1541" s="4" t="s">
        <v>1658</v>
      </c>
      <c r="AM1541" s="5" t="s">
        <v>1658</v>
      </c>
      <c r="AN1541" s="4">
        <v>0</v>
      </c>
      <c r="AO1541" t="s">
        <v>1635</v>
      </c>
      <c r="AP1541" s="4" t="s">
        <v>1658</v>
      </c>
      <c r="AQ1541" t="s">
        <v>1619</v>
      </c>
      <c r="AR1541" t="s">
        <v>1620</v>
      </c>
      <c r="AT1541" s="16" t="str">
        <f>_xlfn.XLOOKUP(B1541,'SWiSH Demand Forecast Sep-26'!D:D,'SWiSH Demand Forecast Sep-26'!G:G,"Not Exist")</f>
        <v>Not Exist</v>
      </c>
    </row>
    <row r="1542" spans="1:46" x14ac:dyDescent="0.3">
      <c r="A1542">
        <v>101800025</v>
      </c>
      <c r="B1542" t="s">
        <v>3367</v>
      </c>
      <c r="C1542" t="s">
        <v>10</v>
      </c>
      <c r="D1542" t="s">
        <v>1629</v>
      </c>
      <c r="E1542" t="s">
        <v>1685</v>
      </c>
      <c r="F1542" t="s">
        <v>1664</v>
      </c>
      <c r="G1542" t="s">
        <v>1704</v>
      </c>
      <c r="H1542" t="s">
        <v>2144</v>
      </c>
      <c r="I1542" t="s">
        <v>1634</v>
      </c>
      <c r="J1542" t="s">
        <v>10</v>
      </c>
      <c r="K1542">
        <v>4.3999999999999997E-2</v>
      </c>
      <c r="L1542">
        <v>0</v>
      </c>
      <c r="M1542" s="1">
        <v>3</v>
      </c>
      <c r="N1542">
        <v>0</v>
      </c>
      <c r="O1542">
        <v>0</v>
      </c>
      <c r="P1542">
        <v>0</v>
      </c>
      <c r="Q1542" s="1">
        <v>0</v>
      </c>
      <c r="R1542">
        <v>2.1999999999999999E-2</v>
      </c>
      <c r="S1542" s="2">
        <v>45034</v>
      </c>
      <c r="T1542" s="2">
        <v>46054</v>
      </c>
      <c r="U1542">
        <v>0</v>
      </c>
      <c r="V1542">
        <v>0</v>
      </c>
      <c r="W1542">
        <v>0</v>
      </c>
      <c r="X1542">
        <v>0</v>
      </c>
      <c r="Y1542">
        <v>0</v>
      </c>
      <c r="Z1542" s="8">
        <v>0</v>
      </c>
      <c r="AA1542">
        <v>0</v>
      </c>
      <c r="AB1542" t="s">
        <v>1635</v>
      </c>
      <c r="AC1542" t="s">
        <v>1635</v>
      </c>
      <c r="AD1542" s="1" t="s">
        <v>1635</v>
      </c>
      <c r="AE1542" s="2" t="s">
        <v>1635</v>
      </c>
      <c r="AF1542" s="2" t="s">
        <v>1635</v>
      </c>
      <c r="AG1542" s="2" t="s">
        <v>1635</v>
      </c>
      <c r="AH1542">
        <v>0</v>
      </c>
      <c r="AI1542" s="3" t="s">
        <v>1635</v>
      </c>
      <c r="AJ1542" s="1" t="s">
        <v>1635</v>
      </c>
      <c r="AK1542" s="2" t="s">
        <v>1635</v>
      </c>
      <c r="AL1542" s="4" t="s">
        <v>1636</v>
      </c>
      <c r="AM1542" s="5" t="s">
        <v>1636</v>
      </c>
      <c r="AN1542" s="4">
        <v>0</v>
      </c>
      <c r="AO1542" t="s">
        <v>1635</v>
      </c>
      <c r="AP1542" s="4" t="s">
        <v>1636</v>
      </c>
      <c r="AQ1542" t="s">
        <v>1619</v>
      </c>
      <c r="AR1542" t="s">
        <v>1620</v>
      </c>
      <c r="AT1542" s="16" t="str">
        <f>_xlfn.XLOOKUP(B1542,'SWiSH Demand Forecast Sep-26'!D:D,'SWiSH Demand Forecast Sep-26'!G:G,"Not Exist")</f>
        <v>Not Exist</v>
      </c>
    </row>
    <row r="1543" spans="1:46" x14ac:dyDescent="0.3">
      <c r="A1543">
        <v>106200088</v>
      </c>
      <c r="B1543" t="s">
        <v>3368</v>
      </c>
      <c r="C1543" t="s">
        <v>240</v>
      </c>
      <c r="D1543" t="s">
        <v>1629</v>
      </c>
      <c r="E1543" t="s">
        <v>1622</v>
      </c>
      <c r="F1543" t="s">
        <v>1671</v>
      </c>
      <c r="G1543" t="s">
        <v>1616</v>
      </c>
      <c r="H1543" t="s">
        <v>1672</v>
      </c>
      <c r="I1543" t="s">
        <v>1618</v>
      </c>
      <c r="J1543" t="s">
        <v>240</v>
      </c>
      <c r="K1543">
        <v>1.46666667</v>
      </c>
      <c r="L1543">
        <v>64.900000147499995</v>
      </c>
      <c r="M1543" s="1">
        <v>3</v>
      </c>
      <c r="N1543">
        <v>0</v>
      </c>
      <c r="O1543">
        <v>0</v>
      </c>
      <c r="P1543">
        <v>44.25</v>
      </c>
      <c r="Q1543" s="1">
        <v>44.25</v>
      </c>
      <c r="R1543">
        <v>1.1000000000000001</v>
      </c>
      <c r="S1543" s="2">
        <v>46091</v>
      </c>
      <c r="T1543" s="2">
        <v>46080</v>
      </c>
      <c r="U1543">
        <v>0</v>
      </c>
      <c r="V1543">
        <v>0</v>
      </c>
      <c r="W1543">
        <v>0</v>
      </c>
      <c r="X1543">
        <v>0</v>
      </c>
      <c r="Y1543">
        <v>0</v>
      </c>
      <c r="Z1543" s="8">
        <v>0</v>
      </c>
      <c r="AA1543">
        <v>0</v>
      </c>
      <c r="AB1543" t="s">
        <v>1635</v>
      </c>
      <c r="AC1543" t="s">
        <v>1635</v>
      </c>
      <c r="AD1543" s="1" t="s">
        <v>1635</v>
      </c>
      <c r="AE1543" s="2" t="s">
        <v>1635</v>
      </c>
      <c r="AF1543" s="2" t="s">
        <v>1635</v>
      </c>
      <c r="AG1543" s="2" t="s">
        <v>1635</v>
      </c>
      <c r="AH1543">
        <v>0</v>
      </c>
      <c r="AI1543" s="3" t="s">
        <v>1635</v>
      </c>
      <c r="AJ1543" s="1" t="s">
        <v>1635</v>
      </c>
      <c r="AK1543" s="2" t="s">
        <v>1635</v>
      </c>
      <c r="AL1543" s="4" t="s">
        <v>1636</v>
      </c>
      <c r="AM1543" s="5" t="s">
        <v>1636</v>
      </c>
      <c r="AN1543" s="4">
        <v>0</v>
      </c>
      <c r="AO1543" t="s">
        <v>1635</v>
      </c>
      <c r="AP1543" s="4" t="s">
        <v>1636</v>
      </c>
      <c r="AQ1543" t="s">
        <v>1619</v>
      </c>
      <c r="AR1543" t="s">
        <v>1620</v>
      </c>
      <c r="AT1543" s="16" t="str">
        <f>_xlfn.XLOOKUP(B1543,'SWiSH Demand Forecast Sep-26'!D:D,'SWiSH Demand Forecast Sep-26'!G:G,"Not Exist")</f>
        <v>Not Exist</v>
      </c>
    </row>
    <row r="1544" spans="1:46" x14ac:dyDescent="0.3">
      <c r="A1544">
        <v>106800104</v>
      </c>
      <c r="B1544" t="s">
        <v>3369</v>
      </c>
      <c r="C1544" t="s">
        <v>10</v>
      </c>
      <c r="D1544" t="s">
        <v>1629</v>
      </c>
      <c r="E1544" t="s">
        <v>1655</v>
      </c>
      <c r="F1544" t="s">
        <v>1664</v>
      </c>
      <c r="G1544" t="s">
        <v>1624</v>
      </c>
      <c r="H1544" t="s">
        <v>1665</v>
      </c>
      <c r="I1544" t="s">
        <v>1634</v>
      </c>
      <c r="J1544" t="s">
        <v>10</v>
      </c>
      <c r="K1544">
        <v>8.0000000000000002E-3</v>
      </c>
      <c r="L1544">
        <v>0</v>
      </c>
      <c r="M1544" s="1">
        <v>7</v>
      </c>
      <c r="N1544">
        <v>0</v>
      </c>
      <c r="O1544">
        <v>0</v>
      </c>
      <c r="P1544">
        <v>0</v>
      </c>
      <c r="Q1544" s="1">
        <v>0</v>
      </c>
      <c r="R1544">
        <v>8.0000000000000002E-3</v>
      </c>
      <c r="S1544" s="2">
        <v>46083</v>
      </c>
      <c r="T1544" s="2">
        <v>46067</v>
      </c>
      <c r="U1544">
        <v>0</v>
      </c>
      <c r="V1544">
        <v>0</v>
      </c>
      <c r="W1544">
        <v>0</v>
      </c>
      <c r="X1544">
        <v>0</v>
      </c>
      <c r="Y1544">
        <v>0</v>
      </c>
      <c r="Z1544" s="8">
        <v>0</v>
      </c>
      <c r="AA1544">
        <v>0</v>
      </c>
      <c r="AB1544" t="s">
        <v>1635</v>
      </c>
      <c r="AC1544" t="s">
        <v>1635</v>
      </c>
      <c r="AD1544" s="1" t="s">
        <v>1635</v>
      </c>
      <c r="AE1544" s="2" t="s">
        <v>1635</v>
      </c>
      <c r="AF1544" s="2" t="s">
        <v>1635</v>
      </c>
      <c r="AG1544" s="2" t="s">
        <v>1635</v>
      </c>
      <c r="AH1544">
        <v>0</v>
      </c>
      <c r="AI1544" s="3" t="s">
        <v>1635</v>
      </c>
      <c r="AJ1544" s="1" t="s">
        <v>1635</v>
      </c>
      <c r="AK1544" s="2" t="s">
        <v>1635</v>
      </c>
      <c r="AL1544" s="4" t="s">
        <v>1636</v>
      </c>
      <c r="AM1544" s="5" t="s">
        <v>1636</v>
      </c>
      <c r="AN1544" s="4">
        <v>0</v>
      </c>
      <c r="AO1544" t="s">
        <v>1635</v>
      </c>
      <c r="AP1544" s="4" t="s">
        <v>1636</v>
      </c>
      <c r="AQ1544" t="s">
        <v>1619</v>
      </c>
      <c r="AR1544" t="s">
        <v>1620</v>
      </c>
      <c r="AT1544" s="16" t="str">
        <f>_xlfn.XLOOKUP(B1544,'SWiSH Demand Forecast Sep-26'!D:D,'SWiSH Demand Forecast Sep-26'!G:G,"Not Exist")</f>
        <v>Not Exist</v>
      </c>
    </row>
    <row r="1545" spans="1:46" x14ac:dyDescent="0.3">
      <c r="A1545">
        <v>100100088</v>
      </c>
      <c r="B1545" t="s">
        <v>3370</v>
      </c>
      <c r="C1545" t="s">
        <v>136</v>
      </c>
      <c r="D1545" t="s">
        <v>1629</v>
      </c>
      <c r="E1545" t="s">
        <v>1732</v>
      </c>
      <c r="F1545" t="s">
        <v>1840</v>
      </c>
      <c r="G1545" t="s">
        <v>1632</v>
      </c>
      <c r="H1545" t="s">
        <v>1877</v>
      </c>
      <c r="I1545" t="s">
        <v>1618</v>
      </c>
      <c r="J1545" t="e">
        <v>#N/A</v>
      </c>
      <c r="K1545">
        <v>2.7</v>
      </c>
      <c r="L1545">
        <v>0</v>
      </c>
      <c r="M1545" s="1">
        <v>3</v>
      </c>
      <c r="N1545">
        <v>0</v>
      </c>
      <c r="O1545">
        <v>0</v>
      </c>
      <c r="P1545">
        <v>0</v>
      </c>
      <c r="Q1545" s="1">
        <v>0</v>
      </c>
      <c r="R1545">
        <v>27</v>
      </c>
      <c r="S1545" s="2">
        <v>46058</v>
      </c>
      <c r="T1545" s="2">
        <v>46060</v>
      </c>
      <c r="U1545">
        <v>0</v>
      </c>
      <c r="V1545">
        <v>0</v>
      </c>
      <c r="W1545">
        <v>0</v>
      </c>
      <c r="X1545">
        <v>0</v>
      </c>
      <c r="Y1545">
        <v>0</v>
      </c>
      <c r="Z1545" s="8">
        <v>0</v>
      </c>
      <c r="AA1545">
        <v>0</v>
      </c>
      <c r="AB1545" t="s">
        <v>1635</v>
      </c>
      <c r="AC1545" t="s">
        <v>1635</v>
      </c>
      <c r="AD1545" s="1" t="s">
        <v>1635</v>
      </c>
      <c r="AE1545" s="2" t="s">
        <v>1635</v>
      </c>
      <c r="AF1545" s="2" t="s">
        <v>1635</v>
      </c>
      <c r="AG1545" s="2" t="s">
        <v>1635</v>
      </c>
      <c r="AH1545">
        <v>0</v>
      </c>
      <c r="AI1545" s="3" t="s">
        <v>1635</v>
      </c>
      <c r="AJ1545" s="1" t="s">
        <v>1635</v>
      </c>
      <c r="AK1545" s="2" t="s">
        <v>1635</v>
      </c>
      <c r="AL1545" s="4" t="s">
        <v>1636</v>
      </c>
      <c r="AM1545" s="5" t="s">
        <v>1636</v>
      </c>
      <c r="AN1545" s="4">
        <v>0</v>
      </c>
      <c r="AO1545" t="s">
        <v>1635</v>
      </c>
      <c r="AP1545" s="4" t="s">
        <v>1636</v>
      </c>
      <c r="AQ1545" t="s">
        <v>1619</v>
      </c>
      <c r="AR1545" t="s">
        <v>1620</v>
      </c>
      <c r="AT1545" s="16" t="str">
        <f>_xlfn.XLOOKUP(B1545,'SWiSH Demand Forecast Sep-26'!D:D,'SWiSH Demand Forecast Sep-26'!G:G,"Not Exist")</f>
        <v>Not Exist</v>
      </c>
    </row>
    <row r="1546" spans="1:46" x14ac:dyDescent="0.3">
      <c r="A1546">
        <v>106200019</v>
      </c>
      <c r="B1546" t="s">
        <v>3371</v>
      </c>
      <c r="C1546" t="s">
        <v>240</v>
      </c>
      <c r="D1546" t="s">
        <v>1629</v>
      </c>
      <c r="E1546" t="s">
        <v>1745</v>
      </c>
      <c r="F1546" t="s">
        <v>1671</v>
      </c>
      <c r="G1546" t="e">
        <v>#N/A</v>
      </c>
      <c r="H1546" t="s">
        <v>1672</v>
      </c>
      <c r="I1546" t="s">
        <v>1618</v>
      </c>
      <c r="J1546" t="s">
        <v>240</v>
      </c>
      <c r="K1546" t="e">
        <v>#N/A</v>
      </c>
      <c r="L1546" t="e">
        <v>#N/A</v>
      </c>
      <c r="M1546" s="1">
        <v>3</v>
      </c>
      <c r="N1546">
        <v>0</v>
      </c>
      <c r="O1546">
        <v>0</v>
      </c>
      <c r="P1546">
        <v>0</v>
      </c>
      <c r="Q1546" s="1">
        <v>0</v>
      </c>
      <c r="R1546">
        <v>1.45</v>
      </c>
      <c r="S1546" s="2">
        <v>45832</v>
      </c>
      <c r="T1546" s="2">
        <v>46054</v>
      </c>
      <c r="U1546">
        <v>0</v>
      </c>
      <c r="V1546">
        <v>0</v>
      </c>
      <c r="W1546">
        <v>0</v>
      </c>
      <c r="X1546">
        <v>0</v>
      </c>
      <c r="Y1546">
        <v>0</v>
      </c>
      <c r="Z1546" s="8">
        <v>0</v>
      </c>
      <c r="AA1546">
        <v>0</v>
      </c>
      <c r="AB1546" t="s">
        <v>1635</v>
      </c>
      <c r="AC1546" t="s">
        <v>1635</v>
      </c>
      <c r="AD1546" s="1" t="s">
        <v>1635</v>
      </c>
      <c r="AE1546" s="2" t="s">
        <v>1635</v>
      </c>
      <c r="AF1546" s="2" t="s">
        <v>1635</v>
      </c>
      <c r="AG1546" s="2" t="s">
        <v>1635</v>
      </c>
      <c r="AH1546">
        <v>0</v>
      </c>
      <c r="AI1546" s="3" t="s">
        <v>1635</v>
      </c>
      <c r="AJ1546" s="1" t="s">
        <v>1635</v>
      </c>
      <c r="AK1546" s="2" t="s">
        <v>1635</v>
      </c>
      <c r="AL1546" s="4" t="s">
        <v>1636</v>
      </c>
      <c r="AM1546" s="5" t="s">
        <v>1636</v>
      </c>
      <c r="AN1546" s="4">
        <v>0</v>
      </c>
      <c r="AO1546" t="s">
        <v>1635</v>
      </c>
      <c r="AP1546" s="4" t="s">
        <v>1636</v>
      </c>
      <c r="AQ1546" t="s">
        <v>1619</v>
      </c>
      <c r="AR1546" t="s">
        <v>1620</v>
      </c>
      <c r="AT1546" s="16" t="str">
        <f>_xlfn.XLOOKUP(B1546,'SWiSH Demand Forecast Sep-26'!D:D,'SWiSH Demand Forecast Sep-26'!G:G,"Not Exist")</f>
        <v>Not Exist</v>
      </c>
    </row>
    <row r="1547" spans="1:46" x14ac:dyDescent="0.3">
      <c r="A1547">
        <v>106300027</v>
      </c>
      <c r="B1547" t="s">
        <v>3372</v>
      </c>
      <c r="C1547" t="s">
        <v>136</v>
      </c>
      <c r="D1547" t="s">
        <v>1629</v>
      </c>
      <c r="E1547" t="s">
        <v>2161</v>
      </c>
      <c r="F1547" t="s">
        <v>1615</v>
      </c>
      <c r="G1547" t="s">
        <v>1686</v>
      </c>
      <c r="H1547" t="s">
        <v>1860</v>
      </c>
      <c r="I1547" t="s">
        <v>1618</v>
      </c>
      <c r="J1547" t="e">
        <v>#N/A</v>
      </c>
      <c r="K1547">
        <v>2.9166666700000001</v>
      </c>
      <c r="L1547">
        <v>0</v>
      </c>
      <c r="M1547" s="1">
        <v>3</v>
      </c>
      <c r="N1547">
        <v>0</v>
      </c>
      <c r="O1547">
        <v>0</v>
      </c>
      <c r="P1547">
        <v>0</v>
      </c>
      <c r="Q1547" s="1">
        <v>0</v>
      </c>
      <c r="R1547">
        <v>2.65</v>
      </c>
      <c r="S1547" s="2">
        <v>45083</v>
      </c>
      <c r="T1547" s="2">
        <v>46075</v>
      </c>
      <c r="U1547">
        <v>0</v>
      </c>
      <c r="V1547">
        <v>0</v>
      </c>
      <c r="W1547">
        <v>0</v>
      </c>
      <c r="X1547">
        <v>0</v>
      </c>
      <c r="Y1547">
        <v>0</v>
      </c>
      <c r="Z1547" s="8">
        <v>0</v>
      </c>
      <c r="AA1547">
        <v>0</v>
      </c>
      <c r="AB1547" t="s">
        <v>1635</v>
      </c>
      <c r="AC1547" t="s">
        <v>1635</v>
      </c>
      <c r="AD1547" s="1" t="s">
        <v>1635</v>
      </c>
      <c r="AE1547" s="2" t="s">
        <v>1635</v>
      </c>
      <c r="AF1547" s="2" t="s">
        <v>1635</v>
      </c>
      <c r="AG1547" s="2" t="s">
        <v>1635</v>
      </c>
      <c r="AH1547">
        <v>0</v>
      </c>
      <c r="AI1547" s="3" t="s">
        <v>1635</v>
      </c>
      <c r="AJ1547" s="1" t="s">
        <v>1635</v>
      </c>
      <c r="AK1547" s="2" t="s">
        <v>1635</v>
      </c>
      <c r="AL1547" s="4" t="s">
        <v>1636</v>
      </c>
      <c r="AM1547" s="5" t="s">
        <v>1636</v>
      </c>
      <c r="AN1547" s="4">
        <v>0</v>
      </c>
      <c r="AO1547" t="s">
        <v>1635</v>
      </c>
      <c r="AP1547" s="4" t="s">
        <v>1636</v>
      </c>
      <c r="AQ1547" t="s">
        <v>1619</v>
      </c>
      <c r="AR1547" t="s">
        <v>1620</v>
      </c>
      <c r="AT1547" s="16" t="str">
        <f>_xlfn.XLOOKUP(B1547,'SWiSH Demand Forecast Sep-26'!D:D,'SWiSH Demand Forecast Sep-26'!G:G,"Not Exist")</f>
        <v>Not Exist</v>
      </c>
    </row>
    <row r="1548" spans="1:46" hidden="1" x14ac:dyDescent="0.3">
      <c r="A1548">
        <v>107500009</v>
      </c>
      <c r="B1548" t="s">
        <v>687</v>
      </c>
      <c r="C1548" t="s">
        <v>240</v>
      </c>
      <c r="D1548" t="s">
        <v>3373</v>
      </c>
      <c r="E1548" t="s">
        <v>1732</v>
      </c>
      <c r="F1548" t="s">
        <v>1623</v>
      </c>
      <c r="G1548" t="e">
        <v>#N/A</v>
      </c>
      <c r="H1548" t="s">
        <v>2030</v>
      </c>
      <c r="I1548" t="s">
        <v>1626</v>
      </c>
      <c r="J1548" t="s">
        <v>3270</v>
      </c>
      <c r="K1548" t="e">
        <v>#N/A</v>
      </c>
      <c r="L1548" t="e">
        <v>#N/A</v>
      </c>
      <c r="M1548" s="1">
        <v>3</v>
      </c>
      <c r="N1548">
        <v>0</v>
      </c>
      <c r="O1548">
        <v>0</v>
      </c>
      <c r="P1548">
        <v>0</v>
      </c>
      <c r="Q1548" s="1">
        <v>0</v>
      </c>
      <c r="R1548">
        <v>0.78</v>
      </c>
      <c r="S1548" s="2">
        <v>46035</v>
      </c>
      <c r="T1548" s="2">
        <v>46081</v>
      </c>
      <c r="U1548">
        <v>0</v>
      </c>
      <c r="V1548">
        <v>0</v>
      </c>
      <c r="W1548">
        <v>0</v>
      </c>
      <c r="X1548">
        <v>0</v>
      </c>
      <c r="Y1548">
        <v>0</v>
      </c>
      <c r="Z1548" s="8">
        <v>0</v>
      </c>
      <c r="AA1548">
        <v>0</v>
      </c>
      <c r="AB1548" t="s">
        <v>1635</v>
      </c>
      <c r="AC1548" t="s">
        <v>1635</v>
      </c>
      <c r="AD1548" s="1" t="s">
        <v>1635</v>
      </c>
      <c r="AE1548" s="2" t="s">
        <v>1635</v>
      </c>
      <c r="AF1548" s="2" t="s">
        <v>1635</v>
      </c>
      <c r="AG1548" s="2" t="s">
        <v>1635</v>
      </c>
      <c r="AH1548">
        <v>0</v>
      </c>
      <c r="AI1548" s="3" t="s">
        <v>1635</v>
      </c>
      <c r="AJ1548" s="1" t="s">
        <v>1635</v>
      </c>
      <c r="AK1548" s="2" t="s">
        <v>1635</v>
      </c>
      <c r="AL1548" s="4">
        <v>0</v>
      </c>
      <c r="AM1548" s="5">
        <v>0</v>
      </c>
      <c r="AN1548" s="4">
        <v>0</v>
      </c>
      <c r="AO1548" t="s">
        <v>1635</v>
      </c>
      <c r="AP1548" s="4">
        <v>0</v>
      </c>
      <c r="AQ1548" t="s">
        <v>1619</v>
      </c>
      <c r="AR1548" t="s">
        <v>1620</v>
      </c>
      <c r="AT1548" s="16">
        <f>_xlfn.XLOOKUP(B1548,'SWiSH Demand Forecast Sep-26'!D:D,'SWiSH Demand Forecast Sep-26'!G:G,"Not Exist")</f>
        <v>640.64268886889795</v>
      </c>
    </row>
    <row r="1549" spans="1:46" x14ac:dyDescent="0.3">
      <c r="A1549">
        <v>101200024</v>
      </c>
      <c r="B1549" t="s">
        <v>3374</v>
      </c>
      <c r="C1549" t="s">
        <v>136</v>
      </c>
      <c r="D1549" t="s">
        <v>1629</v>
      </c>
      <c r="E1549" t="s">
        <v>1995</v>
      </c>
      <c r="F1549" t="s">
        <v>1833</v>
      </c>
      <c r="G1549" t="e">
        <v>#N/A</v>
      </c>
      <c r="H1549" t="s">
        <v>1625</v>
      </c>
      <c r="I1549" t="s">
        <v>1626</v>
      </c>
      <c r="J1549" t="s">
        <v>136</v>
      </c>
      <c r="K1549" t="e">
        <v>#N/A</v>
      </c>
      <c r="L1549" t="e">
        <v>#N/A</v>
      </c>
      <c r="M1549" s="1">
        <v>3</v>
      </c>
      <c r="N1549">
        <v>0</v>
      </c>
      <c r="O1549">
        <v>0</v>
      </c>
      <c r="P1549">
        <v>0</v>
      </c>
      <c r="Q1549" s="1">
        <v>0</v>
      </c>
      <c r="R1549">
        <v>14.99994</v>
      </c>
      <c r="S1549" s="2">
        <v>45649</v>
      </c>
      <c r="T1549" s="2">
        <v>46177</v>
      </c>
      <c r="U1549">
        <v>0</v>
      </c>
      <c r="V1549">
        <v>0</v>
      </c>
      <c r="W1549">
        <v>0</v>
      </c>
      <c r="X1549">
        <v>0</v>
      </c>
      <c r="Y1549">
        <v>0</v>
      </c>
      <c r="Z1549" s="8">
        <v>0</v>
      </c>
      <c r="AA1549">
        <v>0</v>
      </c>
      <c r="AB1549" t="s">
        <v>1635</v>
      </c>
      <c r="AC1549" t="s">
        <v>1635</v>
      </c>
      <c r="AD1549" s="1" t="s">
        <v>1635</v>
      </c>
      <c r="AE1549" s="2" t="s">
        <v>1635</v>
      </c>
      <c r="AF1549" s="2" t="s">
        <v>1635</v>
      </c>
      <c r="AG1549" s="2" t="s">
        <v>1635</v>
      </c>
      <c r="AH1549">
        <v>0</v>
      </c>
      <c r="AI1549" s="3" t="s">
        <v>1635</v>
      </c>
      <c r="AJ1549" s="1" t="s">
        <v>1635</v>
      </c>
      <c r="AK1549" s="2" t="s">
        <v>1635</v>
      </c>
      <c r="AL1549" s="4" t="s">
        <v>1658</v>
      </c>
      <c r="AM1549" s="5" t="s">
        <v>1658</v>
      </c>
      <c r="AN1549" s="4">
        <v>0</v>
      </c>
      <c r="AO1549" t="s">
        <v>1635</v>
      </c>
      <c r="AP1549" s="4" t="s">
        <v>1658</v>
      </c>
      <c r="AQ1549" t="s">
        <v>1619</v>
      </c>
      <c r="AR1549" t="s">
        <v>1620</v>
      </c>
      <c r="AT1549" s="16" t="str">
        <f>_xlfn.XLOOKUP(B1549,'SWiSH Demand Forecast Sep-26'!D:D,'SWiSH Demand Forecast Sep-26'!G:G,"Not Exist")</f>
        <v>Not Exist</v>
      </c>
    </row>
    <row r="1550" spans="1:46" x14ac:dyDescent="0.3">
      <c r="A1550">
        <v>101900000</v>
      </c>
      <c r="B1550" t="s">
        <v>3375</v>
      </c>
      <c r="C1550" t="s">
        <v>136</v>
      </c>
      <c r="D1550" t="s">
        <v>1629</v>
      </c>
      <c r="E1550" t="s">
        <v>1685</v>
      </c>
      <c r="F1550" t="s">
        <v>1875</v>
      </c>
      <c r="G1550" t="s">
        <v>1690</v>
      </c>
      <c r="H1550" t="s">
        <v>3376</v>
      </c>
      <c r="I1550" t="s">
        <v>1618</v>
      </c>
      <c r="J1550" t="s">
        <v>136</v>
      </c>
      <c r="K1550">
        <v>3.7250000000000001</v>
      </c>
      <c r="L1550">
        <v>0</v>
      </c>
      <c r="M1550" s="1">
        <v>3</v>
      </c>
      <c r="N1550">
        <v>0</v>
      </c>
      <c r="O1550">
        <v>0</v>
      </c>
      <c r="P1550">
        <v>0</v>
      </c>
      <c r="Q1550" s="1">
        <v>0</v>
      </c>
      <c r="R1550">
        <v>1.49</v>
      </c>
      <c r="S1550" s="2">
        <v>45812</v>
      </c>
      <c r="T1550" s="2">
        <v>46053</v>
      </c>
      <c r="U1550">
        <v>0</v>
      </c>
      <c r="V1550">
        <v>0</v>
      </c>
      <c r="W1550">
        <v>0</v>
      </c>
      <c r="X1550">
        <v>0</v>
      </c>
      <c r="Y1550">
        <v>0</v>
      </c>
      <c r="Z1550" s="8">
        <v>0</v>
      </c>
      <c r="AA1550">
        <v>0</v>
      </c>
      <c r="AB1550" t="s">
        <v>1635</v>
      </c>
      <c r="AC1550" t="s">
        <v>1635</v>
      </c>
      <c r="AD1550" s="1" t="s">
        <v>1635</v>
      </c>
      <c r="AE1550" s="2" t="s">
        <v>1635</v>
      </c>
      <c r="AF1550" s="2" t="s">
        <v>1635</v>
      </c>
      <c r="AG1550" s="2" t="s">
        <v>1635</v>
      </c>
      <c r="AH1550">
        <v>0</v>
      </c>
      <c r="AI1550" s="3" t="s">
        <v>1635</v>
      </c>
      <c r="AJ1550" s="1" t="s">
        <v>1635</v>
      </c>
      <c r="AK1550" s="2" t="s">
        <v>1635</v>
      </c>
      <c r="AL1550" s="4" t="s">
        <v>1636</v>
      </c>
      <c r="AM1550" s="5" t="s">
        <v>1636</v>
      </c>
      <c r="AN1550" s="4">
        <v>0</v>
      </c>
      <c r="AO1550" t="s">
        <v>1635</v>
      </c>
      <c r="AP1550" s="4" t="s">
        <v>1636</v>
      </c>
      <c r="AQ1550" t="s">
        <v>1619</v>
      </c>
      <c r="AR1550" t="s">
        <v>1620</v>
      </c>
      <c r="AT1550" s="16" t="str">
        <f>_xlfn.XLOOKUP(B1550,'SWiSH Demand Forecast Sep-26'!D:D,'SWiSH Demand Forecast Sep-26'!G:G,"Not Exist")</f>
        <v>Not Exist</v>
      </c>
    </row>
    <row r="1551" spans="1:46" x14ac:dyDescent="0.3">
      <c r="A1551">
        <v>100800009</v>
      </c>
      <c r="B1551" t="s">
        <v>3377</v>
      </c>
      <c r="C1551" t="s">
        <v>10</v>
      </c>
      <c r="D1551" t="s">
        <v>1629</v>
      </c>
      <c r="E1551" t="s">
        <v>1663</v>
      </c>
      <c r="F1551" t="s">
        <v>1639</v>
      </c>
      <c r="G1551" t="s">
        <v>1616</v>
      </c>
      <c r="H1551" t="s">
        <v>1914</v>
      </c>
      <c r="I1551" t="s">
        <v>1618</v>
      </c>
      <c r="J1551" t="s">
        <v>1694</v>
      </c>
      <c r="K1551">
        <v>0.16666666999999999</v>
      </c>
      <c r="L1551">
        <v>0</v>
      </c>
      <c r="M1551" s="1">
        <v>3</v>
      </c>
      <c r="N1551">
        <v>0</v>
      </c>
      <c r="O1551">
        <v>0</v>
      </c>
      <c r="P1551">
        <v>0</v>
      </c>
      <c r="Q1551" s="1">
        <v>0</v>
      </c>
      <c r="R1551">
        <v>1</v>
      </c>
      <c r="S1551" s="2">
        <v>45923</v>
      </c>
      <c r="T1551" s="2">
        <v>46054</v>
      </c>
      <c r="U1551">
        <v>0</v>
      </c>
      <c r="V1551">
        <v>0</v>
      </c>
      <c r="W1551">
        <v>0</v>
      </c>
      <c r="X1551">
        <v>0</v>
      </c>
      <c r="Y1551">
        <v>0</v>
      </c>
      <c r="Z1551" s="8">
        <v>0</v>
      </c>
      <c r="AA1551">
        <v>0</v>
      </c>
      <c r="AB1551" t="s">
        <v>1635</v>
      </c>
      <c r="AC1551" t="s">
        <v>1635</v>
      </c>
      <c r="AD1551" s="1" t="s">
        <v>1635</v>
      </c>
      <c r="AE1551" s="2" t="s">
        <v>1635</v>
      </c>
      <c r="AF1551" s="2" t="s">
        <v>1635</v>
      </c>
      <c r="AG1551" s="2" t="s">
        <v>1635</v>
      </c>
      <c r="AH1551">
        <v>0</v>
      </c>
      <c r="AI1551" s="3" t="s">
        <v>1635</v>
      </c>
      <c r="AJ1551" s="1" t="s">
        <v>1635</v>
      </c>
      <c r="AK1551" s="2" t="s">
        <v>1635</v>
      </c>
      <c r="AL1551" s="4" t="s">
        <v>1636</v>
      </c>
      <c r="AM1551" s="5" t="s">
        <v>1636</v>
      </c>
      <c r="AN1551" s="4">
        <v>0</v>
      </c>
      <c r="AO1551" t="s">
        <v>1635</v>
      </c>
      <c r="AP1551" s="4" t="s">
        <v>1636</v>
      </c>
      <c r="AQ1551" t="s">
        <v>1619</v>
      </c>
      <c r="AR1551" t="s">
        <v>1620</v>
      </c>
      <c r="AT1551" s="16" t="str">
        <f>_xlfn.XLOOKUP(B1551,'SWiSH Demand Forecast Sep-26'!D:D,'SWiSH Demand Forecast Sep-26'!G:G,"Not Exist")</f>
        <v>Not Exist</v>
      </c>
    </row>
    <row r="1552" spans="1:46" x14ac:dyDescent="0.3">
      <c r="A1552">
        <v>100800001</v>
      </c>
      <c r="B1552" t="s">
        <v>3378</v>
      </c>
      <c r="C1552" t="s">
        <v>10</v>
      </c>
      <c r="D1552" t="s">
        <v>1629</v>
      </c>
      <c r="E1552" t="s">
        <v>1663</v>
      </c>
      <c r="F1552" t="s">
        <v>1639</v>
      </c>
      <c r="G1552" t="s">
        <v>1690</v>
      </c>
      <c r="H1552" t="s">
        <v>1914</v>
      </c>
      <c r="I1552" t="s">
        <v>1618</v>
      </c>
      <c r="J1552" t="s">
        <v>1694</v>
      </c>
      <c r="K1552">
        <v>0.16666666999999999</v>
      </c>
      <c r="L1552">
        <v>0</v>
      </c>
      <c r="M1552" s="1">
        <v>3</v>
      </c>
      <c r="N1552">
        <v>0</v>
      </c>
      <c r="O1552">
        <v>0</v>
      </c>
      <c r="P1552">
        <v>0</v>
      </c>
      <c r="Q1552" s="1">
        <v>0</v>
      </c>
      <c r="R1552">
        <v>1</v>
      </c>
      <c r="S1552" s="2">
        <v>45923</v>
      </c>
      <c r="T1552" s="2">
        <v>46054</v>
      </c>
      <c r="U1552">
        <v>0</v>
      </c>
      <c r="V1552">
        <v>0</v>
      </c>
      <c r="W1552">
        <v>0</v>
      </c>
      <c r="X1552">
        <v>0</v>
      </c>
      <c r="Y1552">
        <v>0</v>
      </c>
      <c r="Z1552" s="8">
        <v>0</v>
      </c>
      <c r="AA1552">
        <v>0</v>
      </c>
      <c r="AB1552" t="s">
        <v>1635</v>
      </c>
      <c r="AC1552" t="s">
        <v>1635</v>
      </c>
      <c r="AD1552" s="1" t="s">
        <v>1635</v>
      </c>
      <c r="AE1552" s="2" t="s">
        <v>1635</v>
      </c>
      <c r="AF1552" s="2" t="s">
        <v>1635</v>
      </c>
      <c r="AG1552" s="2" t="s">
        <v>1635</v>
      </c>
      <c r="AH1552">
        <v>0</v>
      </c>
      <c r="AI1552" s="3" t="s">
        <v>1635</v>
      </c>
      <c r="AJ1552" s="1" t="s">
        <v>1635</v>
      </c>
      <c r="AK1552" s="2" t="s">
        <v>1635</v>
      </c>
      <c r="AL1552" s="4" t="s">
        <v>1636</v>
      </c>
      <c r="AM1552" s="5" t="s">
        <v>1636</v>
      </c>
      <c r="AN1552" s="4">
        <v>0</v>
      </c>
      <c r="AO1552" t="s">
        <v>1635</v>
      </c>
      <c r="AP1552" s="4" t="s">
        <v>1636</v>
      </c>
      <c r="AQ1552" t="s">
        <v>1619</v>
      </c>
      <c r="AR1552" t="s">
        <v>1620</v>
      </c>
      <c r="AT1552" s="16" t="str">
        <f>_xlfn.XLOOKUP(B1552,'SWiSH Demand Forecast Sep-26'!D:D,'SWiSH Demand Forecast Sep-26'!G:G,"Not Exist")</f>
        <v>Not Exist</v>
      </c>
    </row>
    <row r="1553" spans="1:46" x14ac:dyDescent="0.3">
      <c r="A1553">
        <v>100800017</v>
      </c>
      <c r="B1553" t="s">
        <v>3379</v>
      </c>
      <c r="C1553" t="s">
        <v>10</v>
      </c>
      <c r="D1553" t="s">
        <v>1629</v>
      </c>
      <c r="E1553" t="s">
        <v>1663</v>
      </c>
      <c r="F1553" t="s">
        <v>1639</v>
      </c>
      <c r="G1553" t="s">
        <v>1690</v>
      </c>
      <c r="H1553" t="s">
        <v>1914</v>
      </c>
      <c r="I1553" t="s">
        <v>1618</v>
      </c>
      <c r="J1553" t="s">
        <v>1694</v>
      </c>
      <c r="K1553">
        <v>0.16666666999999999</v>
      </c>
      <c r="L1553">
        <v>0</v>
      </c>
      <c r="M1553" s="1">
        <v>3</v>
      </c>
      <c r="N1553">
        <v>0</v>
      </c>
      <c r="O1553">
        <v>0</v>
      </c>
      <c r="P1553">
        <v>0</v>
      </c>
      <c r="Q1553" s="1">
        <v>0</v>
      </c>
      <c r="R1553">
        <v>1</v>
      </c>
      <c r="S1553" s="2">
        <v>45923</v>
      </c>
      <c r="T1553" s="2">
        <v>46054</v>
      </c>
      <c r="U1553">
        <v>0</v>
      </c>
      <c r="V1553">
        <v>0</v>
      </c>
      <c r="W1553">
        <v>0</v>
      </c>
      <c r="X1553">
        <v>0</v>
      </c>
      <c r="Y1553">
        <v>0</v>
      </c>
      <c r="Z1553" s="8">
        <v>0</v>
      </c>
      <c r="AA1553">
        <v>0</v>
      </c>
      <c r="AB1553" t="s">
        <v>1635</v>
      </c>
      <c r="AC1553" t="s">
        <v>1635</v>
      </c>
      <c r="AD1553" s="1" t="s">
        <v>1635</v>
      </c>
      <c r="AE1553" s="2" t="s">
        <v>1635</v>
      </c>
      <c r="AF1553" s="2" t="s">
        <v>1635</v>
      </c>
      <c r="AG1553" s="2" t="s">
        <v>1635</v>
      </c>
      <c r="AH1553">
        <v>0</v>
      </c>
      <c r="AI1553" s="3" t="s">
        <v>1635</v>
      </c>
      <c r="AJ1553" s="1" t="s">
        <v>1635</v>
      </c>
      <c r="AK1553" s="2" t="s">
        <v>1635</v>
      </c>
      <c r="AL1553" s="4" t="s">
        <v>1636</v>
      </c>
      <c r="AM1553" s="5" t="s">
        <v>1636</v>
      </c>
      <c r="AN1553" s="4">
        <v>0</v>
      </c>
      <c r="AO1553" t="s">
        <v>1635</v>
      </c>
      <c r="AP1553" s="4" t="s">
        <v>1636</v>
      </c>
      <c r="AQ1553" t="s">
        <v>1619</v>
      </c>
      <c r="AR1553" t="s">
        <v>1620</v>
      </c>
      <c r="AT1553" s="16" t="str">
        <f>_xlfn.XLOOKUP(B1553,'SWiSH Demand Forecast Sep-26'!D:D,'SWiSH Demand Forecast Sep-26'!G:G,"Not Exist")</f>
        <v>Not Exist</v>
      </c>
    </row>
    <row r="1554" spans="1:46" hidden="1" x14ac:dyDescent="0.3">
      <c r="A1554">
        <v>102700002</v>
      </c>
      <c r="B1554" t="s">
        <v>148</v>
      </c>
      <c r="C1554" t="s">
        <v>10</v>
      </c>
      <c r="D1554" t="s">
        <v>1629</v>
      </c>
      <c r="E1554" t="s">
        <v>1663</v>
      </c>
      <c r="F1554" t="s">
        <v>1840</v>
      </c>
      <c r="G1554" t="s">
        <v>1690</v>
      </c>
      <c r="H1554" t="s">
        <v>1865</v>
      </c>
      <c r="I1554" t="s">
        <v>1618</v>
      </c>
      <c r="J1554" t="s">
        <v>3380</v>
      </c>
      <c r="K1554">
        <v>3.5416669999999997E-2</v>
      </c>
      <c r="L1554">
        <v>0</v>
      </c>
      <c r="M1554" s="1">
        <v>3</v>
      </c>
      <c r="N1554">
        <v>0</v>
      </c>
      <c r="O1554">
        <v>0</v>
      </c>
      <c r="P1554">
        <v>0</v>
      </c>
      <c r="Q1554" s="1">
        <v>0</v>
      </c>
      <c r="R1554">
        <v>0.85</v>
      </c>
      <c r="S1554" s="2">
        <v>45770</v>
      </c>
      <c r="T1554" s="2">
        <v>45940</v>
      </c>
      <c r="U1554">
        <v>0</v>
      </c>
      <c r="V1554">
        <v>0</v>
      </c>
      <c r="W1554">
        <v>0</v>
      </c>
      <c r="X1554">
        <v>0</v>
      </c>
      <c r="Y1554">
        <v>0</v>
      </c>
      <c r="Z1554" s="8">
        <v>0</v>
      </c>
      <c r="AA1554">
        <v>0</v>
      </c>
      <c r="AB1554" t="s">
        <v>1635</v>
      </c>
      <c r="AC1554" t="s">
        <v>1635</v>
      </c>
      <c r="AD1554" s="1" t="s">
        <v>1635</v>
      </c>
      <c r="AE1554" s="2" t="s">
        <v>1635</v>
      </c>
      <c r="AF1554" s="2" t="s">
        <v>1635</v>
      </c>
      <c r="AG1554" s="2" t="s">
        <v>1635</v>
      </c>
      <c r="AH1554">
        <v>0</v>
      </c>
      <c r="AI1554" s="3" t="s">
        <v>1635</v>
      </c>
      <c r="AJ1554" s="1" t="s">
        <v>1635</v>
      </c>
      <c r="AK1554" s="2" t="s">
        <v>1635</v>
      </c>
      <c r="AL1554" s="4" t="s">
        <v>1636</v>
      </c>
      <c r="AM1554" s="5" t="s">
        <v>1636</v>
      </c>
      <c r="AN1554" s="4">
        <v>0</v>
      </c>
      <c r="AO1554" t="s">
        <v>1635</v>
      </c>
      <c r="AP1554" s="4" t="s">
        <v>1636</v>
      </c>
      <c r="AQ1554" t="s">
        <v>1619</v>
      </c>
      <c r="AR1554" t="s">
        <v>1620</v>
      </c>
      <c r="AT1554" s="16">
        <f>_xlfn.XLOOKUP(B1554,'SWiSH Demand Forecast Sep-26'!D:D,'SWiSH Demand Forecast Sep-26'!G:G,"Not Exist")</f>
        <v>12564</v>
      </c>
    </row>
    <row r="1555" spans="1:46" x14ac:dyDescent="0.3">
      <c r="A1555">
        <v>100100098</v>
      </c>
      <c r="B1555" t="s">
        <v>3381</v>
      </c>
      <c r="C1555" t="s">
        <v>10</v>
      </c>
      <c r="D1555" t="s">
        <v>1629</v>
      </c>
      <c r="E1555" t="s">
        <v>1685</v>
      </c>
      <c r="F1555" t="s">
        <v>1941</v>
      </c>
      <c r="G1555" t="s">
        <v>1690</v>
      </c>
      <c r="H1555" t="s">
        <v>1877</v>
      </c>
      <c r="I1555" t="s">
        <v>1618</v>
      </c>
      <c r="J1555" t="s">
        <v>1688</v>
      </c>
      <c r="K1555">
        <v>0.75</v>
      </c>
      <c r="L1555">
        <v>0</v>
      </c>
      <c r="M1555" s="1">
        <v>3</v>
      </c>
      <c r="N1555">
        <v>0</v>
      </c>
      <c r="O1555">
        <v>0</v>
      </c>
      <c r="P1555">
        <v>0</v>
      </c>
      <c r="Q1555" s="1">
        <v>0</v>
      </c>
      <c r="R1555">
        <v>9</v>
      </c>
      <c r="S1555" s="2">
        <v>45952</v>
      </c>
      <c r="T1555" s="2">
        <v>46116</v>
      </c>
      <c r="U1555">
        <v>0</v>
      </c>
      <c r="V1555">
        <v>0</v>
      </c>
      <c r="W1555">
        <v>0</v>
      </c>
      <c r="X1555">
        <v>0</v>
      </c>
      <c r="Y1555">
        <v>0</v>
      </c>
      <c r="Z1555" s="8">
        <v>0</v>
      </c>
      <c r="AA1555">
        <v>0</v>
      </c>
      <c r="AB1555" t="s">
        <v>1635</v>
      </c>
      <c r="AC1555" t="s">
        <v>1635</v>
      </c>
      <c r="AD1555" s="1" t="s">
        <v>1635</v>
      </c>
      <c r="AE1555" s="2" t="s">
        <v>1635</v>
      </c>
      <c r="AF1555" s="2" t="s">
        <v>1635</v>
      </c>
      <c r="AG1555" s="2" t="s">
        <v>1635</v>
      </c>
      <c r="AH1555">
        <v>0</v>
      </c>
      <c r="AI1555" s="3" t="s">
        <v>1635</v>
      </c>
      <c r="AJ1555" s="1" t="s">
        <v>1635</v>
      </c>
      <c r="AK1555" s="2" t="s">
        <v>1635</v>
      </c>
      <c r="AL1555" s="4" t="s">
        <v>1636</v>
      </c>
      <c r="AM1555" s="5" t="s">
        <v>1636</v>
      </c>
      <c r="AN1555" s="4">
        <v>0</v>
      </c>
      <c r="AO1555" t="s">
        <v>1635</v>
      </c>
      <c r="AP1555" s="4" t="s">
        <v>1636</v>
      </c>
      <c r="AQ1555" t="s">
        <v>1619</v>
      </c>
      <c r="AR1555" t="s">
        <v>1620</v>
      </c>
      <c r="AT1555" s="16" t="str">
        <f>_xlfn.XLOOKUP(B1555,'SWiSH Demand Forecast Sep-26'!D:D,'SWiSH Demand Forecast Sep-26'!G:G,"Not Exist")</f>
        <v>Not Exist</v>
      </c>
    </row>
    <row r="1556" spans="1:46" x14ac:dyDescent="0.3">
      <c r="A1556">
        <v>100900077</v>
      </c>
      <c r="B1556" t="s">
        <v>3382</v>
      </c>
      <c r="C1556" t="s">
        <v>10</v>
      </c>
      <c r="D1556" t="s">
        <v>1629</v>
      </c>
      <c r="E1556" t="s">
        <v>1638</v>
      </c>
      <c r="F1556" t="s">
        <v>1639</v>
      </c>
      <c r="G1556" t="s">
        <v>1632</v>
      </c>
      <c r="H1556" t="s">
        <v>1640</v>
      </c>
      <c r="I1556" t="s">
        <v>1618</v>
      </c>
      <c r="J1556" t="s">
        <v>1781</v>
      </c>
      <c r="K1556">
        <v>0</v>
      </c>
      <c r="L1556">
        <v>0</v>
      </c>
      <c r="M1556" s="1">
        <v>3</v>
      </c>
      <c r="N1556">
        <v>0</v>
      </c>
      <c r="O1556">
        <v>0</v>
      </c>
      <c r="P1556">
        <v>0</v>
      </c>
      <c r="Q1556" s="1">
        <v>0</v>
      </c>
      <c r="R1556">
        <v>0</v>
      </c>
      <c r="S1556" s="2">
        <v>0</v>
      </c>
      <c r="T1556" s="2">
        <v>46101</v>
      </c>
      <c r="U1556">
        <v>0</v>
      </c>
      <c r="V1556">
        <v>0</v>
      </c>
      <c r="W1556">
        <v>0</v>
      </c>
      <c r="X1556">
        <v>0</v>
      </c>
      <c r="Y1556">
        <v>0</v>
      </c>
      <c r="Z1556" s="8">
        <v>0</v>
      </c>
      <c r="AA1556">
        <v>0</v>
      </c>
      <c r="AB1556" t="s">
        <v>1635</v>
      </c>
      <c r="AC1556" t="s">
        <v>1635</v>
      </c>
      <c r="AD1556" s="1" t="s">
        <v>1635</v>
      </c>
      <c r="AE1556" s="2" t="s">
        <v>1635</v>
      </c>
      <c r="AF1556" s="2" t="s">
        <v>1635</v>
      </c>
      <c r="AG1556" s="2" t="s">
        <v>1635</v>
      </c>
      <c r="AH1556">
        <v>0</v>
      </c>
      <c r="AI1556" s="3" t="s">
        <v>1635</v>
      </c>
      <c r="AJ1556" s="1" t="s">
        <v>1635</v>
      </c>
      <c r="AK1556" s="2" t="s">
        <v>1635</v>
      </c>
      <c r="AL1556" s="4" t="s">
        <v>1636</v>
      </c>
      <c r="AM1556" s="5" t="s">
        <v>1636</v>
      </c>
      <c r="AN1556" s="4">
        <v>0</v>
      </c>
      <c r="AO1556" t="s">
        <v>1635</v>
      </c>
      <c r="AP1556" s="4" t="s">
        <v>1636</v>
      </c>
      <c r="AQ1556" t="s">
        <v>1619</v>
      </c>
      <c r="AR1556" t="s">
        <v>1620</v>
      </c>
      <c r="AT1556" s="16" t="str">
        <f>_xlfn.XLOOKUP(B1556,'SWiSH Demand Forecast Sep-26'!D:D,'SWiSH Demand Forecast Sep-26'!G:G,"Not Exist")</f>
        <v>Not Exist</v>
      </c>
    </row>
    <row r="1557" spans="1:46" x14ac:dyDescent="0.3">
      <c r="A1557">
        <v>105600045</v>
      </c>
      <c r="B1557" t="s">
        <v>3383</v>
      </c>
      <c r="C1557" t="s">
        <v>136</v>
      </c>
      <c r="D1557" t="s">
        <v>1629</v>
      </c>
      <c r="E1557" t="s">
        <v>1655</v>
      </c>
      <c r="F1557" t="s">
        <v>1631</v>
      </c>
      <c r="G1557" t="s">
        <v>1624</v>
      </c>
      <c r="H1557" t="s">
        <v>1679</v>
      </c>
      <c r="I1557" t="s">
        <v>1634</v>
      </c>
      <c r="J1557" t="s">
        <v>136</v>
      </c>
      <c r="K1557">
        <v>0.03</v>
      </c>
      <c r="L1557">
        <v>0</v>
      </c>
      <c r="M1557" s="1">
        <v>30</v>
      </c>
      <c r="N1557">
        <v>0</v>
      </c>
      <c r="O1557">
        <v>0</v>
      </c>
      <c r="P1557">
        <v>0</v>
      </c>
      <c r="Q1557" s="1">
        <v>0</v>
      </c>
      <c r="R1557">
        <v>0.03</v>
      </c>
      <c r="S1557" s="2">
        <v>46109</v>
      </c>
      <c r="T1557" s="2">
        <v>46103</v>
      </c>
      <c r="U1557">
        <v>0</v>
      </c>
      <c r="V1557">
        <v>0</v>
      </c>
      <c r="W1557">
        <v>0</v>
      </c>
      <c r="X1557">
        <v>0</v>
      </c>
      <c r="Y1557">
        <v>0</v>
      </c>
      <c r="Z1557" s="8">
        <v>0</v>
      </c>
      <c r="AA1557">
        <v>0</v>
      </c>
      <c r="AB1557" t="s">
        <v>1635</v>
      </c>
      <c r="AC1557" t="s">
        <v>1635</v>
      </c>
      <c r="AD1557" s="1" t="s">
        <v>1635</v>
      </c>
      <c r="AE1557" s="2" t="s">
        <v>1635</v>
      </c>
      <c r="AF1557" s="2" t="s">
        <v>1635</v>
      </c>
      <c r="AG1557" s="2" t="s">
        <v>1635</v>
      </c>
      <c r="AH1557">
        <v>0</v>
      </c>
      <c r="AI1557" s="3" t="s">
        <v>1635</v>
      </c>
      <c r="AJ1557" s="1" t="s">
        <v>1635</v>
      </c>
      <c r="AK1557" s="2" t="s">
        <v>1635</v>
      </c>
      <c r="AL1557" s="4" t="s">
        <v>1636</v>
      </c>
      <c r="AM1557" s="5" t="s">
        <v>1636</v>
      </c>
      <c r="AN1557" s="4">
        <v>0</v>
      </c>
      <c r="AO1557" t="s">
        <v>1635</v>
      </c>
      <c r="AP1557" s="4" t="s">
        <v>1636</v>
      </c>
      <c r="AQ1557" t="s">
        <v>1619</v>
      </c>
      <c r="AR1557" t="s">
        <v>1620</v>
      </c>
      <c r="AT1557" s="16" t="str">
        <f>_xlfn.XLOOKUP(B1557,'SWiSH Demand Forecast Sep-26'!D:D,'SWiSH Demand Forecast Sep-26'!G:G,"Not Exist")</f>
        <v>Not Exist</v>
      </c>
    </row>
    <row r="1558" spans="1:46" x14ac:dyDescent="0.3">
      <c r="A1558">
        <v>100800024</v>
      </c>
      <c r="B1558" t="s">
        <v>3384</v>
      </c>
      <c r="C1558" t="s">
        <v>10</v>
      </c>
      <c r="D1558" t="s">
        <v>1629</v>
      </c>
      <c r="E1558" t="s">
        <v>3385</v>
      </c>
      <c r="F1558" t="s">
        <v>1639</v>
      </c>
      <c r="G1558" t="s">
        <v>1678</v>
      </c>
      <c r="H1558" t="s">
        <v>1914</v>
      </c>
      <c r="I1558" t="s">
        <v>1618</v>
      </c>
      <c r="J1558" t="s">
        <v>1781</v>
      </c>
      <c r="K1558">
        <v>3.1242820000000001E-2</v>
      </c>
      <c r="L1558">
        <v>0</v>
      </c>
      <c r="M1558" s="1">
        <v>3</v>
      </c>
      <c r="N1558">
        <v>0</v>
      </c>
      <c r="O1558">
        <v>0</v>
      </c>
      <c r="P1558">
        <v>0</v>
      </c>
      <c r="Q1558" s="1">
        <v>0</v>
      </c>
      <c r="R1558">
        <v>0.75</v>
      </c>
      <c r="S1558" s="2">
        <v>45901</v>
      </c>
      <c r="T1558" s="2">
        <v>45934</v>
      </c>
      <c r="U1558">
        <v>0</v>
      </c>
      <c r="V1558">
        <v>0</v>
      </c>
      <c r="W1558">
        <v>0</v>
      </c>
      <c r="X1558">
        <v>0</v>
      </c>
      <c r="Y1558">
        <v>0</v>
      </c>
      <c r="Z1558" s="8">
        <v>0</v>
      </c>
      <c r="AA1558">
        <v>0</v>
      </c>
      <c r="AB1558" t="s">
        <v>1635</v>
      </c>
      <c r="AC1558" t="s">
        <v>1635</v>
      </c>
      <c r="AD1558" s="1" t="s">
        <v>1635</v>
      </c>
      <c r="AE1558" s="2" t="s">
        <v>1635</v>
      </c>
      <c r="AF1558" s="2" t="s">
        <v>1635</v>
      </c>
      <c r="AG1558" s="2" t="s">
        <v>1635</v>
      </c>
      <c r="AH1558">
        <v>0</v>
      </c>
      <c r="AI1558" s="3" t="s">
        <v>1635</v>
      </c>
      <c r="AJ1558" s="1" t="s">
        <v>1635</v>
      </c>
      <c r="AK1558" s="2" t="s">
        <v>1635</v>
      </c>
      <c r="AL1558" s="4" t="s">
        <v>1636</v>
      </c>
      <c r="AM1558" s="5" t="s">
        <v>1636</v>
      </c>
      <c r="AN1558" s="4">
        <v>0</v>
      </c>
      <c r="AO1558" t="s">
        <v>1635</v>
      </c>
      <c r="AP1558" s="4" t="s">
        <v>1636</v>
      </c>
      <c r="AQ1558" t="s">
        <v>1619</v>
      </c>
      <c r="AR1558" t="s">
        <v>1620</v>
      </c>
      <c r="AT1558" s="16" t="str">
        <f>_xlfn.XLOOKUP(B1558,'SWiSH Demand Forecast Sep-26'!D:D,'SWiSH Demand Forecast Sep-26'!G:G,"Not Exist")</f>
        <v>Not Exist</v>
      </c>
    </row>
    <row r="1559" spans="1:46" x14ac:dyDescent="0.3">
      <c r="A1559">
        <v>101200040</v>
      </c>
      <c r="B1559" t="s">
        <v>3386</v>
      </c>
      <c r="C1559" t="s">
        <v>136</v>
      </c>
      <c r="D1559" t="s">
        <v>1629</v>
      </c>
      <c r="E1559" t="s">
        <v>2161</v>
      </c>
      <c r="F1559" t="s">
        <v>1833</v>
      </c>
      <c r="G1559" t="s">
        <v>1632</v>
      </c>
      <c r="H1559" t="s">
        <v>1625</v>
      </c>
      <c r="I1559" t="s">
        <v>1626</v>
      </c>
      <c r="J1559" t="s">
        <v>136</v>
      </c>
      <c r="K1559">
        <v>4.5</v>
      </c>
      <c r="L1559">
        <v>0</v>
      </c>
      <c r="M1559" s="1">
        <v>3</v>
      </c>
      <c r="N1559">
        <v>0</v>
      </c>
      <c r="O1559">
        <v>0</v>
      </c>
      <c r="P1559">
        <v>0</v>
      </c>
      <c r="Q1559" s="1">
        <v>0</v>
      </c>
      <c r="R1559">
        <v>4.5</v>
      </c>
      <c r="S1559" s="2">
        <v>45990</v>
      </c>
      <c r="T1559" s="2">
        <v>46054</v>
      </c>
      <c r="U1559">
        <v>0</v>
      </c>
      <c r="V1559">
        <v>0</v>
      </c>
      <c r="W1559">
        <v>0</v>
      </c>
      <c r="X1559">
        <v>0</v>
      </c>
      <c r="Y1559">
        <v>0</v>
      </c>
      <c r="Z1559" s="8">
        <v>0</v>
      </c>
      <c r="AA1559">
        <v>0</v>
      </c>
      <c r="AB1559" t="s">
        <v>1635</v>
      </c>
      <c r="AC1559" t="s">
        <v>1635</v>
      </c>
      <c r="AD1559" s="1" t="s">
        <v>1635</v>
      </c>
      <c r="AE1559" s="2" t="s">
        <v>1635</v>
      </c>
      <c r="AF1559" s="2" t="s">
        <v>1635</v>
      </c>
      <c r="AG1559" s="2" t="s">
        <v>1635</v>
      </c>
      <c r="AH1559">
        <v>0</v>
      </c>
      <c r="AI1559" s="3" t="s">
        <v>1635</v>
      </c>
      <c r="AJ1559" s="1" t="s">
        <v>1635</v>
      </c>
      <c r="AK1559" s="2" t="s">
        <v>1635</v>
      </c>
      <c r="AL1559" s="4" t="s">
        <v>1636</v>
      </c>
      <c r="AM1559" s="5" t="s">
        <v>1636</v>
      </c>
      <c r="AN1559" s="4">
        <v>0</v>
      </c>
      <c r="AO1559" t="s">
        <v>1635</v>
      </c>
      <c r="AP1559" s="4" t="s">
        <v>1636</v>
      </c>
      <c r="AQ1559" t="s">
        <v>1619</v>
      </c>
      <c r="AR1559" t="s">
        <v>1620</v>
      </c>
      <c r="AT1559" s="16" t="str">
        <f>_xlfn.XLOOKUP(B1559,'SWiSH Demand Forecast Sep-26'!D:D,'SWiSH Demand Forecast Sep-26'!G:G,"Not Exist")</f>
        <v>Not Exist</v>
      </c>
    </row>
    <row r="1560" spans="1:46" x14ac:dyDescent="0.3">
      <c r="A1560">
        <v>105000020</v>
      </c>
      <c r="B1560" t="s">
        <v>3387</v>
      </c>
      <c r="C1560" t="s">
        <v>240</v>
      </c>
      <c r="D1560" t="s">
        <v>1629</v>
      </c>
      <c r="E1560" t="s">
        <v>2277</v>
      </c>
      <c r="F1560" t="s">
        <v>1671</v>
      </c>
      <c r="G1560" t="s">
        <v>1678</v>
      </c>
      <c r="H1560" t="s">
        <v>2002</v>
      </c>
      <c r="I1560" t="s">
        <v>1618</v>
      </c>
      <c r="J1560" t="s">
        <v>240</v>
      </c>
      <c r="K1560">
        <v>1.8</v>
      </c>
      <c r="L1560">
        <v>0</v>
      </c>
      <c r="M1560" s="1">
        <v>3</v>
      </c>
      <c r="N1560">
        <v>0</v>
      </c>
      <c r="O1560">
        <v>0</v>
      </c>
      <c r="P1560">
        <v>0</v>
      </c>
      <c r="Q1560" s="1">
        <v>0</v>
      </c>
      <c r="R1560">
        <v>27</v>
      </c>
      <c r="S1560" s="2">
        <v>45932</v>
      </c>
      <c r="T1560" s="2">
        <v>45958</v>
      </c>
      <c r="U1560">
        <v>0</v>
      </c>
      <c r="V1560">
        <v>0</v>
      </c>
      <c r="W1560">
        <v>0</v>
      </c>
      <c r="X1560">
        <v>0</v>
      </c>
      <c r="Y1560">
        <v>0</v>
      </c>
      <c r="Z1560" s="8">
        <v>0</v>
      </c>
      <c r="AA1560">
        <v>0</v>
      </c>
      <c r="AB1560" t="s">
        <v>1635</v>
      </c>
      <c r="AC1560" t="s">
        <v>1635</v>
      </c>
      <c r="AD1560" s="1" t="s">
        <v>1635</v>
      </c>
      <c r="AE1560" s="2" t="s">
        <v>1635</v>
      </c>
      <c r="AF1560" s="2" t="s">
        <v>1635</v>
      </c>
      <c r="AG1560" s="2" t="s">
        <v>1635</v>
      </c>
      <c r="AH1560">
        <v>0</v>
      </c>
      <c r="AI1560" s="3" t="s">
        <v>1635</v>
      </c>
      <c r="AJ1560" s="1" t="s">
        <v>1635</v>
      </c>
      <c r="AK1560" s="2" t="s">
        <v>1635</v>
      </c>
      <c r="AL1560" s="4" t="s">
        <v>1636</v>
      </c>
      <c r="AM1560" s="5" t="s">
        <v>1636</v>
      </c>
      <c r="AN1560" s="4">
        <v>0</v>
      </c>
      <c r="AO1560" t="s">
        <v>1635</v>
      </c>
      <c r="AP1560" s="4" t="s">
        <v>1636</v>
      </c>
      <c r="AQ1560" t="s">
        <v>1619</v>
      </c>
      <c r="AR1560" t="s">
        <v>1620</v>
      </c>
      <c r="AT1560" s="16" t="str">
        <f>_xlfn.XLOOKUP(B1560,'SWiSH Demand Forecast Sep-26'!D:D,'SWiSH Demand Forecast Sep-26'!G:G,"Not Exist")</f>
        <v>Not Exist</v>
      </c>
    </row>
    <row r="1561" spans="1:46" x14ac:dyDescent="0.3">
      <c r="A1561">
        <v>100100111</v>
      </c>
      <c r="B1561" t="s">
        <v>3388</v>
      </c>
      <c r="C1561" t="s">
        <v>136</v>
      </c>
      <c r="D1561" t="s">
        <v>1629</v>
      </c>
      <c r="E1561" t="s">
        <v>3389</v>
      </c>
      <c r="F1561" t="s">
        <v>1615</v>
      </c>
      <c r="G1561" t="s">
        <v>1678</v>
      </c>
      <c r="H1561" t="s">
        <v>1877</v>
      </c>
      <c r="I1561" t="s">
        <v>1618</v>
      </c>
      <c r="J1561" t="s">
        <v>136</v>
      </c>
      <c r="K1561">
        <v>7.0000000000000007E-2</v>
      </c>
      <c r="L1561">
        <v>0</v>
      </c>
      <c r="M1561" s="1">
        <v>3</v>
      </c>
      <c r="N1561">
        <v>0</v>
      </c>
      <c r="O1561">
        <v>0</v>
      </c>
      <c r="P1561">
        <v>0</v>
      </c>
      <c r="Q1561" s="1">
        <v>0</v>
      </c>
      <c r="R1561">
        <v>7.0000000000000007E-2</v>
      </c>
      <c r="S1561" s="2">
        <v>45990</v>
      </c>
      <c r="T1561" s="2">
        <v>46076</v>
      </c>
      <c r="U1561">
        <v>0</v>
      </c>
      <c r="V1561">
        <v>0</v>
      </c>
      <c r="W1561">
        <v>0</v>
      </c>
      <c r="X1561">
        <v>0</v>
      </c>
      <c r="Y1561">
        <v>0</v>
      </c>
      <c r="Z1561" s="8">
        <v>0</v>
      </c>
      <c r="AA1561">
        <v>0</v>
      </c>
      <c r="AB1561" t="s">
        <v>1635</v>
      </c>
      <c r="AC1561" t="s">
        <v>1635</v>
      </c>
      <c r="AD1561" s="1" t="s">
        <v>1635</v>
      </c>
      <c r="AE1561" s="2" t="s">
        <v>1635</v>
      </c>
      <c r="AF1561" s="2" t="s">
        <v>1635</v>
      </c>
      <c r="AG1561" s="2" t="s">
        <v>1635</v>
      </c>
      <c r="AH1561">
        <v>0</v>
      </c>
      <c r="AI1561" s="3" t="s">
        <v>1635</v>
      </c>
      <c r="AJ1561" s="1" t="s">
        <v>1635</v>
      </c>
      <c r="AK1561" s="2" t="s">
        <v>1635</v>
      </c>
      <c r="AL1561" s="4" t="s">
        <v>1636</v>
      </c>
      <c r="AM1561" s="5" t="s">
        <v>1636</v>
      </c>
      <c r="AN1561" s="4">
        <v>0</v>
      </c>
      <c r="AO1561" t="s">
        <v>1635</v>
      </c>
      <c r="AP1561" s="4" t="s">
        <v>1636</v>
      </c>
      <c r="AQ1561" t="s">
        <v>1619</v>
      </c>
      <c r="AR1561" t="s">
        <v>1620</v>
      </c>
      <c r="AT1561" s="16" t="str">
        <f>_xlfn.XLOOKUP(B1561,'SWiSH Demand Forecast Sep-26'!D:D,'SWiSH Demand Forecast Sep-26'!G:G,"Not Exist")</f>
        <v>Not Exist</v>
      </c>
    </row>
    <row r="1562" spans="1:46" x14ac:dyDescent="0.3">
      <c r="A1562">
        <v>100800015</v>
      </c>
      <c r="B1562" t="s">
        <v>3390</v>
      </c>
      <c r="C1562" t="s">
        <v>10</v>
      </c>
      <c r="D1562" t="s">
        <v>1629</v>
      </c>
      <c r="E1562" t="s">
        <v>1663</v>
      </c>
      <c r="F1562" t="s">
        <v>1639</v>
      </c>
      <c r="G1562" t="s">
        <v>1690</v>
      </c>
      <c r="H1562" t="s">
        <v>1914</v>
      </c>
      <c r="I1562" t="s">
        <v>1618</v>
      </c>
      <c r="J1562" t="s">
        <v>1694</v>
      </c>
      <c r="K1562">
        <v>0.16666666999999999</v>
      </c>
      <c r="L1562">
        <v>0</v>
      </c>
      <c r="M1562" s="1">
        <v>3</v>
      </c>
      <c r="N1562">
        <v>0</v>
      </c>
      <c r="O1562">
        <v>0</v>
      </c>
      <c r="P1562">
        <v>0</v>
      </c>
      <c r="Q1562" s="1">
        <v>0</v>
      </c>
      <c r="R1562">
        <v>1</v>
      </c>
      <c r="S1562" s="2">
        <v>45941</v>
      </c>
      <c r="T1562" s="2">
        <v>46053</v>
      </c>
      <c r="U1562">
        <v>0</v>
      </c>
      <c r="V1562">
        <v>0</v>
      </c>
      <c r="W1562">
        <v>0</v>
      </c>
      <c r="X1562">
        <v>0</v>
      </c>
      <c r="Y1562">
        <v>0</v>
      </c>
      <c r="Z1562" s="8">
        <v>0</v>
      </c>
      <c r="AA1562">
        <v>0</v>
      </c>
      <c r="AB1562" t="s">
        <v>1635</v>
      </c>
      <c r="AC1562" t="s">
        <v>1635</v>
      </c>
      <c r="AD1562" s="1" t="s">
        <v>1635</v>
      </c>
      <c r="AE1562" s="2" t="s">
        <v>1635</v>
      </c>
      <c r="AF1562" s="2" t="s">
        <v>1635</v>
      </c>
      <c r="AG1562" s="2" t="s">
        <v>1635</v>
      </c>
      <c r="AH1562">
        <v>0</v>
      </c>
      <c r="AI1562" s="3" t="s">
        <v>1635</v>
      </c>
      <c r="AJ1562" s="1" t="s">
        <v>1635</v>
      </c>
      <c r="AK1562" s="2" t="s">
        <v>1635</v>
      </c>
      <c r="AL1562" s="4" t="s">
        <v>1636</v>
      </c>
      <c r="AM1562" s="5" t="s">
        <v>1636</v>
      </c>
      <c r="AN1562" s="4">
        <v>0</v>
      </c>
      <c r="AO1562" t="s">
        <v>1635</v>
      </c>
      <c r="AP1562" s="4" t="s">
        <v>1636</v>
      </c>
      <c r="AQ1562" t="s">
        <v>1619</v>
      </c>
      <c r="AR1562" t="s">
        <v>1620</v>
      </c>
      <c r="AT1562" s="16" t="str">
        <f>_xlfn.XLOOKUP(B1562,'SWiSH Demand Forecast Sep-26'!D:D,'SWiSH Demand Forecast Sep-26'!G:G,"Not Exist")</f>
        <v>Not Exist</v>
      </c>
    </row>
    <row r="1563" spans="1:46" x14ac:dyDescent="0.3">
      <c r="A1563">
        <v>103900002</v>
      </c>
      <c r="B1563" t="s">
        <v>3391</v>
      </c>
      <c r="C1563" t="s">
        <v>136</v>
      </c>
      <c r="D1563" t="s">
        <v>1629</v>
      </c>
      <c r="E1563" t="s">
        <v>1707</v>
      </c>
      <c r="F1563" t="s">
        <v>1840</v>
      </c>
      <c r="G1563" t="s">
        <v>1704</v>
      </c>
      <c r="H1563" t="s">
        <v>2063</v>
      </c>
      <c r="I1563" t="s">
        <v>1618</v>
      </c>
      <c r="J1563" t="s">
        <v>136</v>
      </c>
      <c r="K1563">
        <v>6</v>
      </c>
      <c r="L1563">
        <v>0</v>
      </c>
      <c r="M1563" s="1">
        <v>7</v>
      </c>
      <c r="N1563">
        <v>0</v>
      </c>
      <c r="O1563">
        <v>0</v>
      </c>
      <c r="P1563">
        <v>0</v>
      </c>
      <c r="Q1563" s="1">
        <v>0</v>
      </c>
      <c r="R1563">
        <v>6</v>
      </c>
      <c r="S1563" s="2">
        <v>45966</v>
      </c>
      <c r="T1563" s="2">
        <v>46054</v>
      </c>
      <c r="U1563">
        <v>0</v>
      </c>
      <c r="V1563">
        <v>0</v>
      </c>
      <c r="W1563">
        <v>0</v>
      </c>
      <c r="X1563">
        <v>0</v>
      </c>
      <c r="Y1563">
        <v>0</v>
      </c>
      <c r="Z1563" s="8">
        <v>0</v>
      </c>
      <c r="AA1563">
        <v>0</v>
      </c>
      <c r="AB1563" t="s">
        <v>1635</v>
      </c>
      <c r="AC1563" t="s">
        <v>1635</v>
      </c>
      <c r="AD1563" s="1" t="s">
        <v>1635</v>
      </c>
      <c r="AE1563" s="2" t="s">
        <v>1635</v>
      </c>
      <c r="AF1563" s="2" t="s">
        <v>1635</v>
      </c>
      <c r="AG1563" s="2" t="s">
        <v>1635</v>
      </c>
      <c r="AH1563">
        <v>0</v>
      </c>
      <c r="AI1563" s="3" t="s">
        <v>1635</v>
      </c>
      <c r="AJ1563" s="1" t="s">
        <v>1635</v>
      </c>
      <c r="AK1563" s="2" t="s">
        <v>1635</v>
      </c>
      <c r="AL1563" s="4" t="s">
        <v>1636</v>
      </c>
      <c r="AM1563" s="5" t="s">
        <v>1636</v>
      </c>
      <c r="AN1563" s="4">
        <v>0</v>
      </c>
      <c r="AO1563" t="s">
        <v>1635</v>
      </c>
      <c r="AP1563" s="4" t="s">
        <v>1636</v>
      </c>
      <c r="AQ1563" t="s">
        <v>1619</v>
      </c>
      <c r="AR1563" t="s">
        <v>1620</v>
      </c>
      <c r="AT1563" s="16" t="str">
        <f>_xlfn.XLOOKUP(B1563,'SWiSH Demand Forecast Sep-26'!D:D,'SWiSH Demand Forecast Sep-26'!G:G,"Not Exist")</f>
        <v>Not Exist</v>
      </c>
    </row>
    <row r="1564" spans="1:46" x14ac:dyDescent="0.3">
      <c r="A1564">
        <v>100800012</v>
      </c>
      <c r="B1564" t="s">
        <v>3392</v>
      </c>
      <c r="C1564" t="s">
        <v>10</v>
      </c>
      <c r="D1564" t="s">
        <v>1629</v>
      </c>
      <c r="E1564" t="s">
        <v>3393</v>
      </c>
      <c r="F1564" t="s">
        <v>1639</v>
      </c>
      <c r="G1564" t="s">
        <v>1616</v>
      </c>
      <c r="H1564" t="s">
        <v>1914</v>
      </c>
      <c r="I1564" t="s">
        <v>1618</v>
      </c>
      <c r="J1564" t="s">
        <v>1781</v>
      </c>
      <c r="K1564">
        <v>0.10303</v>
      </c>
      <c r="L1564">
        <v>0</v>
      </c>
      <c r="M1564" s="1">
        <v>3</v>
      </c>
      <c r="N1564">
        <v>0</v>
      </c>
      <c r="O1564">
        <v>0</v>
      </c>
      <c r="P1564">
        <v>0</v>
      </c>
      <c r="Q1564" s="1">
        <v>0</v>
      </c>
      <c r="R1564">
        <v>2.4727299999999999</v>
      </c>
      <c r="S1564" s="2">
        <v>45970</v>
      </c>
      <c r="T1564" s="2">
        <v>46102</v>
      </c>
      <c r="U1564">
        <v>0</v>
      </c>
      <c r="V1564">
        <v>0</v>
      </c>
      <c r="W1564">
        <v>0</v>
      </c>
      <c r="X1564">
        <v>0</v>
      </c>
      <c r="Y1564">
        <v>0</v>
      </c>
      <c r="Z1564" s="8">
        <v>0</v>
      </c>
      <c r="AA1564">
        <v>0</v>
      </c>
      <c r="AB1564" t="s">
        <v>1635</v>
      </c>
      <c r="AC1564" t="s">
        <v>1635</v>
      </c>
      <c r="AD1564" s="1" t="s">
        <v>1635</v>
      </c>
      <c r="AE1564" s="2" t="s">
        <v>1635</v>
      </c>
      <c r="AF1564" s="2" t="s">
        <v>1635</v>
      </c>
      <c r="AG1564" s="2" t="s">
        <v>1635</v>
      </c>
      <c r="AH1564">
        <v>0</v>
      </c>
      <c r="AI1564" s="3" t="s">
        <v>1635</v>
      </c>
      <c r="AJ1564" s="1" t="s">
        <v>1635</v>
      </c>
      <c r="AK1564" s="2" t="s">
        <v>1635</v>
      </c>
      <c r="AL1564" s="4" t="s">
        <v>1636</v>
      </c>
      <c r="AM1564" s="5" t="s">
        <v>1636</v>
      </c>
      <c r="AN1564" s="4">
        <v>0</v>
      </c>
      <c r="AO1564" t="s">
        <v>1635</v>
      </c>
      <c r="AP1564" s="4" t="s">
        <v>1636</v>
      </c>
      <c r="AQ1564" t="s">
        <v>1619</v>
      </c>
      <c r="AR1564" t="s">
        <v>1620</v>
      </c>
      <c r="AT1564" s="16" t="str">
        <f>_xlfn.XLOOKUP(B1564,'SWiSH Demand Forecast Sep-26'!D:D,'SWiSH Demand Forecast Sep-26'!G:G,"Not Exist")</f>
        <v>Not Exist</v>
      </c>
    </row>
    <row r="1565" spans="1:46" x14ac:dyDescent="0.3">
      <c r="A1565">
        <v>100800003</v>
      </c>
      <c r="B1565" t="s">
        <v>3394</v>
      </c>
      <c r="C1565" t="s">
        <v>10</v>
      </c>
      <c r="D1565" t="s">
        <v>1629</v>
      </c>
      <c r="E1565" t="s">
        <v>1663</v>
      </c>
      <c r="F1565" t="s">
        <v>1639</v>
      </c>
      <c r="G1565" t="s">
        <v>1690</v>
      </c>
      <c r="H1565" t="s">
        <v>1914</v>
      </c>
      <c r="I1565" t="s">
        <v>1618</v>
      </c>
      <c r="J1565" t="s">
        <v>1694</v>
      </c>
      <c r="K1565">
        <v>0.16666666999999999</v>
      </c>
      <c r="L1565">
        <v>0</v>
      </c>
      <c r="M1565" s="1">
        <v>3</v>
      </c>
      <c r="N1565">
        <v>0</v>
      </c>
      <c r="O1565">
        <v>0</v>
      </c>
      <c r="P1565">
        <v>0</v>
      </c>
      <c r="Q1565" s="1">
        <v>0</v>
      </c>
      <c r="R1565">
        <v>1</v>
      </c>
      <c r="S1565" s="2">
        <v>45923</v>
      </c>
      <c r="T1565" s="2">
        <v>46041</v>
      </c>
      <c r="U1565">
        <v>0</v>
      </c>
      <c r="V1565">
        <v>0</v>
      </c>
      <c r="W1565">
        <v>0</v>
      </c>
      <c r="X1565">
        <v>0</v>
      </c>
      <c r="Y1565">
        <v>0</v>
      </c>
      <c r="Z1565" s="8">
        <v>0</v>
      </c>
      <c r="AA1565">
        <v>0</v>
      </c>
      <c r="AB1565" t="s">
        <v>1635</v>
      </c>
      <c r="AC1565" t="s">
        <v>1635</v>
      </c>
      <c r="AD1565" s="1" t="s">
        <v>1635</v>
      </c>
      <c r="AE1565" s="2" t="s">
        <v>1635</v>
      </c>
      <c r="AF1565" s="2" t="s">
        <v>1635</v>
      </c>
      <c r="AG1565" s="2" t="s">
        <v>1635</v>
      </c>
      <c r="AH1565">
        <v>0</v>
      </c>
      <c r="AI1565" s="3" t="s">
        <v>1635</v>
      </c>
      <c r="AJ1565" s="1" t="s">
        <v>1635</v>
      </c>
      <c r="AK1565" s="2" t="s">
        <v>1635</v>
      </c>
      <c r="AL1565" s="4" t="s">
        <v>1636</v>
      </c>
      <c r="AM1565" s="5" t="s">
        <v>1636</v>
      </c>
      <c r="AN1565" s="4">
        <v>0</v>
      </c>
      <c r="AO1565" t="s">
        <v>1635</v>
      </c>
      <c r="AP1565" s="4" t="s">
        <v>1636</v>
      </c>
      <c r="AQ1565" t="s">
        <v>1619</v>
      </c>
      <c r="AR1565" t="s">
        <v>1620</v>
      </c>
      <c r="AT1565" s="16" t="str">
        <f>_xlfn.XLOOKUP(B1565,'SWiSH Demand Forecast Sep-26'!D:D,'SWiSH Demand Forecast Sep-26'!G:G,"Not Exist")</f>
        <v>Not Exist</v>
      </c>
    </row>
    <row r="1566" spans="1:46" x14ac:dyDescent="0.3">
      <c r="A1566">
        <v>105500000</v>
      </c>
      <c r="B1566" t="s">
        <v>3395</v>
      </c>
      <c r="C1566" t="s">
        <v>136</v>
      </c>
      <c r="D1566" t="s">
        <v>1629</v>
      </c>
      <c r="E1566" t="s">
        <v>1845</v>
      </c>
      <c r="F1566" t="s">
        <v>1840</v>
      </c>
      <c r="G1566" t="s">
        <v>1681</v>
      </c>
      <c r="H1566" t="s">
        <v>1841</v>
      </c>
      <c r="I1566" t="s">
        <v>1618</v>
      </c>
      <c r="J1566" t="s">
        <v>136</v>
      </c>
      <c r="K1566">
        <v>1.7981658199999999</v>
      </c>
      <c r="L1566">
        <v>0</v>
      </c>
      <c r="M1566" s="1">
        <v>3</v>
      </c>
      <c r="N1566">
        <v>0</v>
      </c>
      <c r="O1566">
        <v>0</v>
      </c>
      <c r="P1566">
        <v>0</v>
      </c>
      <c r="Q1566" s="1">
        <v>0</v>
      </c>
      <c r="R1566">
        <v>0.42499999999999999</v>
      </c>
      <c r="S1566" s="2">
        <v>45997</v>
      </c>
      <c r="T1566" s="2">
        <v>46007</v>
      </c>
      <c r="U1566">
        <v>0</v>
      </c>
      <c r="V1566">
        <v>0</v>
      </c>
      <c r="W1566">
        <v>0</v>
      </c>
      <c r="X1566">
        <v>0</v>
      </c>
      <c r="Y1566">
        <v>0</v>
      </c>
      <c r="Z1566" s="8">
        <v>0</v>
      </c>
      <c r="AA1566">
        <v>0</v>
      </c>
      <c r="AB1566" t="s">
        <v>1635</v>
      </c>
      <c r="AC1566" t="s">
        <v>1635</v>
      </c>
      <c r="AD1566" s="1" t="s">
        <v>1635</v>
      </c>
      <c r="AE1566" s="2" t="s">
        <v>1635</v>
      </c>
      <c r="AF1566" s="2" t="s">
        <v>1635</v>
      </c>
      <c r="AG1566" s="2" t="s">
        <v>1635</v>
      </c>
      <c r="AH1566">
        <v>0</v>
      </c>
      <c r="AI1566" s="3" t="s">
        <v>1635</v>
      </c>
      <c r="AJ1566" s="1" t="s">
        <v>1635</v>
      </c>
      <c r="AK1566" s="2" t="s">
        <v>1635</v>
      </c>
      <c r="AL1566" s="4" t="s">
        <v>1636</v>
      </c>
      <c r="AM1566" s="5" t="s">
        <v>1636</v>
      </c>
      <c r="AN1566" s="4">
        <v>0</v>
      </c>
      <c r="AO1566" t="s">
        <v>1635</v>
      </c>
      <c r="AP1566" s="4" t="s">
        <v>1636</v>
      </c>
      <c r="AQ1566" t="s">
        <v>1619</v>
      </c>
      <c r="AR1566" t="s">
        <v>1620</v>
      </c>
      <c r="AT1566" s="16" t="str">
        <f>_xlfn.XLOOKUP(B1566,'SWiSH Demand Forecast Sep-26'!D:D,'SWiSH Demand Forecast Sep-26'!G:G,"Not Exist")</f>
        <v>Not Exist</v>
      </c>
    </row>
    <row r="1567" spans="1:46" x14ac:dyDescent="0.3">
      <c r="A1567">
        <v>100100001</v>
      </c>
      <c r="B1567" t="s">
        <v>3396</v>
      </c>
      <c r="C1567" t="s">
        <v>10</v>
      </c>
      <c r="D1567" t="s">
        <v>1629</v>
      </c>
      <c r="E1567" t="s">
        <v>1685</v>
      </c>
      <c r="F1567" t="s">
        <v>1615</v>
      </c>
      <c r="G1567" t="s">
        <v>1690</v>
      </c>
      <c r="H1567" t="s">
        <v>1877</v>
      </c>
      <c r="I1567" t="s">
        <v>1618</v>
      </c>
      <c r="J1567" t="s">
        <v>3397</v>
      </c>
      <c r="K1567">
        <v>0.6</v>
      </c>
      <c r="L1567">
        <v>0</v>
      </c>
      <c r="M1567" s="1">
        <v>3</v>
      </c>
      <c r="N1567">
        <v>0</v>
      </c>
      <c r="O1567">
        <v>0</v>
      </c>
      <c r="P1567">
        <v>0</v>
      </c>
      <c r="Q1567" s="1">
        <v>0</v>
      </c>
      <c r="R1567">
        <v>8.4</v>
      </c>
      <c r="S1567" s="2">
        <v>45938</v>
      </c>
      <c r="T1567" s="2">
        <v>46001</v>
      </c>
      <c r="U1567">
        <v>0</v>
      </c>
      <c r="V1567">
        <v>0</v>
      </c>
      <c r="W1567">
        <v>0</v>
      </c>
      <c r="X1567">
        <v>0</v>
      </c>
      <c r="Y1567">
        <v>0</v>
      </c>
      <c r="Z1567" s="8">
        <v>0</v>
      </c>
      <c r="AA1567">
        <v>0</v>
      </c>
      <c r="AB1567" t="s">
        <v>1635</v>
      </c>
      <c r="AC1567" t="s">
        <v>1635</v>
      </c>
      <c r="AD1567" s="1" t="s">
        <v>1635</v>
      </c>
      <c r="AE1567" s="2" t="s">
        <v>1635</v>
      </c>
      <c r="AF1567" s="2" t="s">
        <v>1635</v>
      </c>
      <c r="AG1567" s="2" t="s">
        <v>1635</v>
      </c>
      <c r="AH1567">
        <v>0</v>
      </c>
      <c r="AI1567" s="3" t="s">
        <v>1635</v>
      </c>
      <c r="AJ1567" s="1" t="s">
        <v>1635</v>
      </c>
      <c r="AK1567" s="2" t="s">
        <v>1635</v>
      </c>
      <c r="AL1567" s="4" t="s">
        <v>1636</v>
      </c>
      <c r="AM1567" s="5" t="s">
        <v>1636</v>
      </c>
      <c r="AN1567" s="4">
        <v>0</v>
      </c>
      <c r="AO1567" t="s">
        <v>1635</v>
      </c>
      <c r="AP1567" s="4" t="s">
        <v>1636</v>
      </c>
      <c r="AQ1567" t="s">
        <v>1619</v>
      </c>
      <c r="AR1567" t="s">
        <v>1620</v>
      </c>
      <c r="AT1567" s="16" t="str">
        <f>_xlfn.XLOOKUP(B1567,'SWiSH Demand Forecast Sep-26'!D:D,'SWiSH Demand Forecast Sep-26'!G:G,"Not Exist")</f>
        <v>Not Exist</v>
      </c>
    </row>
    <row r="1568" spans="1:46" x14ac:dyDescent="0.3">
      <c r="A1568">
        <v>100100003</v>
      </c>
      <c r="B1568" t="s">
        <v>3398</v>
      </c>
      <c r="C1568" t="s">
        <v>10</v>
      </c>
      <c r="D1568" t="s">
        <v>1629</v>
      </c>
      <c r="E1568" t="s">
        <v>1685</v>
      </c>
      <c r="F1568" t="s">
        <v>1615</v>
      </c>
      <c r="G1568" t="s">
        <v>1690</v>
      </c>
      <c r="H1568" t="s">
        <v>1877</v>
      </c>
      <c r="I1568" t="s">
        <v>1618</v>
      </c>
      <c r="J1568" t="s">
        <v>3397</v>
      </c>
      <c r="K1568">
        <v>0.6</v>
      </c>
      <c r="L1568">
        <v>0</v>
      </c>
      <c r="M1568" s="1">
        <v>3</v>
      </c>
      <c r="N1568">
        <v>0</v>
      </c>
      <c r="O1568">
        <v>0</v>
      </c>
      <c r="P1568">
        <v>0</v>
      </c>
      <c r="Q1568" s="1">
        <v>0</v>
      </c>
      <c r="R1568">
        <v>8.4</v>
      </c>
      <c r="S1568" s="2">
        <v>45873</v>
      </c>
      <c r="T1568" s="2">
        <v>46005</v>
      </c>
      <c r="U1568">
        <v>0</v>
      </c>
      <c r="V1568">
        <v>0</v>
      </c>
      <c r="W1568">
        <v>0</v>
      </c>
      <c r="X1568">
        <v>0</v>
      </c>
      <c r="Y1568">
        <v>0</v>
      </c>
      <c r="Z1568" s="8">
        <v>0</v>
      </c>
      <c r="AA1568">
        <v>0</v>
      </c>
      <c r="AB1568" t="s">
        <v>1635</v>
      </c>
      <c r="AC1568" t="s">
        <v>1635</v>
      </c>
      <c r="AD1568" s="1" t="s">
        <v>1635</v>
      </c>
      <c r="AE1568" s="2" t="s">
        <v>1635</v>
      </c>
      <c r="AF1568" s="2" t="s">
        <v>1635</v>
      </c>
      <c r="AG1568" s="2" t="s">
        <v>1635</v>
      </c>
      <c r="AH1568">
        <v>0</v>
      </c>
      <c r="AI1568" s="3" t="s">
        <v>1635</v>
      </c>
      <c r="AJ1568" s="1" t="s">
        <v>1635</v>
      </c>
      <c r="AK1568" s="2" t="s">
        <v>1635</v>
      </c>
      <c r="AL1568" s="4" t="s">
        <v>1636</v>
      </c>
      <c r="AM1568" s="5" t="s">
        <v>1636</v>
      </c>
      <c r="AN1568" s="4">
        <v>0</v>
      </c>
      <c r="AO1568" t="s">
        <v>1635</v>
      </c>
      <c r="AP1568" s="4" t="s">
        <v>1636</v>
      </c>
      <c r="AQ1568" t="s">
        <v>1619</v>
      </c>
      <c r="AR1568" t="s">
        <v>1620</v>
      </c>
      <c r="AT1568" s="16" t="str">
        <f>_xlfn.XLOOKUP(B1568,'SWiSH Demand Forecast Sep-26'!D:D,'SWiSH Demand Forecast Sep-26'!G:G,"Not Exist")</f>
        <v>Not Exist</v>
      </c>
    </row>
    <row r="1569" spans="1:46" x14ac:dyDescent="0.3">
      <c r="A1569">
        <v>106200083</v>
      </c>
      <c r="B1569" t="s">
        <v>3399</v>
      </c>
      <c r="C1569" t="s">
        <v>240</v>
      </c>
      <c r="D1569" t="s">
        <v>1629</v>
      </c>
      <c r="E1569" t="s">
        <v>1663</v>
      </c>
      <c r="F1569" t="s">
        <v>1671</v>
      </c>
      <c r="G1569" t="s">
        <v>1616</v>
      </c>
      <c r="H1569" t="s">
        <v>1672</v>
      </c>
      <c r="I1569" t="s">
        <v>1618</v>
      </c>
      <c r="J1569" t="s">
        <v>2809</v>
      </c>
      <c r="K1569">
        <v>3.9285714299999999</v>
      </c>
      <c r="L1569">
        <v>162.25000005899997</v>
      </c>
      <c r="M1569" s="1">
        <v>3</v>
      </c>
      <c r="N1569">
        <v>0</v>
      </c>
      <c r="O1569">
        <v>0</v>
      </c>
      <c r="P1569">
        <v>41.3</v>
      </c>
      <c r="Q1569" s="1">
        <v>41.3</v>
      </c>
      <c r="R1569">
        <v>16.5</v>
      </c>
      <c r="S1569" s="2">
        <v>45998</v>
      </c>
      <c r="T1569" s="2">
        <v>46241</v>
      </c>
      <c r="U1569">
        <v>0</v>
      </c>
      <c r="V1569">
        <v>0</v>
      </c>
      <c r="W1569">
        <v>0</v>
      </c>
      <c r="X1569">
        <v>0</v>
      </c>
      <c r="Y1569">
        <v>0</v>
      </c>
      <c r="Z1569" s="8">
        <v>0</v>
      </c>
      <c r="AA1569">
        <v>0</v>
      </c>
      <c r="AB1569" t="s">
        <v>1635</v>
      </c>
      <c r="AC1569" t="s">
        <v>1635</v>
      </c>
      <c r="AD1569" s="1" t="s">
        <v>1635</v>
      </c>
      <c r="AE1569" s="2" t="s">
        <v>1635</v>
      </c>
      <c r="AF1569" s="2" t="s">
        <v>1635</v>
      </c>
      <c r="AG1569" s="2" t="s">
        <v>1635</v>
      </c>
      <c r="AH1569">
        <v>0.7</v>
      </c>
      <c r="AI1569" s="3" t="s">
        <v>1635</v>
      </c>
      <c r="AJ1569" s="1">
        <v>1711</v>
      </c>
      <c r="AK1569" s="2">
        <v>47974</v>
      </c>
      <c r="AL1569" s="4" t="s">
        <v>1636</v>
      </c>
      <c r="AM1569" s="5" t="s">
        <v>1636</v>
      </c>
      <c r="AN1569" s="4">
        <v>1711</v>
      </c>
      <c r="AO1569" t="s">
        <v>1635</v>
      </c>
      <c r="AP1569" s="4" t="s">
        <v>1636</v>
      </c>
      <c r="AQ1569" t="s">
        <v>1619</v>
      </c>
      <c r="AR1569" t="s">
        <v>1620</v>
      </c>
      <c r="AT1569" s="16" t="str">
        <f>_xlfn.XLOOKUP(B1569,'SWiSH Demand Forecast Sep-26'!D:D,'SWiSH Demand Forecast Sep-26'!G:G,"Not Exist")</f>
        <v>Not Exist</v>
      </c>
    </row>
    <row r="1570" spans="1:46" x14ac:dyDescent="0.3">
      <c r="A1570">
        <v>106400605</v>
      </c>
      <c r="B1570" t="s">
        <v>3400</v>
      </c>
      <c r="C1570" t="s">
        <v>136</v>
      </c>
      <c r="D1570" t="s">
        <v>1629</v>
      </c>
      <c r="E1570" t="s">
        <v>1775</v>
      </c>
      <c r="F1570" t="s">
        <v>1840</v>
      </c>
      <c r="G1570" t="s">
        <v>1690</v>
      </c>
      <c r="H1570" t="s">
        <v>1764</v>
      </c>
      <c r="I1570" t="s">
        <v>1618</v>
      </c>
      <c r="J1570" t="e">
        <v>#N/A</v>
      </c>
      <c r="K1570">
        <v>1.21764706</v>
      </c>
      <c r="L1570">
        <v>0</v>
      </c>
      <c r="M1570" s="1">
        <v>3</v>
      </c>
      <c r="N1570">
        <v>0</v>
      </c>
      <c r="O1570">
        <v>0</v>
      </c>
      <c r="P1570">
        <v>0</v>
      </c>
      <c r="Q1570" s="1">
        <v>0</v>
      </c>
      <c r="R1570">
        <v>0</v>
      </c>
      <c r="S1570" s="2">
        <v>0</v>
      </c>
      <c r="T1570" s="2">
        <v>46160</v>
      </c>
      <c r="U1570">
        <v>0</v>
      </c>
      <c r="V1570">
        <v>0</v>
      </c>
      <c r="W1570">
        <v>0</v>
      </c>
      <c r="X1570">
        <v>0</v>
      </c>
      <c r="Y1570">
        <v>0</v>
      </c>
      <c r="Z1570" s="8">
        <v>0</v>
      </c>
      <c r="AA1570">
        <v>0</v>
      </c>
      <c r="AB1570" t="s">
        <v>1635</v>
      </c>
      <c r="AC1570" t="s">
        <v>1635</v>
      </c>
      <c r="AD1570" s="1" t="s">
        <v>1635</v>
      </c>
      <c r="AE1570" s="2" t="s">
        <v>1635</v>
      </c>
      <c r="AF1570" s="2" t="s">
        <v>1635</v>
      </c>
      <c r="AG1570" s="2" t="s">
        <v>1635</v>
      </c>
      <c r="AH1570">
        <v>0</v>
      </c>
      <c r="AI1570" s="3" t="s">
        <v>1635</v>
      </c>
      <c r="AJ1570" s="1" t="s">
        <v>1635</v>
      </c>
      <c r="AK1570" s="2" t="s">
        <v>1635</v>
      </c>
      <c r="AL1570" s="4" t="s">
        <v>1636</v>
      </c>
      <c r="AM1570" s="5" t="s">
        <v>1636</v>
      </c>
      <c r="AN1570" s="4">
        <v>0</v>
      </c>
      <c r="AO1570" t="s">
        <v>1635</v>
      </c>
      <c r="AP1570" s="4" t="s">
        <v>1636</v>
      </c>
      <c r="AQ1570" t="s">
        <v>1619</v>
      </c>
      <c r="AR1570" t="s">
        <v>1620</v>
      </c>
      <c r="AT1570" s="16" t="str">
        <f>_xlfn.XLOOKUP(B1570,'SWiSH Demand Forecast Sep-26'!D:D,'SWiSH Demand Forecast Sep-26'!G:G,"Not Exist")</f>
        <v>Not Exist</v>
      </c>
    </row>
    <row r="1571" spans="1:46" x14ac:dyDescent="0.3">
      <c r="A1571">
        <v>107500006</v>
      </c>
      <c r="B1571" t="s">
        <v>3401</v>
      </c>
      <c r="C1571" t="s">
        <v>136</v>
      </c>
      <c r="D1571" t="s">
        <v>1629</v>
      </c>
      <c r="E1571" t="s">
        <v>1732</v>
      </c>
      <c r="F1571" t="s">
        <v>1833</v>
      </c>
      <c r="G1571" t="s">
        <v>1690</v>
      </c>
      <c r="H1571" t="s">
        <v>2030</v>
      </c>
      <c r="I1571" t="s">
        <v>1626</v>
      </c>
      <c r="J1571" t="e">
        <v>#N/A</v>
      </c>
      <c r="K1571">
        <v>2.125</v>
      </c>
      <c r="L1571">
        <v>0</v>
      </c>
      <c r="M1571" s="1">
        <v>3</v>
      </c>
      <c r="N1571">
        <v>0</v>
      </c>
      <c r="O1571">
        <v>0</v>
      </c>
      <c r="P1571">
        <v>0</v>
      </c>
      <c r="Q1571" s="1">
        <v>0</v>
      </c>
      <c r="R1571">
        <v>2.125</v>
      </c>
      <c r="S1571" s="2">
        <v>45967</v>
      </c>
      <c r="T1571" s="2">
        <v>46053</v>
      </c>
      <c r="U1571">
        <v>0</v>
      </c>
      <c r="V1571">
        <v>0</v>
      </c>
      <c r="W1571">
        <v>0</v>
      </c>
      <c r="X1571">
        <v>0</v>
      </c>
      <c r="Y1571">
        <v>0</v>
      </c>
      <c r="Z1571" s="8">
        <v>0</v>
      </c>
      <c r="AA1571">
        <v>0</v>
      </c>
      <c r="AB1571" t="s">
        <v>1635</v>
      </c>
      <c r="AC1571" t="s">
        <v>1635</v>
      </c>
      <c r="AD1571" s="1" t="s">
        <v>1635</v>
      </c>
      <c r="AE1571" s="2" t="s">
        <v>1635</v>
      </c>
      <c r="AF1571" s="2" t="s">
        <v>1635</v>
      </c>
      <c r="AG1571" s="2" t="s">
        <v>1635</v>
      </c>
      <c r="AH1571">
        <v>0</v>
      </c>
      <c r="AI1571" s="3" t="s">
        <v>1635</v>
      </c>
      <c r="AJ1571" s="1" t="s">
        <v>1635</v>
      </c>
      <c r="AK1571" s="2" t="s">
        <v>1635</v>
      </c>
      <c r="AL1571" s="4" t="s">
        <v>1636</v>
      </c>
      <c r="AM1571" s="5" t="s">
        <v>1636</v>
      </c>
      <c r="AN1571" s="4">
        <v>0</v>
      </c>
      <c r="AO1571" t="s">
        <v>1635</v>
      </c>
      <c r="AP1571" s="4" t="s">
        <v>1636</v>
      </c>
      <c r="AQ1571" t="s">
        <v>1619</v>
      </c>
      <c r="AR1571" t="s">
        <v>1620</v>
      </c>
      <c r="AT1571" s="16" t="str">
        <f>_xlfn.XLOOKUP(B1571,'SWiSH Demand Forecast Sep-26'!D:D,'SWiSH Demand Forecast Sep-26'!G:G,"Not Exist")</f>
        <v>Not Exist</v>
      </c>
    </row>
    <row r="1572" spans="1:46" x14ac:dyDescent="0.3">
      <c r="A1572">
        <v>106200006</v>
      </c>
      <c r="B1572" t="s">
        <v>3402</v>
      </c>
      <c r="C1572" t="s">
        <v>136</v>
      </c>
      <c r="D1572" t="s">
        <v>1629</v>
      </c>
      <c r="E1572" t="s">
        <v>1677</v>
      </c>
      <c r="F1572" t="s">
        <v>1840</v>
      </c>
      <c r="G1572" t="s">
        <v>1632</v>
      </c>
      <c r="H1572" t="s">
        <v>1672</v>
      </c>
      <c r="I1572" t="s">
        <v>1618</v>
      </c>
      <c r="J1572" t="s">
        <v>3403</v>
      </c>
      <c r="K1572">
        <v>1.1616161599999999</v>
      </c>
      <c r="L1572">
        <v>0</v>
      </c>
      <c r="M1572" s="1">
        <v>3</v>
      </c>
      <c r="N1572">
        <v>0</v>
      </c>
      <c r="O1572">
        <v>0</v>
      </c>
      <c r="P1572">
        <v>0</v>
      </c>
      <c r="Q1572" s="1">
        <v>0</v>
      </c>
      <c r="R1572">
        <v>11.5</v>
      </c>
      <c r="S1572" s="2">
        <v>45962</v>
      </c>
      <c r="T1572" s="2">
        <v>46054</v>
      </c>
      <c r="U1572">
        <v>0</v>
      </c>
      <c r="V1572">
        <v>0</v>
      </c>
      <c r="W1572">
        <v>0</v>
      </c>
      <c r="X1572">
        <v>0</v>
      </c>
      <c r="Y1572">
        <v>0</v>
      </c>
      <c r="Z1572" s="8">
        <v>0</v>
      </c>
      <c r="AA1572">
        <v>0</v>
      </c>
      <c r="AB1572" t="s">
        <v>1635</v>
      </c>
      <c r="AC1572" t="s">
        <v>1635</v>
      </c>
      <c r="AD1572" s="1" t="s">
        <v>1635</v>
      </c>
      <c r="AE1572" s="2" t="s">
        <v>1635</v>
      </c>
      <c r="AF1572" s="2" t="s">
        <v>1635</v>
      </c>
      <c r="AG1572" s="2" t="s">
        <v>1635</v>
      </c>
      <c r="AH1572">
        <v>0</v>
      </c>
      <c r="AI1572" s="3" t="s">
        <v>1635</v>
      </c>
      <c r="AJ1572" s="1" t="s">
        <v>1635</v>
      </c>
      <c r="AK1572" s="2" t="s">
        <v>1635</v>
      </c>
      <c r="AL1572" s="4" t="s">
        <v>1636</v>
      </c>
      <c r="AM1572" s="5" t="s">
        <v>1636</v>
      </c>
      <c r="AN1572" s="4">
        <v>0</v>
      </c>
      <c r="AO1572" t="s">
        <v>1635</v>
      </c>
      <c r="AP1572" s="4" t="s">
        <v>1636</v>
      </c>
      <c r="AQ1572" t="s">
        <v>1619</v>
      </c>
      <c r="AR1572" t="s">
        <v>1620</v>
      </c>
      <c r="AT1572" s="16" t="str">
        <f>_xlfn.XLOOKUP(B1572,'SWiSH Demand Forecast Sep-26'!D:D,'SWiSH Demand Forecast Sep-26'!G:G,"Not Exist")</f>
        <v>Not Exist</v>
      </c>
    </row>
    <row r="1573" spans="1:46" x14ac:dyDescent="0.3">
      <c r="A1573">
        <v>100700010</v>
      </c>
      <c r="B1573" t="s">
        <v>3404</v>
      </c>
      <c r="C1573" t="s">
        <v>136</v>
      </c>
      <c r="D1573" t="s">
        <v>1629</v>
      </c>
      <c r="E1573" t="s">
        <v>1821</v>
      </c>
      <c r="F1573" t="s">
        <v>1671</v>
      </c>
      <c r="G1573" t="s">
        <v>1678</v>
      </c>
      <c r="H1573" t="s">
        <v>1867</v>
      </c>
      <c r="I1573" t="s">
        <v>1618</v>
      </c>
      <c r="J1573" t="s">
        <v>3405</v>
      </c>
      <c r="K1573">
        <v>1.3779699999999999</v>
      </c>
      <c r="L1573">
        <v>0</v>
      </c>
      <c r="M1573" s="1">
        <v>3</v>
      </c>
      <c r="N1573">
        <v>0</v>
      </c>
      <c r="O1573">
        <v>0</v>
      </c>
      <c r="P1573">
        <v>0</v>
      </c>
      <c r="Q1573" s="1">
        <v>0</v>
      </c>
      <c r="R1573">
        <v>1.3779699999999999</v>
      </c>
      <c r="S1573" s="2">
        <v>45969</v>
      </c>
      <c r="T1573" s="2">
        <v>45984</v>
      </c>
      <c r="U1573">
        <v>0</v>
      </c>
      <c r="V1573">
        <v>0</v>
      </c>
      <c r="W1573">
        <v>0</v>
      </c>
      <c r="X1573">
        <v>0</v>
      </c>
      <c r="Y1573">
        <v>0</v>
      </c>
      <c r="Z1573" s="8">
        <v>0</v>
      </c>
      <c r="AA1573">
        <v>0</v>
      </c>
      <c r="AB1573" t="s">
        <v>1635</v>
      </c>
      <c r="AC1573" t="s">
        <v>1635</v>
      </c>
      <c r="AD1573" s="1" t="s">
        <v>1635</v>
      </c>
      <c r="AE1573" s="2" t="s">
        <v>1635</v>
      </c>
      <c r="AF1573" s="2" t="s">
        <v>1635</v>
      </c>
      <c r="AG1573" s="2" t="s">
        <v>1635</v>
      </c>
      <c r="AH1573">
        <v>0</v>
      </c>
      <c r="AI1573" s="3" t="s">
        <v>1635</v>
      </c>
      <c r="AJ1573" s="1" t="s">
        <v>1635</v>
      </c>
      <c r="AK1573" s="2" t="s">
        <v>1635</v>
      </c>
      <c r="AL1573" s="4" t="s">
        <v>1636</v>
      </c>
      <c r="AM1573" s="5" t="s">
        <v>1636</v>
      </c>
      <c r="AN1573" s="4">
        <v>0</v>
      </c>
      <c r="AO1573" t="s">
        <v>1635</v>
      </c>
      <c r="AP1573" s="4" t="s">
        <v>1636</v>
      </c>
      <c r="AQ1573" t="s">
        <v>1619</v>
      </c>
      <c r="AR1573" t="s">
        <v>1620</v>
      </c>
      <c r="AT1573" s="16" t="str">
        <f>_xlfn.XLOOKUP(B1573,'SWiSH Demand Forecast Sep-26'!D:D,'SWiSH Demand Forecast Sep-26'!G:G,"Not Exist")</f>
        <v>Not Exist</v>
      </c>
    </row>
    <row r="1574" spans="1:46" x14ac:dyDescent="0.3">
      <c r="A1574">
        <v>102500033</v>
      </c>
      <c r="B1574" t="s">
        <v>3406</v>
      </c>
      <c r="C1574" t="s">
        <v>136</v>
      </c>
      <c r="D1574" t="s">
        <v>1629</v>
      </c>
      <c r="E1574" t="s">
        <v>1677</v>
      </c>
      <c r="F1574" t="s">
        <v>1927</v>
      </c>
      <c r="G1574" t="s">
        <v>1678</v>
      </c>
      <c r="H1574" t="s">
        <v>1928</v>
      </c>
      <c r="I1574" t="s">
        <v>1618</v>
      </c>
      <c r="J1574" t="s">
        <v>136</v>
      </c>
      <c r="K1574">
        <v>0.14000000000000001</v>
      </c>
      <c r="L1574">
        <v>0</v>
      </c>
      <c r="M1574" s="1">
        <v>3</v>
      </c>
      <c r="N1574">
        <v>0</v>
      </c>
      <c r="O1574">
        <v>0</v>
      </c>
      <c r="P1574">
        <v>0</v>
      </c>
      <c r="Q1574" s="1">
        <v>0</v>
      </c>
      <c r="R1574">
        <v>0.14000000000000001</v>
      </c>
      <c r="S1574" s="2">
        <v>45990</v>
      </c>
      <c r="T1574" s="2">
        <v>46108</v>
      </c>
      <c r="U1574">
        <v>0</v>
      </c>
      <c r="V1574">
        <v>0</v>
      </c>
      <c r="W1574">
        <v>0</v>
      </c>
      <c r="X1574">
        <v>0</v>
      </c>
      <c r="Y1574">
        <v>0</v>
      </c>
      <c r="Z1574" s="8">
        <v>0</v>
      </c>
      <c r="AA1574">
        <v>0</v>
      </c>
      <c r="AB1574" t="s">
        <v>1635</v>
      </c>
      <c r="AC1574" t="s">
        <v>1635</v>
      </c>
      <c r="AD1574" s="1" t="s">
        <v>1635</v>
      </c>
      <c r="AE1574" s="2" t="s">
        <v>1635</v>
      </c>
      <c r="AF1574" s="2" t="s">
        <v>1635</v>
      </c>
      <c r="AG1574" s="2" t="s">
        <v>1635</v>
      </c>
      <c r="AH1574">
        <v>0</v>
      </c>
      <c r="AI1574" s="3" t="s">
        <v>1635</v>
      </c>
      <c r="AJ1574" s="1" t="s">
        <v>1635</v>
      </c>
      <c r="AK1574" s="2" t="s">
        <v>1635</v>
      </c>
      <c r="AL1574" s="4" t="s">
        <v>1636</v>
      </c>
      <c r="AM1574" s="5" t="s">
        <v>1636</v>
      </c>
      <c r="AN1574" s="4">
        <v>0</v>
      </c>
      <c r="AO1574" t="s">
        <v>1635</v>
      </c>
      <c r="AP1574" s="4" t="s">
        <v>1636</v>
      </c>
      <c r="AQ1574" t="s">
        <v>1619</v>
      </c>
      <c r="AR1574" t="s">
        <v>1620</v>
      </c>
      <c r="AT1574" s="16" t="str">
        <f>_xlfn.XLOOKUP(B1574,'SWiSH Demand Forecast Sep-26'!D:D,'SWiSH Demand Forecast Sep-26'!G:G,"Not Exist")</f>
        <v>Not Exist</v>
      </c>
    </row>
    <row r="1575" spans="1:46" x14ac:dyDescent="0.3">
      <c r="A1575">
        <v>103700068</v>
      </c>
      <c r="B1575" t="s">
        <v>3407</v>
      </c>
      <c r="C1575" t="s">
        <v>136</v>
      </c>
      <c r="D1575" t="s">
        <v>1789</v>
      </c>
      <c r="E1575" t="s">
        <v>1677</v>
      </c>
      <c r="F1575" t="s">
        <v>1615</v>
      </c>
      <c r="G1575" t="e">
        <v>#N/A</v>
      </c>
      <c r="H1575" t="s">
        <v>1617</v>
      </c>
      <c r="I1575" t="s">
        <v>1618</v>
      </c>
      <c r="J1575" t="s">
        <v>136</v>
      </c>
      <c r="K1575" t="e">
        <v>#N/A</v>
      </c>
      <c r="L1575" t="e">
        <v>#N/A</v>
      </c>
      <c r="M1575" s="1">
        <v>3</v>
      </c>
      <c r="N1575">
        <v>0</v>
      </c>
      <c r="O1575">
        <v>0</v>
      </c>
      <c r="P1575">
        <v>0</v>
      </c>
      <c r="Q1575" s="1">
        <v>0</v>
      </c>
      <c r="R1575">
        <v>2.25</v>
      </c>
      <c r="S1575" s="2">
        <v>45990</v>
      </c>
      <c r="T1575" s="2">
        <v>46053</v>
      </c>
      <c r="U1575">
        <v>0</v>
      </c>
      <c r="V1575">
        <v>0</v>
      </c>
      <c r="W1575">
        <v>0</v>
      </c>
      <c r="X1575">
        <v>0</v>
      </c>
      <c r="Y1575">
        <v>0</v>
      </c>
      <c r="Z1575" s="8">
        <v>0</v>
      </c>
      <c r="AA1575">
        <v>0</v>
      </c>
      <c r="AB1575" t="s">
        <v>1635</v>
      </c>
      <c r="AC1575" t="s">
        <v>1635</v>
      </c>
      <c r="AD1575" s="1" t="s">
        <v>1635</v>
      </c>
      <c r="AE1575" s="2" t="s">
        <v>1635</v>
      </c>
      <c r="AF1575" s="2" t="s">
        <v>1635</v>
      </c>
      <c r="AG1575" s="2" t="s">
        <v>1635</v>
      </c>
      <c r="AH1575">
        <v>0</v>
      </c>
      <c r="AI1575" s="3" t="s">
        <v>1635</v>
      </c>
      <c r="AJ1575" s="1" t="s">
        <v>1635</v>
      </c>
      <c r="AK1575" s="2" t="s">
        <v>1635</v>
      </c>
      <c r="AL1575" s="4" t="s">
        <v>1658</v>
      </c>
      <c r="AM1575" s="5" t="s">
        <v>1658</v>
      </c>
      <c r="AN1575" s="4">
        <v>0</v>
      </c>
      <c r="AO1575" t="s">
        <v>1635</v>
      </c>
      <c r="AP1575" s="4" t="s">
        <v>1658</v>
      </c>
      <c r="AQ1575" t="s">
        <v>1619</v>
      </c>
      <c r="AR1575" t="s">
        <v>1855</v>
      </c>
      <c r="AT1575" s="16" t="str">
        <f>_xlfn.XLOOKUP(B1575,'SWiSH Demand Forecast Sep-26'!D:D,'SWiSH Demand Forecast Sep-26'!G:G,"Not Exist")</f>
        <v>Not Exist</v>
      </c>
    </row>
    <row r="1576" spans="1:46" x14ac:dyDescent="0.3">
      <c r="A1576">
        <v>101700020</v>
      </c>
      <c r="B1576" t="s">
        <v>3408</v>
      </c>
      <c r="C1576" t="s">
        <v>240</v>
      </c>
      <c r="D1576" t="s">
        <v>1629</v>
      </c>
      <c r="E1576" t="s">
        <v>1732</v>
      </c>
      <c r="F1576" t="s">
        <v>1833</v>
      </c>
      <c r="G1576" t="s">
        <v>1690</v>
      </c>
      <c r="H1576" t="s">
        <v>2221</v>
      </c>
      <c r="I1576" t="s">
        <v>1626</v>
      </c>
      <c r="J1576" t="e">
        <v>#N/A</v>
      </c>
      <c r="K1576">
        <v>1.3333382899999999</v>
      </c>
      <c r="L1576">
        <v>0</v>
      </c>
      <c r="M1576" s="1">
        <v>3</v>
      </c>
      <c r="N1576">
        <v>0</v>
      </c>
      <c r="O1576">
        <v>0</v>
      </c>
      <c r="P1576">
        <v>0</v>
      </c>
      <c r="Q1576" s="1">
        <v>0</v>
      </c>
      <c r="R1576">
        <v>16</v>
      </c>
      <c r="S1576" s="2">
        <v>44363</v>
      </c>
      <c r="T1576" s="2">
        <v>46053</v>
      </c>
      <c r="U1576">
        <v>0</v>
      </c>
      <c r="V1576">
        <v>0</v>
      </c>
      <c r="W1576">
        <v>0</v>
      </c>
      <c r="X1576">
        <v>0</v>
      </c>
      <c r="Y1576">
        <v>0</v>
      </c>
      <c r="Z1576" s="8">
        <v>0</v>
      </c>
      <c r="AA1576">
        <v>0</v>
      </c>
      <c r="AB1576" t="s">
        <v>1635</v>
      </c>
      <c r="AC1576" t="s">
        <v>1635</v>
      </c>
      <c r="AD1576" s="1" t="s">
        <v>1635</v>
      </c>
      <c r="AE1576" s="2" t="s">
        <v>1635</v>
      </c>
      <c r="AF1576" s="2" t="s">
        <v>1635</v>
      </c>
      <c r="AG1576" s="2" t="s">
        <v>1635</v>
      </c>
      <c r="AH1576">
        <v>0</v>
      </c>
      <c r="AI1576" s="3" t="s">
        <v>1635</v>
      </c>
      <c r="AJ1576" s="1" t="s">
        <v>1635</v>
      </c>
      <c r="AK1576" s="2" t="s">
        <v>1635</v>
      </c>
      <c r="AL1576" s="4" t="s">
        <v>1636</v>
      </c>
      <c r="AM1576" s="5" t="s">
        <v>1636</v>
      </c>
      <c r="AN1576" s="4">
        <v>0</v>
      </c>
      <c r="AO1576" t="s">
        <v>1635</v>
      </c>
      <c r="AP1576" s="4" t="s">
        <v>1636</v>
      </c>
      <c r="AQ1576" t="s">
        <v>1619</v>
      </c>
      <c r="AR1576" t="s">
        <v>1620</v>
      </c>
      <c r="AT1576" s="16" t="str">
        <f>_xlfn.XLOOKUP(B1576,'SWiSH Demand Forecast Sep-26'!D:D,'SWiSH Demand Forecast Sep-26'!G:G,"Not Exist")</f>
        <v>Not Exist</v>
      </c>
    </row>
    <row r="1577" spans="1:46" x14ac:dyDescent="0.3">
      <c r="A1577">
        <v>106300078</v>
      </c>
      <c r="B1577" t="s">
        <v>3409</v>
      </c>
      <c r="C1577" t="s">
        <v>136</v>
      </c>
      <c r="D1577" t="s">
        <v>1629</v>
      </c>
      <c r="E1577" t="s">
        <v>3410</v>
      </c>
      <c r="F1577" t="s">
        <v>1927</v>
      </c>
      <c r="G1577" t="s">
        <v>1681</v>
      </c>
      <c r="H1577" t="s">
        <v>1860</v>
      </c>
      <c r="I1577" t="s">
        <v>1618</v>
      </c>
      <c r="J1577" t="s">
        <v>2468</v>
      </c>
      <c r="K1577">
        <v>0.48749999999999999</v>
      </c>
      <c r="L1577">
        <v>0</v>
      </c>
      <c r="M1577" s="1">
        <v>3</v>
      </c>
      <c r="N1577">
        <v>0</v>
      </c>
      <c r="O1577">
        <v>0</v>
      </c>
      <c r="P1577">
        <v>0</v>
      </c>
      <c r="Q1577" s="1">
        <v>0</v>
      </c>
      <c r="R1577">
        <v>8.75</v>
      </c>
      <c r="S1577" s="2">
        <v>45773</v>
      </c>
      <c r="T1577" s="2">
        <v>46046</v>
      </c>
      <c r="U1577">
        <v>0</v>
      </c>
      <c r="V1577">
        <v>0</v>
      </c>
      <c r="W1577">
        <v>0</v>
      </c>
      <c r="X1577">
        <v>0</v>
      </c>
      <c r="Y1577">
        <v>0</v>
      </c>
      <c r="Z1577" s="8">
        <v>0</v>
      </c>
      <c r="AA1577">
        <v>0</v>
      </c>
      <c r="AB1577" t="s">
        <v>1635</v>
      </c>
      <c r="AC1577" t="s">
        <v>1635</v>
      </c>
      <c r="AD1577" s="1" t="s">
        <v>1635</v>
      </c>
      <c r="AE1577" s="2" t="s">
        <v>1635</v>
      </c>
      <c r="AF1577" s="2" t="s">
        <v>1635</v>
      </c>
      <c r="AG1577" s="2" t="s">
        <v>1635</v>
      </c>
      <c r="AH1577">
        <v>0</v>
      </c>
      <c r="AI1577" s="3" t="s">
        <v>1635</v>
      </c>
      <c r="AJ1577" s="1" t="s">
        <v>1635</v>
      </c>
      <c r="AK1577" s="2" t="s">
        <v>1635</v>
      </c>
      <c r="AL1577" s="4" t="s">
        <v>1636</v>
      </c>
      <c r="AM1577" s="5" t="s">
        <v>1636</v>
      </c>
      <c r="AN1577" s="4">
        <v>0</v>
      </c>
      <c r="AO1577" t="s">
        <v>1635</v>
      </c>
      <c r="AP1577" s="4" t="s">
        <v>1636</v>
      </c>
      <c r="AQ1577" t="s">
        <v>1619</v>
      </c>
      <c r="AR1577" t="s">
        <v>1620</v>
      </c>
      <c r="AT1577" s="16" t="str">
        <f>_xlfn.XLOOKUP(B1577,'SWiSH Demand Forecast Sep-26'!D:D,'SWiSH Demand Forecast Sep-26'!G:G,"Not Exist")</f>
        <v>Not Exist</v>
      </c>
    </row>
    <row r="1578" spans="1:46" x14ac:dyDescent="0.3">
      <c r="A1578">
        <v>105000008</v>
      </c>
      <c r="B1578" t="s">
        <v>3411</v>
      </c>
      <c r="C1578" t="s">
        <v>240</v>
      </c>
      <c r="D1578" t="s">
        <v>1629</v>
      </c>
      <c r="E1578" t="s">
        <v>3412</v>
      </c>
      <c r="F1578" t="s">
        <v>1671</v>
      </c>
      <c r="G1578" t="s">
        <v>1678</v>
      </c>
      <c r="H1578" t="s">
        <v>2002</v>
      </c>
      <c r="I1578" t="s">
        <v>1618</v>
      </c>
      <c r="J1578" t="s">
        <v>3413</v>
      </c>
      <c r="K1578">
        <v>0.66120906999999995</v>
      </c>
      <c r="L1578">
        <v>0</v>
      </c>
      <c r="M1578" s="1">
        <v>3</v>
      </c>
      <c r="N1578">
        <v>0</v>
      </c>
      <c r="O1578">
        <v>0</v>
      </c>
      <c r="P1578">
        <v>0</v>
      </c>
      <c r="Q1578" s="1">
        <v>0</v>
      </c>
      <c r="R1578">
        <v>0.62343000000000004</v>
      </c>
      <c r="S1578" s="2">
        <v>45873</v>
      </c>
      <c r="T1578" s="2">
        <v>46065</v>
      </c>
      <c r="U1578">
        <v>0</v>
      </c>
      <c r="V1578">
        <v>0</v>
      </c>
      <c r="W1578">
        <v>0</v>
      </c>
      <c r="X1578">
        <v>0</v>
      </c>
      <c r="Y1578">
        <v>0</v>
      </c>
      <c r="Z1578" s="8">
        <v>0</v>
      </c>
      <c r="AA1578">
        <v>0</v>
      </c>
      <c r="AB1578" t="s">
        <v>1635</v>
      </c>
      <c r="AC1578" t="s">
        <v>1635</v>
      </c>
      <c r="AD1578" s="1" t="s">
        <v>1635</v>
      </c>
      <c r="AE1578" s="2" t="s">
        <v>1635</v>
      </c>
      <c r="AF1578" s="2" t="s">
        <v>1635</v>
      </c>
      <c r="AG1578" s="2" t="s">
        <v>1635</v>
      </c>
      <c r="AH1578">
        <v>0</v>
      </c>
      <c r="AI1578" s="3" t="s">
        <v>1635</v>
      </c>
      <c r="AJ1578" s="1" t="s">
        <v>1635</v>
      </c>
      <c r="AK1578" s="2" t="s">
        <v>1635</v>
      </c>
      <c r="AL1578" s="4" t="s">
        <v>1636</v>
      </c>
      <c r="AM1578" s="5" t="s">
        <v>1636</v>
      </c>
      <c r="AN1578" s="4">
        <v>0</v>
      </c>
      <c r="AO1578" t="s">
        <v>1635</v>
      </c>
      <c r="AP1578" s="4" t="s">
        <v>1636</v>
      </c>
      <c r="AQ1578" t="s">
        <v>1619</v>
      </c>
      <c r="AR1578" t="s">
        <v>1620</v>
      </c>
      <c r="AT1578" s="16" t="str">
        <f>_xlfn.XLOOKUP(B1578,'SWiSH Demand Forecast Sep-26'!D:D,'SWiSH Demand Forecast Sep-26'!G:G,"Not Exist")</f>
        <v>Not Exist</v>
      </c>
    </row>
    <row r="1579" spans="1:46" x14ac:dyDescent="0.3">
      <c r="A1579">
        <v>103700038</v>
      </c>
      <c r="B1579" t="s">
        <v>3414</v>
      </c>
      <c r="C1579" t="s">
        <v>136</v>
      </c>
      <c r="D1579" t="s">
        <v>1789</v>
      </c>
      <c r="E1579" t="s">
        <v>1677</v>
      </c>
      <c r="F1579" t="s">
        <v>1615</v>
      </c>
      <c r="G1579" t="e">
        <v>#N/A</v>
      </c>
      <c r="H1579" t="s">
        <v>1617</v>
      </c>
      <c r="I1579" t="s">
        <v>1618</v>
      </c>
      <c r="J1579" t="s">
        <v>136</v>
      </c>
      <c r="K1579" t="e">
        <v>#N/A</v>
      </c>
      <c r="L1579" t="e">
        <v>#N/A</v>
      </c>
      <c r="M1579" s="1">
        <v>3</v>
      </c>
      <c r="N1579">
        <v>0</v>
      </c>
      <c r="O1579">
        <v>0</v>
      </c>
      <c r="P1579">
        <v>0</v>
      </c>
      <c r="Q1579" s="1">
        <v>0</v>
      </c>
      <c r="R1579">
        <v>1.6</v>
      </c>
      <c r="S1579" s="2">
        <v>45990</v>
      </c>
      <c r="T1579" s="2">
        <v>46053</v>
      </c>
      <c r="U1579">
        <v>0</v>
      </c>
      <c r="V1579">
        <v>0</v>
      </c>
      <c r="W1579">
        <v>0</v>
      </c>
      <c r="X1579">
        <v>0</v>
      </c>
      <c r="Y1579">
        <v>0</v>
      </c>
      <c r="Z1579" s="8">
        <v>0</v>
      </c>
      <c r="AA1579">
        <v>0</v>
      </c>
      <c r="AB1579" t="s">
        <v>1635</v>
      </c>
      <c r="AC1579" t="s">
        <v>1635</v>
      </c>
      <c r="AD1579" s="1" t="s">
        <v>1635</v>
      </c>
      <c r="AE1579" s="2" t="s">
        <v>1635</v>
      </c>
      <c r="AF1579" s="2" t="s">
        <v>1635</v>
      </c>
      <c r="AG1579" s="2" t="s">
        <v>1635</v>
      </c>
      <c r="AH1579">
        <v>0</v>
      </c>
      <c r="AI1579" s="3" t="s">
        <v>1635</v>
      </c>
      <c r="AJ1579" s="1" t="s">
        <v>1635</v>
      </c>
      <c r="AK1579" s="2" t="s">
        <v>1635</v>
      </c>
      <c r="AL1579" s="4" t="s">
        <v>1658</v>
      </c>
      <c r="AM1579" s="5" t="s">
        <v>1658</v>
      </c>
      <c r="AN1579" s="4">
        <v>0</v>
      </c>
      <c r="AO1579" t="s">
        <v>1635</v>
      </c>
      <c r="AP1579" s="4" t="s">
        <v>1658</v>
      </c>
      <c r="AQ1579" t="s">
        <v>1619</v>
      </c>
      <c r="AR1579" t="s">
        <v>1855</v>
      </c>
      <c r="AT1579" s="16" t="str">
        <f>_xlfn.XLOOKUP(B1579,'SWiSH Demand Forecast Sep-26'!D:D,'SWiSH Demand Forecast Sep-26'!G:G,"Not Exist")</f>
        <v>Not Exist</v>
      </c>
    </row>
    <row r="1580" spans="1:46" x14ac:dyDescent="0.3">
      <c r="A1580">
        <v>100100137</v>
      </c>
      <c r="B1580" t="s">
        <v>3415</v>
      </c>
      <c r="C1580" t="s">
        <v>136</v>
      </c>
      <c r="D1580" t="s">
        <v>1629</v>
      </c>
      <c r="E1580" t="s">
        <v>1995</v>
      </c>
      <c r="F1580" t="s">
        <v>1840</v>
      </c>
      <c r="G1580" t="s">
        <v>1632</v>
      </c>
      <c r="H1580" t="s">
        <v>1877</v>
      </c>
      <c r="I1580" t="s">
        <v>1618</v>
      </c>
      <c r="J1580" t="e">
        <v>#N/A</v>
      </c>
      <c r="K1580">
        <v>0.4325</v>
      </c>
      <c r="L1580">
        <v>0</v>
      </c>
      <c r="M1580" s="1">
        <v>3</v>
      </c>
      <c r="N1580">
        <v>0</v>
      </c>
      <c r="O1580">
        <v>0</v>
      </c>
      <c r="P1580">
        <v>0</v>
      </c>
      <c r="Q1580" s="1">
        <v>0</v>
      </c>
      <c r="R1580">
        <v>4.4000000000000004</v>
      </c>
      <c r="S1580" s="2">
        <v>45284</v>
      </c>
      <c r="T1580" s="2">
        <v>46033</v>
      </c>
      <c r="U1580">
        <v>0</v>
      </c>
      <c r="V1580">
        <v>0</v>
      </c>
      <c r="W1580">
        <v>0</v>
      </c>
      <c r="X1580">
        <v>0</v>
      </c>
      <c r="Y1580">
        <v>0</v>
      </c>
      <c r="Z1580" s="8">
        <v>0</v>
      </c>
      <c r="AA1580">
        <v>0</v>
      </c>
      <c r="AB1580" t="s">
        <v>1635</v>
      </c>
      <c r="AC1580" t="s">
        <v>1635</v>
      </c>
      <c r="AD1580" s="1" t="s">
        <v>1635</v>
      </c>
      <c r="AE1580" s="2" t="s">
        <v>1635</v>
      </c>
      <c r="AF1580" s="2" t="s">
        <v>1635</v>
      </c>
      <c r="AG1580" s="2" t="s">
        <v>1635</v>
      </c>
      <c r="AH1580">
        <v>0</v>
      </c>
      <c r="AI1580" s="3" t="s">
        <v>1635</v>
      </c>
      <c r="AJ1580" s="1" t="s">
        <v>1635</v>
      </c>
      <c r="AK1580" s="2" t="s">
        <v>1635</v>
      </c>
      <c r="AL1580" s="4" t="s">
        <v>1636</v>
      </c>
      <c r="AM1580" s="5" t="s">
        <v>1636</v>
      </c>
      <c r="AN1580" s="4">
        <v>0</v>
      </c>
      <c r="AO1580" t="s">
        <v>1635</v>
      </c>
      <c r="AP1580" s="4" t="s">
        <v>1636</v>
      </c>
      <c r="AQ1580" t="s">
        <v>1619</v>
      </c>
      <c r="AR1580" t="s">
        <v>1620</v>
      </c>
      <c r="AT1580" s="16" t="str">
        <f>_xlfn.XLOOKUP(B1580,'SWiSH Demand Forecast Sep-26'!D:D,'SWiSH Demand Forecast Sep-26'!G:G,"Not Exist")</f>
        <v>Not Exist</v>
      </c>
    </row>
    <row r="1581" spans="1:46" x14ac:dyDescent="0.3">
      <c r="A1581">
        <v>106200079</v>
      </c>
      <c r="B1581" t="s">
        <v>3416</v>
      </c>
      <c r="C1581" t="s">
        <v>240</v>
      </c>
      <c r="D1581" t="s">
        <v>1629</v>
      </c>
      <c r="E1581" t="s">
        <v>1677</v>
      </c>
      <c r="F1581" t="s">
        <v>1671</v>
      </c>
      <c r="G1581" t="s">
        <v>1632</v>
      </c>
      <c r="H1581" t="s">
        <v>1672</v>
      </c>
      <c r="I1581" t="s">
        <v>1618</v>
      </c>
      <c r="J1581" t="s">
        <v>240</v>
      </c>
      <c r="K1581">
        <v>0.6613542</v>
      </c>
      <c r="L1581">
        <v>0</v>
      </c>
      <c r="M1581" s="1">
        <v>3</v>
      </c>
      <c r="N1581">
        <v>0</v>
      </c>
      <c r="O1581">
        <v>0</v>
      </c>
      <c r="P1581">
        <v>0</v>
      </c>
      <c r="Q1581" s="1">
        <v>0</v>
      </c>
      <c r="R1581">
        <v>10</v>
      </c>
      <c r="S1581" s="2">
        <v>45873</v>
      </c>
      <c r="T1581" s="2">
        <v>46054</v>
      </c>
      <c r="U1581">
        <v>0</v>
      </c>
      <c r="V1581">
        <v>0</v>
      </c>
      <c r="W1581">
        <v>0</v>
      </c>
      <c r="X1581">
        <v>0</v>
      </c>
      <c r="Y1581">
        <v>0</v>
      </c>
      <c r="Z1581" s="8">
        <v>0</v>
      </c>
      <c r="AA1581">
        <v>0</v>
      </c>
      <c r="AB1581" t="s">
        <v>1635</v>
      </c>
      <c r="AC1581" t="s">
        <v>1635</v>
      </c>
      <c r="AD1581" s="1" t="s">
        <v>1635</v>
      </c>
      <c r="AE1581" s="2" t="s">
        <v>1635</v>
      </c>
      <c r="AF1581" s="2" t="s">
        <v>1635</v>
      </c>
      <c r="AG1581" s="2" t="s">
        <v>1635</v>
      </c>
      <c r="AH1581">
        <v>0</v>
      </c>
      <c r="AI1581" s="3" t="s">
        <v>1635</v>
      </c>
      <c r="AJ1581" s="1" t="s">
        <v>1635</v>
      </c>
      <c r="AK1581" s="2" t="s">
        <v>1635</v>
      </c>
      <c r="AL1581" s="4" t="s">
        <v>1636</v>
      </c>
      <c r="AM1581" s="5" t="s">
        <v>1636</v>
      </c>
      <c r="AN1581" s="4">
        <v>0</v>
      </c>
      <c r="AO1581" t="s">
        <v>1635</v>
      </c>
      <c r="AP1581" s="4" t="s">
        <v>1636</v>
      </c>
      <c r="AQ1581" t="s">
        <v>1619</v>
      </c>
      <c r="AR1581" t="s">
        <v>1620</v>
      </c>
      <c r="AT1581" s="16" t="str">
        <f>_xlfn.XLOOKUP(B1581,'SWiSH Demand Forecast Sep-26'!D:D,'SWiSH Demand Forecast Sep-26'!G:G,"Not Exist")</f>
        <v>Not Exist</v>
      </c>
    </row>
    <row r="1582" spans="1:46" x14ac:dyDescent="0.3">
      <c r="A1582">
        <v>103700093</v>
      </c>
      <c r="B1582" t="s">
        <v>3417</v>
      </c>
      <c r="C1582" t="s">
        <v>136</v>
      </c>
      <c r="D1582" t="s">
        <v>1789</v>
      </c>
      <c r="E1582" t="s">
        <v>1677</v>
      </c>
      <c r="F1582" t="s">
        <v>1615</v>
      </c>
      <c r="G1582" t="e">
        <v>#N/A</v>
      </c>
      <c r="H1582" t="s">
        <v>1617</v>
      </c>
      <c r="I1582" t="s">
        <v>1618</v>
      </c>
      <c r="J1582" t="s">
        <v>136</v>
      </c>
      <c r="K1582" t="e">
        <v>#N/A</v>
      </c>
      <c r="L1582" t="e">
        <v>#N/A</v>
      </c>
      <c r="M1582" s="1">
        <v>3</v>
      </c>
      <c r="N1582">
        <v>0</v>
      </c>
      <c r="O1582">
        <v>0</v>
      </c>
      <c r="P1582">
        <v>0</v>
      </c>
      <c r="Q1582" s="1">
        <v>0</v>
      </c>
      <c r="R1582">
        <v>2.75</v>
      </c>
      <c r="S1582" s="2">
        <v>45976</v>
      </c>
      <c r="T1582" s="2">
        <v>46053</v>
      </c>
      <c r="U1582">
        <v>0</v>
      </c>
      <c r="V1582">
        <v>0</v>
      </c>
      <c r="W1582">
        <v>0</v>
      </c>
      <c r="X1582">
        <v>0</v>
      </c>
      <c r="Y1582">
        <v>0</v>
      </c>
      <c r="Z1582" s="8">
        <v>0</v>
      </c>
      <c r="AA1582">
        <v>0</v>
      </c>
      <c r="AB1582" t="s">
        <v>1635</v>
      </c>
      <c r="AC1582" t="s">
        <v>1635</v>
      </c>
      <c r="AD1582" s="1" t="s">
        <v>1635</v>
      </c>
      <c r="AE1582" s="2" t="s">
        <v>1635</v>
      </c>
      <c r="AF1582" s="2" t="s">
        <v>1635</v>
      </c>
      <c r="AG1582" s="2" t="s">
        <v>1635</v>
      </c>
      <c r="AH1582">
        <v>0</v>
      </c>
      <c r="AI1582" s="3" t="s">
        <v>1635</v>
      </c>
      <c r="AJ1582" s="1" t="s">
        <v>1635</v>
      </c>
      <c r="AK1582" s="2" t="s">
        <v>1635</v>
      </c>
      <c r="AL1582" s="4" t="s">
        <v>1658</v>
      </c>
      <c r="AM1582" s="5" t="s">
        <v>1658</v>
      </c>
      <c r="AN1582" s="4">
        <v>0</v>
      </c>
      <c r="AO1582" t="s">
        <v>1635</v>
      </c>
      <c r="AP1582" s="4" t="s">
        <v>1658</v>
      </c>
      <c r="AQ1582" t="s">
        <v>1619</v>
      </c>
      <c r="AR1582" t="s">
        <v>1855</v>
      </c>
      <c r="AT1582" s="16" t="str">
        <f>_xlfn.XLOOKUP(B1582,'SWiSH Demand Forecast Sep-26'!D:D,'SWiSH Demand Forecast Sep-26'!G:G,"Not Exist")</f>
        <v>Not Exist</v>
      </c>
    </row>
    <row r="1583" spans="1:46" x14ac:dyDescent="0.3">
      <c r="A1583">
        <v>102500000</v>
      </c>
      <c r="B1583" t="s">
        <v>3418</v>
      </c>
      <c r="C1583" t="s">
        <v>136</v>
      </c>
      <c r="D1583" t="s">
        <v>1629</v>
      </c>
      <c r="E1583" t="s">
        <v>1732</v>
      </c>
      <c r="F1583" t="s">
        <v>1927</v>
      </c>
      <c r="G1583" t="s">
        <v>1690</v>
      </c>
      <c r="H1583" t="s">
        <v>1928</v>
      </c>
      <c r="I1583" t="s">
        <v>1618</v>
      </c>
      <c r="J1583" t="s">
        <v>136</v>
      </c>
      <c r="K1583">
        <v>2.88462</v>
      </c>
      <c r="L1583">
        <v>0</v>
      </c>
      <c r="M1583" s="1">
        <v>3</v>
      </c>
      <c r="N1583">
        <v>0</v>
      </c>
      <c r="O1583">
        <v>0</v>
      </c>
      <c r="P1583">
        <v>0</v>
      </c>
      <c r="Q1583" s="1">
        <v>0</v>
      </c>
      <c r="R1583">
        <v>2.88462</v>
      </c>
      <c r="S1583" s="2">
        <v>45774</v>
      </c>
      <c r="T1583" s="2">
        <v>45850</v>
      </c>
      <c r="U1583">
        <v>0</v>
      </c>
      <c r="V1583">
        <v>0</v>
      </c>
      <c r="W1583">
        <v>0</v>
      </c>
      <c r="X1583">
        <v>0</v>
      </c>
      <c r="Y1583">
        <v>0</v>
      </c>
      <c r="Z1583" s="8">
        <v>0</v>
      </c>
      <c r="AA1583">
        <v>0</v>
      </c>
      <c r="AB1583" t="s">
        <v>1635</v>
      </c>
      <c r="AC1583" t="s">
        <v>1635</v>
      </c>
      <c r="AD1583" s="1" t="s">
        <v>1635</v>
      </c>
      <c r="AE1583" s="2" t="s">
        <v>1635</v>
      </c>
      <c r="AF1583" s="2" t="s">
        <v>1635</v>
      </c>
      <c r="AG1583" s="2" t="s">
        <v>1635</v>
      </c>
      <c r="AH1583">
        <v>0</v>
      </c>
      <c r="AI1583" s="3" t="s">
        <v>1635</v>
      </c>
      <c r="AJ1583" s="1" t="s">
        <v>1635</v>
      </c>
      <c r="AK1583" s="2" t="s">
        <v>1635</v>
      </c>
      <c r="AL1583" s="4" t="s">
        <v>1636</v>
      </c>
      <c r="AM1583" s="5" t="s">
        <v>1636</v>
      </c>
      <c r="AN1583" s="4">
        <v>0</v>
      </c>
      <c r="AO1583" t="s">
        <v>1635</v>
      </c>
      <c r="AP1583" s="4" t="s">
        <v>1636</v>
      </c>
      <c r="AQ1583" t="s">
        <v>1619</v>
      </c>
      <c r="AR1583" t="s">
        <v>1620</v>
      </c>
      <c r="AT1583" s="16" t="str">
        <f>_xlfn.XLOOKUP(B1583,'SWiSH Demand Forecast Sep-26'!D:D,'SWiSH Demand Forecast Sep-26'!G:G,"Not Exist")</f>
        <v>Not Exist</v>
      </c>
    </row>
    <row r="1584" spans="1:46" x14ac:dyDescent="0.3">
      <c r="A1584">
        <v>100900012</v>
      </c>
      <c r="B1584" t="s">
        <v>3419</v>
      </c>
      <c r="C1584" t="s">
        <v>10</v>
      </c>
      <c r="D1584" t="s">
        <v>1629</v>
      </c>
      <c r="E1584" t="s">
        <v>1685</v>
      </c>
      <c r="F1584" t="s">
        <v>1639</v>
      </c>
      <c r="G1584" t="s">
        <v>1690</v>
      </c>
      <c r="H1584" t="s">
        <v>1640</v>
      </c>
      <c r="I1584" t="s">
        <v>1618</v>
      </c>
      <c r="J1584" t="s">
        <v>1823</v>
      </c>
      <c r="K1584">
        <v>0.7</v>
      </c>
      <c r="L1584">
        <v>0</v>
      </c>
      <c r="M1584" s="1">
        <v>3</v>
      </c>
      <c r="N1584">
        <v>0</v>
      </c>
      <c r="O1584">
        <v>0</v>
      </c>
      <c r="P1584">
        <v>0</v>
      </c>
      <c r="Q1584" s="1">
        <v>0</v>
      </c>
      <c r="R1584">
        <v>8.4</v>
      </c>
      <c r="S1584" s="2">
        <v>45939</v>
      </c>
      <c r="T1584" s="2">
        <v>46012</v>
      </c>
      <c r="U1584">
        <v>0</v>
      </c>
      <c r="V1584">
        <v>0</v>
      </c>
      <c r="W1584">
        <v>0</v>
      </c>
      <c r="X1584">
        <v>0</v>
      </c>
      <c r="Y1584">
        <v>0</v>
      </c>
      <c r="Z1584" s="8">
        <v>0</v>
      </c>
      <c r="AA1584">
        <v>0</v>
      </c>
      <c r="AB1584" t="s">
        <v>1635</v>
      </c>
      <c r="AC1584" t="s">
        <v>1635</v>
      </c>
      <c r="AD1584" s="1" t="s">
        <v>1635</v>
      </c>
      <c r="AE1584" s="2" t="s">
        <v>1635</v>
      </c>
      <c r="AF1584" s="2" t="s">
        <v>1635</v>
      </c>
      <c r="AG1584" s="2" t="s">
        <v>1635</v>
      </c>
      <c r="AH1584">
        <v>0</v>
      </c>
      <c r="AI1584" s="3" t="s">
        <v>1635</v>
      </c>
      <c r="AJ1584" s="1" t="s">
        <v>1635</v>
      </c>
      <c r="AK1584" s="2" t="s">
        <v>1635</v>
      </c>
      <c r="AL1584" s="4" t="s">
        <v>1636</v>
      </c>
      <c r="AM1584" s="5" t="s">
        <v>1636</v>
      </c>
      <c r="AN1584" s="4">
        <v>0</v>
      </c>
      <c r="AO1584" t="s">
        <v>1635</v>
      </c>
      <c r="AP1584" s="4" t="s">
        <v>1636</v>
      </c>
      <c r="AQ1584" t="s">
        <v>1619</v>
      </c>
      <c r="AR1584" t="s">
        <v>3420</v>
      </c>
      <c r="AT1584" s="16" t="str">
        <f>_xlfn.XLOOKUP(B1584,'SWiSH Demand Forecast Sep-26'!D:D,'SWiSH Demand Forecast Sep-26'!G:G,"Not Exist")</f>
        <v>Not Exist</v>
      </c>
    </row>
    <row r="1585" spans="1:46" x14ac:dyDescent="0.3">
      <c r="A1585">
        <v>100800011</v>
      </c>
      <c r="B1585" t="s">
        <v>3421</v>
      </c>
      <c r="C1585" t="s">
        <v>10</v>
      </c>
      <c r="D1585" t="s">
        <v>1629</v>
      </c>
      <c r="E1585" t="s">
        <v>2201</v>
      </c>
      <c r="F1585" t="s">
        <v>1639</v>
      </c>
      <c r="G1585" t="s">
        <v>1678</v>
      </c>
      <c r="H1585" t="s">
        <v>1914</v>
      </c>
      <c r="I1585" t="s">
        <v>1618</v>
      </c>
      <c r="J1585" t="s">
        <v>10</v>
      </c>
      <c r="K1585">
        <v>3.125E-2</v>
      </c>
      <c r="L1585">
        <v>0</v>
      </c>
      <c r="M1585" s="1">
        <v>3</v>
      </c>
      <c r="N1585">
        <v>0</v>
      </c>
      <c r="O1585">
        <v>0</v>
      </c>
      <c r="P1585">
        <v>0</v>
      </c>
      <c r="Q1585" s="1">
        <v>0</v>
      </c>
      <c r="R1585">
        <v>0.75</v>
      </c>
      <c r="S1585" s="2">
        <v>45917</v>
      </c>
      <c r="T1585" s="2">
        <v>45952</v>
      </c>
      <c r="U1585">
        <v>0</v>
      </c>
      <c r="V1585">
        <v>0</v>
      </c>
      <c r="W1585">
        <v>0</v>
      </c>
      <c r="X1585">
        <v>0</v>
      </c>
      <c r="Y1585">
        <v>0</v>
      </c>
      <c r="Z1585" s="8">
        <v>0</v>
      </c>
      <c r="AA1585">
        <v>0</v>
      </c>
      <c r="AB1585" t="s">
        <v>1635</v>
      </c>
      <c r="AC1585" t="s">
        <v>1635</v>
      </c>
      <c r="AD1585" s="1" t="s">
        <v>1635</v>
      </c>
      <c r="AE1585" s="2" t="s">
        <v>1635</v>
      </c>
      <c r="AF1585" s="2" t="s">
        <v>1635</v>
      </c>
      <c r="AG1585" s="2" t="s">
        <v>1635</v>
      </c>
      <c r="AH1585">
        <v>0</v>
      </c>
      <c r="AI1585" s="3" t="s">
        <v>1635</v>
      </c>
      <c r="AJ1585" s="1" t="s">
        <v>1635</v>
      </c>
      <c r="AK1585" s="2" t="s">
        <v>1635</v>
      </c>
      <c r="AL1585" s="4" t="s">
        <v>1636</v>
      </c>
      <c r="AM1585" s="5" t="s">
        <v>1636</v>
      </c>
      <c r="AN1585" s="4">
        <v>0</v>
      </c>
      <c r="AO1585" t="s">
        <v>1635</v>
      </c>
      <c r="AP1585" s="4" t="s">
        <v>1636</v>
      </c>
      <c r="AQ1585" t="s">
        <v>1619</v>
      </c>
      <c r="AR1585" t="s">
        <v>2422</v>
      </c>
      <c r="AT1585" s="16" t="str">
        <f>_xlfn.XLOOKUP(B1585,'SWiSH Demand Forecast Sep-26'!D:D,'SWiSH Demand Forecast Sep-26'!G:G,"Not Exist")</f>
        <v>Not Exist</v>
      </c>
    </row>
    <row r="1586" spans="1:46" x14ac:dyDescent="0.3">
      <c r="A1586">
        <v>105000022</v>
      </c>
      <c r="B1586" t="s">
        <v>3422</v>
      </c>
      <c r="C1586" t="s">
        <v>240</v>
      </c>
      <c r="D1586" t="s">
        <v>1629</v>
      </c>
      <c r="E1586" t="s">
        <v>1663</v>
      </c>
      <c r="F1586" t="s">
        <v>1671</v>
      </c>
      <c r="G1586" t="s">
        <v>1632</v>
      </c>
      <c r="H1586" t="s">
        <v>2002</v>
      </c>
      <c r="I1586" t="s">
        <v>1618</v>
      </c>
      <c r="J1586" t="s">
        <v>3423</v>
      </c>
      <c r="K1586">
        <v>0.45888888999999999</v>
      </c>
      <c r="L1586">
        <v>0</v>
      </c>
      <c r="M1586" s="1">
        <v>3</v>
      </c>
      <c r="N1586">
        <v>0</v>
      </c>
      <c r="O1586">
        <v>0</v>
      </c>
      <c r="P1586">
        <v>0</v>
      </c>
      <c r="Q1586" s="1">
        <v>0</v>
      </c>
      <c r="R1586">
        <v>8</v>
      </c>
      <c r="S1586" s="2">
        <v>45987</v>
      </c>
      <c r="T1586" s="2">
        <v>46053</v>
      </c>
      <c r="U1586">
        <v>0</v>
      </c>
      <c r="V1586">
        <v>0</v>
      </c>
      <c r="W1586">
        <v>0</v>
      </c>
      <c r="X1586">
        <v>0</v>
      </c>
      <c r="Y1586">
        <v>0</v>
      </c>
      <c r="Z1586" s="8">
        <v>0</v>
      </c>
      <c r="AA1586">
        <v>0</v>
      </c>
      <c r="AB1586" t="s">
        <v>1635</v>
      </c>
      <c r="AC1586" t="s">
        <v>1635</v>
      </c>
      <c r="AD1586" s="1" t="s">
        <v>1635</v>
      </c>
      <c r="AE1586" s="2" t="s">
        <v>1635</v>
      </c>
      <c r="AF1586" s="2" t="s">
        <v>1635</v>
      </c>
      <c r="AG1586" s="2" t="s">
        <v>1635</v>
      </c>
      <c r="AH1586">
        <v>0</v>
      </c>
      <c r="AI1586" s="3" t="s">
        <v>1635</v>
      </c>
      <c r="AJ1586" s="1" t="s">
        <v>1635</v>
      </c>
      <c r="AK1586" s="2" t="s">
        <v>1635</v>
      </c>
      <c r="AL1586" s="4" t="s">
        <v>1636</v>
      </c>
      <c r="AM1586" s="5" t="s">
        <v>1636</v>
      </c>
      <c r="AN1586" s="4">
        <v>0</v>
      </c>
      <c r="AO1586" t="s">
        <v>1635</v>
      </c>
      <c r="AP1586" s="4" t="s">
        <v>1636</v>
      </c>
      <c r="AQ1586" t="s">
        <v>1619</v>
      </c>
      <c r="AR1586" t="s">
        <v>1620</v>
      </c>
      <c r="AT1586" s="16" t="str">
        <f>_xlfn.XLOOKUP(B1586,'SWiSH Demand Forecast Sep-26'!D:D,'SWiSH Demand Forecast Sep-26'!G:G,"Not Exist")</f>
        <v>Not Exist</v>
      </c>
    </row>
    <row r="1587" spans="1:46" x14ac:dyDescent="0.3">
      <c r="A1587">
        <v>106200117</v>
      </c>
      <c r="B1587" t="s">
        <v>3424</v>
      </c>
      <c r="C1587" t="s">
        <v>240</v>
      </c>
      <c r="D1587" t="s">
        <v>1629</v>
      </c>
      <c r="E1587" t="s">
        <v>1677</v>
      </c>
      <c r="F1587" t="s">
        <v>1671</v>
      </c>
      <c r="G1587" t="s">
        <v>1678</v>
      </c>
      <c r="H1587" t="s">
        <v>1672</v>
      </c>
      <c r="I1587" t="s">
        <v>1618</v>
      </c>
      <c r="J1587" t="s">
        <v>240</v>
      </c>
      <c r="K1587">
        <v>3.1970000000000001</v>
      </c>
      <c r="L1587">
        <v>0</v>
      </c>
      <c r="M1587" s="1">
        <v>3</v>
      </c>
      <c r="N1587">
        <v>0</v>
      </c>
      <c r="O1587">
        <v>0</v>
      </c>
      <c r="P1587">
        <v>0</v>
      </c>
      <c r="Q1587" s="1">
        <v>0</v>
      </c>
      <c r="R1587">
        <v>3.1970000000000001</v>
      </c>
      <c r="S1587" s="2">
        <v>45968</v>
      </c>
      <c r="T1587" s="2">
        <v>46053</v>
      </c>
      <c r="U1587">
        <v>0</v>
      </c>
      <c r="V1587">
        <v>0</v>
      </c>
      <c r="W1587">
        <v>0</v>
      </c>
      <c r="X1587">
        <v>0</v>
      </c>
      <c r="Y1587">
        <v>0</v>
      </c>
      <c r="Z1587" s="8">
        <v>0</v>
      </c>
      <c r="AA1587">
        <v>0</v>
      </c>
      <c r="AB1587" t="s">
        <v>1635</v>
      </c>
      <c r="AC1587" t="s">
        <v>1635</v>
      </c>
      <c r="AD1587" s="1" t="s">
        <v>1635</v>
      </c>
      <c r="AE1587" s="2" t="s">
        <v>1635</v>
      </c>
      <c r="AF1587" s="2" t="s">
        <v>1635</v>
      </c>
      <c r="AG1587" s="2" t="s">
        <v>1635</v>
      </c>
      <c r="AH1587">
        <v>0</v>
      </c>
      <c r="AI1587" s="3" t="s">
        <v>1635</v>
      </c>
      <c r="AJ1587" s="1" t="s">
        <v>1635</v>
      </c>
      <c r="AK1587" s="2" t="s">
        <v>1635</v>
      </c>
      <c r="AL1587" s="4" t="s">
        <v>1636</v>
      </c>
      <c r="AM1587" s="5" t="s">
        <v>1636</v>
      </c>
      <c r="AN1587" s="4">
        <v>0</v>
      </c>
      <c r="AO1587" t="s">
        <v>1635</v>
      </c>
      <c r="AP1587" s="4" t="s">
        <v>1636</v>
      </c>
      <c r="AQ1587" t="s">
        <v>1619</v>
      </c>
      <c r="AR1587" t="s">
        <v>1620</v>
      </c>
      <c r="AT1587" s="16" t="str">
        <f>_xlfn.XLOOKUP(B1587,'SWiSH Demand Forecast Sep-26'!D:D,'SWiSH Demand Forecast Sep-26'!G:G,"Not Exist")</f>
        <v>Not Exist</v>
      </c>
    </row>
    <row r="1588" spans="1:46" x14ac:dyDescent="0.3">
      <c r="A1588">
        <v>106200050</v>
      </c>
      <c r="B1588" t="s">
        <v>3425</v>
      </c>
      <c r="C1588" t="s">
        <v>136</v>
      </c>
      <c r="D1588" t="s">
        <v>1629</v>
      </c>
      <c r="E1588" t="s">
        <v>1832</v>
      </c>
      <c r="F1588" t="s">
        <v>1875</v>
      </c>
      <c r="G1588" t="s">
        <v>1681</v>
      </c>
      <c r="H1588" t="s">
        <v>1672</v>
      </c>
      <c r="I1588" t="s">
        <v>1618</v>
      </c>
      <c r="J1588" t="s">
        <v>136</v>
      </c>
      <c r="K1588">
        <v>2.4937027700000001</v>
      </c>
      <c r="L1588">
        <v>0</v>
      </c>
      <c r="M1588" s="1">
        <v>3</v>
      </c>
      <c r="N1588">
        <v>0</v>
      </c>
      <c r="O1588">
        <v>0</v>
      </c>
      <c r="P1588">
        <v>0</v>
      </c>
      <c r="Q1588" s="1">
        <v>0</v>
      </c>
      <c r="R1588">
        <v>2.6056400000000002</v>
      </c>
      <c r="S1588" s="2">
        <v>45774</v>
      </c>
      <c r="T1588" s="2">
        <v>45879</v>
      </c>
      <c r="U1588">
        <v>0</v>
      </c>
      <c r="V1588">
        <v>0</v>
      </c>
      <c r="W1588">
        <v>0</v>
      </c>
      <c r="X1588">
        <v>0</v>
      </c>
      <c r="Y1588">
        <v>0</v>
      </c>
      <c r="Z1588" s="8">
        <v>0</v>
      </c>
      <c r="AA1588">
        <v>0</v>
      </c>
      <c r="AB1588" t="s">
        <v>1635</v>
      </c>
      <c r="AC1588" t="s">
        <v>1635</v>
      </c>
      <c r="AD1588" s="1" t="s">
        <v>1635</v>
      </c>
      <c r="AE1588" s="2" t="s">
        <v>1635</v>
      </c>
      <c r="AF1588" s="2" t="s">
        <v>1635</v>
      </c>
      <c r="AG1588" s="2" t="s">
        <v>1635</v>
      </c>
      <c r="AH1588">
        <v>0</v>
      </c>
      <c r="AI1588" s="3" t="s">
        <v>1635</v>
      </c>
      <c r="AJ1588" s="1" t="s">
        <v>1635</v>
      </c>
      <c r="AK1588" s="2" t="s">
        <v>1635</v>
      </c>
      <c r="AL1588" s="4" t="s">
        <v>1636</v>
      </c>
      <c r="AM1588" s="5" t="s">
        <v>1636</v>
      </c>
      <c r="AN1588" s="4">
        <v>0</v>
      </c>
      <c r="AO1588" t="s">
        <v>1635</v>
      </c>
      <c r="AP1588" s="4" t="s">
        <v>1636</v>
      </c>
      <c r="AQ1588" t="s">
        <v>1619</v>
      </c>
      <c r="AR1588" t="s">
        <v>1620</v>
      </c>
      <c r="AT1588" s="16" t="str">
        <f>_xlfn.XLOOKUP(B1588,'SWiSH Demand Forecast Sep-26'!D:D,'SWiSH Demand Forecast Sep-26'!G:G,"Not Exist")</f>
        <v>Not Exist</v>
      </c>
    </row>
    <row r="1589" spans="1:46" x14ac:dyDescent="0.3">
      <c r="A1589">
        <v>100800020</v>
      </c>
      <c r="B1589" t="s">
        <v>3426</v>
      </c>
      <c r="C1589" t="s">
        <v>10</v>
      </c>
      <c r="D1589" t="s">
        <v>1629</v>
      </c>
      <c r="E1589" t="s">
        <v>3427</v>
      </c>
      <c r="F1589" t="s">
        <v>1639</v>
      </c>
      <c r="G1589" t="s">
        <v>1678</v>
      </c>
      <c r="H1589" t="s">
        <v>1914</v>
      </c>
      <c r="I1589" t="s">
        <v>1618</v>
      </c>
      <c r="J1589" t="s">
        <v>10</v>
      </c>
      <c r="K1589">
        <v>2.3029239999999999E-2</v>
      </c>
      <c r="L1589">
        <v>0</v>
      </c>
      <c r="M1589" s="1">
        <v>3</v>
      </c>
      <c r="N1589">
        <v>0</v>
      </c>
      <c r="O1589">
        <v>0</v>
      </c>
      <c r="P1589">
        <v>0</v>
      </c>
      <c r="Q1589" s="1">
        <v>0</v>
      </c>
      <c r="R1589">
        <v>0.46</v>
      </c>
      <c r="S1589" s="2">
        <v>45922</v>
      </c>
      <c r="T1589" s="2">
        <v>45939</v>
      </c>
      <c r="U1589">
        <v>0</v>
      </c>
      <c r="V1589">
        <v>0</v>
      </c>
      <c r="W1589">
        <v>0</v>
      </c>
      <c r="X1589">
        <v>0</v>
      </c>
      <c r="Y1589">
        <v>0</v>
      </c>
      <c r="Z1589" s="8">
        <v>0</v>
      </c>
      <c r="AA1589">
        <v>0</v>
      </c>
      <c r="AB1589" t="s">
        <v>1635</v>
      </c>
      <c r="AC1589" t="s">
        <v>1635</v>
      </c>
      <c r="AD1589" s="1" t="s">
        <v>1635</v>
      </c>
      <c r="AE1589" s="2" t="s">
        <v>1635</v>
      </c>
      <c r="AF1589" s="2" t="s">
        <v>1635</v>
      </c>
      <c r="AG1589" s="2" t="s">
        <v>1635</v>
      </c>
      <c r="AH1589">
        <v>0</v>
      </c>
      <c r="AI1589" s="3" t="s">
        <v>1635</v>
      </c>
      <c r="AJ1589" s="1" t="s">
        <v>1635</v>
      </c>
      <c r="AK1589" s="2" t="s">
        <v>1635</v>
      </c>
      <c r="AL1589" s="4" t="s">
        <v>1636</v>
      </c>
      <c r="AM1589" s="5" t="s">
        <v>1636</v>
      </c>
      <c r="AN1589" s="4">
        <v>0</v>
      </c>
      <c r="AO1589" t="s">
        <v>1635</v>
      </c>
      <c r="AP1589" s="4" t="s">
        <v>1636</v>
      </c>
      <c r="AQ1589" t="s">
        <v>1619</v>
      </c>
      <c r="AR1589" t="s">
        <v>1620</v>
      </c>
      <c r="AT1589" s="16" t="str">
        <f>_xlfn.XLOOKUP(B1589,'SWiSH Demand Forecast Sep-26'!D:D,'SWiSH Demand Forecast Sep-26'!G:G,"Not Exist")</f>
        <v>Not Exist</v>
      </c>
    </row>
    <row r="1590" spans="1:46" x14ac:dyDescent="0.3">
      <c r="A1590" t="s">
        <v>3321</v>
      </c>
      <c r="B1590" t="s">
        <v>3428</v>
      </c>
      <c r="C1590" t="s">
        <v>240</v>
      </c>
      <c r="D1590" t="s">
        <v>1629</v>
      </c>
      <c r="E1590" t="s">
        <v>3429</v>
      </c>
      <c r="F1590" t="s">
        <v>1671</v>
      </c>
      <c r="G1590" t="e">
        <v>#N/A</v>
      </c>
      <c r="H1590" t="s">
        <v>1672</v>
      </c>
      <c r="I1590" t="s">
        <v>1618</v>
      </c>
      <c r="J1590" t="s">
        <v>1673</v>
      </c>
      <c r="K1590" t="e">
        <v>#N/A</v>
      </c>
      <c r="L1590" t="e">
        <v>#N/A</v>
      </c>
      <c r="M1590" s="1">
        <v>3</v>
      </c>
      <c r="N1590">
        <v>0</v>
      </c>
      <c r="O1590">
        <v>0</v>
      </c>
      <c r="P1590">
        <v>0</v>
      </c>
      <c r="Q1590" s="1">
        <v>0</v>
      </c>
      <c r="R1590" t="e">
        <v>#N/A</v>
      </c>
      <c r="S1590" s="2" t="e">
        <v>#N/A</v>
      </c>
      <c r="T1590" s="2" t="e">
        <v>#N/A</v>
      </c>
      <c r="U1590">
        <v>0</v>
      </c>
      <c r="V1590">
        <v>0</v>
      </c>
      <c r="W1590">
        <v>0</v>
      </c>
      <c r="X1590">
        <v>0</v>
      </c>
      <c r="Y1590">
        <v>0</v>
      </c>
      <c r="Z1590" s="8">
        <v>0</v>
      </c>
      <c r="AA1590">
        <v>0</v>
      </c>
      <c r="AB1590" t="s">
        <v>1635</v>
      </c>
      <c r="AC1590" t="s">
        <v>1635</v>
      </c>
      <c r="AD1590" s="1" t="s">
        <v>1635</v>
      </c>
      <c r="AE1590" s="2" t="s">
        <v>1635</v>
      </c>
      <c r="AF1590" s="2" t="s">
        <v>1635</v>
      </c>
      <c r="AG1590" s="2" t="s">
        <v>1635</v>
      </c>
      <c r="AH1590">
        <v>0</v>
      </c>
      <c r="AI1590" s="3" t="s">
        <v>1635</v>
      </c>
      <c r="AJ1590" s="1" t="s">
        <v>1635</v>
      </c>
      <c r="AK1590" s="2" t="s">
        <v>1635</v>
      </c>
      <c r="AL1590" s="4" t="s">
        <v>1636</v>
      </c>
      <c r="AM1590" s="5" t="s">
        <v>1636</v>
      </c>
      <c r="AN1590" s="4">
        <v>0</v>
      </c>
      <c r="AO1590" t="s">
        <v>1635</v>
      </c>
      <c r="AP1590" s="4" t="s">
        <v>1636</v>
      </c>
      <c r="AQ1590" t="s">
        <v>1619</v>
      </c>
      <c r="AR1590" t="s">
        <v>1620</v>
      </c>
      <c r="AT1590" s="16" t="str">
        <f>_xlfn.XLOOKUP(B1590,'SWiSH Demand Forecast Sep-26'!D:D,'SWiSH Demand Forecast Sep-26'!G:G,"Not Exist")</f>
        <v>Not Exist</v>
      </c>
    </row>
    <row r="1591" spans="1:46" x14ac:dyDescent="0.3">
      <c r="A1591">
        <v>106200084</v>
      </c>
      <c r="B1591" t="s">
        <v>3430</v>
      </c>
      <c r="C1591" t="s">
        <v>136</v>
      </c>
      <c r="D1591" t="s">
        <v>1629</v>
      </c>
      <c r="E1591" t="s">
        <v>1677</v>
      </c>
      <c r="F1591" t="s">
        <v>1671</v>
      </c>
      <c r="G1591" t="s">
        <v>1678</v>
      </c>
      <c r="H1591" t="s">
        <v>1672</v>
      </c>
      <c r="I1591" t="s">
        <v>1618</v>
      </c>
      <c r="J1591" t="s">
        <v>136</v>
      </c>
      <c r="K1591">
        <v>1.4</v>
      </c>
      <c r="L1591">
        <v>0</v>
      </c>
      <c r="M1591" s="1">
        <v>3</v>
      </c>
      <c r="N1591">
        <v>0</v>
      </c>
      <c r="O1591">
        <v>0</v>
      </c>
      <c r="P1591">
        <v>0</v>
      </c>
      <c r="Q1591" s="1">
        <v>0</v>
      </c>
      <c r="R1591">
        <v>7</v>
      </c>
      <c r="S1591" s="2">
        <v>45950</v>
      </c>
      <c r="T1591" s="2">
        <v>46053</v>
      </c>
      <c r="U1591">
        <v>0</v>
      </c>
      <c r="V1591">
        <v>0</v>
      </c>
      <c r="W1591">
        <v>0</v>
      </c>
      <c r="X1591">
        <v>0</v>
      </c>
      <c r="Y1591">
        <v>0</v>
      </c>
      <c r="Z1591" s="8">
        <v>0</v>
      </c>
      <c r="AA1591">
        <v>0</v>
      </c>
      <c r="AB1591" t="s">
        <v>1635</v>
      </c>
      <c r="AC1591" t="s">
        <v>1635</v>
      </c>
      <c r="AD1591" s="1" t="s">
        <v>1635</v>
      </c>
      <c r="AE1591" s="2" t="s">
        <v>1635</v>
      </c>
      <c r="AF1591" s="2" t="s">
        <v>1635</v>
      </c>
      <c r="AG1591" s="2" t="s">
        <v>1635</v>
      </c>
      <c r="AH1591">
        <v>0</v>
      </c>
      <c r="AI1591" s="3" t="s">
        <v>1635</v>
      </c>
      <c r="AJ1591" s="1" t="s">
        <v>1635</v>
      </c>
      <c r="AK1591" s="2" t="s">
        <v>1635</v>
      </c>
      <c r="AL1591" s="4" t="s">
        <v>1636</v>
      </c>
      <c r="AM1591" s="5" t="s">
        <v>1636</v>
      </c>
      <c r="AN1591" s="4">
        <v>0</v>
      </c>
      <c r="AO1591" t="s">
        <v>1635</v>
      </c>
      <c r="AP1591" s="4" t="s">
        <v>1636</v>
      </c>
      <c r="AQ1591" t="s">
        <v>1619</v>
      </c>
      <c r="AR1591" t="s">
        <v>1620</v>
      </c>
      <c r="AT1591" s="16" t="str">
        <f>_xlfn.XLOOKUP(B1591,'SWiSH Demand Forecast Sep-26'!D:D,'SWiSH Demand Forecast Sep-26'!G:G,"Not Exist")</f>
        <v>Not Exist</v>
      </c>
    </row>
    <row r="1592" spans="1:46" x14ac:dyDescent="0.3">
      <c r="A1592">
        <v>100900013</v>
      </c>
      <c r="B1592" t="s">
        <v>3431</v>
      </c>
      <c r="C1592" t="s">
        <v>10</v>
      </c>
      <c r="D1592" t="s">
        <v>1629</v>
      </c>
      <c r="E1592" t="s">
        <v>1685</v>
      </c>
      <c r="F1592" t="s">
        <v>1639</v>
      </c>
      <c r="G1592" t="s">
        <v>1690</v>
      </c>
      <c r="H1592" t="s">
        <v>1640</v>
      </c>
      <c r="I1592" t="s">
        <v>1618</v>
      </c>
      <c r="J1592" t="s">
        <v>10</v>
      </c>
      <c r="K1592">
        <v>0.7</v>
      </c>
      <c r="L1592">
        <v>0</v>
      </c>
      <c r="M1592" s="1">
        <v>3</v>
      </c>
      <c r="N1592">
        <v>0</v>
      </c>
      <c r="O1592">
        <v>0</v>
      </c>
      <c r="P1592">
        <v>0</v>
      </c>
      <c r="Q1592" s="1">
        <v>0</v>
      </c>
      <c r="R1592">
        <v>8.4</v>
      </c>
      <c r="S1592" s="2">
        <v>45939</v>
      </c>
      <c r="T1592" s="2">
        <v>46012</v>
      </c>
      <c r="U1592">
        <v>0</v>
      </c>
      <c r="V1592">
        <v>0</v>
      </c>
      <c r="W1592">
        <v>0</v>
      </c>
      <c r="X1592">
        <v>0</v>
      </c>
      <c r="Y1592">
        <v>0</v>
      </c>
      <c r="Z1592" s="8">
        <v>0</v>
      </c>
      <c r="AA1592">
        <v>0</v>
      </c>
      <c r="AB1592" t="s">
        <v>1635</v>
      </c>
      <c r="AC1592" t="s">
        <v>1635</v>
      </c>
      <c r="AD1592" s="1" t="s">
        <v>1635</v>
      </c>
      <c r="AE1592" s="2" t="s">
        <v>1635</v>
      </c>
      <c r="AF1592" s="2" t="s">
        <v>1635</v>
      </c>
      <c r="AG1592" s="2" t="s">
        <v>1635</v>
      </c>
      <c r="AH1592">
        <v>0</v>
      </c>
      <c r="AI1592" s="3" t="s">
        <v>1635</v>
      </c>
      <c r="AJ1592" s="1" t="s">
        <v>1635</v>
      </c>
      <c r="AK1592" s="2" t="s">
        <v>1635</v>
      </c>
      <c r="AL1592" s="4" t="s">
        <v>1636</v>
      </c>
      <c r="AM1592" s="5" t="s">
        <v>1636</v>
      </c>
      <c r="AN1592" s="4">
        <v>0</v>
      </c>
      <c r="AO1592" t="s">
        <v>1635</v>
      </c>
      <c r="AP1592" s="4" t="s">
        <v>1636</v>
      </c>
      <c r="AQ1592" t="s">
        <v>1619</v>
      </c>
      <c r="AR1592" t="s">
        <v>1620</v>
      </c>
      <c r="AT1592" s="16" t="str">
        <f>_xlfn.XLOOKUP(B1592,'SWiSH Demand Forecast Sep-26'!D:D,'SWiSH Demand Forecast Sep-26'!G:G,"Not Exist")</f>
        <v>Not Exist</v>
      </c>
    </row>
    <row r="1593" spans="1:46" hidden="1" x14ac:dyDescent="0.3">
      <c r="A1593">
        <v>100400005</v>
      </c>
      <c r="B1593" t="s">
        <v>1157</v>
      </c>
      <c r="C1593" t="s">
        <v>10</v>
      </c>
      <c r="D1593" t="s">
        <v>1629</v>
      </c>
      <c r="E1593" t="s">
        <v>2587</v>
      </c>
      <c r="F1593" t="s">
        <v>1664</v>
      </c>
      <c r="G1593" t="s">
        <v>1690</v>
      </c>
      <c r="H1593" t="s">
        <v>1810</v>
      </c>
      <c r="I1593" t="s">
        <v>1634</v>
      </c>
      <c r="J1593" t="s">
        <v>10</v>
      </c>
      <c r="K1593">
        <v>0.40567333</v>
      </c>
      <c r="L1593">
        <v>0</v>
      </c>
      <c r="M1593" s="1">
        <v>3</v>
      </c>
      <c r="N1593">
        <v>0</v>
      </c>
      <c r="O1593">
        <v>0</v>
      </c>
      <c r="P1593">
        <v>0</v>
      </c>
      <c r="Q1593" s="1">
        <v>0</v>
      </c>
      <c r="R1593">
        <v>0.81133999999999995</v>
      </c>
      <c r="S1593" s="2">
        <v>45773</v>
      </c>
      <c r="T1593" s="2">
        <v>46058</v>
      </c>
      <c r="U1593">
        <v>0</v>
      </c>
      <c r="V1593">
        <v>0</v>
      </c>
      <c r="W1593">
        <v>0</v>
      </c>
      <c r="X1593">
        <v>0</v>
      </c>
      <c r="Y1593">
        <v>0</v>
      </c>
      <c r="Z1593" s="8">
        <v>0</v>
      </c>
      <c r="AA1593">
        <v>0</v>
      </c>
      <c r="AB1593" t="s">
        <v>1635</v>
      </c>
      <c r="AC1593" t="s">
        <v>1635</v>
      </c>
      <c r="AD1593" s="1" t="s">
        <v>1635</v>
      </c>
      <c r="AE1593" s="2" t="s">
        <v>1635</v>
      </c>
      <c r="AF1593" s="2" t="s">
        <v>1635</v>
      </c>
      <c r="AG1593" s="2" t="s">
        <v>1635</v>
      </c>
      <c r="AH1593">
        <v>0</v>
      </c>
      <c r="AI1593" s="3" t="s">
        <v>1635</v>
      </c>
      <c r="AJ1593" s="1" t="s">
        <v>1635</v>
      </c>
      <c r="AK1593" s="2" t="s">
        <v>1635</v>
      </c>
      <c r="AL1593" s="4" t="s">
        <v>1636</v>
      </c>
      <c r="AM1593" s="5" t="s">
        <v>1636</v>
      </c>
      <c r="AN1593" s="4">
        <v>0</v>
      </c>
      <c r="AO1593" t="s">
        <v>1635</v>
      </c>
      <c r="AP1593" s="4" t="s">
        <v>1636</v>
      </c>
      <c r="AQ1593" t="s">
        <v>1619</v>
      </c>
      <c r="AR1593" t="s">
        <v>1620</v>
      </c>
      <c r="AT1593" s="16">
        <f>_xlfn.XLOOKUP(B1593,'SWiSH Demand Forecast Sep-26'!D:D,'SWiSH Demand Forecast Sep-26'!G:G,"Not Exist")</f>
        <v>78</v>
      </c>
    </row>
    <row r="1594" spans="1:46" x14ac:dyDescent="0.3">
      <c r="A1594">
        <v>105000029</v>
      </c>
      <c r="B1594" t="s">
        <v>3432</v>
      </c>
      <c r="C1594" t="s">
        <v>240</v>
      </c>
      <c r="D1594" t="s">
        <v>1629</v>
      </c>
      <c r="E1594" t="s">
        <v>2253</v>
      </c>
      <c r="F1594" t="s">
        <v>1671</v>
      </c>
      <c r="G1594" t="s">
        <v>1632</v>
      </c>
      <c r="H1594" t="s">
        <v>2002</v>
      </c>
      <c r="I1594" t="s">
        <v>1618</v>
      </c>
      <c r="J1594" t="s">
        <v>3433</v>
      </c>
      <c r="K1594">
        <v>0.5</v>
      </c>
      <c r="L1594">
        <v>0</v>
      </c>
      <c r="M1594" s="1">
        <v>3</v>
      </c>
      <c r="N1594">
        <v>0</v>
      </c>
      <c r="O1594">
        <v>0</v>
      </c>
      <c r="P1594">
        <v>0</v>
      </c>
      <c r="Q1594" s="1">
        <v>0</v>
      </c>
      <c r="R1594">
        <v>12.5</v>
      </c>
      <c r="S1594" s="2">
        <v>45957</v>
      </c>
      <c r="T1594" s="2">
        <v>46053</v>
      </c>
      <c r="U1594">
        <v>0</v>
      </c>
      <c r="V1594">
        <v>0</v>
      </c>
      <c r="W1594">
        <v>0</v>
      </c>
      <c r="X1594">
        <v>0</v>
      </c>
      <c r="Y1594">
        <v>0</v>
      </c>
      <c r="Z1594" s="8">
        <v>0</v>
      </c>
      <c r="AA1594">
        <v>0</v>
      </c>
      <c r="AB1594" t="s">
        <v>1635</v>
      </c>
      <c r="AC1594" t="s">
        <v>1635</v>
      </c>
      <c r="AD1594" s="1" t="s">
        <v>1635</v>
      </c>
      <c r="AE1594" s="2" t="s">
        <v>1635</v>
      </c>
      <c r="AF1594" s="2" t="s">
        <v>1635</v>
      </c>
      <c r="AG1594" s="2" t="s">
        <v>1635</v>
      </c>
      <c r="AH1594">
        <v>0</v>
      </c>
      <c r="AI1594" s="3" t="s">
        <v>1635</v>
      </c>
      <c r="AJ1594" s="1" t="s">
        <v>1635</v>
      </c>
      <c r="AK1594" s="2" t="s">
        <v>1635</v>
      </c>
      <c r="AL1594" s="4" t="s">
        <v>1636</v>
      </c>
      <c r="AM1594" s="5" t="s">
        <v>1636</v>
      </c>
      <c r="AN1594" s="4">
        <v>0</v>
      </c>
      <c r="AO1594" t="s">
        <v>1635</v>
      </c>
      <c r="AP1594" s="4" t="s">
        <v>1636</v>
      </c>
      <c r="AQ1594" t="s">
        <v>1619</v>
      </c>
      <c r="AR1594" t="s">
        <v>2094</v>
      </c>
      <c r="AT1594" s="16" t="str">
        <f>_xlfn.XLOOKUP(B1594,'SWiSH Demand Forecast Sep-26'!D:D,'SWiSH Demand Forecast Sep-26'!G:G,"Not Exist")</f>
        <v>Not Exist</v>
      </c>
    </row>
    <row r="1595" spans="1:46" x14ac:dyDescent="0.3">
      <c r="A1595">
        <v>106400572</v>
      </c>
      <c r="B1595" t="s">
        <v>3434</v>
      </c>
      <c r="C1595" t="s">
        <v>136</v>
      </c>
      <c r="D1595" t="s">
        <v>1629</v>
      </c>
      <c r="E1595" t="s">
        <v>1732</v>
      </c>
      <c r="F1595" t="s">
        <v>1812</v>
      </c>
      <c r="G1595" t="s">
        <v>1678</v>
      </c>
      <c r="H1595" t="s">
        <v>1764</v>
      </c>
      <c r="I1595" t="s">
        <v>1618</v>
      </c>
      <c r="J1595" t="e">
        <v>#N/A</v>
      </c>
      <c r="K1595">
        <v>1.5679499699999999</v>
      </c>
      <c r="L1595">
        <v>0</v>
      </c>
      <c r="M1595" s="1">
        <v>3</v>
      </c>
      <c r="N1595">
        <v>0</v>
      </c>
      <c r="O1595">
        <v>0</v>
      </c>
      <c r="P1595">
        <v>0</v>
      </c>
      <c r="Q1595" s="1">
        <v>0</v>
      </c>
      <c r="R1595">
        <v>0</v>
      </c>
      <c r="S1595" s="2">
        <v>0</v>
      </c>
      <c r="T1595" s="2">
        <v>45951</v>
      </c>
      <c r="U1595">
        <v>0</v>
      </c>
      <c r="V1595">
        <v>0</v>
      </c>
      <c r="W1595">
        <v>0</v>
      </c>
      <c r="X1595">
        <v>0</v>
      </c>
      <c r="Y1595">
        <v>0</v>
      </c>
      <c r="Z1595" s="8">
        <v>0</v>
      </c>
      <c r="AA1595">
        <v>0</v>
      </c>
      <c r="AB1595" t="s">
        <v>1635</v>
      </c>
      <c r="AC1595" t="s">
        <v>1635</v>
      </c>
      <c r="AD1595" s="1" t="s">
        <v>1635</v>
      </c>
      <c r="AE1595" s="2" t="s">
        <v>1635</v>
      </c>
      <c r="AF1595" s="2" t="s">
        <v>1635</v>
      </c>
      <c r="AG1595" s="2" t="s">
        <v>1635</v>
      </c>
      <c r="AH1595">
        <v>0</v>
      </c>
      <c r="AI1595" s="3" t="s">
        <v>1635</v>
      </c>
      <c r="AJ1595" s="1" t="s">
        <v>1635</v>
      </c>
      <c r="AK1595" s="2" t="s">
        <v>1635</v>
      </c>
      <c r="AL1595" s="4" t="s">
        <v>1636</v>
      </c>
      <c r="AM1595" s="5" t="s">
        <v>1636</v>
      </c>
      <c r="AN1595" s="4">
        <v>0</v>
      </c>
      <c r="AO1595" t="s">
        <v>1635</v>
      </c>
      <c r="AP1595" s="4" t="s">
        <v>1636</v>
      </c>
      <c r="AQ1595" t="s">
        <v>1619</v>
      </c>
      <c r="AR1595" t="s">
        <v>1620</v>
      </c>
      <c r="AT1595" s="16" t="str">
        <f>_xlfn.XLOOKUP(B1595,'SWiSH Demand Forecast Sep-26'!D:D,'SWiSH Demand Forecast Sep-26'!G:G,"Not Exist")</f>
        <v>Not Exist</v>
      </c>
    </row>
    <row r="1596" spans="1:46" x14ac:dyDescent="0.3">
      <c r="A1596">
        <v>102100004</v>
      </c>
      <c r="B1596" t="s">
        <v>3435</v>
      </c>
      <c r="C1596" t="s">
        <v>10</v>
      </c>
      <c r="D1596" t="s">
        <v>1629</v>
      </c>
      <c r="E1596" t="s">
        <v>1821</v>
      </c>
      <c r="F1596" t="s">
        <v>1833</v>
      </c>
      <c r="G1596" t="s">
        <v>1678</v>
      </c>
      <c r="H1596" t="s">
        <v>1939</v>
      </c>
      <c r="I1596" t="s">
        <v>1626</v>
      </c>
      <c r="J1596" t="s">
        <v>10</v>
      </c>
      <c r="K1596">
        <v>3.7999999999999999E-2</v>
      </c>
      <c r="L1596">
        <v>0</v>
      </c>
      <c r="M1596" s="1">
        <v>3</v>
      </c>
      <c r="N1596">
        <v>0</v>
      </c>
      <c r="O1596">
        <v>0</v>
      </c>
      <c r="P1596">
        <v>0</v>
      </c>
      <c r="Q1596" s="1">
        <v>0</v>
      </c>
      <c r="R1596">
        <v>12.5</v>
      </c>
      <c r="S1596" s="2">
        <v>45922</v>
      </c>
      <c r="T1596" s="2">
        <v>45976</v>
      </c>
      <c r="U1596">
        <v>0</v>
      </c>
      <c r="V1596">
        <v>0</v>
      </c>
      <c r="W1596">
        <v>0</v>
      </c>
      <c r="X1596">
        <v>0</v>
      </c>
      <c r="Y1596">
        <v>0</v>
      </c>
      <c r="Z1596" s="8">
        <v>0</v>
      </c>
      <c r="AA1596">
        <v>0</v>
      </c>
      <c r="AB1596" t="s">
        <v>1635</v>
      </c>
      <c r="AC1596" t="s">
        <v>1635</v>
      </c>
      <c r="AD1596" s="1" t="s">
        <v>1635</v>
      </c>
      <c r="AE1596" s="2" t="s">
        <v>1635</v>
      </c>
      <c r="AF1596" s="2" t="s">
        <v>1635</v>
      </c>
      <c r="AG1596" s="2" t="s">
        <v>1635</v>
      </c>
      <c r="AH1596">
        <v>0</v>
      </c>
      <c r="AI1596" s="3" t="s">
        <v>1635</v>
      </c>
      <c r="AJ1596" s="1" t="s">
        <v>1635</v>
      </c>
      <c r="AK1596" s="2" t="s">
        <v>1635</v>
      </c>
      <c r="AL1596" s="4" t="s">
        <v>1636</v>
      </c>
      <c r="AM1596" s="5" t="s">
        <v>1636</v>
      </c>
      <c r="AN1596" s="4">
        <v>0</v>
      </c>
      <c r="AO1596" t="s">
        <v>1635</v>
      </c>
      <c r="AP1596" s="4" t="s">
        <v>1636</v>
      </c>
      <c r="AQ1596" t="s">
        <v>1619</v>
      </c>
      <c r="AR1596" t="s">
        <v>1620</v>
      </c>
      <c r="AT1596" s="16" t="str">
        <f>_xlfn.XLOOKUP(B1596,'SWiSH Demand Forecast Sep-26'!D:D,'SWiSH Demand Forecast Sep-26'!G:G,"Not Exist")</f>
        <v>Not Exist</v>
      </c>
    </row>
    <row r="1597" spans="1:46" x14ac:dyDescent="0.3">
      <c r="A1597" t="s">
        <v>3321</v>
      </c>
      <c r="B1597" t="s">
        <v>3436</v>
      </c>
      <c r="C1597" t="s">
        <v>10</v>
      </c>
      <c r="D1597" t="s">
        <v>3437</v>
      </c>
      <c r="E1597" t="s">
        <v>1926</v>
      </c>
      <c r="F1597" t="s">
        <v>1631</v>
      </c>
      <c r="G1597" t="e">
        <v>#N/A</v>
      </c>
      <c r="H1597" t="s">
        <v>1810</v>
      </c>
      <c r="I1597" t="s">
        <v>1634</v>
      </c>
      <c r="J1597" t="e">
        <v>#N/A</v>
      </c>
      <c r="K1597" t="e">
        <v>#N/A</v>
      </c>
      <c r="L1597" t="e">
        <v>#N/A</v>
      </c>
      <c r="M1597" s="1">
        <v>30</v>
      </c>
      <c r="N1597">
        <v>0</v>
      </c>
      <c r="O1597">
        <v>0</v>
      </c>
      <c r="P1597">
        <v>0</v>
      </c>
      <c r="Q1597" s="1">
        <v>0</v>
      </c>
      <c r="R1597" t="e">
        <v>#N/A</v>
      </c>
      <c r="S1597" s="2" t="e">
        <v>#N/A</v>
      </c>
      <c r="T1597" s="2" t="e">
        <v>#N/A</v>
      </c>
      <c r="U1597">
        <v>0</v>
      </c>
      <c r="V1597">
        <v>0</v>
      </c>
      <c r="W1597">
        <v>0</v>
      </c>
      <c r="X1597">
        <v>0</v>
      </c>
      <c r="Y1597">
        <v>0</v>
      </c>
      <c r="Z1597" s="8">
        <v>0</v>
      </c>
      <c r="AA1597">
        <v>0</v>
      </c>
      <c r="AB1597" t="s">
        <v>1635</v>
      </c>
      <c r="AC1597" t="s">
        <v>1635</v>
      </c>
      <c r="AD1597" s="1" t="s">
        <v>1635</v>
      </c>
      <c r="AE1597" s="2" t="s">
        <v>1635</v>
      </c>
      <c r="AF1597" s="2" t="s">
        <v>1635</v>
      </c>
      <c r="AG1597" s="2" t="s">
        <v>1635</v>
      </c>
      <c r="AH1597">
        <v>0</v>
      </c>
      <c r="AI1597" s="3" t="s">
        <v>1635</v>
      </c>
      <c r="AJ1597" s="1" t="s">
        <v>1635</v>
      </c>
      <c r="AK1597" s="2" t="s">
        <v>1635</v>
      </c>
      <c r="AL1597" s="4" t="s">
        <v>1636</v>
      </c>
      <c r="AM1597" s="5" t="s">
        <v>1636</v>
      </c>
      <c r="AN1597" s="4">
        <v>0</v>
      </c>
      <c r="AO1597" t="s">
        <v>1635</v>
      </c>
      <c r="AP1597" s="4" t="s">
        <v>1636</v>
      </c>
      <c r="AQ1597" t="s">
        <v>1619</v>
      </c>
      <c r="AR1597" t="s">
        <v>1620</v>
      </c>
      <c r="AT1597" s="16" t="str">
        <f>_xlfn.XLOOKUP(B1597,'SWiSH Demand Forecast Sep-26'!D:D,'SWiSH Demand Forecast Sep-26'!G:G,"Not Exist")</f>
        <v>Not Exist</v>
      </c>
    </row>
    <row r="1598" spans="1:46" x14ac:dyDescent="0.3">
      <c r="A1598">
        <v>106200055</v>
      </c>
      <c r="B1598" t="s">
        <v>3438</v>
      </c>
      <c r="C1598" t="s">
        <v>136</v>
      </c>
      <c r="D1598" t="s">
        <v>1629</v>
      </c>
      <c r="E1598" t="s">
        <v>1732</v>
      </c>
      <c r="F1598" t="s">
        <v>1671</v>
      </c>
      <c r="G1598" t="s">
        <v>1704</v>
      </c>
      <c r="H1598" t="s">
        <v>1672</v>
      </c>
      <c r="I1598" t="s">
        <v>1618</v>
      </c>
      <c r="J1598" t="s">
        <v>3439</v>
      </c>
      <c r="K1598">
        <v>0.61111110999999996</v>
      </c>
      <c r="L1598">
        <v>0</v>
      </c>
      <c r="M1598" s="1">
        <v>3</v>
      </c>
      <c r="N1598">
        <v>0</v>
      </c>
      <c r="O1598">
        <v>0</v>
      </c>
      <c r="P1598">
        <v>0</v>
      </c>
      <c r="Q1598" s="1">
        <v>0</v>
      </c>
      <c r="R1598">
        <v>6</v>
      </c>
      <c r="S1598" s="2">
        <v>45980</v>
      </c>
      <c r="T1598" s="2">
        <v>46053</v>
      </c>
      <c r="U1598">
        <v>0</v>
      </c>
      <c r="V1598">
        <v>0</v>
      </c>
      <c r="W1598">
        <v>0</v>
      </c>
      <c r="X1598">
        <v>0</v>
      </c>
      <c r="Y1598">
        <v>0</v>
      </c>
      <c r="Z1598" s="8">
        <v>0</v>
      </c>
      <c r="AA1598">
        <v>0</v>
      </c>
      <c r="AB1598" t="s">
        <v>1635</v>
      </c>
      <c r="AC1598" t="s">
        <v>1635</v>
      </c>
      <c r="AD1598" s="1" t="s">
        <v>1635</v>
      </c>
      <c r="AE1598" s="2" t="s">
        <v>1635</v>
      </c>
      <c r="AF1598" s="2" t="s">
        <v>1635</v>
      </c>
      <c r="AG1598" s="2" t="s">
        <v>1635</v>
      </c>
      <c r="AH1598">
        <v>0</v>
      </c>
      <c r="AI1598" s="3" t="s">
        <v>1635</v>
      </c>
      <c r="AJ1598" s="1" t="s">
        <v>1635</v>
      </c>
      <c r="AK1598" s="2" t="s">
        <v>1635</v>
      </c>
      <c r="AL1598" s="4" t="s">
        <v>1636</v>
      </c>
      <c r="AM1598" s="5" t="s">
        <v>1636</v>
      </c>
      <c r="AN1598" s="4">
        <v>0</v>
      </c>
      <c r="AO1598" t="s">
        <v>1635</v>
      </c>
      <c r="AP1598" s="4" t="s">
        <v>1636</v>
      </c>
      <c r="AQ1598" t="s">
        <v>1619</v>
      </c>
      <c r="AR1598" t="s">
        <v>1620</v>
      </c>
      <c r="AT1598" s="16" t="str">
        <f>_xlfn.XLOOKUP(B1598,'SWiSH Demand Forecast Sep-26'!D:D,'SWiSH Demand Forecast Sep-26'!G:G,"Not Exist")</f>
        <v>Not Exist</v>
      </c>
    </row>
    <row r="1599" spans="1:46" x14ac:dyDescent="0.3">
      <c r="A1599">
        <v>103700066</v>
      </c>
      <c r="B1599" t="s">
        <v>3440</v>
      </c>
      <c r="C1599" t="s">
        <v>136</v>
      </c>
      <c r="D1599" t="s">
        <v>1629</v>
      </c>
      <c r="E1599" t="s">
        <v>1677</v>
      </c>
      <c r="F1599" t="s">
        <v>1615</v>
      </c>
      <c r="G1599" t="s">
        <v>1678</v>
      </c>
      <c r="H1599" t="s">
        <v>1617</v>
      </c>
      <c r="I1599" t="s">
        <v>1618</v>
      </c>
      <c r="J1599" t="s">
        <v>136</v>
      </c>
      <c r="K1599">
        <v>1.7529999999999999</v>
      </c>
      <c r="L1599">
        <v>0</v>
      </c>
      <c r="M1599" s="1">
        <v>3</v>
      </c>
      <c r="N1599">
        <v>0</v>
      </c>
      <c r="O1599">
        <v>0</v>
      </c>
      <c r="P1599">
        <v>0</v>
      </c>
      <c r="Q1599" s="1">
        <v>0</v>
      </c>
      <c r="R1599">
        <v>1.75</v>
      </c>
      <c r="S1599" s="2">
        <v>45981</v>
      </c>
      <c r="T1599" s="2">
        <v>46053</v>
      </c>
      <c r="U1599">
        <v>0</v>
      </c>
      <c r="V1599">
        <v>0</v>
      </c>
      <c r="W1599">
        <v>0</v>
      </c>
      <c r="X1599">
        <v>0</v>
      </c>
      <c r="Y1599">
        <v>0</v>
      </c>
      <c r="Z1599" s="8">
        <v>0</v>
      </c>
      <c r="AA1599">
        <v>0</v>
      </c>
      <c r="AB1599" t="s">
        <v>1635</v>
      </c>
      <c r="AC1599" t="s">
        <v>1635</v>
      </c>
      <c r="AD1599" s="1" t="s">
        <v>1635</v>
      </c>
      <c r="AE1599" s="2" t="s">
        <v>1635</v>
      </c>
      <c r="AF1599" s="2" t="s">
        <v>1635</v>
      </c>
      <c r="AG1599" s="2" t="s">
        <v>1635</v>
      </c>
      <c r="AH1599">
        <v>0</v>
      </c>
      <c r="AI1599" s="3" t="s">
        <v>1635</v>
      </c>
      <c r="AJ1599" s="1" t="s">
        <v>1635</v>
      </c>
      <c r="AK1599" s="2" t="s">
        <v>1635</v>
      </c>
      <c r="AL1599" s="4" t="s">
        <v>1636</v>
      </c>
      <c r="AM1599" s="5" t="s">
        <v>1636</v>
      </c>
      <c r="AN1599" s="4">
        <v>0</v>
      </c>
      <c r="AO1599" t="s">
        <v>1635</v>
      </c>
      <c r="AP1599" s="4" t="s">
        <v>1636</v>
      </c>
      <c r="AQ1599" t="s">
        <v>1619</v>
      </c>
      <c r="AR1599" t="s">
        <v>1855</v>
      </c>
      <c r="AT1599" s="16" t="str">
        <f>_xlfn.XLOOKUP(B1599,'SWiSH Demand Forecast Sep-26'!D:D,'SWiSH Demand Forecast Sep-26'!G:G,"Not Exist")</f>
        <v>Not Exist</v>
      </c>
    </row>
    <row r="1600" spans="1:46" x14ac:dyDescent="0.3">
      <c r="A1600">
        <v>100100129</v>
      </c>
      <c r="B1600" t="s">
        <v>3441</v>
      </c>
      <c r="C1600" t="s">
        <v>136</v>
      </c>
      <c r="D1600" t="s">
        <v>1966</v>
      </c>
      <c r="E1600" t="s">
        <v>3442</v>
      </c>
      <c r="F1600" t="s">
        <v>1615</v>
      </c>
      <c r="G1600" t="s">
        <v>1678</v>
      </c>
      <c r="H1600" t="s">
        <v>1877</v>
      </c>
      <c r="I1600" t="s">
        <v>1618</v>
      </c>
      <c r="J1600" t="s">
        <v>136</v>
      </c>
      <c r="K1600">
        <v>0.32500000000000001</v>
      </c>
      <c r="L1600">
        <v>0</v>
      </c>
      <c r="M1600" s="1">
        <v>3</v>
      </c>
      <c r="N1600">
        <v>0</v>
      </c>
      <c r="O1600">
        <v>0</v>
      </c>
      <c r="P1600">
        <v>0</v>
      </c>
      <c r="Q1600" s="1">
        <v>0</v>
      </c>
      <c r="R1600">
        <v>3.25</v>
      </c>
      <c r="S1600" s="2">
        <v>45950</v>
      </c>
      <c r="T1600" s="2">
        <v>46053</v>
      </c>
      <c r="U1600">
        <v>0</v>
      </c>
      <c r="V1600">
        <v>0</v>
      </c>
      <c r="W1600">
        <v>0</v>
      </c>
      <c r="X1600">
        <v>0</v>
      </c>
      <c r="Y1600">
        <v>0</v>
      </c>
      <c r="Z1600" s="8">
        <v>0</v>
      </c>
      <c r="AA1600">
        <v>0</v>
      </c>
      <c r="AB1600" t="s">
        <v>1635</v>
      </c>
      <c r="AC1600" t="s">
        <v>1635</v>
      </c>
      <c r="AD1600" s="1" t="s">
        <v>1635</v>
      </c>
      <c r="AE1600" s="2" t="s">
        <v>1635</v>
      </c>
      <c r="AF1600" s="2" t="s">
        <v>1635</v>
      </c>
      <c r="AG1600" s="2" t="s">
        <v>1635</v>
      </c>
      <c r="AH1600">
        <v>0</v>
      </c>
      <c r="AI1600" s="3" t="s">
        <v>1635</v>
      </c>
      <c r="AJ1600" s="1" t="s">
        <v>1635</v>
      </c>
      <c r="AK1600" s="2" t="s">
        <v>1635</v>
      </c>
      <c r="AL1600" s="4" t="s">
        <v>1636</v>
      </c>
      <c r="AM1600" s="5" t="s">
        <v>1636</v>
      </c>
      <c r="AN1600" s="4">
        <v>0</v>
      </c>
      <c r="AO1600" t="s">
        <v>1635</v>
      </c>
      <c r="AP1600" s="4" t="s">
        <v>1636</v>
      </c>
      <c r="AQ1600" t="s">
        <v>1619</v>
      </c>
      <c r="AR1600" t="s">
        <v>1620</v>
      </c>
      <c r="AT1600" s="16" t="str">
        <f>_xlfn.XLOOKUP(B1600,'SWiSH Demand Forecast Sep-26'!D:D,'SWiSH Demand Forecast Sep-26'!G:G,"Not Exist")</f>
        <v>Not Exist</v>
      </c>
    </row>
    <row r="1601" spans="1:46" x14ac:dyDescent="0.3">
      <c r="A1601">
        <v>100100002</v>
      </c>
      <c r="B1601" t="s">
        <v>3443</v>
      </c>
      <c r="C1601" t="s">
        <v>10</v>
      </c>
      <c r="D1601" t="s">
        <v>1629</v>
      </c>
      <c r="E1601" t="s">
        <v>1685</v>
      </c>
      <c r="F1601" t="s">
        <v>1615</v>
      </c>
      <c r="G1601" t="s">
        <v>1690</v>
      </c>
      <c r="H1601" t="s">
        <v>1877</v>
      </c>
      <c r="I1601" t="s">
        <v>1618</v>
      </c>
      <c r="J1601" t="s">
        <v>3397</v>
      </c>
      <c r="K1601">
        <v>0.6</v>
      </c>
      <c r="L1601">
        <v>0</v>
      </c>
      <c r="M1601" s="1">
        <v>3</v>
      </c>
      <c r="N1601">
        <v>0</v>
      </c>
      <c r="O1601">
        <v>0</v>
      </c>
      <c r="P1601">
        <v>0</v>
      </c>
      <c r="Q1601" s="1">
        <v>0</v>
      </c>
      <c r="R1601">
        <v>8.4</v>
      </c>
      <c r="S1601" s="2">
        <v>45873</v>
      </c>
      <c r="T1601" s="2">
        <v>46005</v>
      </c>
      <c r="U1601">
        <v>0</v>
      </c>
      <c r="V1601">
        <v>0</v>
      </c>
      <c r="W1601">
        <v>0</v>
      </c>
      <c r="X1601">
        <v>0</v>
      </c>
      <c r="Y1601">
        <v>0</v>
      </c>
      <c r="Z1601" s="8">
        <v>0</v>
      </c>
      <c r="AA1601">
        <v>0</v>
      </c>
      <c r="AB1601" t="s">
        <v>1635</v>
      </c>
      <c r="AC1601" t="s">
        <v>1635</v>
      </c>
      <c r="AD1601" s="1" t="s">
        <v>1635</v>
      </c>
      <c r="AE1601" s="2" t="s">
        <v>1635</v>
      </c>
      <c r="AF1601" s="2" t="s">
        <v>1635</v>
      </c>
      <c r="AG1601" s="2" t="s">
        <v>1635</v>
      </c>
      <c r="AH1601">
        <v>0</v>
      </c>
      <c r="AI1601" s="3" t="s">
        <v>1635</v>
      </c>
      <c r="AJ1601" s="1" t="s">
        <v>1635</v>
      </c>
      <c r="AK1601" s="2" t="s">
        <v>1635</v>
      </c>
      <c r="AL1601" s="4" t="s">
        <v>1636</v>
      </c>
      <c r="AM1601" s="5" t="s">
        <v>1636</v>
      </c>
      <c r="AN1601" s="4">
        <v>0</v>
      </c>
      <c r="AO1601" t="s">
        <v>1635</v>
      </c>
      <c r="AP1601" s="4" t="s">
        <v>1636</v>
      </c>
      <c r="AQ1601" t="s">
        <v>1619</v>
      </c>
      <c r="AR1601" t="s">
        <v>1620</v>
      </c>
      <c r="AT1601" s="16" t="str">
        <f>_xlfn.XLOOKUP(B1601,'SWiSH Demand Forecast Sep-26'!D:D,'SWiSH Demand Forecast Sep-26'!G:G,"Not Exist")</f>
        <v>Not Exist</v>
      </c>
    </row>
    <row r="1602" spans="1:46" x14ac:dyDescent="0.3">
      <c r="A1602">
        <v>106300006</v>
      </c>
      <c r="B1602" t="s">
        <v>3444</v>
      </c>
      <c r="C1602" t="s">
        <v>136</v>
      </c>
      <c r="D1602" t="s">
        <v>1629</v>
      </c>
      <c r="E1602" t="s">
        <v>3410</v>
      </c>
      <c r="F1602" t="s">
        <v>1927</v>
      </c>
      <c r="G1602" t="s">
        <v>1632</v>
      </c>
      <c r="H1602" t="s">
        <v>1860</v>
      </c>
      <c r="I1602" t="s">
        <v>1618</v>
      </c>
      <c r="J1602" t="s">
        <v>2461</v>
      </c>
      <c r="K1602">
        <v>0.34250000000000003</v>
      </c>
      <c r="L1602">
        <v>0</v>
      </c>
      <c r="M1602" s="1">
        <v>3</v>
      </c>
      <c r="N1602">
        <v>0</v>
      </c>
      <c r="O1602">
        <v>0</v>
      </c>
      <c r="P1602">
        <v>0</v>
      </c>
      <c r="Q1602" s="1">
        <v>0</v>
      </c>
      <c r="R1602">
        <v>6.95</v>
      </c>
      <c r="S1602" s="2">
        <v>45942</v>
      </c>
      <c r="T1602" s="2">
        <v>45959</v>
      </c>
      <c r="U1602">
        <v>0</v>
      </c>
      <c r="V1602">
        <v>0</v>
      </c>
      <c r="W1602">
        <v>0</v>
      </c>
      <c r="X1602">
        <v>0</v>
      </c>
      <c r="Y1602">
        <v>0</v>
      </c>
      <c r="Z1602" s="8">
        <v>0</v>
      </c>
      <c r="AA1602">
        <v>0</v>
      </c>
      <c r="AB1602" t="s">
        <v>1635</v>
      </c>
      <c r="AC1602" t="s">
        <v>1635</v>
      </c>
      <c r="AD1602" s="1" t="s">
        <v>1635</v>
      </c>
      <c r="AE1602" s="2" t="s">
        <v>1635</v>
      </c>
      <c r="AF1602" s="2" t="s">
        <v>1635</v>
      </c>
      <c r="AG1602" s="2" t="s">
        <v>1635</v>
      </c>
      <c r="AH1602">
        <v>0</v>
      </c>
      <c r="AI1602" s="3" t="s">
        <v>1635</v>
      </c>
      <c r="AJ1602" s="1" t="s">
        <v>1635</v>
      </c>
      <c r="AK1602" s="2" t="s">
        <v>1635</v>
      </c>
      <c r="AL1602" s="4" t="s">
        <v>1636</v>
      </c>
      <c r="AM1602" s="5" t="s">
        <v>1636</v>
      </c>
      <c r="AN1602" s="4">
        <v>0</v>
      </c>
      <c r="AO1602" t="s">
        <v>1635</v>
      </c>
      <c r="AP1602" s="4" t="s">
        <v>1636</v>
      </c>
      <c r="AQ1602" t="s">
        <v>1619</v>
      </c>
      <c r="AR1602" t="s">
        <v>1620</v>
      </c>
      <c r="AT1602" s="16" t="str">
        <f>_xlfn.XLOOKUP(B1602,'SWiSH Demand Forecast Sep-26'!D:D,'SWiSH Demand Forecast Sep-26'!G:G,"Not Exist")</f>
        <v>Not Exist</v>
      </c>
    </row>
    <row r="1603" spans="1:46" x14ac:dyDescent="0.3">
      <c r="A1603">
        <v>106300008</v>
      </c>
      <c r="B1603" t="s">
        <v>3445</v>
      </c>
      <c r="C1603" t="s">
        <v>136</v>
      </c>
      <c r="D1603" t="s">
        <v>1629</v>
      </c>
      <c r="E1603" t="s">
        <v>1832</v>
      </c>
      <c r="F1603" t="s">
        <v>1927</v>
      </c>
      <c r="G1603" t="s">
        <v>1690</v>
      </c>
      <c r="H1603" t="s">
        <v>1860</v>
      </c>
      <c r="I1603" t="s">
        <v>1618</v>
      </c>
      <c r="J1603" t="s">
        <v>2125</v>
      </c>
      <c r="K1603">
        <v>2.8</v>
      </c>
      <c r="L1603">
        <v>0</v>
      </c>
      <c r="M1603" s="1">
        <v>3</v>
      </c>
      <c r="N1603">
        <v>0</v>
      </c>
      <c r="O1603">
        <v>0</v>
      </c>
      <c r="P1603">
        <v>0</v>
      </c>
      <c r="Q1603" s="1">
        <v>0</v>
      </c>
      <c r="R1603">
        <v>1.4</v>
      </c>
      <c r="S1603" s="2">
        <v>45831</v>
      </c>
      <c r="T1603" s="2">
        <v>46054</v>
      </c>
      <c r="U1603">
        <v>0</v>
      </c>
      <c r="V1603">
        <v>0</v>
      </c>
      <c r="W1603">
        <v>0</v>
      </c>
      <c r="X1603">
        <v>0</v>
      </c>
      <c r="Y1603">
        <v>0</v>
      </c>
      <c r="Z1603" s="8">
        <v>0</v>
      </c>
      <c r="AA1603">
        <v>0</v>
      </c>
      <c r="AB1603" t="s">
        <v>1635</v>
      </c>
      <c r="AC1603" t="s">
        <v>1635</v>
      </c>
      <c r="AD1603" s="1" t="s">
        <v>1635</v>
      </c>
      <c r="AE1603" s="2" t="s">
        <v>1635</v>
      </c>
      <c r="AF1603" s="2" t="s">
        <v>1635</v>
      </c>
      <c r="AG1603" s="2" t="s">
        <v>1635</v>
      </c>
      <c r="AH1603">
        <v>0</v>
      </c>
      <c r="AI1603" s="3" t="s">
        <v>1635</v>
      </c>
      <c r="AJ1603" s="1" t="s">
        <v>1635</v>
      </c>
      <c r="AK1603" s="2" t="s">
        <v>1635</v>
      </c>
      <c r="AL1603" s="4" t="s">
        <v>1636</v>
      </c>
      <c r="AM1603" s="5" t="s">
        <v>1636</v>
      </c>
      <c r="AN1603" s="4">
        <v>0</v>
      </c>
      <c r="AO1603" t="s">
        <v>1635</v>
      </c>
      <c r="AP1603" s="4" t="s">
        <v>1636</v>
      </c>
      <c r="AQ1603" t="s">
        <v>1619</v>
      </c>
      <c r="AR1603" t="s">
        <v>1620</v>
      </c>
      <c r="AT1603" s="16" t="str">
        <f>_xlfn.XLOOKUP(B1603,'SWiSH Demand Forecast Sep-26'!D:D,'SWiSH Demand Forecast Sep-26'!G:G,"Not Exist")</f>
        <v>Not Exist</v>
      </c>
    </row>
    <row r="1604" spans="1:46" x14ac:dyDescent="0.3">
      <c r="A1604">
        <v>105500010</v>
      </c>
      <c r="B1604" t="s">
        <v>3446</v>
      </c>
      <c r="C1604" t="s">
        <v>136</v>
      </c>
      <c r="D1604" t="s">
        <v>1629</v>
      </c>
      <c r="E1604" t="s">
        <v>1732</v>
      </c>
      <c r="F1604" t="s">
        <v>1927</v>
      </c>
      <c r="G1604" t="s">
        <v>1704</v>
      </c>
      <c r="H1604" t="s">
        <v>1841</v>
      </c>
      <c r="I1604" t="s">
        <v>1618</v>
      </c>
      <c r="J1604" t="s">
        <v>136</v>
      </c>
      <c r="K1604">
        <v>1.05</v>
      </c>
      <c r="L1604">
        <v>0</v>
      </c>
      <c r="M1604" s="1">
        <v>3</v>
      </c>
      <c r="N1604">
        <v>0</v>
      </c>
      <c r="O1604">
        <v>0</v>
      </c>
      <c r="P1604">
        <v>0</v>
      </c>
      <c r="Q1604" s="1">
        <v>0</v>
      </c>
      <c r="R1604">
        <v>1.05</v>
      </c>
      <c r="S1604" s="2">
        <v>45774</v>
      </c>
      <c r="T1604" s="2">
        <v>46049</v>
      </c>
      <c r="U1604">
        <v>0</v>
      </c>
      <c r="V1604">
        <v>0</v>
      </c>
      <c r="W1604">
        <v>0</v>
      </c>
      <c r="X1604">
        <v>0</v>
      </c>
      <c r="Y1604">
        <v>0</v>
      </c>
      <c r="Z1604" s="8">
        <v>0</v>
      </c>
      <c r="AA1604">
        <v>0</v>
      </c>
      <c r="AB1604" t="s">
        <v>1635</v>
      </c>
      <c r="AC1604" t="s">
        <v>1635</v>
      </c>
      <c r="AD1604" s="1" t="s">
        <v>1635</v>
      </c>
      <c r="AE1604" s="2" t="s">
        <v>1635</v>
      </c>
      <c r="AF1604" s="2" t="s">
        <v>1635</v>
      </c>
      <c r="AG1604" s="2" t="s">
        <v>1635</v>
      </c>
      <c r="AH1604">
        <v>0</v>
      </c>
      <c r="AI1604" s="3" t="s">
        <v>1635</v>
      </c>
      <c r="AJ1604" s="1" t="s">
        <v>1635</v>
      </c>
      <c r="AK1604" s="2" t="s">
        <v>1635</v>
      </c>
      <c r="AL1604" s="4" t="s">
        <v>1636</v>
      </c>
      <c r="AM1604" s="5" t="s">
        <v>1636</v>
      </c>
      <c r="AN1604" s="4">
        <v>0</v>
      </c>
      <c r="AO1604" t="s">
        <v>1635</v>
      </c>
      <c r="AP1604" s="4" t="s">
        <v>1636</v>
      </c>
      <c r="AQ1604" t="s">
        <v>1619</v>
      </c>
      <c r="AR1604" t="s">
        <v>1620</v>
      </c>
      <c r="AT1604" s="16" t="str">
        <f>_xlfn.XLOOKUP(B1604,'SWiSH Demand Forecast Sep-26'!D:D,'SWiSH Demand Forecast Sep-26'!G:G,"Not Exist")</f>
        <v>Not Exist</v>
      </c>
    </row>
    <row r="1605" spans="1:46" x14ac:dyDescent="0.3">
      <c r="A1605">
        <v>102000008</v>
      </c>
      <c r="B1605" t="s">
        <v>3447</v>
      </c>
      <c r="C1605" t="s">
        <v>136</v>
      </c>
      <c r="D1605" t="s">
        <v>1629</v>
      </c>
      <c r="E1605" t="s">
        <v>2483</v>
      </c>
      <c r="F1605" t="s">
        <v>1840</v>
      </c>
      <c r="G1605" t="s">
        <v>1704</v>
      </c>
      <c r="H1605" t="s">
        <v>2000</v>
      </c>
      <c r="I1605" t="s">
        <v>1618</v>
      </c>
      <c r="J1605" t="s">
        <v>3008</v>
      </c>
      <c r="K1605">
        <v>3.2847222199999999</v>
      </c>
      <c r="L1605">
        <v>0</v>
      </c>
      <c r="M1605" s="1">
        <v>3</v>
      </c>
      <c r="N1605">
        <v>0</v>
      </c>
      <c r="O1605">
        <v>0</v>
      </c>
      <c r="P1605">
        <v>0</v>
      </c>
      <c r="Q1605" s="1">
        <v>0</v>
      </c>
      <c r="R1605">
        <v>7.0949999999999998</v>
      </c>
      <c r="S1605" s="2">
        <v>45904</v>
      </c>
      <c r="T1605" s="2">
        <v>46054</v>
      </c>
      <c r="U1605">
        <v>0</v>
      </c>
      <c r="V1605">
        <v>0</v>
      </c>
      <c r="W1605">
        <v>0</v>
      </c>
      <c r="X1605">
        <v>0</v>
      </c>
      <c r="Y1605">
        <v>0</v>
      </c>
      <c r="Z1605" s="8">
        <v>0</v>
      </c>
      <c r="AA1605">
        <v>0</v>
      </c>
      <c r="AB1605" t="s">
        <v>1635</v>
      </c>
      <c r="AC1605" t="s">
        <v>1635</v>
      </c>
      <c r="AD1605" s="1" t="s">
        <v>1635</v>
      </c>
      <c r="AE1605" s="2" t="s">
        <v>1635</v>
      </c>
      <c r="AF1605" s="2" t="s">
        <v>1635</v>
      </c>
      <c r="AG1605" s="2" t="s">
        <v>1635</v>
      </c>
      <c r="AH1605">
        <v>0</v>
      </c>
      <c r="AI1605" s="3" t="s">
        <v>1635</v>
      </c>
      <c r="AJ1605" s="1" t="s">
        <v>1635</v>
      </c>
      <c r="AK1605" s="2" t="s">
        <v>1635</v>
      </c>
      <c r="AL1605" s="4" t="s">
        <v>1636</v>
      </c>
      <c r="AM1605" s="5" t="s">
        <v>1636</v>
      </c>
      <c r="AN1605" s="4">
        <v>0</v>
      </c>
      <c r="AO1605" t="s">
        <v>1635</v>
      </c>
      <c r="AP1605" s="4" t="s">
        <v>1636</v>
      </c>
      <c r="AQ1605" t="s">
        <v>1619</v>
      </c>
      <c r="AR1605" t="s">
        <v>1859</v>
      </c>
      <c r="AT1605" s="16" t="str">
        <f>_xlfn.XLOOKUP(B1605,'SWiSH Demand Forecast Sep-26'!D:D,'SWiSH Demand Forecast Sep-26'!G:G,"Not Exist")</f>
        <v>Not Exist</v>
      </c>
    </row>
    <row r="1606" spans="1:46" hidden="1" x14ac:dyDescent="0.3">
      <c r="A1606">
        <v>103100032</v>
      </c>
      <c r="B1606" t="s">
        <v>496</v>
      </c>
      <c r="C1606" t="s">
        <v>10</v>
      </c>
      <c r="D1606" t="s">
        <v>1629</v>
      </c>
      <c r="E1606" t="s">
        <v>3448</v>
      </c>
      <c r="F1606" t="s">
        <v>1840</v>
      </c>
      <c r="G1606" t="s">
        <v>1690</v>
      </c>
      <c r="H1606" t="s">
        <v>1869</v>
      </c>
      <c r="I1606" t="s">
        <v>1618</v>
      </c>
      <c r="J1606" t="s">
        <v>3333</v>
      </c>
      <c r="K1606">
        <v>3.3329999999999999E-2</v>
      </c>
      <c r="L1606">
        <v>0</v>
      </c>
      <c r="M1606" s="1">
        <v>3</v>
      </c>
      <c r="N1606">
        <v>0</v>
      </c>
      <c r="O1606">
        <v>0</v>
      </c>
      <c r="P1606">
        <v>0</v>
      </c>
      <c r="Q1606" s="1">
        <v>0</v>
      </c>
      <c r="R1606">
        <v>18.25</v>
      </c>
      <c r="S1606" s="2">
        <v>45909</v>
      </c>
      <c r="T1606" s="2">
        <v>46150</v>
      </c>
      <c r="U1606">
        <v>0</v>
      </c>
      <c r="V1606">
        <v>0</v>
      </c>
      <c r="W1606">
        <v>0</v>
      </c>
      <c r="X1606">
        <v>0</v>
      </c>
      <c r="Y1606">
        <v>0</v>
      </c>
      <c r="Z1606" s="8">
        <v>0</v>
      </c>
      <c r="AA1606">
        <v>0</v>
      </c>
      <c r="AB1606" t="s">
        <v>1635</v>
      </c>
      <c r="AC1606" t="s">
        <v>1635</v>
      </c>
      <c r="AD1606" s="1" t="s">
        <v>1635</v>
      </c>
      <c r="AE1606" s="2" t="s">
        <v>1635</v>
      </c>
      <c r="AF1606" s="2" t="s">
        <v>1635</v>
      </c>
      <c r="AG1606" s="2" t="s">
        <v>1635</v>
      </c>
      <c r="AH1606">
        <v>0</v>
      </c>
      <c r="AI1606" s="3" t="s">
        <v>1635</v>
      </c>
      <c r="AJ1606" s="1" t="s">
        <v>1635</v>
      </c>
      <c r="AK1606" s="2" t="s">
        <v>1635</v>
      </c>
      <c r="AL1606" s="4" t="s">
        <v>1636</v>
      </c>
      <c r="AM1606" s="5" t="s">
        <v>1636</v>
      </c>
      <c r="AN1606" s="4">
        <v>0</v>
      </c>
      <c r="AO1606" t="s">
        <v>1635</v>
      </c>
      <c r="AP1606" s="4" t="s">
        <v>1636</v>
      </c>
      <c r="AQ1606" t="s">
        <v>1619</v>
      </c>
      <c r="AR1606" t="s">
        <v>1620</v>
      </c>
      <c r="AT1606" s="16">
        <f>_xlfn.XLOOKUP(B1606,'SWiSH Demand Forecast Sep-26'!D:D,'SWiSH Demand Forecast Sep-26'!G:G,"Not Exist")</f>
        <v>1587</v>
      </c>
    </row>
    <row r="1607" spans="1:46" x14ac:dyDescent="0.3">
      <c r="A1607">
        <v>100700007</v>
      </c>
      <c r="B1607" t="s">
        <v>3449</v>
      </c>
      <c r="C1607" t="s">
        <v>136</v>
      </c>
      <c r="D1607" t="s">
        <v>3437</v>
      </c>
      <c r="E1607" t="s">
        <v>1630</v>
      </c>
      <c r="F1607" t="s">
        <v>1875</v>
      </c>
      <c r="G1607" t="s">
        <v>1690</v>
      </c>
      <c r="H1607" t="s">
        <v>1867</v>
      </c>
      <c r="I1607" t="s">
        <v>1618</v>
      </c>
      <c r="J1607" t="s">
        <v>136</v>
      </c>
      <c r="K1607">
        <v>0.54688000000000003</v>
      </c>
      <c r="L1607">
        <v>0</v>
      </c>
      <c r="M1607" s="1">
        <v>3</v>
      </c>
      <c r="N1607">
        <v>0</v>
      </c>
      <c r="O1607">
        <v>0</v>
      </c>
      <c r="P1607">
        <v>0</v>
      </c>
      <c r="Q1607" s="1">
        <v>0</v>
      </c>
      <c r="R1607">
        <v>0.54688000000000003</v>
      </c>
      <c r="S1607" s="2">
        <v>45968</v>
      </c>
      <c r="T1607" s="2">
        <v>45974</v>
      </c>
      <c r="U1607">
        <v>0</v>
      </c>
      <c r="V1607">
        <v>0</v>
      </c>
      <c r="W1607">
        <v>0</v>
      </c>
      <c r="X1607">
        <v>0</v>
      </c>
      <c r="Y1607">
        <v>0</v>
      </c>
      <c r="Z1607" s="8">
        <v>0</v>
      </c>
      <c r="AA1607">
        <v>0</v>
      </c>
      <c r="AB1607" t="s">
        <v>1635</v>
      </c>
      <c r="AC1607" t="s">
        <v>1635</v>
      </c>
      <c r="AD1607" s="1" t="s">
        <v>1635</v>
      </c>
      <c r="AE1607" s="2" t="s">
        <v>1635</v>
      </c>
      <c r="AF1607" s="2" t="s">
        <v>1635</v>
      </c>
      <c r="AG1607" s="2" t="s">
        <v>1635</v>
      </c>
      <c r="AH1607">
        <v>0</v>
      </c>
      <c r="AI1607" s="3" t="s">
        <v>1635</v>
      </c>
      <c r="AJ1607" s="1" t="s">
        <v>1635</v>
      </c>
      <c r="AK1607" s="2" t="s">
        <v>1635</v>
      </c>
      <c r="AL1607" s="4" t="s">
        <v>1636</v>
      </c>
      <c r="AM1607" s="5" t="s">
        <v>1636</v>
      </c>
      <c r="AN1607" s="4">
        <v>0</v>
      </c>
      <c r="AO1607" t="s">
        <v>1635</v>
      </c>
      <c r="AP1607" s="4" t="s">
        <v>1636</v>
      </c>
      <c r="AQ1607" t="s">
        <v>1619</v>
      </c>
      <c r="AR1607" t="s">
        <v>1620</v>
      </c>
      <c r="AT1607" s="16" t="str">
        <f>_xlfn.XLOOKUP(B1607,'SWiSH Demand Forecast Sep-26'!D:D,'SWiSH Demand Forecast Sep-26'!G:G,"Not Exist")</f>
        <v>Not Exist</v>
      </c>
    </row>
    <row r="1608" spans="1:46" x14ac:dyDescent="0.3">
      <c r="A1608">
        <v>103700024</v>
      </c>
      <c r="B1608" t="s">
        <v>3450</v>
      </c>
      <c r="C1608" t="s">
        <v>136</v>
      </c>
      <c r="D1608" t="s">
        <v>1629</v>
      </c>
      <c r="E1608" t="e">
        <v>#N/A</v>
      </c>
      <c r="F1608" t="s">
        <v>1615</v>
      </c>
      <c r="G1608" t="s">
        <v>1632</v>
      </c>
      <c r="H1608" t="s">
        <v>1617</v>
      </c>
      <c r="I1608" t="s">
        <v>1618</v>
      </c>
      <c r="J1608" t="e">
        <v>#N/A</v>
      </c>
      <c r="K1608">
        <v>4.4285714299999999</v>
      </c>
      <c r="L1608">
        <v>0</v>
      </c>
      <c r="M1608" s="1">
        <v>3</v>
      </c>
      <c r="N1608">
        <v>0</v>
      </c>
      <c r="O1608">
        <v>0</v>
      </c>
      <c r="P1608">
        <v>0</v>
      </c>
      <c r="Q1608" s="1">
        <v>0</v>
      </c>
      <c r="R1608">
        <v>3.1</v>
      </c>
      <c r="S1608" s="2">
        <v>45599</v>
      </c>
      <c r="T1608" s="2">
        <v>45777</v>
      </c>
      <c r="U1608">
        <v>0</v>
      </c>
      <c r="V1608">
        <v>0</v>
      </c>
      <c r="W1608">
        <v>0</v>
      </c>
      <c r="X1608">
        <v>0</v>
      </c>
      <c r="Y1608">
        <v>0</v>
      </c>
      <c r="Z1608" s="8">
        <v>0</v>
      </c>
      <c r="AA1608">
        <v>0</v>
      </c>
      <c r="AB1608" t="s">
        <v>1635</v>
      </c>
      <c r="AC1608" t="s">
        <v>1635</v>
      </c>
      <c r="AD1608" s="1" t="s">
        <v>1635</v>
      </c>
      <c r="AE1608" s="2" t="s">
        <v>1635</v>
      </c>
      <c r="AF1608" s="2" t="s">
        <v>1635</v>
      </c>
      <c r="AG1608" s="2" t="s">
        <v>1635</v>
      </c>
      <c r="AH1608">
        <v>0</v>
      </c>
      <c r="AI1608" s="3" t="s">
        <v>1635</v>
      </c>
      <c r="AJ1608" s="1" t="s">
        <v>1635</v>
      </c>
      <c r="AK1608" s="2" t="s">
        <v>1635</v>
      </c>
      <c r="AL1608" s="4" t="s">
        <v>1636</v>
      </c>
      <c r="AM1608" s="5" t="s">
        <v>1636</v>
      </c>
      <c r="AN1608" s="4">
        <v>0</v>
      </c>
      <c r="AO1608" t="s">
        <v>1635</v>
      </c>
      <c r="AP1608" s="4" t="s">
        <v>1636</v>
      </c>
      <c r="AQ1608" t="s">
        <v>1619</v>
      </c>
      <c r="AR1608" t="s">
        <v>1620</v>
      </c>
      <c r="AT1608" s="16" t="str">
        <f>_xlfn.XLOOKUP(B1608,'SWiSH Demand Forecast Sep-26'!D:D,'SWiSH Demand Forecast Sep-26'!G:G,"Not Exist")</f>
        <v>Not Exist</v>
      </c>
    </row>
    <row r="1609" spans="1:46" x14ac:dyDescent="0.3">
      <c r="A1609">
        <v>103700045</v>
      </c>
      <c r="B1609" t="s">
        <v>3451</v>
      </c>
      <c r="C1609" t="s">
        <v>136</v>
      </c>
      <c r="D1609" t="s">
        <v>1629</v>
      </c>
      <c r="E1609" t="s">
        <v>1819</v>
      </c>
      <c r="F1609" t="s">
        <v>1615</v>
      </c>
      <c r="G1609" t="s">
        <v>1704</v>
      </c>
      <c r="H1609" t="s">
        <v>1617</v>
      </c>
      <c r="I1609" t="s">
        <v>1618</v>
      </c>
      <c r="J1609" t="s">
        <v>136</v>
      </c>
      <c r="K1609">
        <v>3</v>
      </c>
      <c r="L1609">
        <v>5.4</v>
      </c>
      <c r="M1609" s="1">
        <v>3</v>
      </c>
      <c r="N1609">
        <v>0</v>
      </c>
      <c r="O1609">
        <v>0</v>
      </c>
      <c r="P1609">
        <v>1.8</v>
      </c>
      <c r="Q1609" s="1">
        <v>1.8</v>
      </c>
      <c r="R1609">
        <v>3</v>
      </c>
      <c r="S1609" s="2">
        <v>45871</v>
      </c>
      <c r="T1609" s="2">
        <v>46049</v>
      </c>
      <c r="U1609">
        <v>0</v>
      </c>
      <c r="V1609">
        <v>0</v>
      </c>
      <c r="W1609">
        <v>0</v>
      </c>
      <c r="X1609">
        <v>0</v>
      </c>
      <c r="Y1609">
        <v>0</v>
      </c>
      <c r="Z1609" s="8">
        <v>0</v>
      </c>
      <c r="AA1609">
        <v>0</v>
      </c>
      <c r="AB1609" t="s">
        <v>1635</v>
      </c>
      <c r="AC1609" t="s">
        <v>1635</v>
      </c>
      <c r="AD1609" s="1" t="s">
        <v>1635</v>
      </c>
      <c r="AE1609" s="2" t="s">
        <v>1635</v>
      </c>
      <c r="AF1609" s="2" t="s">
        <v>1635</v>
      </c>
      <c r="AG1609" s="2" t="s">
        <v>1635</v>
      </c>
      <c r="AH1609">
        <v>0</v>
      </c>
      <c r="AI1609" s="3" t="s">
        <v>1635</v>
      </c>
      <c r="AJ1609" s="1" t="s">
        <v>1635</v>
      </c>
      <c r="AK1609" s="2" t="s">
        <v>1635</v>
      </c>
      <c r="AL1609" s="4" t="s">
        <v>1636</v>
      </c>
      <c r="AM1609" s="5" t="s">
        <v>1636</v>
      </c>
      <c r="AN1609" s="4">
        <v>0</v>
      </c>
      <c r="AO1609" t="s">
        <v>1635</v>
      </c>
      <c r="AP1609" s="4" t="s">
        <v>1636</v>
      </c>
      <c r="AQ1609" t="s">
        <v>1619</v>
      </c>
      <c r="AR1609" t="s">
        <v>1620</v>
      </c>
      <c r="AT1609" s="16" t="str">
        <f>_xlfn.XLOOKUP(B1609,'SWiSH Demand Forecast Sep-26'!D:D,'SWiSH Demand Forecast Sep-26'!G:G,"Not Exist")</f>
        <v>Not Exist</v>
      </c>
    </row>
    <row r="1610" spans="1:46" x14ac:dyDescent="0.3">
      <c r="A1610">
        <v>103700047</v>
      </c>
      <c r="B1610" t="s">
        <v>3452</v>
      </c>
      <c r="C1610" t="s">
        <v>136</v>
      </c>
      <c r="D1610" t="s">
        <v>1629</v>
      </c>
      <c r="E1610" t="s">
        <v>1819</v>
      </c>
      <c r="F1610" t="s">
        <v>1615</v>
      </c>
      <c r="G1610" t="s">
        <v>1704</v>
      </c>
      <c r="H1610" t="s">
        <v>1617</v>
      </c>
      <c r="I1610" t="s">
        <v>1618</v>
      </c>
      <c r="J1610" t="s">
        <v>136</v>
      </c>
      <c r="K1610">
        <v>2.5</v>
      </c>
      <c r="L1610">
        <v>0</v>
      </c>
      <c r="M1610" s="1">
        <v>3</v>
      </c>
      <c r="N1610">
        <v>0</v>
      </c>
      <c r="O1610">
        <v>0</v>
      </c>
      <c r="P1610">
        <v>0</v>
      </c>
      <c r="Q1610" s="1">
        <v>0</v>
      </c>
      <c r="R1610">
        <v>2.5</v>
      </c>
      <c r="S1610" s="2">
        <v>45871</v>
      </c>
      <c r="T1610" s="2">
        <v>46049</v>
      </c>
      <c r="U1610">
        <v>0</v>
      </c>
      <c r="V1610">
        <v>0</v>
      </c>
      <c r="W1610">
        <v>0</v>
      </c>
      <c r="X1610">
        <v>0</v>
      </c>
      <c r="Y1610">
        <v>0</v>
      </c>
      <c r="Z1610" s="8">
        <v>0</v>
      </c>
      <c r="AA1610">
        <v>0</v>
      </c>
      <c r="AB1610" t="s">
        <v>1635</v>
      </c>
      <c r="AC1610" t="s">
        <v>1635</v>
      </c>
      <c r="AD1610" s="1" t="s">
        <v>1635</v>
      </c>
      <c r="AE1610" s="2" t="s">
        <v>1635</v>
      </c>
      <c r="AF1610" s="2" t="s">
        <v>1635</v>
      </c>
      <c r="AG1610" s="2" t="s">
        <v>1635</v>
      </c>
      <c r="AH1610">
        <v>0</v>
      </c>
      <c r="AI1610" s="3" t="s">
        <v>1635</v>
      </c>
      <c r="AJ1610" s="1" t="s">
        <v>1635</v>
      </c>
      <c r="AK1610" s="2" t="s">
        <v>1635</v>
      </c>
      <c r="AL1610" s="4" t="s">
        <v>1636</v>
      </c>
      <c r="AM1610" s="5" t="s">
        <v>1636</v>
      </c>
      <c r="AN1610" s="4">
        <v>0</v>
      </c>
      <c r="AO1610" t="s">
        <v>1635</v>
      </c>
      <c r="AP1610" s="4" t="s">
        <v>1636</v>
      </c>
      <c r="AQ1610" t="s">
        <v>1619</v>
      </c>
      <c r="AR1610" t="s">
        <v>1620</v>
      </c>
      <c r="AT1610" s="16" t="str">
        <f>_xlfn.XLOOKUP(B1610,'SWiSH Demand Forecast Sep-26'!D:D,'SWiSH Demand Forecast Sep-26'!G:G,"Not Exist")</f>
        <v>Not Exist</v>
      </c>
    </row>
    <row r="1611" spans="1:46" x14ac:dyDescent="0.3">
      <c r="A1611">
        <v>103700083</v>
      </c>
      <c r="B1611" t="s">
        <v>3453</v>
      </c>
      <c r="C1611" t="s">
        <v>136</v>
      </c>
      <c r="D1611" t="s">
        <v>1629</v>
      </c>
      <c r="E1611" t="s">
        <v>1819</v>
      </c>
      <c r="F1611" t="s">
        <v>1615</v>
      </c>
      <c r="G1611" t="s">
        <v>1704</v>
      </c>
      <c r="H1611" t="s">
        <v>1617</v>
      </c>
      <c r="I1611" t="s">
        <v>1618</v>
      </c>
      <c r="J1611" t="s">
        <v>136</v>
      </c>
      <c r="K1611">
        <v>3</v>
      </c>
      <c r="L1611">
        <v>12</v>
      </c>
      <c r="M1611" s="1">
        <v>3</v>
      </c>
      <c r="N1611">
        <v>0</v>
      </c>
      <c r="O1611">
        <v>0</v>
      </c>
      <c r="P1611">
        <v>4</v>
      </c>
      <c r="Q1611" s="1">
        <v>4</v>
      </c>
      <c r="R1611">
        <v>3</v>
      </c>
      <c r="S1611" s="2">
        <v>45997</v>
      </c>
      <c r="T1611" s="2">
        <v>46049</v>
      </c>
      <c r="U1611">
        <v>0</v>
      </c>
      <c r="V1611">
        <v>0</v>
      </c>
      <c r="W1611">
        <v>0</v>
      </c>
      <c r="X1611">
        <v>0</v>
      </c>
      <c r="Y1611">
        <v>0</v>
      </c>
      <c r="Z1611" s="8">
        <v>0</v>
      </c>
      <c r="AA1611">
        <v>0</v>
      </c>
      <c r="AB1611" t="s">
        <v>1635</v>
      </c>
      <c r="AC1611" t="s">
        <v>1635</v>
      </c>
      <c r="AD1611" s="1" t="s">
        <v>1635</v>
      </c>
      <c r="AE1611" s="2" t="s">
        <v>1635</v>
      </c>
      <c r="AF1611" s="2" t="s">
        <v>1635</v>
      </c>
      <c r="AG1611" s="2" t="s">
        <v>1635</v>
      </c>
      <c r="AH1611">
        <v>0</v>
      </c>
      <c r="AI1611" s="3" t="s">
        <v>1635</v>
      </c>
      <c r="AJ1611" s="1" t="s">
        <v>1635</v>
      </c>
      <c r="AK1611" s="2" t="s">
        <v>1635</v>
      </c>
      <c r="AL1611" s="4" t="s">
        <v>1636</v>
      </c>
      <c r="AM1611" s="5" t="s">
        <v>1636</v>
      </c>
      <c r="AN1611" s="4">
        <v>0</v>
      </c>
      <c r="AO1611" t="s">
        <v>1635</v>
      </c>
      <c r="AP1611" s="4" t="s">
        <v>1636</v>
      </c>
      <c r="AQ1611" t="s">
        <v>1619</v>
      </c>
      <c r="AR1611" t="s">
        <v>1620</v>
      </c>
      <c r="AT1611" s="16" t="str">
        <f>_xlfn.XLOOKUP(B1611,'SWiSH Demand Forecast Sep-26'!D:D,'SWiSH Demand Forecast Sep-26'!G:G,"Not Exist")</f>
        <v>Not Exist</v>
      </c>
    </row>
    <row r="1612" spans="1:46" x14ac:dyDescent="0.3">
      <c r="A1612">
        <v>103700103</v>
      </c>
      <c r="B1612" t="s">
        <v>3454</v>
      </c>
      <c r="C1612" t="s">
        <v>136</v>
      </c>
      <c r="D1612" t="s">
        <v>1629</v>
      </c>
      <c r="E1612" t="s">
        <v>1819</v>
      </c>
      <c r="F1612" t="s">
        <v>1615</v>
      </c>
      <c r="G1612" t="s">
        <v>1678</v>
      </c>
      <c r="H1612" t="s">
        <v>1617</v>
      </c>
      <c r="I1612" t="s">
        <v>1618</v>
      </c>
      <c r="J1612" t="s">
        <v>136</v>
      </c>
      <c r="K1612">
        <v>2.5</v>
      </c>
      <c r="L1612">
        <v>0</v>
      </c>
      <c r="M1612" s="1">
        <v>3</v>
      </c>
      <c r="N1612">
        <v>0</v>
      </c>
      <c r="O1612">
        <v>0</v>
      </c>
      <c r="P1612">
        <v>0</v>
      </c>
      <c r="Q1612" s="1">
        <v>0</v>
      </c>
      <c r="R1612">
        <v>0.88200000000000001</v>
      </c>
      <c r="S1612" s="2">
        <v>45873</v>
      </c>
      <c r="T1612" s="2">
        <v>46090</v>
      </c>
      <c r="U1612">
        <v>0</v>
      </c>
      <c r="V1612">
        <v>0</v>
      </c>
      <c r="W1612">
        <v>0</v>
      </c>
      <c r="X1612">
        <v>0</v>
      </c>
      <c r="Y1612">
        <v>0</v>
      </c>
      <c r="Z1612" s="8">
        <v>0</v>
      </c>
      <c r="AA1612">
        <v>0</v>
      </c>
      <c r="AB1612" t="s">
        <v>1635</v>
      </c>
      <c r="AC1612" t="s">
        <v>1635</v>
      </c>
      <c r="AD1612" s="1" t="s">
        <v>1635</v>
      </c>
      <c r="AE1612" s="2" t="s">
        <v>1635</v>
      </c>
      <c r="AF1612" s="2" t="s">
        <v>1635</v>
      </c>
      <c r="AG1612" s="2" t="s">
        <v>1635</v>
      </c>
      <c r="AH1612">
        <v>0</v>
      </c>
      <c r="AI1612" s="3" t="s">
        <v>1635</v>
      </c>
      <c r="AJ1612" s="1" t="s">
        <v>1635</v>
      </c>
      <c r="AK1612" s="2" t="s">
        <v>1635</v>
      </c>
      <c r="AL1612" s="4" t="s">
        <v>1636</v>
      </c>
      <c r="AM1612" s="5" t="s">
        <v>1636</v>
      </c>
      <c r="AN1612" s="4">
        <v>0</v>
      </c>
      <c r="AO1612" t="s">
        <v>1635</v>
      </c>
      <c r="AP1612" s="4" t="s">
        <v>1636</v>
      </c>
      <c r="AQ1612" t="s">
        <v>1619</v>
      </c>
      <c r="AR1612" t="s">
        <v>1620</v>
      </c>
      <c r="AT1612" s="16" t="str">
        <f>_xlfn.XLOOKUP(B1612,'SWiSH Demand Forecast Sep-26'!D:D,'SWiSH Demand Forecast Sep-26'!G:G,"Not Exist")</f>
        <v>Not Exist</v>
      </c>
    </row>
    <row r="1613" spans="1:46" x14ac:dyDescent="0.3">
      <c r="A1613">
        <v>103700074</v>
      </c>
      <c r="B1613" t="s">
        <v>3455</v>
      </c>
      <c r="C1613" t="s">
        <v>136</v>
      </c>
      <c r="D1613" t="s">
        <v>1629</v>
      </c>
      <c r="E1613" t="s">
        <v>1879</v>
      </c>
      <c r="F1613" t="s">
        <v>1615</v>
      </c>
      <c r="G1613" t="s">
        <v>1678</v>
      </c>
      <c r="H1613" t="s">
        <v>1617</v>
      </c>
      <c r="I1613" t="s">
        <v>1618</v>
      </c>
      <c r="J1613" t="s">
        <v>136</v>
      </c>
      <c r="K1613">
        <v>3.4580000000000002</v>
      </c>
      <c r="L1613">
        <v>0</v>
      </c>
      <c r="M1613" s="1">
        <v>3</v>
      </c>
      <c r="N1613">
        <v>0</v>
      </c>
      <c r="O1613">
        <v>0</v>
      </c>
      <c r="P1613">
        <v>0</v>
      </c>
      <c r="Q1613" s="1">
        <v>0</v>
      </c>
      <c r="R1613">
        <v>0</v>
      </c>
      <c r="S1613" s="2">
        <v>45873</v>
      </c>
      <c r="T1613" s="2">
        <v>46053</v>
      </c>
      <c r="U1613">
        <v>0</v>
      </c>
      <c r="V1613">
        <v>0</v>
      </c>
      <c r="W1613">
        <v>0</v>
      </c>
      <c r="X1613">
        <v>0</v>
      </c>
      <c r="Y1613">
        <v>0</v>
      </c>
      <c r="Z1613" s="8">
        <v>0</v>
      </c>
      <c r="AA1613">
        <v>0</v>
      </c>
      <c r="AB1613" t="s">
        <v>1635</v>
      </c>
      <c r="AC1613" t="s">
        <v>1635</v>
      </c>
      <c r="AD1613" s="1" t="s">
        <v>1635</v>
      </c>
      <c r="AE1613" s="2" t="s">
        <v>1635</v>
      </c>
      <c r="AF1613" s="2" t="s">
        <v>1635</v>
      </c>
      <c r="AG1613" s="2" t="s">
        <v>1635</v>
      </c>
      <c r="AH1613">
        <v>0</v>
      </c>
      <c r="AI1613" s="3" t="s">
        <v>1635</v>
      </c>
      <c r="AJ1613" s="1" t="s">
        <v>1635</v>
      </c>
      <c r="AK1613" s="2" t="s">
        <v>1635</v>
      </c>
      <c r="AL1613" s="4" t="s">
        <v>1636</v>
      </c>
      <c r="AM1613" s="5" t="s">
        <v>1636</v>
      </c>
      <c r="AN1613" s="4">
        <v>0</v>
      </c>
      <c r="AO1613" t="s">
        <v>1635</v>
      </c>
      <c r="AP1613" s="4" t="s">
        <v>1636</v>
      </c>
      <c r="AQ1613" t="s">
        <v>1619</v>
      </c>
      <c r="AR1613" t="s">
        <v>1620</v>
      </c>
      <c r="AT1613" s="16" t="str">
        <f>_xlfn.XLOOKUP(B1613,'SWiSH Demand Forecast Sep-26'!D:D,'SWiSH Demand Forecast Sep-26'!G:G,"Not Exist")</f>
        <v>Not Exist</v>
      </c>
    </row>
    <row r="1614" spans="1:46" x14ac:dyDescent="0.3">
      <c r="A1614">
        <v>105200070</v>
      </c>
      <c r="B1614" t="s">
        <v>3456</v>
      </c>
      <c r="C1614" t="s">
        <v>10</v>
      </c>
      <c r="D1614" t="s">
        <v>1955</v>
      </c>
      <c r="E1614" t="s">
        <v>1655</v>
      </c>
      <c r="F1614" t="s">
        <v>1664</v>
      </c>
      <c r="G1614" t="s">
        <v>1704</v>
      </c>
      <c r="H1614" t="s">
        <v>1779</v>
      </c>
      <c r="I1614" t="s">
        <v>1634</v>
      </c>
      <c r="J1614" t="s">
        <v>10</v>
      </c>
      <c r="K1614">
        <v>5.5E-2</v>
      </c>
      <c r="L1614">
        <v>27.5</v>
      </c>
      <c r="M1614" s="1">
        <v>30</v>
      </c>
      <c r="N1614">
        <v>0</v>
      </c>
      <c r="O1614">
        <v>0</v>
      </c>
      <c r="P1614">
        <v>500</v>
      </c>
      <c r="Q1614" s="1">
        <v>500</v>
      </c>
      <c r="R1614">
        <v>0</v>
      </c>
      <c r="S1614" s="2">
        <v>45873</v>
      </c>
      <c r="T1614" s="2">
        <v>46105</v>
      </c>
      <c r="U1614">
        <v>0</v>
      </c>
      <c r="V1614">
        <v>0</v>
      </c>
      <c r="W1614">
        <v>0</v>
      </c>
      <c r="X1614">
        <v>0</v>
      </c>
      <c r="Y1614">
        <v>0</v>
      </c>
      <c r="Z1614" s="8">
        <v>0</v>
      </c>
      <c r="AA1614">
        <v>0</v>
      </c>
      <c r="AB1614" t="s">
        <v>1635</v>
      </c>
      <c r="AC1614" t="s">
        <v>1635</v>
      </c>
      <c r="AD1614" s="1" t="s">
        <v>1635</v>
      </c>
      <c r="AE1614" s="2" t="s">
        <v>1635</v>
      </c>
      <c r="AF1614" s="2" t="s">
        <v>1635</v>
      </c>
      <c r="AG1614" s="2" t="s">
        <v>1635</v>
      </c>
      <c r="AH1614">
        <v>0</v>
      </c>
      <c r="AI1614" s="3" t="s">
        <v>1635</v>
      </c>
      <c r="AJ1614" s="1" t="s">
        <v>1635</v>
      </c>
      <c r="AK1614" s="2" t="s">
        <v>1635</v>
      </c>
      <c r="AL1614" s="4" t="s">
        <v>1658</v>
      </c>
      <c r="AM1614" s="5" t="s">
        <v>1658</v>
      </c>
      <c r="AN1614" s="4">
        <v>0</v>
      </c>
      <c r="AO1614" t="s">
        <v>1635</v>
      </c>
      <c r="AP1614" s="4" t="s">
        <v>1658</v>
      </c>
      <c r="AQ1614" t="s">
        <v>1619</v>
      </c>
      <c r="AR1614" t="s">
        <v>1620</v>
      </c>
      <c r="AT1614" s="16" t="str">
        <f>_xlfn.XLOOKUP(B1614,'SWiSH Demand Forecast Sep-26'!D:D,'SWiSH Demand Forecast Sep-26'!G:G,"Not Exist")</f>
        <v>Not Exist</v>
      </c>
    </row>
    <row r="1615" spans="1:46" x14ac:dyDescent="0.3">
      <c r="A1615">
        <v>106600065</v>
      </c>
      <c r="B1615" t="s">
        <v>3457</v>
      </c>
      <c r="C1615" t="s">
        <v>10</v>
      </c>
      <c r="D1615" t="s">
        <v>1955</v>
      </c>
      <c r="E1615" t="s">
        <v>1685</v>
      </c>
      <c r="F1615" t="s">
        <v>1664</v>
      </c>
      <c r="G1615" t="s">
        <v>1704</v>
      </c>
      <c r="H1615" t="s">
        <v>1723</v>
      </c>
      <c r="I1615" t="s">
        <v>1634</v>
      </c>
      <c r="J1615" t="s">
        <v>10</v>
      </c>
      <c r="K1615">
        <v>1.227E-2</v>
      </c>
      <c r="L1615">
        <v>6.1349999999999998</v>
      </c>
      <c r="M1615" s="1">
        <v>7</v>
      </c>
      <c r="N1615">
        <v>0</v>
      </c>
      <c r="O1615">
        <v>0</v>
      </c>
      <c r="P1615">
        <v>500</v>
      </c>
      <c r="Q1615" s="1">
        <v>500</v>
      </c>
      <c r="R1615">
        <v>1.227E-2</v>
      </c>
      <c r="S1615" s="2">
        <v>46071</v>
      </c>
      <c r="T1615" s="2">
        <v>46107</v>
      </c>
      <c r="U1615">
        <v>0</v>
      </c>
      <c r="V1615">
        <v>0</v>
      </c>
      <c r="W1615">
        <v>0</v>
      </c>
      <c r="X1615">
        <v>0</v>
      </c>
      <c r="Y1615">
        <v>0</v>
      </c>
      <c r="Z1615" s="8">
        <v>0</v>
      </c>
      <c r="AA1615">
        <v>0</v>
      </c>
      <c r="AB1615" t="s">
        <v>1635</v>
      </c>
      <c r="AC1615" t="s">
        <v>1635</v>
      </c>
      <c r="AD1615" s="1" t="s">
        <v>1635</v>
      </c>
      <c r="AE1615" s="2" t="s">
        <v>1635</v>
      </c>
      <c r="AF1615" s="2" t="s">
        <v>1635</v>
      </c>
      <c r="AG1615" s="2" t="s">
        <v>1635</v>
      </c>
      <c r="AH1615">
        <v>0</v>
      </c>
      <c r="AI1615" s="3" t="s">
        <v>1635</v>
      </c>
      <c r="AJ1615" s="1" t="s">
        <v>1635</v>
      </c>
      <c r="AK1615" s="2" t="s">
        <v>1635</v>
      </c>
      <c r="AL1615" s="4" t="s">
        <v>1658</v>
      </c>
      <c r="AM1615" s="5" t="s">
        <v>1658</v>
      </c>
      <c r="AN1615" s="4">
        <v>0</v>
      </c>
      <c r="AO1615" t="s">
        <v>1635</v>
      </c>
      <c r="AP1615" s="4" t="s">
        <v>1658</v>
      </c>
      <c r="AQ1615" t="s">
        <v>1619</v>
      </c>
      <c r="AR1615" t="s">
        <v>1620</v>
      </c>
      <c r="AT1615" s="16" t="str">
        <f>_xlfn.XLOOKUP(B1615,'SWiSH Demand Forecast Sep-26'!D:D,'SWiSH Demand Forecast Sep-26'!G:G,"Not Exist")</f>
        <v>Not Exist</v>
      </c>
    </row>
    <row r="1616" spans="1:46" x14ac:dyDescent="0.3">
      <c r="A1616">
        <v>100100053</v>
      </c>
      <c r="B1616" t="s">
        <v>3458</v>
      </c>
      <c r="C1616" t="s">
        <v>136</v>
      </c>
      <c r="D1616" t="s">
        <v>1629</v>
      </c>
      <c r="E1616" t="e">
        <v>#N/A</v>
      </c>
      <c r="F1616" t="s">
        <v>1941</v>
      </c>
      <c r="G1616" t="s">
        <v>1704</v>
      </c>
      <c r="H1616" t="s">
        <v>1877</v>
      </c>
      <c r="I1616" t="s">
        <v>1618</v>
      </c>
      <c r="J1616" t="s">
        <v>136</v>
      </c>
      <c r="K1616">
        <v>2</v>
      </c>
      <c r="L1616">
        <v>0</v>
      </c>
      <c r="M1616" s="1">
        <v>3</v>
      </c>
      <c r="N1616">
        <v>0</v>
      </c>
      <c r="O1616">
        <v>0</v>
      </c>
      <c r="P1616">
        <v>0</v>
      </c>
      <c r="Q1616" s="1">
        <v>0</v>
      </c>
      <c r="R1616">
        <v>2</v>
      </c>
      <c r="S1616" s="2">
        <v>45774</v>
      </c>
      <c r="T1616" s="2">
        <v>45258</v>
      </c>
      <c r="U1616">
        <v>0</v>
      </c>
      <c r="V1616">
        <v>0</v>
      </c>
      <c r="W1616">
        <v>0</v>
      </c>
      <c r="X1616">
        <v>0</v>
      </c>
      <c r="Y1616">
        <v>0</v>
      </c>
      <c r="Z1616" s="8">
        <v>0</v>
      </c>
      <c r="AA1616">
        <v>0</v>
      </c>
      <c r="AB1616" t="s">
        <v>1635</v>
      </c>
      <c r="AC1616" t="s">
        <v>1635</v>
      </c>
      <c r="AD1616" s="1" t="s">
        <v>1635</v>
      </c>
      <c r="AE1616" s="2" t="s">
        <v>1635</v>
      </c>
      <c r="AF1616" s="2" t="s">
        <v>1635</v>
      </c>
      <c r="AG1616" s="2" t="s">
        <v>1635</v>
      </c>
      <c r="AH1616">
        <v>0</v>
      </c>
      <c r="AI1616" s="3" t="s">
        <v>1635</v>
      </c>
      <c r="AJ1616" s="1" t="s">
        <v>1635</v>
      </c>
      <c r="AK1616" s="2" t="s">
        <v>1635</v>
      </c>
      <c r="AL1616" s="4" t="s">
        <v>1636</v>
      </c>
      <c r="AM1616" s="5" t="s">
        <v>1636</v>
      </c>
      <c r="AN1616" s="4">
        <v>0</v>
      </c>
      <c r="AO1616" t="s">
        <v>1635</v>
      </c>
      <c r="AP1616" s="4" t="s">
        <v>1636</v>
      </c>
      <c r="AQ1616" t="s">
        <v>1619</v>
      </c>
      <c r="AR1616" t="s">
        <v>1620</v>
      </c>
      <c r="AT1616" s="16" t="str">
        <f>_xlfn.XLOOKUP(B1616,'SWiSH Demand Forecast Sep-26'!D:D,'SWiSH Demand Forecast Sep-26'!G:G,"Not Exist")</f>
        <v>Not Exist</v>
      </c>
    </row>
    <row r="1617" spans="1:46" x14ac:dyDescent="0.3">
      <c r="A1617">
        <v>106300079</v>
      </c>
      <c r="B1617" t="s">
        <v>3459</v>
      </c>
      <c r="C1617" t="s">
        <v>136</v>
      </c>
      <c r="D1617" t="s">
        <v>1629</v>
      </c>
      <c r="E1617" t="s">
        <v>1685</v>
      </c>
      <c r="F1617" t="s">
        <v>1615</v>
      </c>
      <c r="G1617" t="s">
        <v>1690</v>
      </c>
      <c r="H1617" t="s">
        <v>1860</v>
      </c>
      <c r="I1617" t="s">
        <v>1618</v>
      </c>
      <c r="J1617" t="s">
        <v>136</v>
      </c>
      <c r="K1617">
        <v>5.9210555600000001</v>
      </c>
      <c r="L1617">
        <v>0</v>
      </c>
      <c r="M1617" s="1">
        <v>3</v>
      </c>
      <c r="N1617">
        <v>0</v>
      </c>
      <c r="O1617">
        <v>0</v>
      </c>
      <c r="P1617">
        <v>0</v>
      </c>
      <c r="Q1617" s="1">
        <v>0</v>
      </c>
      <c r="R1617">
        <v>8.1</v>
      </c>
      <c r="S1617" s="2">
        <v>46239</v>
      </c>
      <c r="T1617" s="2">
        <v>46242</v>
      </c>
      <c r="U1617">
        <v>0</v>
      </c>
      <c r="V1617">
        <v>0</v>
      </c>
      <c r="W1617">
        <v>0</v>
      </c>
      <c r="X1617">
        <v>0</v>
      </c>
      <c r="Y1617">
        <v>0</v>
      </c>
      <c r="Z1617" s="8">
        <v>0</v>
      </c>
      <c r="AA1617">
        <v>0</v>
      </c>
      <c r="AB1617" t="s">
        <v>1635</v>
      </c>
      <c r="AC1617" t="s">
        <v>1635</v>
      </c>
      <c r="AD1617" s="1" t="s">
        <v>1635</v>
      </c>
      <c r="AE1617" s="2" t="s">
        <v>1635</v>
      </c>
      <c r="AF1617" s="2" t="s">
        <v>1635</v>
      </c>
      <c r="AG1617" s="2" t="s">
        <v>1635</v>
      </c>
      <c r="AH1617">
        <v>5</v>
      </c>
      <c r="AI1617" s="3" t="s">
        <v>1635</v>
      </c>
      <c r="AJ1617" s="1">
        <v>0</v>
      </c>
      <c r="AK1617" s="2">
        <v>46263</v>
      </c>
      <c r="AL1617" s="4" t="s">
        <v>1636</v>
      </c>
      <c r="AM1617" s="5" t="s">
        <v>1636</v>
      </c>
      <c r="AN1617" s="4">
        <v>0</v>
      </c>
      <c r="AO1617" t="s">
        <v>1635</v>
      </c>
      <c r="AP1617" s="4" t="s">
        <v>1636</v>
      </c>
      <c r="AQ1617" t="s">
        <v>1619</v>
      </c>
      <c r="AR1617" t="s">
        <v>1620</v>
      </c>
      <c r="AT1617" s="16" t="str">
        <f>_xlfn.XLOOKUP(B1617,'SWiSH Demand Forecast Sep-26'!D:D,'SWiSH Demand Forecast Sep-26'!G:G,"Not Exist")</f>
        <v>Not Exist</v>
      </c>
    </row>
    <row r="1618" spans="1:46" x14ac:dyDescent="0.3">
      <c r="A1618">
        <v>100400058</v>
      </c>
      <c r="B1618" t="s">
        <v>3460</v>
      </c>
      <c r="C1618" t="s">
        <v>10</v>
      </c>
      <c r="D1618" t="s">
        <v>1629</v>
      </c>
      <c r="E1618" t="s">
        <v>2483</v>
      </c>
      <c r="F1618" t="s">
        <v>1664</v>
      </c>
      <c r="G1618" t="s">
        <v>1704</v>
      </c>
      <c r="H1618" t="s">
        <v>1810</v>
      </c>
      <c r="I1618" t="s">
        <v>1634</v>
      </c>
      <c r="J1618" t="s">
        <v>10</v>
      </c>
      <c r="K1618">
        <v>4.4999999999999998E-2</v>
      </c>
      <c r="L1618">
        <v>0</v>
      </c>
      <c r="M1618" s="1">
        <v>30</v>
      </c>
      <c r="N1618">
        <v>0</v>
      </c>
      <c r="O1618">
        <v>0</v>
      </c>
      <c r="P1618">
        <v>0</v>
      </c>
      <c r="Q1618" s="1">
        <v>0</v>
      </c>
      <c r="R1618">
        <v>7.1999999999999995E-2</v>
      </c>
      <c r="S1618" s="2">
        <v>44599</v>
      </c>
      <c r="T1618" s="2">
        <v>46054</v>
      </c>
      <c r="U1618">
        <v>0</v>
      </c>
      <c r="V1618">
        <v>0</v>
      </c>
      <c r="W1618">
        <v>0</v>
      </c>
      <c r="X1618">
        <v>0</v>
      </c>
      <c r="Y1618">
        <v>0</v>
      </c>
      <c r="Z1618" s="8">
        <v>0</v>
      </c>
      <c r="AA1618">
        <v>0</v>
      </c>
      <c r="AB1618" t="s">
        <v>1635</v>
      </c>
      <c r="AC1618" t="s">
        <v>1635</v>
      </c>
      <c r="AD1618" s="1" t="s">
        <v>1635</v>
      </c>
      <c r="AE1618" s="2" t="s">
        <v>1635</v>
      </c>
      <c r="AF1618" s="2" t="s">
        <v>1635</v>
      </c>
      <c r="AG1618" s="2" t="s">
        <v>1635</v>
      </c>
      <c r="AH1618">
        <v>0</v>
      </c>
      <c r="AI1618" s="3" t="s">
        <v>1635</v>
      </c>
      <c r="AJ1618" s="1" t="s">
        <v>1635</v>
      </c>
      <c r="AK1618" s="2" t="s">
        <v>1635</v>
      </c>
      <c r="AL1618" s="4" t="s">
        <v>1636</v>
      </c>
      <c r="AM1618" s="5" t="s">
        <v>1636</v>
      </c>
      <c r="AN1618" s="4">
        <v>0</v>
      </c>
      <c r="AO1618" t="s">
        <v>1635</v>
      </c>
      <c r="AP1618" s="4" t="s">
        <v>1636</v>
      </c>
      <c r="AQ1618" t="s">
        <v>1619</v>
      </c>
      <c r="AR1618" t="s">
        <v>1620</v>
      </c>
      <c r="AT1618" s="16" t="str">
        <f>_xlfn.XLOOKUP(B1618,'SWiSH Demand Forecast Sep-26'!D:D,'SWiSH Demand Forecast Sep-26'!G:G,"Not Exist")</f>
        <v>Not Exist</v>
      </c>
    </row>
    <row r="1619" spans="1:46" x14ac:dyDescent="0.3">
      <c r="A1619">
        <v>106300038</v>
      </c>
      <c r="B1619" t="s">
        <v>3461</v>
      </c>
      <c r="C1619" t="s">
        <v>136</v>
      </c>
      <c r="D1619" t="s">
        <v>1629</v>
      </c>
      <c r="E1619" t="s">
        <v>1685</v>
      </c>
      <c r="F1619" t="s">
        <v>1840</v>
      </c>
      <c r="G1619" t="s">
        <v>1616</v>
      </c>
      <c r="H1619" t="s">
        <v>1860</v>
      </c>
      <c r="I1619" t="s">
        <v>1618</v>
      </c>
      <c r="J1619" t="s">
        <v>136</v>
      </c>
      <c r="K1619">
        <v>8.7466699999999999</v>
      </c>
      <c r="L1619">
        <v>26.240009999999998</v>
      </c>
      <c r="M1619" s="1">
        <v>3</v>
      </c>
      <c r="N1619">
        <v>0</v>
      </c>
      <c r="O1619">
        <v>0</v>
      </c>
      <c r="P1619">
        <v>3</v>
      </c>
      <c r="Q1619" s="1">
        <v>3</v>
      </c>
      <c r="R1619">
        <v>8.1999999999999993</v>
      </c>
      <c r="S1619" s="2">
        <v>46233</v>
      </c>
      <c r="T1619" s="2">
        <v>45808</v>
      </c>
      <c r="U1619">
        <v>0</v>
      </c>
      <c r="V1619">
        <v>0</v>
      </c>
      <c r="W1619">
        <v>0</v>
      </c>
      <c r="X1619">
        <v>0</v>
      </c>
      <c r="Y1619">
        <v>0</v>
      </c>
      <c r="Z1619" s="8">
        <v>0</v>
      </c>
      <c r="AA1619">
        <v>0</v>
      </c>
      <c r="AB1619" t="s">
        <v>1635</v>
      </c>
      <c r="AC1619" t="s">
        <v>1635</v>
      </c>
      <c r="AD1619" s="1" t="s">
        <v>1635</v>
      </c>
      <c r="AE1619" s="2" t="s">
        <v>1635</v>
      </c>
      <c r="AF1619" s="2" t="s">
        <v>1635</v>
      </c>
      <c r="AG1619" s="2" t="s">
        <v>1635</v>
      </c>
      <c r="AH1619">
        <v>0</v>
      </c>
      <c r="AI1619" s="3" t="s">
        <v>1635</v>
      </c>
      <c r="AJ1619" s="1" t="s">
        <v>1635</v>
      </c>
      <c r="AK1619" s="2" t="s">
        <v>1635</v>
      </c>
      <c r="AL1619" s="4" t="s">
        <v>1636</v>
      </c>
      <c r="AM1619" s="5" t="s">
        <v>1636</v>
      </c>
      <c r="AN1619" s="4">
        <v>0</v>
      </c>
      <c r="AO1619" t="s">
        <v>1635</v>
      </c>
      <c r="AP1619" s="4" t="s">
        <v>1636</v>
      </c>
      <c r="AQ1619" t="s">
        <v>1619</v>
      </c>
      <c r="AR1619" t="s">
        <v>1620</v>
      </c>
      <c r="AT1619" s="16" t="str">
        <f>_xlfn.XLOOKUP(B1619,'SWiSH Demand Forecast Sep-26'!D:D,'SWiSH Demand Forecast Sep-26'!G:G,"Not Exist")</f>
        <v>Not Exist</v>
      </c>
    </row>
    <row r="1620" spans="1:46" x14ac:dyDescent="0.3">
      <c r="A1620">
        <v>103700081</v>
      </c>
      <c r="B1620" t="s">
        <v>3462</v>
      </c>
      <c r="C1620" t="s">
        <v>136</v>
      </c>
      <c r="D1620" t="s">
        <v>1629</v>
      </c>
      <c r="E1620" t="s">
        <v>1732</v>
      </c>
      <c r="F1620" t="s">
        <v>1615</v>
      </c>
      <c r="G1620" t="s">
        <v>1690</v>
      </c>
      <c r="H1620" t="s">
        <v>1617</v>
      </c>
      <c r="I1620" t="s">
        <v>1618</v>
      </c>
      <c r="J1620" t="s">
        <v>136</v>
      </c>
      <c r="K1620">
        <v>14.8</v>
      </c>
      <c r="L1620">
        <v>0</v>
      </c>
      <c r="M1620" s="1">
        <v>3</v>
      </c>
      <c r="N1620">
        <v>0</v>
      </c>
      <c r="O1620">
        <v>0</v>
      </c>
      <c r="P1620">
        <v>0</v>
      </c>
      <c r="Q1620" s="1">
        <v>0</v>
      </c>
      <c r="R1620">
        <v>8</v>
      </c>
      <c r="S1620" s="2">
        <v>45774</v>
      </c>
      <c r="T1620" s="2">
        <v>45837</v>
      </c>
      <c r="U1620">
        <v>0</v>
      </c>
      <c r="V1620">
        <v>0</v>
      </c>
      <c r="W1620">
        <v>0</v>
      </c>
      <c r="X1620">
        <v>0</v>
      </c>
      <c r="Y1620">
        <v>0</v>
      </c>
      <c r="Z1620" s="8">
        <v>0</v>
      </c>
      <c r="AA1620">
        <v>0</v>
      </c>
      <c r="AB1620" t="s">
        <v>1635</v>
      </c>
      <c r="AC1620" t="s">
        <v>1635</v>
      </c>
      <c r="AD1620" s="1" t="s">
        <v>1635</v>
      </c>
      <c r="AE1620" s="2" t="s">
        <v>1635</v>
      </c>
      <c r="AF1620" s="2" t="s">
        <v>1635</v>
      </c>
      <c r="AG1620" s="2" t="s">
        <v>1635</v>
      </c>
      <c r="AH1620">
        <v>0</v>
      </c>
      <c r="AI1620" s="3" t="s">
        <v>1635</v>
      </c>
      <c r="AJ1620" s="1" t="s">
        <v>1635</v>
      </c>
      <c r="AK1620" s="2" t="s">
        <v>1635</v>
      </c>
      <c r="AL1620" s="4" t="s">
        <v>1636</v>
      </c>
      <c r="AM1620" s="5" t="s">
        <v>1636</v>
      </c>
      <c r="AN1620" s="4">
        <v>0</v>
      </c>
      <c r="AO1620" t="s">
        <v>1635</v>
      </c>
      <c r="AP1620" s="4" t="s">
        <v>1636</v>
      </c>
      <c r="AQ1620" t="s">
        <v>1619</v>
      </c>
      <c r="AR1620" t="s">
        <v>1620</v>
      </c>
      <c r="AT1620" s="16" t="str">
        <f>_xlfn.XLOOKUP(B1620,'SWiSH Demand Forecast Sep-26'!D:D,'SWiSH Demand Forecast Sep-26'!G:G,"Not Exist")</f>
        <v>Not Exist</v>
      </c>
    </row>
    <row r="1621" spans="1:46" x14ac:dyDescent="0.3">
      <c r="A1621" t="s">
        <v>3321</v>
      </c>
      <c r="B1621" t="s">
        <v>3463</v>
      </c>
      <c r="C1621" t="s">
        <v>136</v>
      </c>
      <c r="D1621" t="s">
        <v>1629</v>
      </c>
      <c r="E1621" t="s">
        <v>1832</v>
      </c>
      <c r="F1621" t="s">
        <v>1927</v>
      </c>
      <c r="G1621" t="e">
        <v>#N/A</v>
      </c>
      <c r="H1621" t="s">
        <v>1860</v>
      </c>
      <c r="I1621" t="s">
        <v>1618</v>
      </c>
      <c r="J1621" t="e">
        <v>#N/A</v>
      </c>
      <c r="K1621" t="e">
        <v>#N/A</v>
      </c>
      <c r="L1621" t="e">
        <v>#N/A</v>
      </c>
      <c r="M1621" s="1">
        <v>3</v>
      </c>
      <c r="N1621">
        <v>0</v>
      </c>
      <c r="O1621">
        <v>0</v>
      </c>
      <c r="P1621">
        <v>0</v>
      </c>
      <c r="Q1621" s="1">
        <v>0</v>
      </c>
      <c r="R1621" t="e">
        <v>#N/A</v>
      </c>
      <c r="S1621" s="2" t="e">
        <v>#N/A</v>
      </c>
      <c r="T1621" s="2" t="e">
        <v>#N/A</v>
      </c>
      <c r="U1621">
        <v>0</v>
      </c>
      <c r="V1621">
        <v>0</v>
      </c>
      <c r="W1621">
        <v>0</v>
      </c>
      <c r="X1621">
        <v>0</v>
      </c>
      <c r="Y1621">
        <v>0</v>
      </c>
      <c r="Z1621" s="8">
        <v>0</v>
      </c>
      <c r="AA1621">
        <v>0</v>
      </c>
      <c r="AB1621" t="s">
        <v>1635</v>
      </c>
      <c r="AC1621" t="s">
        <v>1635</v>
      </c>
      <c r="AD1621" s="1" t="s">
        <v>1635</v>
      </c>
      <c r="AE1621" s="2" t="s">
        <v>1635</v>
      </c>
      <c r="AF1621" s="2" t="s">
        <v>1635</v>
      </c>
      <c r="AG1621" s="2" t="s">
        <v>1635</v>
      </c>
      <c r="AH1621">
        <v>0</v>
      </c>
      <c r="AI1621" s="3" t="s">
        <v>1635</v>
      </c>
      <c r="AJ1621" s="1" t="s">
        <v>1635</v>
      </c>
      <c r="AK1621" s="2" t="s">
        <v>1635</v>
      </c>
      <c r="AL1621" s="4" t="s">
        <v>1636</v>
      </c>
      <c r="AM1621" s="5" t="s">
        <v>1636</v>
      </c>
      <c r="AN1621" s="4">
        <v>0</v>
      </c>
      <c r="AO1621" t="s">
        <v>1635</v>
      </c>
      <c r="AP1621" s="4" t="s">
        <v>1636</v>
      </c>
      <c r="AQ1621" t="s">
        <v>1619</v>
      </c>
      <c r="AR1621" t="s">
        <v>1620</v>
      </c>
      <c r="AT1621" s="16" t="str">
        <f>_xlfn.XLOOKUP(B1621,'SWiSH Demand Forecast Sep-26'!D:D,'SWiSH Demand Forecast Sep-26'!G:G,"Not Exist")</f>
        <v>Not Exist</v>
      </c>
    </row>
    <row r="1622" spans="1:46" x14ac:dyDescent="0.3">
      <c r="A1622">
        <v>106200098</v>
      </c>
      <c r="B1622" t="s">
        <v>3464</v>
      </c>
      <c r="C1622" t="s">
        <v>240</v>
      </c>
      <c r="D1622" t="s">
        <v>1629</v>
      </c>
      <c r="E1622" t="s">
        <v>1819</v>
      </c>
      <c r="F1622" t="s">
        <v>1671</v>
      </c>
      <c r="G1622" t="s">
        <v>1704</v>
      </c>
      <c r="H1622" t="s">
        <v>1672</v>
      </c>
      <c r="I1622" t="s">
        <v>1618</v>
      </c>
      <c r="J1622" t="e">
        <v>#N/A</v>
      </c>
      <c r="K1622">
        <v>4.4000000000000004</v>
      </c>
      <c r="L1622">
        <v>0</v>
      </c>
      <c r="M1622" s="1">
        <v>3</v>
      </c>
      <c r="N1622">
        <v>0</v>
      </c>
      <c r="O1622">
        <v>0</v>
      </c>
      <c r="P1622">
        <v>0</v>
      </c>
      <c r="Q1622" s="1">
        <v>0</v>
      </c>
      <c r="R1622">
        <v>1.1000000000000001</v>
      </c>
      <c r="S1622" s="2">
        <v>45271</v>
      </c>
      <c r="T1622" s="2">
        <v>45804</v>
      </c>
      <c r="U1622">
        <v>0</v>
      </c>
      <c r="V1622">
        <v>0</v>
      </c>
      <c r="W1622">
        <v>0</v>
      </c>
      <c r="X1622">
        <v>0</v>
      </c>
      <c r="Y1622">
        <v>0</v>
      </c>
      <c r="Z1622" s="8">
        <v>0</v>
      </c>
      <c r="AA1622">
        <v>0</v>
      </c>
      <c r="AB1622" t="s">
        <v>1635</v>
      </c>
      <c r="AC1622" t="s">
        <v>1635</v>
      </c>
      <c r="AD1622" s="1" t="s">
        <v>1635</v>
      </c>
      <c r="AE1622" s="2" t="s">
        <v>1635</v>
      </c>
      <c r="AF1622" s="2" t="s">
        <v>1635</v>
      </c>
      <c r="AG1622" s="2" t="s">
        <v>1635</v>
      </c>
      <c r="AH1622">
        <v>0</v>
      </c>
      <c r="AI1622" s="3" t="s">
        <v>1635</v>
      </c>
      <c r="AJ1622" s="1" t="s">
        <v>1635</v>
      </c>
      <c r="AK1622" s="2" t="s">
        <v>1635</v>
      </c>
      <c r="AL1622" s="4" t="s">
        <v>1636</v>
      </c>
      <c r="AM1622" s="5" t="s">
        <v>1636</v>
      </c>
      <c r="AN1622" s="4">
        <v>0</v>
      </c>
      <c r="AO1622" t="s">
        <v>1635</v>
      </c>
      <c r="AP1622" s="4" t="s">
        <v>1636</v>
      </c>
      <c r="AQ1622" t="s">
        <v>1619</v>
      </c>
      <c r="AR1622" t="s">
        <v>1620</v>
      </c>
      <c r="AT1622" s="16" t="str">
        <f>_xlfn.XLOOKUP(B1622,'SWiSH Demand Forecast Sep-26'!D:D,'SWiSH Demand Forecast Sep-26'!G:G,"Not Exist")</f>
        <v>Not Exist</v>
      </c>
    </row>
    <row r="1623" spans="1:46" x14ac:dyDescent="0.3">
      <c r="A1623" t="s">
        <v>3321</v>
      </c>
      <c r="B1623" t="s">
        <v>3465</v>
      </c>
      <c r="C1623" t="s">
        <v>136</v>
      </c>
      <c r="D1623" t="s">
        <v>1629</v>
      </c>
      <c r="E1623" t="s">
        <v>1732</v>
      </c>
      <c r="F1623" t="s">
        <v>1615</v>
      </c>
      <c r="G1623" t="e">
        <v>#N/A</v>
      </c>
      <c r="H1623" t="s">
        <v>1617</v>
      </c>
      <c r="I1623" t="s">
        <v>1618</v>
      </c>
      <c r="J1623" t="s">
        <v>3466</v>
      </c>
      <c r="K1623" t="e">
        <v>#N/A</v>
      </c>
      <c r="L1623" t="e">
        <v>#N/A</v>
      </c>
      <c r="M1623" s="1">
        <v>3</v>
      </c>
      <c r="N1623">
        <v>0</v>
      </c>
      <c r="O1623">
        <v>0</v>
      </c>
      <c r="P1623">
        <v>0</v>
      </c>
      <c r="Q1623" s="1">
        <v>0</v>
      </c>
      <c r="R1623" t="e">
        <v>#N/A</v>
      </c>
      <c r="S1623" s="2" t="e">
        <v>#N/A</v>
      </c>
      <c r="T1623" s="2" t="e">
        <v>#N/A</v>
      </c>
      <c r="U1623">
        <v>0</v>
      </c>
      <c r="V1623">
        <v>0</v>
      </c>
      <c r="W1623">
        <v>0</v>
      </c>
      <c r="X1623">
        <v>0</v>
      </c>
      <c r="Y1623">
        <v>0</v>
      </c>
      <c r="Z1623" s="8">
        <v>0</v>
      </c>
      <c r="AA1623">
        <v>0</v>
      </c>
      <c r="AB1623" t="s">
        <v>1635</v>
      </c>
      <c r="AC1623" t="s">
        <v>1635</v>
      </c>
      <c r="AD1623" s="1" t="s">
        <v>1635</v>
      </c>
      <c r="AE1623" s="2" t="s">
        <v>1635</v>
      </c>
      <c r="AF1623" s="2" t="s">
        <v>1635</v>
      </c>
      <c r="AG1623" s="2" t="s">
        <v>1635</v>
      </c>
      <c r="AH1623">
        <v>0</v>
      </c>
      <c r="AI1623" s="3" t="s">
        <v>1635</v>
      </c>
      <c r="AJ1623" s="1" t="s">
        <v>1635</v>
      </c>
      <c r="AK1623" s="2" t="s">
        <v>1635</v>
      </c>
      <c r="AL1623" s="4" t="s">
        <v>1636</v>
      </c>
      <c r="AM1623" s="5" t="s">
        <v>1636</v>
      </c>
      <c r="AN1623" s="4">
        <v>0</v>
      </c>
      <c r="AO1623" t="s">
        <v>1635</v>
      </c>
      <c r="AP1623" s="4" t="s">
        <v>1636</v>
      </c>
      <c r="AQ1623" t="s">
        <v>1619</v>
      </c>
      <c r="AR1623" t="s">
        <v>1620</v>
      </c>
      <c r="AT1623" s="16" t="str">
        <f>_xlfn.XLOOKUP(B1623,'SWiSH Demand Forecast Sep-26'!D:D,'SWiSH Demand Forecast Sep-26'!G:G,"Not Exist")</f>
        <v>Not Exist</v>
      </c>
    </row>
    <row r="1624" spans="1:46" x14ac:dyDescent="0.3">
      <c r="A1624">
        <v>103700099</v>
      </c>
      <c r="B1624" t="s">
        <v>3467</v>
      </c>
      <c r="C1624" t="s">
        <v>136</v>
      </c>
      <c r="D1624" t="s">
        <v>1629</v>
      </c>
      <c r="E1624" t="e">
        <v>#N/A</v>
      </c>
      <c r="F1624" t="s">
        <v>1615</v>
      </c>
      <c r="G1624" t="s">
        <v>1678</v>
      </c>
      <c r="H1624" t="s">
        <v>1617</v>
      </c>
      <c r="I1624" t="s">
        <v>1618</v>
      </c>
      <c r="J1624" t="s">
        <v>136</v>
      </c>
      <c r="K1624">
        <v>1.01</v>
      </c>
      <c r="L1624">
        <v>0</v>
      </c>
      <c r="M1624" s="1">
        <v>3</v>
      </c>
      <c r="N1624">
        <v>0</v>
      </c>
      <c r="O1624">
        <v>0</v>
      </c>
      <c r="P1624">
        <v>0</v>
      </c>
      <c r="Q1624" s="1">
        <v>0</v>
      </c>
      <c r="R1624">
        <v>0</v>
      </c>
      <c r="S1624" s="2">
        <v>45879</v>
      </c>
      <c r="T1624" s="2">
        <v>45991</v>
      </c>
      <c r="U1624">
        <v>0</v>
      </c>
      <c r="V1624">
        <v>0</v>
      </c>
      <c r="W1624">
        <v>0</v>
      </c>
      <c r="X1624">
        <v>0</v>
      </c>
      <c r="Y1624">
        <v>0</v>
      </c>
      <c r="Z1624" s="8">
        <v>0</v>
      </c>
      <c r="AA1624">
        <v>0</v>
      </c>
      <c r="AB1624" t="s">
        <v>1635</v>
      </c>
      <c r="AC1624" t="s">
        <v>1635</v>
      </c>
      <c r="AD1624" s="1" t="s">
        <v>1635</v>
      </c>
      <c r="AE1624" s="2" t="s">
        <v>1635</v>
      </c>
      <c r="AF1624" s="2" t="s">
        <v>1635</v>
      </c>
      <c r="AG1624" s="2" t="s">
        <v>1635</v>
      </c>
      <c r="AH1624">
        <v>0</v>
      </c>
      <c r="AI1624" s="3" t="s">
        <v>1635</v>
      </c>
      <c r="AJ1624" s="1" t="s">
        <v>1635</v>
      </c>
      <c r="AK1624" s="2" t="s">
        <v>1635</v>
      </c>
      <c r="AL1624" s="4" t="s">
        <v>1636</v>
      </c>
      <c r="AM1624" s="5" t="s">
        <v>1636</v>
      </c>
      <c r="AN1624" s="4">
        <v>0</v>
      </c>
      <c r="AO1624" t="s">
        <v>1635</v>
      </c>
      <c r="AP1624" s="4" t="s">
        <v>1636</v>
      </c>
      <c r="AQ1624" t="s">
        <v>1619</v>
      </c>
      <c r="AR1624" t="s">
        <v>1620</v>
      </c>
      <c r="AT1624" s="16" t="str">
        <f>_xlfn.XLOOKUP(B1624,'SWiSH Demand Forecast Sep-26'!D:D,'SWiSH Demand Forecast Sep-26'!G:G,"Not Exist")</f>
        <v>Not Exist</v>
      </c>
    </row>
    <row r="1625" spans="1:46" x14ac:dyDescent="0.3">
      <c r="A1625" t="s">
        <v>3321</v>
      </c>
      <c r="B1625" t="s">
        <v>3468</v>
      </c>
      <c r="C1625" t="s">
        <v>136</v>
      </c>
      <c r="D1625" t="s">
        <v>1629</v>
      </c>
      <c r="E1625" t="s">
        <v>1732</v>
      </c>
      <c r="F1625" t="s">
        <v>1833</v>
      </c>
      <c r="G1625" t="e">
        <v>#N/A</v>
      </c>
      <c r="H1625" t="s">
        <v>2030</v>
      </c>
      <c r="I1625" t="s">
        <v>1618</v>
      </c>
      <c r="J1625" t="e">
        <v>#N/A</v>
      </c>
      <c r="K1625" t="e">
        <v>#N/A</v>
      </c>
      <c r="L1625" t="e">
        <v>#N/A</v>
      </c>
      <c r="M1625" s="1">
        <v>3</v>
      </c>
      <c r="N1625">
        <v>0</v>
      </c>
      <c r="O1625">
        <v>0</v>
      </c>
      <c r="P1625">
        <v>0</v>
      </c>
      <c r="Q1625" s="1">
        <v>0</v>
      </c>
      <c r="R1625" t="e">
        <v>#N/A</v>
      </c>
      <c r="S1625" s="2" t="e">
        <v>#N/A</v>
      </c>
      <c r="T1625" s="2" t="e">
        <v>#N/A</v>
      </c>
      <c r="U1625">
        <v>0</v>
      </c>
      <c r="V1625">
        <v>0</v>
      </c>
      <c r="W1625">
        <v>0</v>
      </c>
      <c r="X1625">
        <v>0</v>
      </c>
      <c r="Y1625">
        <v>0</v>
      </c>
      <c r="Z1625" s="8">
        <v>0</v>
      </c>
      <c r="AA1625">
        <v>0</v>
      </c>
      <c r="AB1625" t="s">
        <v>1635</v>
      </c>
      <c r="AC1625" t="s">
        <v>1635</v>
      </c>
      <c r="AD1625" s="1" t="s">
        <v>1635</v>
      </c>
      <c r="AE1625" s="2" t="s">
        <v>1635</v>
      </c>
      <c r="AF1625" s="2" t="s">
        <v>1635</v>
      </c>
      <c r="AG1625" s="2" t="s">
        <v>1635</v>
      </c>
      <c r="AH1625">
        <v>0</v>
      </c>
      <c r="AI1625" s="3" t="s">
        <v>1635</v>
      </c>
      <c r="AJ1625" s="1" t="s">
        <v>1635</v>
      </c>
      <c r="AK1625" s="2" t="s">
        <v>1635</v>
      </c>
      <c r="AL1625" s="4" t="s">
        <v>1636</v>
      </c>
      <c r="AM1625" s="5" t="s">
        <v>1636</v>
      </c>
      <c r="AN1625" s="4">
        <v>0</v>
      </c>
      <c r="AO1625" t="s">
        <v>1635</v>
      </c>
      <c r="AP1625" s="4" t="s">
        <v>1636</v>
      </c>
      <c r="AQ1625" t="s">
        <v>1619</v>
      </c>
      <c r="AR1625" t="s">
        <v>1620</v>
      </c>
      <c r="AT1625" s="16" t="str">
        <f>_xlfn.XLOOKUP(B1625,'SWiSH Demand Forecast Sep-26'!D:D,'SWiSH Demand Forecast Sep-26'!G:G,"Not Exist")</f>
        <v>Not Exist</v>
      </c>
    </row>
    <row r="1626" spans="1:46" x14ac:dyDescent="0.3">
      <c r="A1626">
        <v>100100073</v>
      </c>
      <c r="B1626" t="s">
        <v>3469</v>
      </c>
      <c r="C1626" t="s">
        <v>136</v>
      </c>
      <c r="D1626" t="s">
        <v>1629</v>
      </c>
      <c r="E1626" t="s">
        <v>1732</v>
      </c>
      <c r="F1626" t="s">
        <v>1833</v>
      </c>
      <c r="G1626" t="s">
        <v>1632</v>
      </c>
      <c r="H1626" t="s">
        <v>1877</v>
      </c>
      <c r="I1626" t="s">
        <v>1626</v>
      </c>
      <c r="J1626" t="e">
        <v>#N/A</v>
      </c>
      <c r="K1626">
        <v>3</v>
      </c>
      <c r="L1626">
        <v>0</v>
      </c>
      <c r="M1626" s="1">
        <v>3</v>
      </c>
      <c r="N1626">
        <v>0</v>
      </c>
      <c r="O1626">
        <v>0</v>
      </c>
      <c r="P1626">
        <v>0</v>
      </c>
      <c r="Q1626" s="1">
        <v>0</v>
      </c>
      <c r="R1626">
        <v>75</v>
      </c>
      <c r="S1626" s="2">
        <v>45360</v>
      </c>
      <c r="T1626" s="2">
        <v>46004</v>
      </c>
      <c r="U1626">
        <v>0</v>
      </c>
      <c r="V1626">
        <v>0</v>
      </c>
      <c r="W1626">
        <v>0</v>
      </c>
      <c r="X1626">
        <v>0</v>
      </c>
      <c r="Y1626">
        <v>0</v>
      </c>
      <c r="Z1626" s="8">
        <v>0</v>
      </c>
      <c r="AA1626">
        <v>0</v>
      </c>
      <c r="AB1626" t="s">
        <v>1635</v>
      </c>
      <c r="AC1626" t="s">
        <v>1635</v>
      </c>
      <c r="AD1626" s="1" t="s">
        <v>1635</v>
      </c>
      <c r="AE1626" s="2" t="s">
        <v>1635</v>
      </c>
      <c r="AF1626" s="2" t="s">
        <v>1635</v>
      </c>
      <c r="AG1626" s="2" t="s">
        <v>1635</v>
      </c>
      <c r="AH1626">
        <v>0</v>
      </c>
      <c r="AI1626" s="3" t="s">
        <v>1635</v>
      </c>
      <c r="AJ1626" s="1" t="s">
        <v>1635</v>
      </c>
      <c r="AK1626" s="2" t="s">
        <v>1635</v>
      </c>
      <c r="AL1626" s="4" t="s">
        <v>1636</v>
      </c>
      <c r="AM1626" s="5" t="s">
        <v>1636</v>
      </c>
      <c r="AN1626" s="4">
        <v>0</v>
      </c>
      <c r="AO1626" t="s">
        <v>1635</v>
      </c>
      <c r="AP1626" s="4" t="s">
        <v>1636</v>
      </c>
      <c r="AQ1626" t="s">
        <v>1619</v>
      </c>
      <c r="AR1626" t="s">
        <v>1620</v>
      </c>
      <c r="AT1626" s="16" t="str">
        <f>_xlfn.XLOOKUP(B1626,'SWiSH Demand Forecast Sep-26'!D:D,'SWiSH Demand Forecast Sep-26'!G:G,"Not Exist")</f>
        <v>Not Exist</v>
      </c>
    </row>
    <row r="1627" spans="1:46" x14ac:dyDescent="0.3">
      <c r="A1627">
        <v>103800014</v>
      </c>
      <c r="B1627" t="s">
        <v>3470</v>
      </c>
      <c r="C1627" t="s">
        <v>136</v>
      </c>
      <c r="D1627" t="s">
        <v>1629</v>
      </c>
      <c r="E1627" t="s">
        <v>1732</v>
      </c>
      <c r="F1627" t="s">
        <v>1615</v>
      </c>
      <c r="G1627" t="s">
        <v>1690</v>
      </c>
      <c r="H1627" t="s">
        <v>1822</v>
      </c>
      <c r="I1627" t="s">
        <v>1618</v>
      </c>
      <c r="J1627" t="s">
        <v>136</v>
      </c>
      <c r="K1627">
        <v>125.71429000000001</v>
      </c>
      <c r="L1627">
        <v>0</v>
      </c>
      <c r="M1627" s="1">
        <v>3</v>
      </c>
      <c r="N1627">
        <v>0</v>
      </c>
      <c r="O1627">
        <v>0</v>
      </c>
      <c r="P1627">
        <v>0</v>
      </c>
      <c r="Q1627" s="1">
        <v>0</v>
      </c>
      <c r="R1627">
        <v>100</v>
      </c>
      <c r="S1627" s="2">
        <v>45762</v>
      </c>
      <c r="T1627" s="2">
        <v>45777</v>
      </c>
      <c r="U1627">
        <v>0</v>
      </c>
      <c r="V1627">
        <v>0</v>
      </c>
      <c r="W1627">
        <v>0</v>
      </c>
      <c r="X1627">
        <v>0</v>
      </c>
      <c r="Y1627">
        <v>0</v>
      </c>
      <c r="Z1627" s="8">
        <v>0</v>
      </c>
      <c r="AA1627">
        <v>0</v>
      </c>
      <c r="AB1627" t="s">
        <v>1635</v>
      </c>
      <c r="AC1627" t="s">
        <v>1635</v>
      </c>
      <c r="AD1627" s="1" t="s">
        <v>1635</v>
      </c>
      <c r="AE1627" s="2" t="s">
        <v>1635</v>
      </c>
      <c r="AF1627" s="2" t="s">
        <v>1635</v>
      </c>
      <c r="AG1627" s="2" t="s">
        <v>1635</v>
      </c>
      <c r="AH1627">
        <v>0</v>
      </c>
      <c r="AI1627" s="3" t="s">
        <v>1635</v>
      </c>
      <c r="AJ1627" s="1" t="s">
        <v>1635</v>
      </c>
      <c r="AK1627" s="2" t="s">
        <v>1635</v>
      </c>
      <c r="AL1627" s="4" t="s">
        <v>1636</v>
      </c>
      <c r="AM1627" s="5" t="s">
        <v>1636</v>
      </c>
      <c r="AN1627" s="4">
        <v>0</v>
      </c>
      <c r="AO1627" t="s">
        <v>1635</v>
      </c>
      <c r="AP1627" s="4" t="s">
        <v>1636</v>
      </c>
      <c r="AQ1627" t="s">
        <v>1619</v>
      </c>
      <c r="AR1627" t="s">
        <v>1620</v>
      </c>
      <c r="AT1627" s="16" t="str">
        <f>_xlfn.XLOOKUP(B1627,'SWiSH Demand Forecast Sep-26'!D:D,'SWiSH Demand Forecast Sep-26'!G:G,"Not Exist")</f>
        <v>Not Exist</v>
      </c>
    </row>
    <row r="1628" spans="1:46" x14ac:dyDescent="0.3">
      <c r="A1628">
        <v>100100079</v>
      </c>
      <c r="B1628" t="s">
        <v>3471</v>
      </c>
      <c r="C1628" t="s">
        <v>136</v>
      </c>
      <c r="D1628" t="s">
        <v>1629</v>
      </c>
      <c r="E1628" t="s">
        <v>1995</v>
      </c>
      <c r="F1628" t="s">
        <v>1833</v>
      </c>
      <c r="G1628" t="s">
        <v>1690</v>
      </c>
      <c r="H1628" t="s">
        <v>1877</v>
      </c>
      <c r="I1628" t="s">
        <v>1626</v>
      </c>
      <c r="J1628" t="s">
        <v>2456</v>
      </c>
      <c r="K1628">
        <v>4.5</v>
      </c>
      <c r="L1628">
        <v>0</v>
      </c>
      <c r="M1628" s="1">
        <v>3</v>
      </c>
      <c r="N1628">
        <v>0</v>
      </c>
      <c r="O1628">
        <v>0</v>
      </c>
      <c r="P1628">
        <v>0</v>
      </c>
      <c r="Q1628" s="1">
        <v>0</v>
      </c>
      <c r="R1628">
        <v>45</v>
      </c>
      <c r="S1628" s="2">
        <v>45720</v>
      </c>
      <c r="T1628" s="2">
        <v>45816</v>
      </c>
      <c r="U1628">
        <v>0</v>
      </c>
      <c r="V1628">
        <v>0</v>
      </c>
      <c r="W1628">
        <v>0</v>
      </c>
      <c r="X1628">
        <v>0</v>
      </c>
      <c r="Y1628">
        <v>0</v>
      </c>
      <c r="Z1628" s="8">
        <v>0</v>
      </c>
      <c r="AA1628">
        <v>0</v>
      </c>
      <c r="AB1628" t="s">
        <v>1635</v>
      </c>
      <c r="AC1628" t="s">
        <v>1635</v>
      </c>
      <c r="AD1628" s="1" t="s">
        <v>1635</v>
      </c>
      <c r="AE1628" s="2" t="s">
        <v>1635</v>
      </c>
      <c r="AF1628" s="2" t="s">
        <v>1635</v>
      </c>
      <c r="AG1628" s="2" t="s">
        <v>1635</v>
      </c>
      <c r="AH1628">
        <v>0</v>
      </c>
      <c r="AI1628" s="3" t="s">
        <v>1635</v>
      </c>
      <c r="AJ1628" s="1" t="s">
        <v>1635</v>
      </c>
      <c r="AK1628" s="2" t="s">
        <v>1635</v>
      </c>
      <c r="AL1628" s="4" t="s">
        <v>1636</v>
      </c>
      <c r="AM1628" s="5" t="s">
        <v>1636</v>
      </c>
      <c r="AN1628" s="4">
        <v>0</v>
      </c>
      <c r="AO1628" t="s">
        <v>1635</v>
      </c>
      <c r="AP1628" s="4" t="s">
        <v>1636</v>
      </c>
      <c r="AQ1628" t="s">
        <v>1619</v>
      </c>
      <c r="AR1628" t="s">
        <v>1620</v>
      </c>
      <c r="AT1628" s="16" t="str">
        <f>_xlfn.XLOOKUP(B1628,'SWiSH Demand Forecast Sep-26'!D:D,'SWiSH Demand Forecast Sep-26'!G:G,"Not Exist")</f>
        <v>Not Exist</v>
      </c>
    </row>
    <row r="1629" spans="1:46" x14ac:dyDescent="0.3">
      <c r="A1629">
        <v>100100132</v>
      </c>
      <c r="B1629" t="s">
        <v>3472</v>
      </c>
      <c r="C1629" t="s">
        <v>136</v>
      </c>
      <c r="D1629" t="s">
        <v>1629</v>
      </c>
      <c r="E1629" t="s">
        <v>1732</v>
      </c>
      <c r="F1629" t="s">
        <v>1840</v>
      </c>
      <c r="G1629" t="s">
        <v>1632</v>
      </c>
      <c r="H1629" t="s">
        <v>1877</v>
      </c>
      <c r="I1629" t="s">
        <v>1618</v>
      </c>
      <c r="J1629" t="e">
        <v>#N/A</v>
      </c>
      <c r="K1629">
        <v>0</v>
      </c>
      <c r="L1629">
        <v>0</v>
      </c>
      <c r="M1629" s="1">
        <v>3</v>
      </c>
      <c r="N1629">
        <v>0</v>
      </c>
      <c r="O1629">
        <v>0</v>
      </c>
      <c r="P1629">
        <v>0</v>
      </c>
      <c r="Q1629" s="1">
        <v>0</v>
      </c>
      <c r="R1629">
        <v>0</v>
      </c>
      <c r="S1629" s="2">
        <v>0</v>
      </c>
      <c r="T1629" s="2">
        <v>46053</v>
      </c>
      <c r="U1629">
        <v>0</v>
      </c>
      <c r="V1629">
        <v>0</v>
      </c>
      <c r="W1629">
        <v>0</v>
      </c>
      <c r="X1629">
        <v>0</v>
      </c>
      <c r="Y1629">
        <v>0</v>
      </c>
      <c r="Z1629" s="8">
        <v>0</v>
      </c>
      <c r="AA1629">
        <v>0</v>
      </c>
      <c r="AB1629" t="s">
        <v>1635</v>
      </c>
      <c r="AC1629" t="s">
        <v>1635</v>
      </c>
      <c r="AD1629" s="1" t="s">
        <v>1635</v>
      </c>
      <c r="AE1629" s="2" t="s">
        <v>1635</v>
      </c>
      <c r="AF1629" s="2" t="s">
        <v>1635</v>
      </c>
      <c r="AG1629" s="2" t="s">
        <v>1635</v>
      </c>
      <c r="AH1629">
        <v>0</v>
      </c>
      <c r="AI1629" s="3" t="s">
        <v>1635</v>
      </c>
      <c r="AJ1629" s="1" t="s">
        <v>1635</v>
      </c>
      <c r="AK1629" s="2" t="s">
        <v>1635</v>
      </c>
      <c r="AL1629" s="4" t="s">
        <v>1636</v>
      </c>
      <c r="AM1629" s="5" t="s">
        <v>1636</v>
      </c>
      <c r="AN1629" s="4">
        <v>0</v>
      </c>
      <c r="AO1629" t="s">
        <v>1635</v>
      </c>
      <c r="AP1629" s="4" t="s">
        <v>1636</v>
      </c>
      <c r="AQ1629" t="s">
        <v>1619</v>
      </c>
      <c r="AR1629" t="s">
        <v>1620</v>
      </c>
      <c r="AT1629" s="16" t="str">
        <f>_xlfn.XLOOKUP(B1629,'SWiSH Demand Forecast Sep-26'!D:D,'SWiSH Demand Forecast Sep-26'!G:G,"Not Exist")</f>
        <v>Not Exist</v>
      </c>
    </row>
    <row r="1630" spans="1:46" x14ac:dyDescent="0.3">
      <c r="A1630">
        <v>100700046</v>
      </c>
      <c r="B1630" t="s">
        <v>3473</v>
      </c>
      <c r="C1630" t="s">
        <v>136</v>
      </c>
      <c r="D1630" t="s">
        <v>1629</v>
      </c>
      <c r="E1630" t="s">
        <v>1685</v>
      </c>
      <c r="F1630" t="s">
        <v>1840</v>
      </c>
      <c r="G1630" t="s">
        <v>1681</v>
      </c>
      <c r="H1630" t="s">
        <v>1867</v>
      </c>
      <c r="I1630" t="s">
        <v>1618</v>
      </c>
      <c r="J1630" t="s">
        <v>136</v>
      </c>
      <c r="K1630">
        <v>0.61402632000000001</v>
      </c>
      <c r="L1630">
        <v>0</v>
      </c>
      <c r="M1630" s="1">
        <v>3</v>
      </c>
      <c r="N1630">
        <v>0</v>
      </c>
      <c r="O1630">
        <v>0</v>
      </c>
      <c r="P1630">
        <v>0</v>
      </c>
      <c r="Q1630" s="1">
        <v>0</v>
      </c>
      <c r="R1630">
        <v>0.61404000000000003</v>
      </c>
      <c r="S1630" s="2">
        <v>45774</v>
      </c>
      <c r="T1630" s="2">
        <v>45808</v>
      </c>
      <c r="U1630">
        <v>0</v>
      </c>
      <c r="V1630">
        <v>0</v>
      </c>
      <c r="W1630">
        <v>0</v>
      </c>
      <c r="X1630">
        <v>0</v>
      </c>
      <c r="Y1630">
        <v>0</v>
      </c>
      <c r="Z1630" s="8">
        <v>0</v>
      </c>
      <c r="AA1630">
        <v>0</v>
      </c>
      <c r="AB1630" t="s">
        <v>1635</v>
      </c>
      <c r="AC1630" t="s">
        <v>1635</v>
      </c>
      <c r="AD1630" s="1" t="s">
        <v>1635</v>
      </c>
      <c r="AE1630" s="2" t="s">
        <v>1635</v>
      </c>
      <c r="AF1630" s="2" t="s">
        <v>1635</v>
      </c>
      <c r="AG1630" s="2" t="s">
        <v>1635</v>
      </c>
      <c r="AH1630">
        <v>0</v>
      </c>
      <c r="AI1630" s="3" t="s">
        <v>1635</v>
      </c>
      <c r="AJ1630" s="1" t="s">
        <v>1635</v>
      </c>
      <c r="AK1630" s="2" t="s">
        <v>1635</v>
      </c>
      <c r="AL1630" s="4" t="s">
        <v>1636</v>
      </c>
      <c r="AM1630" s="5" t="s">
        <v>1636</v>
      </c>
      <c r="AN1630" s="4">
        <v>0</v>
      </c>
      <c r="AO1630" t="s">
        <v>1635</v>
      </c>
      <c r="AP1630" s="4" t="s">
        <v>1636</v>
      </c>
      <c r="AQ1630" t="s">
        <v>1619</v>
      </c>
      <c r="AR1630" t="s">
        <v>1620</v>
      </c>
      <c r="AT1630" s="16" t="str">
        <f>_xlfn.XLOOKUP(B1630,'SWiSH Demand Forecast Sep-26'!D:D,'SWiSH Demand Forecast Sep-26'!G:G,"Not Exist")</f>
        <v>Not Exist</v>
      </c>
    </row>
    <row r="1631" spans="1:46" x14ac:dyDescent="0.3">
      <c r="A1631">
        <v>106200099</v>
      </c>
      <c r="B1631" t="s">
        <v>3474</v>
      </c>
      <c r="C1631" t="s">
        <v>240</v>
      </c>
      <c r="D1631" t="s">
        <v>1629</v>
      </c>
      <c r="E1631" t="s">
        <v>1819</v>
      </c>
      <c r="F1631" t="s">
        <v>1671</v>
      </c>
      <c r="G1631" t="s">
        <v>1681</v>
      </c>
      <c r="H1631" t="s">
        <v>1672</v>
      </c>
      <c r="I1631" t="s">
        <v>1618</v>
      </c>
      <c r="J1631" t="s">
        <v>2809</v>
      </c>
      <c r="K1631">
        <v>3.9285714299999999</v>
      </c>
      <c r="L1631">
        <v>0</v>
      </c>
      <c r="M1631" s="1">
        <v>3</v>
      </c>
      <c r="N1631">
        <v>0</v>
      </c>
      <c r="O1631">
        <v>0</v>
      </c>
      <c r="P1631">
        <v>0</v>
      </c>
      <c r="Q1631" s="1">
        <v>0</v>
      </c>
      <c r="R1631">
        <v>16.5</v>
      </c>
      <c r="S1631" s="2">
        <v>45596</v>
      </c>
      <c r="T1631" s="2">
        <v>45804</v>
      </c>
      <c r="U1631">
        <v>0</v>
      </c>
      <c r="V1631">
        <v>0</v>
      </c>
      <c r="W1631">
        <v>0</v>
      </c>
      <c r="X1631">
        <v>0</v>
      </c>
      <c r="Y1631">
        <v>0</v>
      </c>
      <c r="Z1631" s="8">
        <v>0</v>
      </c>
      <c r="AA1631">
        <v>0</v>
      </c>
      <c r="AB1631" t="s">
        <v>1635</v>
      </c>
      <c r="AC1631" t="s">
        <v>1635</v>
      </c>
      <c r="AD1631" s="1" t="s">
        <v>1635</v>
      </c>
      <c r="AE1631" s="2" t="s">
        <v>1635</v>
      </c>
      <c r="AF1631" s="2" t="s">
        <v>1635</v>
      </c>
      <c r="AG1631" s="2" t="s">
        <v>1635</v>
      </c>
      <c r="AH1631">
        <v>0</v>
      </c>
      <c r="AI1631" s="3" t="s">
        <v>1635</v>
      </c>
      <c r="AJ1631" s="1" t="s">
        <v>1635</v>
      </c>
      <c r="AK1631" s="2" t="s">
        <v>1635</v>
      </c>
      <c r="AL1631" s="4" t="s">
        <v>1636</v>
      </c>
      <c r="AM1631" s="5" t="s">
        <v>1636</v>
      </c>
      <c r="AN1631" s="4">
        <v>0</v>
      </c>
      <c r="AO1631" t="s">
        <v>1635</v>
      </c>
      <c r="AP1631" s="4" t="s">
        <v>1636</v>
      </c>
      <c r="AQ1631" t="s">
        <v>1619</v>
      </c>
      <c r="AR1631" t="s">
        <v>1620</v>
      </c>
      <c r="AT1631" s="16" t="str">
        <f>_xlfn.XLOOKUP(B1631,'SWiSH Demand Forecast Sep-26'!D:D,'SWiSH Demand Forecast Sep-26'!G:G,"Not Exist")</f>
        <v>Not Exist</v>
      </c>
    </row>
    <row r="1632" spans="1:46" x14ac:dyDescent="0.3">
      <c r="A1632">
        <v>106200039</v>
      </c>
      <c r="B1632" t="s">
        <v>3475</v>
      </c>
      <c r="C1632" t="s">
        <v>240</v>
      </c>
      <c r="D1632" t="s">
        <v>1629</v>
      </c>
      <c r="E1632" t="e">
        <v>#N/A</v>
      </c>
      <c r="F1632" t="s">
        <v>1615</v>
      </c>
      <c r="G1632" t="s">
        <v>1681</v>
      </c>
      <c r="H1632" t="s">
        <v>1672</v>
      </c>
      <c r="I1632" t="s">
        <v>1618</v>
      </c>
      <c r="J1632" t="e">
        <v>#N/A</v>
      </c>
      <c r="K1632">
        <v>51.509721059999997</v>
      </c>
      <c r="L1632">
        <v>0</v>
      </c>
      <c r="M1632" s="1">
        <v>90</v>
      </c>
      <c r="N1632">
        <v>0</v>
      </c>
      <c r="O1632">
        <v>0</v>
      </c>
      <c r="P1632">
        <v>0</v>
      </c>
      <c r="Q1632" s="1">
        <v>0</v>
      </c>
      <c r="R1632">
        <v>24.374400000000001</v>
      </c>
      <c r="S1632" s="2">
        <v>44940</v>
      </c>
      <c r="T1632" s="2">
        <v>45808</v>
      </c>
      <c r="U1632">
        <v>0</v>
      </c>
      <c r="V1632">
        <v>0</v>
      </c>
      <c r="W1632">
        <v>0</v>
      </c>
      <c r="X1632">
        <v>0</v>
      </c>
      <c r="Y1632">
        <v>0</v>
      </c>
      <c r="Z1632" s="8">
        <v>0</v>
      </c>
      <c r="AA1632">
        <v>0</v>
      </c>
      <c r="AB1632" t="s">
        <v>1635</v>
      </c>
      <c r="AC1632" t="s">
        <v>1635</v>
      </c>
      <c r="AD1632" s="1" t="s">
        <v>1635</v>
      </c>
      <c r="AE1632" s="2" t="s">
        <v>1635</v>
      </c>
      <c r="AF1632" s="2" t="s">
        <v>1635</v>
      </c>
      <c r="AG1632" s="2" t="s">
        <v>1635</v>
      </c>
      <c r="AH1632">
        <v>0</v>
      </c>
      <c r="AI1632" s="3" t="s">
        <v>1635</v>
      </c>
      <c r="AJ1632" s="1" t="s">
        <v>1635</v>
      </c>
      <c r="AK1632" s="2" t="s">
        <v>1635</v>
      </c>
      <c r="AL1632" s="4" t="s">
        <v>1636</v>
      </c>
      <c r="AM1632" s="5" t="s">
        <v>1636</v>
      </c>
      <c r="AN1632" s="4">
        <v>0</v>
      </c>
      <c r="AO1632" t="s">
        <v>1635</v>
      </c>
      <c r="AP1632" s="4" t="s">
        <v>1636</v>
      </c>
      <c r="AQ1632" t="s">
        <v>1619</v>
      </c>
      <c r="AR1632" t="s">
        <v>1620</v>
      </c>
      <c r="AT1632" s="16" t="str">
        <f>_xlfn.XLOOKUP(B1632,'SWiSH Demand Forecast Sep-26'!D:D,'SWiSH Demand Forecast Sep-26'!G:G,"Not Exist")</f>
        <v>Not Exist</v>
      </c>
    </row>
    <row r="1633" spans="1:46" x14ac:dyDescent="0.3">
      <c r="A1633">
        <v>106200155</v>
      </c>
      <c r="B1633" t="s">
        <v>3476</v>
      </c>
      <c r="C1633" t="s">
        <v>136</v>
      </c>
      <c r="D1633" t="s">
        <v>1629</v>
      </c>
      <c r="E1633" t="e">
        <v>#N/A</v>
      </c>
      <c r="F1633" t="s">
        <v>1840</v>
      </c>
      <c r="G1633" t="s">
        <v>1690</v>
      </c>
      <c r="H1633" t="s">
        <v>1672</v>
      </c>
      <c r="I1633" t="s">
        <v>1618</v>
      </c>
      <c r="J1633" t="s">
        <v>136</v>
      </c>
      <c r="K1633">
        <v>8</v>
      </c>
      <c r="L1633">
        <v>0</v>
      </c>
      <c r="M1633" s="1">
        <v>3</v>
      </c>
      <c r="N1633">
        <v>0</v>
      </c>
      <c r="O1633">
        <v>0</v>
      </c>
      <c r="P1633">
        <v>0</v>
      </c>
      <c r="Q1633" s="1">
        <v>0</v>
      </c>
      <c r="R1633">
        <v>8</v>
      </c>
      <c r="S1633" s="2">
        <v>45774</v>
      </c>
      <c r="T1633" s="2">
        <v>45390</v>
      </c>
      <c r="U1633">
        <v>0</v>
      </c>
      <c r="V1633">
        <v>0</v>
      </c>
      <c r="W1633">
        <v>0</v>
      </c>
      <c r="X1633">
        <v>0</v>
      </c>
      <c r="Y1633">
        <v>0</v>
      </c>
      <c r="Z1633" s="8">
        <v>0</v>
      </c>
      <c r="AA1633">
        <v>0</v>
      </c>
      <c r="AB1633" t="s">
        <v>1635</v>
      </c>
      <c r="AC1633" t="s">
        <v>1635</v>
      </c>
      <c r="AD1633" s="1" t="s">
        <v>1635</v>
      </c>
      <c r="AE1633" s="2" t="s">
        <v>1635</v>
      </c>
      <c r="AF1633" s="2" t="s">
        <v>1635</v>
      </c>
      <c r="AG1633" s="2" t="s">
        <v>1635</v>
      </c>
      <c r="AH1633">
        <v>0</v>
      </c>
      <c r="AI1633" s="3" t="s">
        <v>1635</v>
      </c>
      <c r="AJ1633" s="1" t="s">
        <v>1635</v>
      </c>
      <c r="AK1633" s="2" t="s">
        <v>1635</v>
      </c>
      <c r="AL1633" s="4" t="s">
        <v>1636</v>
      </c>
      <c r="AM1633" s="5" t="s">
        <v>1636</v>
      </c>
      <c r="AN1633" s="4">
        <v>0</v>
      </c>
      <c r="AO1633" t="s">
        <v>1635</v>
      </c>
      <c r="AP1633" s="4" t="s">
        <v>1636</v>
      </c>
      <c r="AQ1633" t="s">
        <v>1619</v>
      </c>
      <c r="AR1633" t="s">
        <v>1620</v>
      </c>
      <c r="AT1633" s="16" t="str">
        <f>_xlfn.XLOOKUP(B1633,'SWiSH Demand Forecast Sep-26'!D:D,'SWiSH Demand Forecast Sep-26'!G:G,"Not Exist")</f>
        <v>Not Exist</v>
      </c>
    </row>
    <row r="1634" spans="1:46" x14ac:dyDescent="0.3">
      <c r="A1634">
        <v>106200031</v>
      </c>
      <c r="B1634" t="s">
        <v>3477</v>
      </c>
      <c r="C1634" t="s">
        <v>240</v>
      </c>
      <c r="D1634" t="s">
        <v>1629</v>
      </c>
      <c r="E1634" t="s">
        <v>1819</v>
      </c>
      <c r="F1634" t="s">
        <v>1671</v>
      </c>
      <c r="G1634" t="s">
        <v>1616</v>
      </c>
      <c r="H1634" t="s">
        <v>1672</v>
      </c>
      <c r="I1634" t="s">
        <v>1618</v>
      </c>
      <c r="J1634" t="e">
        <v>#N/A</v>
      </c>
      <c r="K1634">
        <v>6.9334273900000003</v>
      </c>
      <c r="L1634">
        <v>0</v>
      </c>
      <c r="M1634" s="1">
        <v>3</v>
      </c>
      <c r="N1634">
        <v>0</v>
      </c>
      <c r="O1634">
        <v>0</v>
      </c>
      <c r="P1634">
        <v>0</v>
      </c>
      <c r="Q1634" s="1">
        <v>0</v>
      </c>
      <c r="R1634">
        <v>31.2</v>
      </c>
      <c r="S1634" s="2">
        <v>45938</v>
      </c>
      <c r="T1634" s="2">
        <v>46054</v>
      </c>
      <c r="U1634">
        <v>0</v>
      </c>
      <c r="V1634">
        <v>0</v>
      </c>
      <c r="W1634">
        <v>0</v>
      </c>
      <c r="X1634">
        <v>0</v>
      </c>
      <c r="Y1634">
        <v>0</v>
      </c>
      <c r="Z1634" s="8">
        <v>0</v>
      </c>
      <c r="AA1634">
        <v>0</v>
      </c>
      <c r="AB1634" t="s">
        <v>1635</v>
      </c>
      <c r="AC1634" t="s">
        <v>1635</v>
      </c>
      <c r="AD1634" s="1" t="s">
        <v>1635</v>
      </c>
      <c r="AE1634" s="2" t="s">
        <v>1635</v>
      </c>
      <c r="AF1634" s="2" t="s">
        <v>1635</v>
      </c>
      <c r="AG1634" s="2" t="s">
        <v>1635</v>
      </c>
      <c r="AH1634">
        <v>0</v>
      </c>
      <c r="AI1634" s="3" t="s">
        <v>1635</v>
      </c>
      <c r="AJ1634" s="1" t="s">
        <v>1635</v>
      </c>
      <c r="AK1634" s="2" t="s">
        <v>1635</v>
      </c>
      <c r="AL1634" s="4" t="s">
        <v>1636</v>
      </c>
      <c r="AM1634" s="5" t="s">
        <v>1636</v>
      </c>
      <c r="AN1634" s="4">
        <v>0</v>
      </c>
      <c r="AO1634" t="s">
        <v>1635</v>
      </c>
      <c r="AP1634" s="4" t="s">
        <v>1636</v>
      </c>
      <c r="AQ1634" t="s">
        <v>1619</v>
      </c>
      <c r="AR1634" t="s">
        <v>1620</v>
      </c>
      <c r="AT1634" s="16" t="str">
        <f>_xlfn.XLOOKUP(B1634,'SWiSH Demand Forecast Sep-26'!D:D,'SWiSH Demand Forecast Sep-26'!G:G,"Not Exist")</f>
        <v>Not Exist</v>
      </c>
    </row>
    <row r="1635" spans="1:46" x14ac:dyDescent="0.3">
      <c r="A1635">
        <v>106300066</v>
      </c>
      <c r="B1635" t="s">
        <v>3478</v>
      </c>
      <c r="C1635" t="s">
        <v>136</v>
      </c>
      <c r="D1635" t="s">
        <v>1629</v>
      </c>
      <c r="E1635" t="e">
        <v>#N/A</v>
      </c>
      <c r="F1635" t="s">
        <v>1615</v>
      </c>
      <c r="G1635" t="s">
        <v>1704</v>
      </c>
      <c r="H1635" t="s">
        <v>1860</v>
      </c>
      <c r="I1635" t="s">
        <v>1618</v>
      </c>
      <c r="J1635" t="s">
        <v>136</v>
      </c>
      <c r="K1635">
        <v>1.65</v>
      </c>
      <c r="L1635">
        <v>1.65</v>
      </c>
      <c r="M1635" s="1">
        <v>3</v>
      </c>
      <c r="N1635">
        <v>0</v>
      </c>
      <c r="O1635">
        <v>0</v>
      </c>
      <c r="P1635">
        <v>1</v>
      </c>
      <c r="Q1635" s="1">
        <v>1</v>
      </c>
      <c r="R1635">
        <v>1.65</v>
      </c>
      <c r="S1635" s="2">
        <v>45774</v>
      </c>
      <c r="T1635" s="2">
        <v>46159</v>
      </c>
      <c r="U1635">
        <v>0</v>
      </c>
      <c r="V1635">
        <v>0</v>
      </c>
      <c r="W1635">
        <v>0</v>
      </c>
      <c r="X1635">
        <v>0</v>
      </c>
      <c r="Y1635">
        <v>0</v>
      </c>
      <c r="Z1635" s="8">
        <v>0</v>
      </c>
      <c r="AA1635">
        <v>0</v>
      </c>
      <c r="AB1635" t="s">
        <v>1635</v>
      </c>
      <c r="AC1635" t="s">
        <v>1635</v>
      </c>
      <c r="AD1635" s="1" t="s">
        <v>1635</v>
      </c>
      <c r="AE1635" s="2" t="s">
        <v>1635</v>
      </c>
      <c r="AF1635" s="2" t="s">
        <v>1635</v>
      </c>
      <c r="AG1635" s="2" t="s">
        <v>1635</v>
      </c>
      <c r="AH1635">
        <v>0</v>
      </c>
      <c r="AI1635" s="3" t="s">
        <v>1635</v>
      </c>
      <c r="AJ1635" s="1" t="s">
        <v>1635</v>
      </c>
      <c r="AK1635" s="2" t="s">
        <v>1635</v>
      </c>
      <c r="AL1635" s="4" t="s">
        <v>1636</v>
      </c>
      <c r="AM1635" s="5" t="s">
        <v>1636</v>
      </c>
      <c r="AN1635" s="4">
        <v>0</v>
      </c>
      <c r="AO1635" t="s">
        <v>1635</v>
      </c>
      <c r="AP1635" s="4" t="s">
        <v>1636</v>
      </c>
      <c r="AQ1635" t="s">
        <v>1619</v>
      </c>
      <c r="AR1635" t="s">
        <v>1620</v>
      </c>
      <c r="AT1635" s="16" t="str">
        <f>_xlfn.XLOOKUP(B1635,'SWiSH Demand Forecast Sep-26'!D:D,'SWiSH Demand Forecast Sep-26'!G:G,"Not Exist")</f>
        <v>Not Exist</v>
      </c>
    </row>
    <row r="1636" spans="1:46" x14ac:dyDescent="0.3">
      <c r="A1636">
        <v>103800008</v>
      </c>
      <c r="B1636" t="s">
        <v>3479</v>
      </c>
      <c r="C1636" t="s">
        <v>136</v>
      </c>
      <c r="D1636" t="s">
        <v>1629</v>
      </c>
      <c r="E1636" t="e">
        <v>#N/A</v>
      </c>
      <c r="F1636" t="s">
        <v>1615</v>
      </c>
      <c r="G1636" t="s">
        <v>1704</v>
      </c>
      <c r="H1636" t="s">
        <v>1822</v>
      </c>
      <c r="I1636" t="s">
        <v>1618</v>
      </c>
      <c r="J1636" t="s">
        <v>136</v>
      </c>
      <c r="K1636">
        <v>1.75</v>
      </c>
      <c r="L1636">
        <v>5.25</v>
      </c>
      <c r="M1636" s="1">
        <v>3</v>
      </c>
      <c r="N1636">
        <v>0</v>
      </c>
      <c r="O1636">
        <v>0</v>
      </c>
      <c r="P1636">
        <v>3</v>
      </c>
      <c r="Q1636" s="1">
        <v>3</v>
      </c>
      <c r="R1636">
        <v>1.75</v>
      </c>
      <c r="S1636" s="2">
        <v>45628</v>
      </c>
      <c r="T1636" s="2">
        <v>46049</v>
      </c>
      <c r="U1636">
        <v>0</v>
      </c>
      <c r="V1636">
        <v>0</v>
      </c>
      <c r="W1636">
        <v>0</v>
      </c>
      <c r="X1636">
        <v>0</v>
      </c>
      <c r="Y1636">
        <v>0</v>
      </c>
      <c r="Z1636" s="8">
        <v>0</v>
      </c>
      <c r="AA1636">
        <v>0</v>
      </c>
      <c r="AB1636" t="s">
        <v>1635</v>
      </c>
      <c r="AC1636" t="s">
        <v>1635</v>
      </c>
      <c r="AD1636" s="1" t="s">
        <v>1635</v>
      </c>
      <c r="AE1636" s="2" t="s">
        <v>1635</v>
      </c>
      <c r="AF1636" s="2" t="s">
        <v>1635</v>
      </c>
      <c r="AG1636" s="2" t="s">
        <v>1635</v>
      </c>
      <c r="AH1636">
        <v>0</v>
      </c>
      <c r="AI1636" s="3" t="s">
        <v>1635</v>
      </c>
      <c r="AJ1636" s="1" t="s">
        <v>1635</v>
      </c>
      <c r="AK1636" s="2" t="s">
        <v>1635</v>
      </c>
      <c r="AL1636" s="4" t="s">
        <v>1636</v>
      </c>
      <c r="AM1636" s="5" t="s">
        <v>1636</v>
      </c>
      <c r="AN1636" s="4">
        <v>0</v>
      </c>
      <c r="AO1636" t="s">
        <v>1635</v>
      </c>
      <c r="AP1636" s="4" t="s">
        <v>1636</v>
      </c>
      <c r="AQ1636" t="s">
        <v>1619</v>
      </c>
      <c r="AR1636" t="s">
        <v>1620</v>
      </c>
      <c r="AT1636" s="16" t="str">
        <f>_xlfn.XLOOKUP(B1636,'SWiSH Demand Forecast Sep-26'!D:D,'SWiSH Demand Forecast Sep-26'!G:G,"Not Exist")</f>
        <v>Not Exist</v>
      </c>
    </row>
    <row r="1637" spans="1:46" x14ac:dyDescent="0.3">
      <c r="A1637">
        <v>106300043</v>
      </c>
      <c r="B1637" t="s">
        <v>3480</v>
      </c>
      <c r="C1637" t="s">
        <v>136</v>
      </c>
      <c r="D1637" t="s">
        <v>1629</v>
      </c>
      <c r="E1637" t="e">
        <v>#N/A</v>
      </c>
      <c r="F1637" t="s">
        <v>1615</v>
      </c>
      <c r="G1637" t="s">
        <v>1681</v>
      </c>
      <c r="H1637" t="s">
        <v>1860</v>
      </c>
      <c r="I1637" t="s">
        <v>1618</v>
      </c>
      <c r="J1637" t="s">
        <v>136</v>
      </c>
      <c r="K1637">
        <v>0.97826086999999995</v>
      </c>
      <c r="L1637">
        <v>0</v>
      </c>
      <c r="M1637" s="1">
        <v>3</v>
      </c>
      <c r="N1637">
        <v>0</v>
      </c>
      <c r="O1637">
        <v>0</v>
      </c>
      <c r="P1637">
        <v>0</v>
      </c>
      <c r="Q1637" s="1">
        <v>0</v>
      </c>
      <c r="R1637">
        <v>1.25</v>
      </c>
      <c r="S1637" s="2">
        <v>45774</v>
      </c>
      <c r="T1637" s="2">
        <v>45420</v>
      </c>
      <c r="U1637">
        <v>0</v>
      </c>
      <c r="V1637">
        <v>0</v>
      </c>
      <c r="W1637">
        <v>0</v>
      </c>
      <c r="X1637">
        <v>0</v>
      </c>
      <c r="Y1637">
        <v>0</v>
      </c>
      <c r="Z1637" s="8">
        <v>0</v>
      </c>
      <c r="AA1637">
        <v>0</v>
      </c>
      <c r="AB1637" t="s">
        <v>1635</v>
      </c>
      <c r="AC1637" t="s">
        <v>1635</v>
      </c>
      <c r="AD1637" s="1" t="s">
        <v>1635</v>
      </c>
      <c r="AE1637" s="2" t="s">
        <v>1635</v>
      </c>
      <c r="AF1637" s="2" t="s">
        <v>1635</v>
      </c>
      <c r="AG1637" s="2" t="s">
        <v>1635</v>
      </c>
      <c r="AH1637">
        <v>0</v>
      </c>
      <c r="AI1637" s="3" t="s">
        <v>1635</v>
      </c>
      <c r="AJ1637" s="1" t="s">
        <v>1635</v>
      </c>
      <c r="AK1637" s="2" t="s">
        <v>1635</v>
      </c>
      <c r="AL1637" s="4" t="s">
        <v>1636</v>
      </c>
      <c r="AM1637" s="5" t="s">
        <v>1636</v>
      </c>
      <c r="AN1637" s="4">
        <v>0</v>
      </c>
      <c r="AO1637" t="s">
        <v>1635</v>
      </c>
      <c r="AP1637" s="4" t="s">
        <v>1636</v>
      </c>
      <c r="AQ1637" t="s">
        <v>1619</v>
      </c>
      <c r="AR1637" t="s">
        <v>1620</v>
      </c>
      <c r="AT1637" s="16" t="str">
        <f>_xlfn.XLOOKUP(B1637,'SWiSH Demand Forecast Sep-26'!D:D,'SWiSH Demand Forecast Sep-26'!G:G,"Not Exist")</f>
        <v>Not Exist</v>
      </c>
    </row>
    <row r="1638" spans="1:46" x14ac:dyDescent="0.3">
      <c r="A1638">
        <v>106300046</v>
      </c>
      <c r="B1638" t="s">
        <v>3481</v>
      </c>
      <c r="C1638" t="s">
        <v>136</v>
      </c>
      <c r="D1638" t="s">
        <v>1629</v>
      </c>
      <c r="E1638" t="e">
        <v>#N/A</v>
      </c>
      <c r="F1638" t="s">
        <v>1840</v>
      </c>
      <c r="G1638" t="s">
        <v>1704</v>
      </c>
      <c r="H1638" t="s">
        <v>1860</v>
      </c>
      <c r="I1638" t="s">
        <v>1618</v>
      </c>
      <c r="J1638" t="e">
        <v>#N/A</v>
      </c>
      <c r="K1638">
        <v>1.51024811</v>
      </c>
      <c r="L1638">
        <v>0</v>
      </c>
      <c r="M1638" s="1">
        <v>3</v>
      </c>
      <c r="N1638">
        <v>0</v>
      </c>
      <c r="O1638">
        <v>0</v>
      </c>
      <c r="P1638">
        <v>0</v>
      </c>
      <c r="Q1638" s="1">
        <v>0</v>
      </c>
      <c r="R1638">
        <v>1.4</v>
      </c>
      <c r="S1638" s="2">
        <v>45620</v>
      </c>
      <c r="T1638" s="2">
        <v>46049</v>
      </c>
      <c r="U1638">
        <v>0</v>
      </c>
      <c r="V1638">
        <v>0</v>
      </c>
      <c r="W1638">
        <v>0</v>
      </c>
      <c r="X1638">
        <v>0</v>
      </c>
      <c r="Y1638">
        <v>0</v>
      </c>
      <c r="Z1638" s="8">
        <v>0</v>
      </c>
      <c r="AA1638">
        <v>0</v>
      </c>
      <c r="AB1638" t="s">
        <v>1635</v>
      </c>
      <c r="AC1638" t="s">
        <v>1635</v>
      </c>
      <c r="AD1638" s="1" t="s">
        <v>1635</v>
      </c>
      <c r="AE1638" s="2" t="s">
        <v>1635</v>
      </c>
      <c r="AF1638" s="2" t="s">
        <v>1635</v>
      </c>
      <c r="AG1638" s="2" t="s">
        <v>1635</v>
      </c>
      <c r="AH1638">
        <v>0</v>
      </c>
      <c r="AI1638" s="3" t="s">
        <v>1635</v>
      </c>
      <c r="AJ1638" s="1" t="s">
        <v>1635</v>
      </c>
      <c r="AK1638" s="2" t="s">
        <v>1635</v>
      </c>
      <c r="AL1638" s="4" t="s">
        <v>1636</v>
      </c>
      <c r="AM1638" s="5" t="s">
        <v>1636</v>
      </c>
      <c r="AN1638" s="4">
        <v>0</v>
      </c>
      <c r="AO1638" t="s">
        <v>1635</v>
      </c>
      <c r="AP1638" s="4" t="s">
        <v>1636</v>
      </c>
      <c r="AQ1638" t="s">
        <v>1619</v>
      </c>
      <c r="AR1638" t="s">
        <v>1620</v>
      </c>
      <c r="AT1638" s="16" t="str">
        <f>_xlfn.XLOOKUP(B1638,'SWiSH Demand Forecast Sep-26'!D:D,'SWiSH Demand Forecast Sep-26'!G:G,"Not Exist")</f>
        <v>Not Exist</v>
      </c>
    </row>
    <row r="1639" spans="1:46" x14ac:dyDescent="0.3">
      <c r="A1639">
        <v>105500004</v>
      </c>
      <c r="B1639" t="s">
        <v>3482</v>
      </c>
      <c r="C1639" t="s">
        <v>136</v>
      </c>
      <c r="D1639" t="s">
        <v>1629</v>
      </c>
      <c r="E1639" t="e">
        <v>#N/A</v>
      </c>
      <c r="F1639" t="s">
        <v>1840</v>
      </c>
      <c r="G1639" t="s">
        <v>1681</v>
      </c>
      <c r="H1639" t="s">
        <v>1841</v>
      </c>
      <c r="I1639" t="s">
        <v>1618</v>
      </c>
      <c r="J1639" t="s">
        <v>136</v>
      </c>
      <c r="K1639">
        <v>2.1153846199999999</v>
      </c>
      <c r="L1639">
        <v>0</v>
      </c>
      <c r="M1639" s="1">
        <v>3</v>
      </c>
      <c r="N1639">
        <v>0</v>
      </c>
      <c r="O1639">
        <v>0</v>
      </c>
      <c r="P1639">
        <v>0</v>
      </c>
      <c r="Q1639" s="1">
        <v>0</v>
      </c>
      <c r="R1639">
        <v>2.5</v>
      </c>
      <c r="S1639" s="2">
        <v>45774</v>
      </c>
      <c r="T1639" s="2">
        <v>46053</v>
      </c>
      <c r="U1639">
        <v>0</v>
      </c>
      <c r="V1639">
        <v>0</v>
      </c>
      <c r="W1639">
        <v>0</v>
      </c>
      <c r="X1639">
        <v>0</v>
      </c>
      <c r="Y1639">
        <v>0</v>
      </c>
      <c r="Z1639" s="8">
        <v>0</v>
      </c>
      <c r="AA1639">
        <v>0</v>
      </c>
      <c r="AB1639" t="s">
        <v>1635</v>
      </c>
      <c r="AC1639" t="s">
        <v>1635</v>
      </c>
      <c r="AD1639" s="1" t="s">
        <v>1635</v>
      </c>
      <c r="AE1639" s="2" t="s">
        <v>1635</v>
      </c>
      <c r="AF1639" s="2" t="s">
        <v>1635</v>
      </c>
      <c r="AG1639" s="2" t="s">
        <v>1635</v>
      </c>
      <c r="AH1639">
        <v>0</v>
      </c>
      <c r="AI1639" s="3" t="s">
        <v>1635</v>
      </c>
      <c r="AJ1639" s="1" t="s">
        <v>1635</v>
      </c>
      <c r="AK1639" s="2" t="s">
        <v>1635</v>
      </c>
      <c r="AL1639" s="4" t="s">
        <v>1636</v>
      </c>
      <c r="AM1639" s="5" t="s">
        <v>1636</v>
      </c>
      <c r="AN1639" s="4">
        <v>0</v>
      </c>
      <c r="AO1639" t="s">
        <v>1635</v>
      </c>
      <c r="AP1639" s="4" t="s">
        <v>1636</v>
      </c>
      <c r="AQ1639" t="s">
        <v>1619</v>
      </c>
      <c r="AR1639" t="s">
        <v>1620</v>
      </c>
      <c r="AT1639" s="16" t="str">
        <f>_xlfn.XLOOKUP(B1639,'SWiSH Demand Forecast Sep-26'!D:D,'SWiSH Demand Forecast Sep-26'!G:G,"Not Exist")</f>
        <v>Not Exist</v>
      </c>
    </row>
    <row r="1640" spans="1:46" x14ac:dyDescent="0.3">
      <c r="A1640">
        <v>105500006</v>
      </c>
      <c r="B1640" t="s">
        <v>3483</v>
      </c>
      <c r="C1640" t="s">
        <v>136</v>
      </c>
      <c r="D1640" t="s">
        <v>1629</v>
      </c>
      <c r="E1640" t="e">
        <v>#N/A</v>
      </c>
      <c r="F1640" t="s">
        <v>1840</v>
      </c>
      <c r="G1640" t="s">
        <v>1690</v>
      </c>
      <c r="H1640" t="s">
        <v>1841</v>
      </c>
      <c r="I1640" t="s">
        <v>1618</v>
      </c>
      <c r="J1640" t="s">
        <v>136</v>
      </c>
      <c r="K1640">
        <v>0.35</v>
      </c>
      <c r="L1640">
        <v>0</v>
      </c>
      <c r="M1640" s="1">
        <v>3</v>
      </c>
      <c r="N1640">
        <v>0</v>
      </c>
      <c r="O1640">
        <v>0</v>
      </c>
      <c r="P1640">
        <v>0</v>
      </c>
      <c r="Q1640" s="1">
        <v>0</v>
      </c>
      <c r="R1640">
        <v>0.35</v>
      </c>
      <c r="S1640" s="2">
        <v>45774</v>
      </c>
      <c r="T1640" s="2">
        <v>45669</v>
      </c>
      <c r="U1640">
        <v>0</v>
      </c>
      <c r="V1640">
        <v>0</v>
      </c>
      <c r="W1640">
        <v>0</v>
      </c>
      <c r="X1640">
        <v>0</v>
      </c>
      <c r="Y1640">
        <v>0</v>
      </c>
      <c r="Z1640" s="8">
        <v>0</v>
      </c>
      <c r="AA1640">
        <v>0</v>
      </c>
      <c r="AB1640" t="s">
        <v>1635</v>
      </c>
      <c r="AC1640" t="s">
        <v>1635</v>
      </c>
      <c r="AD1640" s="1" t="s">
        <v>1635</v>
      </c>
      <c r="AE1640" s="2" t="s">
        <v>1635</v>
      </c>
      <c r="AF1640" s="2" t="s">
        <v>1635</v>
      </c>
      <c r="AG1640" s="2" t="s">
        <v>1635</v>
      </c>
      <c r="AH1640">
        <v>0</v>
      </c>
      <c r="AI1640" s="3" t="s">
        <v>1635</v>
      </c>
      <c r="AJ1640" s="1" t="s">
        <v>1635</v>
      </c>
      <c r="AK1640" s="2" t="s">
        <v>1635</v>
      </c>
      <c r="AL1640" s="4" t="s">
        <v>1636</v>
      </c>
      <c r="AM1640" s="5" t="s">
        <v>1636</v>
      </c>
      <c r="AN1640" s="4">
        <v>0</v>
      </c>
      <c r="AO1640" t="s">
        <v>1635</v>
      </c>
      <c r="AP1640" s="4" t="s">
        <v>1636</v>
      </c>
      <c r="AQ1640" t="s">
        <v>1619</v>
      </c>
      <c r="AR1640" t="s">
        <v>1620</v>
      </c>
      <c r="AT1640" s="16" t="str">
        <f>_xlfn.XLOOKUP(B1640,'SWiSH Demand Forecast Sep-26'!D:D,'SWiSH Demand Forecast Sep-26'!G:G,"Not Exist")</f>
        <v>Not Exist</v>
      </c>
    </row>
    <row r="1641" spans="1:46" x14ac:dyDescent="0.3">
      <c r="A1641">
        <v>106300044</v>
      </c>
      <c r="B1641" t="s">
        <v>3484</v>
      </c>
      <c r="C1641" t="s">
        <v>136</v>
      </c>
      <c r="D1641" t="s">
        <v>1629</v>
      </c>
      <c r="E1641" t="e">
        <v>#N/A</v>
      </c>
      <c r="F1641" t="s">
        <v>1615</v>
      </c>
      <c r="G1641" t="s">
        <v>1681</v>
      </c>
      <c r="H1641" t="s">
        <v>1860</v>
      </c>
      <c r="I1641" t="s">
        <v>1618</v>
      </c>
      <c r="J1641" t="s">
        <v>136</v>
      </c>
      <c r="K1641">
        <v>1.29</v>
      </c>
      <c r="L1641">
        <v>0</v>
      </c>
      <c r="M1641" s="1">
        <v>3</v>
      </c>
      <c r="N1641">
        <v>0</v>
      </c>
      <c r="O1641">
        <v>0</v>
      </c>
      <c r="P1641">
        <v>0</v>
      </c>
      <c r="Q1641" s="1">
        <v>0</v>
      </c>
      <c r="R1641">
        <v>1.29</v>
      </c>
      <c r="S1641" s="2">
        <v>45774</v>
      </c>
      <c r="T1641" s="2">
        <v>45278</v>
      </c>
      <c r="U1641">
        <v>0</v>
      </c>
      <c r="V1641">
        <v>0</v>
      </c>
      <c r="W1641">
        <v>0</v>
      </c>
      <c r="X1641">
        <v>0</v>
      </c>
      <c r="Y1641">
        <v>0</v>
      </c>
      <c r="Z1641" s="8">
        <v>0</v>
      </c>
      <c r="AA1641">
        <v>0</v>
      </c>
      <c r="AB1641" t="s">
        <v>1635</v>
      </c>
      <c r="AC1641" t="s">
        <v>1635</v>
      </c>
      <c r="AD1641" s="1" t="s">
        <v>1635</v>
      </c>
      <c r="AE1641" s="2" t="s">
        <v>1635</v>
      </c>
      <c r="AF1641" s="2" t="s">
        <v>1635</v>
      </c>
      <c r="AG1641" s="2" t="s">
        <v>1635</v>
      </c>
      <c r="AH1641">
        <v>0</v>
      </c>
      <c r="AI1641" s="3" t="s">
        <v>1635</v>
      </c>
      <c r="AJ1641" s="1" t="s">
        <v>1635</v>
      </c>
      <c r="AK1641" s="2" t="s">
        <v>1635</v>
      </c>
      <c r="AL1641" s="4" t="s">
        <v>1636</v>
      </c>
      <c r="AM1641" s="5" t="s">
        <v>1636</v>
      </c>
      <c r="AN1641" s="4">
        <v>0</v>
      </c>
      <c r="AO1641" t="s">
        <v>1635</v>
      </c>
      <c r="AP1641" s="4" t="s">
        <v>1636</v>
      </c>
      <c r="AQ1641" t="s">
        <v>1619</v>
      </c>
      <c r="AR1641" t="s">
        <v>1620</v>
      </c>
      <c r="AT1641" s="16" t="str">
        <f>_xlfn.XLOOKUP(B1641,'SWiSH Demand Forecast Sep-26'!D:D,'SWiSH Demand Forecast Sep-26'!G:G,"Not Exist")</f>
        <v>Not Exist</v>
      </c>
    </row>
    <row r="1642" spans="1:46" x14ac:dyDescent="0.3">
      <c r="A1642">
        <v>106300036</v>
      </c>
      <c r="B1642" t="s">
        <v>3485</v>
      </c>
      <c r="C1642" t="s">
        <v>136</v>
      </c>
      <c r="D1642" t="s">
        <v>1629</v>
      </c>
      <c r="E1642" t="e">
        <v>#N/A</v>
      </c>
      <c r="F1642" t="s">
        <v>1615</v>
      </c>
      <c r="G1642" t="s">
        <v>1704</v>
      </c>
      <c r="H1642" t="s">
        <v>1860</v>
      </c>
      <c r="I1642" t="s">
        <v>1618</v>
      </c>
      <c r="J1642" t="s">
        <v>136</v>
      </c>
      <c r="K1642">
        <v>1.5</v>
      </c>
      <c r="L1642">
        <v>30</v>
      </c>
      <c r="M1642" s="1">
        <v>3</v>
      </c>
      <c r="N1642">
        <v>0</v>
      </c>
      <c r="O1642">
        <v>0</v>
      </c>
      <c r="P1642">
        <v>20</v>
      </c>
      <c r="Q1642" s="1">
        <v>20</v>
      </c>
      <c r="R1642">
        <v>1.5</v>
      </c>
      <c r="S1642" s="2">
        <v>45774</v>
      </c>
      <c r="T1642" s="2">
        <v>46049</v>
      </c>
      <c r="U1642">
        <v>0</v>
      </c>
      <c r="V1642">
        <v>0</v>
      </c>
      <c r="W1642">
        <v>0</v>
      </c>
      <c r="X1642">
        <v>0</v>
      </c>
      <c r="Y1642">
        <v>0</v>
      </c>
      <c r="Z1642" s="8">
        <v>0</v>
      </c>
      <c r="AA1642">
        <v>0</v>
      </c>
      <c r="AB1642" t="s">
        <v>1635</v>
      </c>
      <c r="AC1642" t="s">
        <v>1635</v>
      </c>
      <c r="AD1642" s="1" t="s">
        <v>1635</v>
      </c>
      <c r="AE1642" s="2" t="s">
        <v>1635</v>
      </c>
      <c r="AF1642" s="2" t="s">
        <v>1635</v>
      </c>
      <c r="AG1642" s="2" t="s">
        <v>1635</v>
      </c>
      <c r="AH1642">
        <v>0</v>
      </c>
      <c r="AI1642" s="3" t="s">
        <v>1635</v>
      </c>
      <c r="AJ1642" s="1" t="s">
        <v>1635</v>
      </c>
      <c r="AK1642" s="2" t="s">
        <v>1635</v>
      </c>
      <c r="AL1642" s="4" t="s">
        <v>1636</v>
      </c>
      <c r="AM1642" s="5" t="s">
        <v>1636</v>
      </c>
      <c r="AN1642" s="4">
        <v>0</v>
      </c>
      <c r="AO1642" t="s">
        <v>1635</v>
      </c>
      <c r="AP1642" s="4" t="s">
        <v>1636</v>
      </c>
      <c r="AQ1642" t="s">
        <v>1619</v>
      </c>
      <c r="AR1642" t="s">
        <v>1620</v>
      </c>
      <c r="AT1642" s="16" t="str">
        <f>_xlfn.XLOOKUP(B1642,'SWiSH Demand Forecast Sep-26'!D:D,'SWiSH Demand Forecast Sep-26'!G:G,"Not Exist")</f>
        <v>Not Exist</v>
      </c>
    </row>
    <row r="1643" spans="1:46" x14ac:dyDescent="0.3">
      <c r="A1643">
        <v>100100071</v>
      </c>
      <c r="B1643" t="s">
        <v>3486</v>
      </c>
      <c r="C1643" t="s">
        <v>136</v>
      </c>
      <c r="D1643" t="s">
        <v>1675</v>
      </c>
      <c r="E1643" t="s">
        <v>1832</v>
      </c>
      <c r="F1643" t="s">
        <v>1840</v>
      </c>
      <c r="G1643" t="s">
        <v>1690</v>
      </c>
      <c r="H1643" t="s">
        <v>1877</v>
      </c>
      <c r="I1643" t="s">
        <v>1618</v>
      </c>
      <c r="J1643" t="s">
        <v>136</v>
      </c>
      <c r="K1643">
        <v>3.1064814799999998</v>
      </c>
      <c r="L1643">
        <v>0</v>
      </c>
      <c r="M1643" s="1">
        <v>3</v>
      </c>
      <c r="N1643">
        <v>0</v>
      </c>
      <c r="O1643">
        <v>0</v>
      </c>
      <c r="P1643">
        <v>0</v>
      </c>
      <c r="Q1643" s="1">
        <v>0</v>
      </c>
      <c r="R1643">
        <v>5.25</v>
      </c>
      <c r="S1643" s="2">
        <v>45927</v>
      </c>
      <c r="T1643" s="2">
        <v>46053</v>
      </c>
      <c r="U1643">
        <v>0</v>
      </c>
      <c r="V1643">
        <v>0</v>
      </c>
      <c r="W1643">
        <v>0</v>
      </c>
      <c r="X1643">
        <v>0</v>
      </c>
      <c r="Y1643">
        <v>0</v>
      </c>
      <c r="Z1643" s="8">
        <v>0</v>
      </c>
      <c r="AA1643">
        <v>0</v>
      </c>
      <c r="AB1643" t="s">
        <v>1635</v>
      </c>
      <c r="AC1643" t="s">
        <v>1635</v>
      </c>
      <c r="AD1643" s="1" t="s">
        <v>1635</v>
      </c>
      <c r="AE1643" s="2" t="s">
        <v>1635</v>
      </c>
      <c r="AF1643" s="2" t="s">
        <v>1635</v>
      </c>
      <c r="AG1643" s="2" t="s">
        <v>1635</v>
      </c>
      <c r="AH1643">
        <v>0</v>
      </c>
      <c r="AI1643" s="3" t="s">
        <v>1635</v>
      </c>
      <c r="AJ1643" s="1" t="s">
        <v>1635</v>
      </c>
      <c r="AK1643" s="2" t="s">
        <v>1635</v>
      </c>
      <c r="AL1643" s="4" t="s">
        <v>1658</v>
      </c>
      <c r="AM1643" s="5" t="s">
        <v>1658</v>
      </c>
      <c r="AN1643" s="4">
        <v>0</v>
      </c>
      <c r="AO1643" t="s">
        <v>1635</v>
      </c>
      <c r="AP1643" s="4" t="s">
        <v>1658</v>
      </c>
      <c r="AQ1643" t="s">
        <v>1619</v>
      </c>
      <c r="AR1643" t="s">
        <v>1620</v>
      </c>
      <c r="AT1643" s="16" t="str">
        <f>_xlfn.XLOOKUP(B1643,'SWiSH Demand Forecast Sep-26'!D:D,'SWiSH Demand Forecast Sep-26'!G:G,"Not Exist")</f>
        <v>Not Exist</v>
      </c>
    </row>
    <row r="1644" spans="1:46" x14ac:dyDescent="0.3">
      <c r="A1644" t="s">
        <v>3321</v>
      </c>
      <c r="B1644" t="s">
        <v>3487</v>
      </c>
      <c r="C1644" t="s">
        <v>10</v>
      </c>
      <c r="D1644" t="s">
        <v>1629</v>
      </c>
      <c r="E1644" t="s">
        <v>1638</v>
      </c>
      <c r="F1644" t="s">
        <v>1664</v>
      </c>
      <c r="G1644" t="e">
        <v>#N/A</v>
      </c>
      <c r="H1644" t="s">
        <v>1810</v>
      </c>
      <c r="I1644" t="s">
        <v>1634</v>
      </c>
      <c r="J1644" t="s">
        <v>10</v>
      </c>
      <c r="K1644" t="e">
        <v>#N/A</v>
      </c>
      <c r="L1644" t="e">
        <v>#N/A</v>
      </c>
      <c r="M1644" s="1">
        <v>30</v>
      </c>
      <c r="N1644">
        <v>0</v>
      </c>
      <c r="O1644">
        <v>0</v>
      </c>
      <c r="P1644">
        <v>0</v>
      </c>
      <c r="Q1644" s="1">
        <v>0</v>
      </c>
      <c r="R1644" t="e">
        <v>#N/A</v>
      </c>
      <c r="S1644" s="2" t="e">
        <v>#N/A</v>
      </c>
      <c r="T1644" s="2" t="e">
        <v>#N/A</v>
      </c>
      <c r="U1644">
        <v>0</v>
      </c>
      <c r="V1644">
        <v>0</v>
      </c>
      <c r="W1644">
        <v>0</v>
      </c>
      <c r="X1644">
        <v>0</v>
      </c>
      <c r="Y1644">
        <v>0</v>
      </c>
      <c r="Z1644" s="8">
        <v>0</v>
      </c>
      <c r="AA1644">
        <v>0</v>
      </c>
      <c r="AB1644" t="s">
        <v>1635</v>
      </c>
      <c r="AC1644" t="s">
        <v>1635</v>
      </c>
      <c r="AD1644" s="1" t="s">
        <v>1635</v>
      </c>
      <c r="AE1644" s="2" t="s">
        <v>1635</v>
      </c>
      <c r="AF1644" s="2" t="s">
        <v>1635</v>
      </c>
      <c r="AG1644" s="2" t="s">
        <v>1635</v>
      </c>
      <c r="AH1644">
        <v>0</v>
      </c>
      <c r="AI1644" s="3" t="s">
        <v>1635</v>
      </c>
      <c r="AJ1644" s="1" t="s">
        <v>1635</v>
      </c>
      <c r="AK1644" s="2" t="s">
        <v>1635</v>
      </c>
      <c r="AL1644" s="4" t="s">
        <v>1636</v>
      </c>
      <c r="AM1644" s="5" t="s">
        <v>1636</v>
      </c>
      <c r="AN1644" s="4">
        <v>0</v>
      </c>
      <c r="AO1644" t="s">
        <v>1635</v>
      </c>
      <c r="AP1644" s="4" t="s">
        <v>1636</v>
      </c>
      <c r="AQ1644" t="s">
        <v>1619</v>
      </c>
      <c r="AR1644" t="s">
        <v>1620</v>
      </c>
      <c r="AT1644" s="16" t="str">
        <f>_xlfn.XLOOKUP(B1644,'SWiSH Demand Forecast Sep-26'!D:D,'SWiSH Demand Forecast Sep-26'!G:G,"Not Exist")</f>
        <v>Not Exist</v>
      </c>
    </row>
    <row r="1645" spans="1:46" x14ac:dyDescent="0.3">
      <c r="A1645">
        <v>106200127</v>
      </c>
      <c r="B1645" t="s">
        <v>3488</v>
      </c>
      <c r="C1645" t="s">
        <v>10</v>
      </c>
      <c r="D1645" t="s">
        <v>1629</v>
      </c>
      <c r="E1645" t="s">
        <v>1796</v>
      </c>
      <c r="F1645" t="s">
        <v>1671</v>
      </c>
      <c r="G1645" t="s">
        <v>3489</v>
      </c>
      <c r="H1645" t="s">
        <v>1672</v>
      </c>
      <c r="I1645" t="s">
        <v>1618</v>
      </c>
      <c r="J1645" t="s">
        <v>2761</v>
      </c>
      <c r="K1645">
        <v>0.17100000000000001</v>
      </c>
      <c r="L1645">
        <v>0</v>
      </c>
      <c r="M1645" s="1">
        <v>3</v>
      </c>
      <c r="N1645">
        <v>0</v>
      </c>
      <c r="O1645">
        <v>0</v>
      </c>
      <c r="P1645">
        <v>0</v>
      </c>
      <c r="Q1645" s="1">
        <v>0</v>
      </c>
      <c r="R1645">
        <v>24.623999999999999</v>
      </c>
      <c r="S1645" s="2">
        <v>45964</v>
      </c>
      <c r="T1645" s="2">
        <v>45980</v>
      </c>
      <c r="U1645">
        <v>0</v>
      </c>
      <c r="V1645">
        <v>0</v>
      </c>
      <c r="W1645">
        <v>0</v>
      </c>
      <c r="X1645">
        <v>0</v>
      </c>
      <c r="Y1645">
        <v>0</v>
      </c>
      <c r="Z1645" s="8">
        <v>0</v>
      </c>
      <c r="AA1645">
        <v>0</v>
      </c>
      <c r="AB1645" t="s">
        <v>1635</v>
      </c>
      <c r="AC1645" t="s">
        <v>1635</v>
      </c>
      <c r="AD1645" s="1" t="s">
        <v>1635</v>
      </c>
      <c r="AE1645" s="2" t="s">
        <v>1635</v>
      </c>
      <c r="AF1645" s="2" t="s">
        <v>1635</v>
      </c>
      <c r="AG1645" s="2" t="s">
        <v>1635</v>
      </c>
      <c r="AH1645">
        <v>0</v>
      </c>
      <c r="AI1645" s="3" t="s">
        <v>1635</v>
      </c>
      <c r="AJ1645" s="1" t="s">
        <v>1635</v>
      </c>
      <c r="AK1645" s="2" t="s">
        <v>1635</v>
      </c>
      <c r="AL1645" s="4" t="s">
        <v>1636</v>
      </c>
      <c r="AM1645" s="5" t="s">
        <v>1636</v>
      </c>
      <c r="AN1645" s="4">
        <v>0</v>
      </c>
      <c r="AO1645" t="s">
        <v>1635</v>
      </c>
      <c r="AP1645" s="4" t="s">
        <v>1636</v>
      </c>
      <c r="AQ1645" t="s">
        <v>1619</v>
      </c>
      <c r="AR1645" t="s">
        <v>1620</v>
      </c>
      <c r="AT1645" s="16" t="str">
        <f>_xlfn.XLOOKUP(B1645,'SWiSH Demand Forecast Sep-26'!D:D,'SWiSH Demand Forecast Sep-26'!G:G,"Not Exist")</f>
        <v>Not Exist</v>
      </c>
    </row>
    <row r="1646" spans="1:46" x14ac:dyDescent="0.3">
      <c r="A1646">
        <v>103700077</v>
      </c>
      <c r="B1646" t="s">
        <v>3490</v>
      </c>
      <c r="C1646" t="s">
        <v>136</v>
      </c>
      <c r="D1646" t="s">
        <v>1629</v>
      </c>
      <c r="E1646" t="e">
        <v>#N/A</v>
      </c>
      <c r="F1646" t="s">
        <v>1615</v>
      </c>
      <c r="G1646" t="s">
        <v>1704</v>
      </c>
      <c r="H1646" t="s">
        <v>1617</v>
      </c>
      <c r="I1646" t="s">
        <v>1618</v>
      </c>
      <c r="J1646" t="s">
        <v>136</v>
      </c>
      <c r="K1646">
        <v>6.6137566100000003</v>
      </c>
      <c r="L1646">
        <v>170.99999990287202</v>
      </c>
      <c r="M1646" s="1">
        <v>3</v>
      </c>
      <c r="N1646">
        <v>0</v>
      </c>
      <c r="O1646">
        <v>0</v>
      </c>
      <c r="P1646">
        <v>25.8552</v>
      </c>
      <c r="Q1646" s="1">
        <v>25.8552</v>
      </c>
      <c r="R1646">
        <v>4.5</v>
      </c>
      <c r="S1646" s="2">
        <v>45622</v>
      </c>
      <c r="T1646" s="2">
        <v>46049</v>
      </c>
      <c r="U1646">
        <v>0</v>
      </c>
      <c r="V1646">
        <v>0</v>
      </c>
      <c r="W1646">
        <v>0</v>
      </c>
      <c r="X1646">
        <v>0</v>
      </c>
      <c r="Y1646">
        <v>0</v>
      </c>
      <c r="Z1646" s="8">
        <v>0</v>
      </c>
      <c r="AA1646">
        <v>0</v>
      </c>
      <c r="AB1646" t="s">
        <v>1635</v>
      </c>
      <c r="AC1646" t="s">
        <v>1635</v>
      </c>
      <c r="AD1646" s="1" t="s">
        <v>1635</v>
      </c>
      <c r="AE1646" s="2" t="s">
        <v>1635</v>
      </c>
      <c r="AF1646" s="2" t="s">
        <v>1635</v>
      </c>
      <c r="AG1646" s="2" t="s">
        <v>1635</v>
      </c>
      <c r="AH1646">
        <v>0</v>
      </c>
      <c r="AI1646" s="3" t="s">
        <v>1635</v>
      </c>
      <c r="AJ1646" s="1" t="s">
        <v>1635</v>
      </c>
      <c r="AK1646" s="2" t="s">
        <v>1635</v>
      </c>
      <c r="AL1646" s="4" t="s">
        <v>1636</v>
      </c>
      <c r="AM1646" s="5" t="s">
        <v>1636</v>
      </c>
      <c r="AN1646" s="4">
        <v>0</v>
      </c>
      <c r="AO1646" t="s">
        <v>1635</v>
      </c>
      <c r="AP1646" s="4" t="s">
        <v>1636</v>
      </c>
      <c r="AQ1646" t="s">
        <v>1619</v>
      </c>
      <c r="AR1646" t="s">
        <v>1620</v>
      </c>
      <c r="AT1646" s="16" t="str">
        <f>_xlfn.XLOOKUP(B1646,'SWiSH Demand Forecast Sep-26'!D:D,'SWiSH Demand Forecast Sep-26'!G:G,"Not Exist")</f>
        <v>Not Exist</v>
      </c>
    </row>
    <row r="1647" spans="1:46" x14ac:dyDescent="0.3">
      <c r="A1647">
        <v>100100114</v>
      </c>
      <c r="B1647" t="s">
        <v>3491</v>
      </c>
      <c r="C1647" t="s">
        <v>10</v>
      </c>
      <c r="D1647" t="s">
        <v>1675</v>
      </c>
      <c r="E1647" t="s">
        <v>1685</v>
      </c>
      <c r="F1647" t="s">
        <v>1941</v>
      </c>
      <c r="G1647" t="s">
        <v>1690</v>
      </c>
      <c r="H1647" t="s">
        <v>1877</v>
      </c>
      <c r="I1647" t="s">
        <v>1618</v>
      </c>
      <c r="J1647" t="s">
        <v>1688</v>
      </c>
      <c r="K1647">
        <v>0.75</v>
      </c>
      <c r="L1647">
        <v>0</v>
      </c>
      <c r="M1647" s="1">
        <v>3</v>
      </c>
      <c r="N1647">
        <v>0</v>
      </c>
      <c r="O1647">
        <v>0</v>
      </c>
      <c r="P1647">
        <v>0</v>
      </c>
      <c r="Q1647" s="1">
        <v>0</v>
      </c>
      <c r="R1647">
        <v>9</v>
      </c>
      <c r="S1647" s="2">
        <v>45902</v>
      </c>
      <c r="T1647" s="2">
        <v>46010</v>
      </c>
      <c r="U1647">
        <v>0</v>
      </c>
      <c r="V1647">
        <v>0</v>
      </c>
      <c r="W1647">
        <v>0</v>
      </c>
      <c r="X1647">
        <v>0</v>
      </c>
      <c r="Y1647">
        <v>0</v>
      </c>
      <c r="Z1647" s="8">
        <v>0</v>
      </c>
      <c r="AA1647">
        <v>0</v>
      </c>
      <c r="AB1647" t="s">
        <v>1635</v>
      </c>
      <c r="AC1647" t="s">
        <v>1635</v>
      </c>
      <c r="AD1647" s="1" t="s">
        <v>1635</v>
      </c>
      <c r="AE1647" s="2" t="s">
        <v>1635</v>
      </c>
      <c r="AF1647" s="2" t="s">
        <v>1635</v>
      </c>
      <c r="AG1647" s="2" t="s">
        <v>1635</v>
      </c>
      <c r="AH1647">
        <v>0</v>
      </c>
      <c r="AI1647" s="3" t="s">
        <v>1635</v>
      </c>
      <c r="AJ1647" s="1" t="s">
        <v>1635</v>
      </c>
      <c r="AK1647" s="2" t="s">
        <v>1635</v>
      </c>
      <c r="AL1647" s="4" t="s">
        <v>1658</v>
      </c>
      <c r="AM1647" s="5" t="s">
        <v>1658</v>
      </c>
      <c r="AN1647" s="4">
        <v>0</v>
      </c>
      <c r="AO1647" t="s">
        <v>1635</v>
      </c>
      <c r="AP1647" s="4" t="s">
        <v>1658</v>
      </c>
      <c r="AQ1647" t="s">
        <v>1619</v>
      </c>
      <c r="AR1647" t="s">
        <v>1620</v>
      </c>
      <c r="AT1647" s="16" t="str">
        <f>_xlfn.XLOOKUP(B1647,'SWiSH Demand Forecast Sep-26'!D:D,'SWiSH Demand Forecast Sep-26'!G:G,"Not Exist")</f>
        <v>Not Exist</v>
      </c>
    </row>
    <row r="1648" spans="1:46" x14ac:dyDescent="0.3">
      <c r="A1648">
        <v>101700021</v>
      </c>
      <c r="B1648" t="s">
        <v>3492</v>
      </c>
      <c r="C1648" t="s">
        <v>240</v>
      </c>
      <c r="D1648" t="s">
        <v>1629</v>
      </c>
      <c r="E1648" t="e">
        <v>#N/A</v>
      </c>
      <c r="F1648" t="s">
        <v>1833</v>
      </c>
      <c r="G1648" t="s">
        <v>3312</v>
      </c>
      <c r="H1648" t="s">
        <v>2221</v>
      </c>
      <c r="I1648" t="s">
        <v>1626</v>
      </c>
      <c r="J1648" t="s">
        <v>3493</v>
      </c>
      <c r="K1648">
        <v>1.4455474500000001</v>
      </c>
      <c r="L1648">
        <v>0</v>
      </c>
      <c r="M1648" s="1">
        <v>3</v>
      </c>
      <c r="N1648">
        <v>0</v>
      </c>
      <c r="O1648">
        <v>0</v>
      </c>
      <c r="P1648">
        <v>0</v>
      </c>
      <c r="Q1648" s="1">
        <v>0</v>
      </c>
      <c r="R1648">
        <v>14.2</v>
      </c>
      <c r="S1648" s="2">
        <v>45722</v>
      </c>
      <c r="T1648" s="2">
        <v>45746</v>
      </c>
      <c r="U1648">
        <v>0</v>
      </c>
      <c r="V1648">
        <v>0</v>
      </c>
      <c r="W1648">
        <v>0</v>
      </c>
      <c r="X1648">
        <v>0</v>
      </c>
      <c r="Y1648">
        <v>0</v>
      </c>
      <c r="Z1648" s="8">
        <v>0</v>
      </c>
      <c r="AA1648">
        <v>0</v>
      </c>
      <c r="AB1648" t="s">
        <v>1635</v>
      </c>
      <c r="AC1648" t="s">
        <v>1635</v>
      </c>
      <c r="AD1648" s="1" t="s">
        <v>1635</v>
      </c>
      <c r="AE1648" s="2" t="s">
        <v>1635</v>
      </c>
      <c r="AF1648" s="2" t="s">
        <v>1635</v>
      </c>
      <c r="AG1648" s="2" t="s">
        <v>1635</v>
      </c>
      <c r="AH1648">
        <v>0</v>
      </c>
      <c r="AI1648" s="3" t="s">
        <v>1635</v>
      </c>
      <c r="AJ1648" s="1" t="s">
        <v>1635</v>
      </c>
      <c r="AK1648" s="2" t="s">
        <v>1635</v>
      </c>
      <c r="AL1648" s="4" t="s">
        <v>1636</v>
      </c>
      <c r="AM1648" s="5" t="s">
        <v>1636</v>
      </c>
      <c r="AN1648" s="4">
        <v>0</v>
      </c>
      <c r="AO1648" t="s">
        <v>1635</v>
      </c>
      <c r="AP1648" s="4" t="s">
        <v>1636</v>
      </c>
      <c r="AQ1648" t="s">
        <v>1619</v>
      </c>
      <c r="AR1648" t="s">
        <v>1620</v>
      </c>
      <c r="AT1648" s="16" t="str">
        <f>_xlfn.XLOOKUP(B1648,'SWiSH Demand Forecast Sep-26'!D:D,'SWiSH Demand Forecast Sep-26'!G:G,"Not Exist")</f>
        <v>Not Exist</v>
      </c>
    </row>
    <row r="1649" spans="1:46" x14ac:dyDescent="0.3">
      <c r="A1649">
        <v>100400003</v>
      </c>
      <c r="B1649" t="s">
        <v>3494</v>
      </c>
      <c r="C1649" t="s">
        <v>10</v>
      </c>
      <c r="D1649" t="s">
        <v>1629</v>
      </c>
      <c r="E1649" t="s">
        <v>1655</v>
      </c>
      <c r="F1649" t="s">
        <v>1664</v>
      </c>
      <c r="G1649" t="s">
        <v>1678</v>
      </c>
      <c r="H1649" t="s">
        <v>1810</v>
      </c>
      <c r="I1649" t="s">
        <v>1634</v>
      </c>
      <c r="J1649" t="s">
        <v>10</v>
      </c>
      <c r="K1649">
        <v>0</v>
      </c>
      <c r="L1649">
        <v>0</v>
      </c>
      <c r="M1649" s="1">
        <v>15</v>
      </c>
      <c r="N1649">
        <v>0</v>
      </c>
      <c r="O1649">
        <v>0</v>
      </c>
      <c r="P1649">
        <v>0</v>
      </c>
      <c r="Q1649" s="1">
        <v>0</v>
      </c>
      <c r="R1649">
        <v>0</v>
      </c>
      <c r="S1649" s="2">
        <v>0</v>
      </c>
      <c r="T1649" s="2">
        <v>45949</v>
      </c>
      <c r="U1649">
        <v>0</v>
      </c>
      <c r="V1649">
        <v>0</v>
      </c>
      <c r="W1649">
        <v>0</v>
      </c>
      <c r="X1649">
        <v>0</v>
      </c>
      <c r="Y1649">
        <v>0</v>
      </c>
      <c r="Z1649" s="8">
        <v>0</v>
      </c>
      <c r="AA1649">
        <v>0</v>
      </c>
      <c r="AB1649" t="s">
        <v>1635</v>
      </c>
      <c r="AC1649" t="s">
        <v>1635</v>
      </c>
      <c r="AD1649" s="1" t="s">
        <v>1635</v>
      </c>
      <c r="AE1649" s="2" t="s">
        <v>1635</v>
      </c>
      <c r="AF1649" s="2" t="s">
        <v>1635</v>
      </c>
      <c r="AG1649" s="2" t="s">
        <v>1635</v>
      </c>
      <c r="AH1649">
        <v>0</v>
      </c>
      <c r="AI1649" s="3" t="s">
        <v>1635</v>
      </c>
      <c r="AJ1649" s="1" t="s">
        <v>1635</v>
      </c>
      <c r="AK1649" s="2" t="s">
        <v>1635</v>
      </c>
      <c r="AL1649" s="4" t="s">
        <v>1636</v>
      </c>
      <c r="AM1649" s="5" t="s">
        <v>1636</v>
      </c>
      <c r="AN1649" s="4">
        <v>0</v>
      </c>
      <c r="AO1649" t="s">
        <v>1635</v>
      </c>
      <c r="AP1649" s="4" t="s">
        <v>1636</v>
      </c>
      <c r="AQ1649" t="s">
        <v>1619</v>
      </c>
      <c r="AR1649" t="s">
        <v>1620</v>
      </c>
      <c r="AT1649" s="16" t="str">
        <f>_xlfn.XLOOKUP(B1649,'SWiSH Demand Forecast Sep-26'!D:D,'SWiSH Demand Forecast Sep-26'!G:G,"Not Exist")</f>
        <v>Not Exist</v>
      </c>
    </row>
    <row r="1650" spans="1:46" x14ac:dyDescent="0.3">
      <c r="A1650">
        <v>100900083</v>
      </c>
      <c r="B1650" t="s">
        <v>3495</v>
      </c>
      <c r="C1650" t="s">
        <v>10</v>
      </c>
      <c r="D1650" t="s">
        <v>1955</v>
      </c>
      <c r="E1650" t="s">
        <v>1796</v>
      </c>
      <c r="F1650" t="s">
        <v>1639</v>
      </c>
      <c r="G1650" t="s">
        <v>1616</v>
      </c>
      <c r="H1650" t="s">
        <v>1640</v>
      </c>
      <c r="I1650" t="s">
        <v>1618</v>
      </c>
      <c r="J1650" t="s">
        <v>10</v>
      </c>
      <c r="K1650">
        <v>8.5000000000000006E-2</v>
      </c>
      <c r="L1650">
        <v>0</v>
      </c>
      <c r="M1650" s="1">
        <v>3</v>
      </c>
      <c r="N1650">
        <v>0</v>
      </c>
      <c r="O1650">
        <v>0</v>
      </c>
      <c r="P1650">
        <v>0</v>
      </c>
      <c r="Q1650" s="1">
        <v>0</v>
      </c>
      <c r="R1650">
        <v>2.04</v>
      </c>
      <c r="S1650" s="2">
        <v>46085</v>
      </c>
      <c r="T1650" s="2">
        <v>46256</v>
      </c>
      <c r="U1650">
        <v>0</v>
      </c>
      <c r="V1650">
        <v>0</v>
      </c>
      <c r="W1650">
        <v>0</v>
      </c>
      <c r="X1650">
        <v>0</v>
      </c>
      <c r="Y1650">
        <v>0</v>
      </c>
      <c r="Z1650" s="8">
        <v>0</v>
      </c>
      <c r="AA1650">
        <v>0</v>
      </c>
      <c r="AB1650" t="s">
        <v>1635</v>
      </c>
      <c r="AC1650" t="s">
        <v>1635</v>
      </c>
      <c r="AD1650" s="1" t="s">
        <v>1635</v>
      </c>
      <c r="AE1650" s="2" t="s">
        <v>1635</v>
      </c>
      <c r="AF1650" s="2" t="s">
        <v>1635</v>
      </c>
      <c r="AG1650" s="2" t="s">
        <v>1635</v>
      </c>
      <c r="AH1650">
        <v>24</v>
      </c>
      <c r="AI1650" s="3" t="s">
        <v>1635</v>
      </c>
      <c r="AJ1650" s="1">
        <v>0</v>
      </c>
      <c r="AK1650" s="2">
        <v>46263</v>
      </c>
      <c r="AL1650" s="4" t="s">
        <v>1658</v>
      </c>
      <c r="AM1650" s="5" t="s">
        <v>1658</v>
      </c>
      <c r="AN1650" s="4">
        <v>0</v>
      </c>
      <c r="AO1650" t="s">
        <v>1635</v>
      </c>
      <c r="AP1650" s="4" t="s">
        <v>1658</v>
      </c>
      <c r="AQ1650" t="s">
        <v>1619</v>
      </c>
      <c r="AR1650" t="s">
        <v>1620</v>
      </c>
      <c r="AS1650" t="s">
        <v>1666</v>
      </c>
      <c r="AT1650" s="16" t="str">
        <f>_xlfn.XLOOKUP(B1650,'SWiSH Demand Forecast Sep-26'!D:D,'SWiSH Demand Forecast Sep-26'!G:G,"Not Exist")</f>
        <v>Not Exist</v>
      </c>
    </row>
    <row r="1651" spans="1:46" x14ac:dyDescent="0.3">
      <c r="A1651">
        <v>103800024</v>
      </c>
      <c r="B1651" t="s">
        <v>3496</v>
      </c>
      <c r="C1651" t="s">
        <v>136</v>
      </c>
      <c r="D1651" t="s">
        <v>1675</v>
      </c>
      <c r="E1651" t="s">
        <v>1685</v>
      </c>
      <c r="F1651" t="s">
        <v>1615</v>
      </c>
      <c r="G1651" t="s">
        <v>1686</v>
      </c>
      <c r="H1651" t="s">
        <v>1822</v>
      </c>
      <c r="I1651" t="s">
        <v>1618</v>
      </c>
      <c r="J1651" t="s">
        <v>1858</v>
      </c>
      <c r="K1651">
        <v>8</v>
      </c>
      <c r="L1651">
        <v>0</v>
      </c>
      <c r="M1651" s="1">
        <v>3</v>
      </c>
      <c r="N1651">
        <v>0</v>
      </c>
      <c r="O1651">
        <v>0</v>
      </c>
      <c r="P1651">
        <v>0</v>
      </c>
      <c r="Q1651" s="1">
        <v>0</v>
      </c>
      <c r="R1651">
        <v>8</v>
      </c>
      <c r="S1651" s="2">
        <v>45909</v>
      </c>
      <c r="T1651" s="2">
        <v>45921</v>
      </c>
      <c r="U1651">
        <v>0</v>
      </c>
      <c r="V1651">
        <v>0</v>
      </c>
      <c r="W1651">
        <v>0</v>
      </c>
      <c r="X1651">
        <v>0</v>
      </c>
      <c r="Y1651">
        <v>0</v>
      </c>
      <c r="Z1651" s="8">
        <v>0</v>
      </c>
      <c r="AA1651">
        <v>0</v>
      </c>
      <c r="AB1651" t="s">
        <v>1635</v>
      </c>
      <c r="AC1651" t="s">
        <v>1635</v>
      </c>
      <c r="AD1651" s="1" t="s">
        <v>1635</v>
      </c>
      <c r="AE1651" s="2" t="s">
        <v>1635</v>
      </c>
      <c r="AF1651" s="2" t="s">
        <v>1635</v>
      </c>
      <c r="AG1651" s="2" t="s">
        <v>1635</v>
      </c>
      <c r="AH1651">
        <v>0</v>
      </c>
      <c r="AI1651" s="3" t="s">
        <v>1635</v>
      </c>
      <c r="AJ1651" s="1" t="s">
        <v>1635</v>
      </c>
      <c r="AK1651" s="2" t="s">
        <v>1635</v>
      </c>
      <c r="AL1651" s="4" t="s">
        <v>1658</v>
      </c>
      <c r="AM1651" s="5" t="s">
        <v>1658</v>
      </c>
      <c r="AN1651" s="4">
        <v>0</v>
      </c>
      <c r="AO1651" t="s">
        <v>1635</v>
      </c>
      <c r="AP1651" s="4" t="s">
        <v>1658</v>
      </c>
      <c r="AQ1651" t="s">
        <v>1619</v>
      </c>
      <c r="AR1651" t="s">
        <v>1620</v>
      </c>
      <c r="AT1651" s="16" t="str">
        <f>_xlfn.XLOOKUP(B1651,'SWiSH Demand Forecast Sep-26'!D:D,'SWiSH Demand Forecast Sep-26'!G:G,"Not Exist")</f>
        <v>Not Exist</v>
      </c>
    </row>
    <row r="1652" spans="1:46" x14ac:dyDescent="0.3">
      <c r="A1652">
        <v>103700046</v>
      </c>
      <c r="B1652" t="s">
        <v>3497</v>
      </c>
      <c r="C1652" t="s">
        <v>136</v>
      </c>
      <c r="D1652" t="s">
        <v>1675</v>
      </c>
      <c r="E1652" t="s">
        <v>1832</v>
      </c>
      <c r="F1652" t="s">
        <v>1615</v>
      </c>
      <c r="G1652" t="s">
        <v>1686</v>
      </c>
      <c r="H1652" t="s">
        <v>1617</v>
      </c>
      <c r="I1652" t="s">
        <v>1618</v>
      </c>
      <c r="J1652" t="s">
        <v>3498</v>
      </c>
      <c r="K1652">
        <v>5.7</v>
      </c>
      <c r="L1652">
        <v>0</v>
      </c>
      <c r="M1652" s="1">
        <v>3</v>
      </c>
      <c r="N1652">
        <v>0</v>
      </c>
      <c r="O1652">
        <v>0</v>
      </c>
      <c r="P1652">
        <v>0</v>
      </c>
      <c r="Q1652" s="1">
        <v>0</v>
      </c>
      <c r="R1652">
        <v>0.2175</v>
      </c>
      <c r="S1652" s="2">
        <v>45872</v>
      </c>
      <c r="T1652" s="2">
        <v>46053</v>
      </c>
      <c r="U1652">
        <v>0</v>
      </c>
      <c r="V1652">
        <v>0</v>
      </c>
      <c r="W1652">
        <v>0</v>
      </c>
      <c r="X1652">
        <v>0</v>
      </c>
      <c r="Y1652">
        <v>0</v>
      </c>
      <c r="Z1652" s="8">
        <v>0</v>
      </c>
      <c r="AA1652">
        <v>0</v>
      </c>
      <c r="AB1652" t="s">
        <v>1635</v>
      </c>
      <c r="AC1652" t="s">
        <v>1635</v>
      </c>
      <c r="AD1652" s="1" t="s">
        <v>1635</v>
      </c>
      <c r="AE1652" s="2" t="s">
        <v>1635</v>
      </c>
      <c r="AF1652" s="2" t="s">
        <v>1635</v>
      </c>
      <c r="AG1652" s="2" t="s">
        <v>1635</v>
      </c>
      <c r="AH1652">
        <v>0</v>
      </c>
      <c r="AI1652" s="3" t="s">
        <v>1635</v>
      </c>
      <c r="AJ1652" s="1" t="s">
        <v>1635</v>
      </c>
      <c r="AK1652" s="2" t="s">
        <v>1635</v>
      </c>
      <c r="AL1652" s="4" t="s">
        <v>1658</v>
      </c>
      <c r="AM1652" s="5" t="s">
        <v>1658</v>
      </c>
      <c r="AN1652" s="4">
        <v>0</v>
      </c>
      <c r="AO1652" t="s">
        <v>1635</v>
      </c>
      <c r="AP1652" s="4" t="s">
        <v>1658</v>
      </c>
      <c r="AQ1652" t="s">
        <v>1619</v>
      </c>
      <c r="AR1652" t="s">
        <v>1620</v>
      </c>
      <c r="AT1652" s="16" t="str">
        <f>_xlfn.XLOOKUP(B1652,'SWiSH Demand Forecast Sep-26'!D:D,'SWiSH Demand Forecast Sep-26'!G:G,"Not Exist")</f>
        <v>Not Exist</v>
      </c>
    </row>
    <row r="1653" spans="1:46" x14ac:dyDescent="0.3">
      <c r="A1653">
        <v>103800025</v>
      </c>
      <c r="B1653" t="s">
        <v>3499</v>
      </c>
      <c r="C1653" t="s">
        <v>136</v>
      </c>
      <c r="D1653" t="s">
        <v>1675</v>
      </c>
      <c r="E1653" t="s">
        <v>3258</v>
      </c>
      <c r="F1653" t="s">
        <v>1615</v>
      </c>
      <c r="G1653" t="s">
        <v>1686</v>
      </c>
      <c r="H1653" t="s">
        <v>1822</v>
      </c>
      <c r="I1653" t="s">
        <v>1618</v>
      </c>
      <c r="J1653" t="s">
        <v>3500</v>
      </c>
      <c r="K1653">
        <v>2419.08</v>
      </c>
      <c r="L1653">
        <v>0</v>
      </c>
      <c r="M1653" s="1">
        <v>3</v>
      </c>
      <c r="N1653">
        <v>0</v>
      </c>
      <c r="O1653">
        <v>0</v>
      </c>
      <c r="P1653">
        <v>0</v>
      </c>
      <c r="Q1653" s="1">
        <v>0</v>
      </c>
      <c r="R1653">
        <v>3.3</v>
      </c>
      <c r="S1653" s="2">
        <v>46257</v>
      </c>
      <c r="T1653" s="2">
        <v>46260</v>
      </c>
      <c r="U1653">
        <v>0</v>
      </c>
      <c r="V1653">
        <v>0</v>
      </c>
      <c r="W1653">
        <v>0</v>
      </c>
      <c r="X1653">
        <v>0</v>
      </c>
      <c r="Y1653">
        <v>0</v>
      </c>
      <c r="Z1653" s="8">
        <v>0</v>
      </c>
      <c r="AA1653">
        <v>0</v>
      </c>
      <c r="AB1653" t="s">
        <v>1635</v>
      </c>
      <c r="AC1653" t="s">
        <v>1635</v>
      </c>
      <c r="AD1653" s="1" t="s">
        <v>1635</v>
      </c>
      <c r="AE1653" s="2" t="s">
        <v>1635</v>
      </c>
      <c r="AF1653" s="2" t="s">
        <v>1635</v>
      </c>
      <c r="AG1653" s="2" t="s">
        <v>1635</v>
      </c>
      <c r="AH1653">
        <v>3.3000000000000002E-2</v>
      </c>
      <c r="AI1653" s="3" t="s">
        <v>1635</v>
      </c>
      <c r="AJ1653" s="1">
        <v>0</v>
      </c>
      <c r="AK1653" s="2">
        <v>46263</v>
      </c>
      <c r="AL1653" s="4" t="s">
        <v>1658</v>
      </c>
      <c r="AM1653" s="5" t="s">
        <v>1658</v>
      </c>
      <c r="AN1653" s="4">
        <v>0</v>
      </c>
      <c r="AO1653" t="s">
        <v>1635</v>
      </c>
      <c r="AP1653" s="4" t="s">
        <v>1658</v>
      </c>
      <c r="AQ1653" t="s">
        <v>1619</v>
      </c>
      <c r="AR1653" t="s">
        <v>1620</v>
      </c>
      <c r="AT1653" s="16" t="str">
        <f>_xlfn.XLOOKUP(B1653,'SWiSH Demand Forecast Sep-26'!D:D,'SWiSH Demand Forecast Sep-26'!G:G,"Not Exist")</f>
        <v>Not Exist</v>
      </c>
    </row>
    <row r="1654" spans="1:46" x14ac:dyDescent="0.3">
      <c r="A1654">
        <v>100100065</v>
      </c>
      <c r="B1654" t="s">
        <v>3501</v>
      </c>
      <c r="C1654" t="s">
        <v>136</v>
      </c>
      <c r="D1654" t="s">
        <v>1675</v>
      </c>
      <c r="E1654" t="s">
        <v>1995</v>
      </c>
      <c r="F1654" t="s">
        <v>1927</v>
      </c>
      <c r="G1654" t="s">
        <v>1678</v>
      </c>
      <c r="H1654" t="s">
        <v>1877</v>
      </c>
      <c r="I1654" t="s">
        <v>1618</v>
      </c>
      <c r="J1654" t="s">
        <v>136</v>
      </c>
      <c r="K1654">
        <v>0.97499999999999998</v>
      </c>
      <c r="L1654">
        <v>0</v>
      </c>
      <c r="M1654" s="1">
        <v>3</v>
      </c>
      <c r="N1654">
        <v>0</v>
      </c>
      <c r="O1654">
        <v>0</v>
      </c>
      <c r="P1654">
        <v>0</v>
      </c>
      <c r="Q1654" s="1">
        <v>0</v>
      </c>
      <c r="R1654">
        <v>0.97499999999999998</v>
      </c>
      <c r="S1654" s="2">
        <v>45873</v>
      </c>
      <c r="T1654" s="2">
        <v>45912</v>
      </c>
      <c r="U1654">
        <v>0</v>
      </c>
      <c r="V1654">
        <v>0</v>
      </c>
      <c r="W1654">
        <v>0</v>
      </c>
      <c r="X1654">
        <v>0</v>
      </c>
      <c r="Y1654">
        <v>0</v>
      </c>
      <c r="Z1654" s="8">
        <v>0</v>
      </c>
      <c r="AA1654">
        <v>0</v>
      </c>
      <c r="AB1654" t="s">
        <v>1635</v>
      </c>
      <c r="AC1654" t="s">
        <v>1635</v>
      </c>
      <c r="AD1654" s="1" t="s">
        <v>1635</v>
      </c>
      <c r="AE1654" s="2" t="s">
        <v>1635</v>
      </c>
      <c r="AF1654" s="2" t="s">
        <v>1635</v>
      </c>
      <c r="AG1654" s="2" t="s">
        <v>1635</v>
      </c>
      <c r="AH1654">
        <v>0</v>
      </c>
      <c r="AI1654" s="3" t="s">
        <v>1635</v>
      </c>
      <c r="AJ1654" s="1" t="s">
        <v>1635</v>
      </c>
      <c r="AK1654" s="2" t="s">
        <v>1635</v>
      </c>
      <c r="AL1654" s="4" t="s">
        <v>1658</v>
      </c>
      <c r="AM1654" s="5" t="s">
        <v>1658</v>
      </c>
      <c r="AN1654" s="4">
        <v>0</v>
      </c>
      <c r="AO1654" t="s">
        <v>1635</v>
      </c>
      <c r="AP1654" s="4" t="s">
        <v>1658</v>
      </c>
      <c r="AQ1654" t="s">
        <v>1619</v>
      </c>
      <c r="AR1654" t="s">
        <v>1620</v>
      </c>
      <c r="AT1654" s="16" t="str">
        <f>_xlfn.XLOOKUP(B1654,'SWiSH Demand Forecast Sep-26'!D:D,'SWiSH Demand Forecast Sep-26'!G:G,"Not Exist")</f>
        <v>Not Exist</v>
      </c>
    </row>
    <row r="1655" spans="1:46" x14ac:dyDescent="0.3">
      <c r="A1655">
        <v>106300009</v>
      </c>
      <c r="B1655" t="s">
        <v>3502</v>
      </c>
      <c r="C1655" t="s">
        <v>136</v>
      </c>
      <c r="D1655" t="s">
        <v>1675</v>
      </c>
      <c r="E1655" t="s">
        <v>1845</v>
      </c>
      <c r="F1655" t="s">
        <v>1927</v>
      </c>
      <c r="G1655" t="s">
        <v>1686</v>
      </c>
      <c r="H1655" t="s">
        <v>1860</v>
      </c>
      <c r="I1655" t="s">
        <v>1618</v>
      </c>
      <c r="J1655" t="s">
        <v>136</v>
      </c>
      <c r="K1655">
        <v>2</v>
      </c>
      <c r="L1655">
        <v>0</v>
      </c>
      <c r="M1655" s="1">
        <v>3</v>
      </c>
      <c r="N1655">
        <v>0</v>
      </c>
      <c r="O1655">
        <v>0</v>
      </c>
      <c r="P1655">
        <v>0</v>
      </c>
      <c r="Q1655" s="1">
        <v>0</v>
      </c>
      <c r="R1655">
        <v>2</v>
      </c>
      <c r="S1655" s="2">
        <v>45774</v>
      </c>
      <c r="T1655" s="2">
        <v>46054</v>
      </c>
      <c r="U1655">
        <v>0</v>
      </c>
      <c r="V1655">
        <v>0</v>
      </c>
      <c r="W1655">
        <v>0</v>
      </c>
      <c r="X1655">
        <v>0</v>
      </c>
      <c r="Y1655">
        <v>0</v>
      </c>
      <c r="Z1655" s="8">
        <v>0</v>
      </c>
      <c r="AA1655">
        <v>0</v>
      </c>
      <c r="AB1655" t="s">
        <v>1635</v>
      </c>
      <c r="AC1655" t="s">
        <v>1635</v>
      </c>
      <c r="AD1655" s="1" t="s">
        <v>1635</v>
      </c>
      <c r="AE1655" s="2" t="s">
        <v>1635</v>
      </c>
      <c r="AF1655" s="2" t="s">
        <v>1635</v>
      </c>
      <c r="AG1655" s="2" t="s">
        <v>1635</v>
      </c>
      <c r="AH1655">
        <v>0</v>
      </c>
      <c r="AI1655" s="3" t="s">
        <v>1635</v>
      </c>
      <c r="AJ1655" s="1" t="s">
        <v>1635</v>
      </c>
      <c r="AK1655" s="2" t="s">
        <v>1635</v>
      </c>
      <c r="AL1655" s="4" t="s">
        <v>1658</v>
      </c>
      <c r="AM1655" s="5" t="s">
        <v>1658</v>
      </c>
      <c r="AN1655" s="4">
        <v>0</v>
      </c>
      <c r="AO1655" t="s">
        <v>1635</v>
      </c>
      <c r="AP1655" s="4" t="s">
        <v>1658</v>
      </c>
      <c r="AQ1655" t="s">
        <v>1619</v>
      </c>
      <c r="AR1655" t="s">
        <v>1620</v>
      </c>
      <c r="AT1655" s="16" t="str">
        <f>_xlfn.XLOOKUP(B1655,'SWiSH Demand Forecast Sep-26'!D:D,'SWiSH Demand Forecast Sep-26'!G:G,"Not Exist")</f>
        <v>Not Exist</v>
      </c>
    </row>
    <row r="1656" spans="1:46" x14ac:dyDescent="0.3">
      <c r="A1656">
        <v>104800009</v>
      </c>
      <c r="B1656" t="s">
        <v>3503</v>
      </c>
      <c r="C1656" t="s">
        <v>10</v>
      </c>
      <c r="D1656" t="s">
        <v>1675</v>
      </c>
      <c r="E1656" t="s">
        <v>1685</v>
      </c>
      <c r="F1656" t="s">
        <v>1639</v>
      </c>
      <c r="G1656" t="s">
        <v>3312</v>
      </c>
      <c r="H1656" t="s">
        <v>1687</v>
      </c>
      <c r="I1656" t="s">
        <v>1618</v>
      </c>
      <c r="J1656" t="s">
        <v>1688</v>
      </c>
      <c r="K1656">
        <v>0.17916667</v>
      </c>
      <c r="L1656">
        <v>0</v>
      </c>
      <c r="M1656" s="1">
        <v>3</v>
      </c>
      <c r="N1656">
        <v>0</v>
      </c>
      <c r="O1656">
        <v>0</v>
      </c>
      <c r="P1656">
        <v>0</v>
      </c>
      <c r="Q1656" s="1">
        <v>0</v>
      </c>
      <c r="R1656">
        <v>2.25</v>
      </c>
      <c r="S1656" s="2">
        <v>45719</v>
      </c>
      <c r="T1656" s="2">
        <v>46054</v>
      </c>
      <c r="U1656">
        <v>0</v>
      </c>
      <c r="V1656">
        <v>0</v>
      </c>
      <c r="W1656">
        <v>0</v>
      </c>
      <c r="X1656">
        <v>0</v>
      </c>
      <c r="Y1656">
        <v>0</v>
      </c>
      <c r="Z1656" s="8">
        <v>0</v>
      </c>
      <c r="AA1656">
        <v>0</v>
      </c>
      <c r="AB1656" t="s">
        <v>1635</v>
      </c>
      <c r="AC1656" t="s">
        <v>1635</v>
      </c>
      <c r="AD1656" s="1" t="s">
        <v>1635</v>
      </c>
      <c r="AE1656" s="2" t="s">
        <v>1635</v>
      </c>
      <c r="AF1656" s="2" t="s">
        <v>1635</v>
      </c>
      <c r="AG1656" s="2" t="s">
        <v>1635</v>
      </c>
      <c r="AH1656">
        <v>0</v>
      </c>
      <c r="AI1656" s="3" t="s">
        <v>1635</v>
      </c>
      <c r="AJ1656" s="1" t="s">
        <v>1635</v>
      </c>
      <c r="AK1656" s="2" t="s">
        <v>1635</v>
      </c>
      <c r="AL1656" s="4" t="s">
        <v>1658</v>
      </c>
      <c r="AM1656" s="5" t="s">
        <v>1658</v>
      </c>
      <c r="AN1656" s="4">
        <v>0</v>
      </c>
      <c r="AO1656" t="s">
        <v>1635</v>
      </c>
      <c r="AP1656" s="4" t="s">
        <v>1658</v>
      </c>
      <c r="AQ1656" t="s">
        <v>1619</v>
      </c>
      <c r="AR1656" t="s">
        <v>2731</v>
      </c>
      <c r="AT1656" s="16" t="str">
        <f>_xlfn.XLOOKUP(B1656,'SWiSH Demand Forecast Sep-26'!D:D,'SWiSH Demand Forecast Sep-26'!G:G,"Not Exist")</f>
        <v>Not Exist</v>
      </c>
    </row>
    <row r="1657" spans="1:46" x14ac:dyDescent="0.3">
      <c r="A1657">
        <v>101200005</v>
      </c>
      <c r="B1657" t="s">
        <v>3504</v>
      </c>
      <c r="C1657" t="s">
        <v>136</v>
      </c>
      <c r="D1657" t="s">
        <v>1675</v>
      </c>
      <c r="E1657" t="s">
        <v>2161</v>
      </c>
      <c r="F1657" t="s">
        <v>1833</v>
      </c>
      <c r="G1657" t="s">
        <v>1690</v>
      </c>
      <c r="H1657" t="s">
        <v>1625</v>
      </c>
      <c r="I1657" t="s">
        <v>1626</v>
      </c>
      <c r="J1657" t="s">
        <v>136</v>
      </c>
      <c r="K1657">
        <v>8.8504000000000005</v>
      </c>
      <c r="L1657">
        <v>0</v>
      </c>
      <c r="M1657" s="1">
        <v>3</v>
      </c>
      <c r="N1657">
        <v>0</v>
      </c>
      <c r="O1657">
        <v>0</v>
      </c>
      <c r="P1657">
        <v>0</v>
      </c>
      <c r="Q1657" s="1">
        <v>0</v>
      </c>
      <c r="R1657">
        <v>8.5</v>
      </c>
      <c r="S1657" s="2">
        <v>45824</v>
      </c>
      <c r="T1657" s="2">
        <v>45860</v>
      </c>
      <c r="U1657">
        <v>0</v>
      </c>
      <c r="V1657">
        <v>0</v>
      </c>
      <c r="W1657">
        <v>0</v>
      </c>
      <c r="X1657">
        <v>0</v>
      </c>
      <c r="Y1657">
        <v>0</v>
      </c>
      <c r="Z1657" s="8">
        <v>0</v>
      </c>
      <c r="AA1657">
        <v>0</v>
      </c>
      <c r="AB1657" t="s">
        <v>1635</v>
      </c>
      <c r="AC1657" t="s">
        <v>1635</v>
      </c>
      <c r="AD1657" s="1" t="s">
        <v>1635</v>
      </c>
      <c r="AE1657" s="2" t="s">
        <v>1635</v>
      </c>
      <c r="AF1657" s="2" t="s">
        <v>1635</v>
      </c>
      <c r="AG1657" s="2" t="s">
        <v>1635</v>
      </c>
      <c r="AH1657">
        <v>0</v>
      </c>
      <c r="AI1657" s="3" t="s">
        <v>1635</v>
      </c>
      <c r="AJ1657" s="1" t="s">
        <v>1635</v>
      </c>
      <c r="AK1657" s="2" t="s">
        <v>1635</v>
      </c>
      <c r="AL1657" s="4" t="s">
        <v>1658</v>
      </c>
      <c r="AM1657" s="5" t="s">
        <v>1658</v>
      </c>
      <c r="AN1657" s="4">
        <v>0</v>
      </c>
      <c r="AO1657" t="s">
        <v>1635</v>
      </c>
      <c r="AP1657" s="4" t="s">
        <v>1658</v>
      </c>
      <c r="AQ1657" t="s">
        <v>1619</v>
      </c>
      <c r="AR1657" t="s">
        <v>1620</v>
      </c>
      <c r="AT1657" s="16" t="str">
        <f>_xlfn.XLOOKUP(B1657,'SWiSH Demand Forecast Sep-26'!D:D,'SWiSH Demand Forecast Sep-26'!G:G,"Not Exist")</f>
        <v>Not Exist</v>
      </c>
    </row>
    <row r="1658" spans="1:46" x14ac:dyDescent="0.3">
      <c r="A1658">
        <v>101200039</v>
      </c>
      <c r="B1658" t="s">
        <v>3505</v>
      </c>
      <c r="C1658" t="s">
        <v>136</v>
      </c>
      <c r="D1658" t="s">
        <v>1675</v>
      </c>
      <c r="E1658" t="s">
        <v>1685</v>
      </c>
      <c r="F1658" t="s">
        <v>1833</v>
      </c>
      <c r="G1658" t="s">
        <v>1686</v>
      </c>
      <c r="H1658" t="s">
        <v>1625</v>
      </c>
      <c r="I1658" t="s">
        <v>1626</v>
      </c>
      <c r="J1658" t="s">
        <v>136</v>
      </c>
      <c r="K1658">
        <v>5.375</v>
      </c>
      <c r="L1658">
        <v>0</v>
      </c>
      <c r="M1658" s="1">
        <v>3</v>
      </c>
      <c r="N1658">
        <v>0</v>
      </c>
      <c r="O1658">
        <v>0</v>
      </c>
      <c r="P1658">
        <v>0</v>
      </c>
      <c r="Q1658" s="1">
        <v>0</v>
      </c>
      <c r="R1658">
        <v>2.15</v>
      </c>
      <c r="S1658" s="2">
        <v>45810</v>
      </c>
      <c r="T1658" s="2">
        <v>45838</v>
      </c>
      <c r="U1658">
        <v>0</v>
      </c>
      <c r="V1658">
        <v>0</v>
      </c>
      <c r="W1658">
        <v>0</v>
      </c>
      <c r="X1658">
        <v>0</v>
      </c>
      <c r="Y1658">
        <v>0</v>
      </c>
      <c r="Z1658" s="8">
        <v>0</v>
      </c>
      <c r="AA1658">
        <v>0</v>
      </c>
      <c r="AB1658" t="s">
        <v>1635</v>
      </c>
      <c r="AC1658" t="s">
        <v>1635</v>
      </c>
      <c r="AD1658" s="1" t="s">
        <v>1635</v>
      </c>
      <c r="AE1658" s="2" t="s">
        <v>1635</v>
      </c>
      <c r="AF1658" s="2" t="s">
        <v>1635</v>
      </c>
      <c r="AG1658" s="2" t="s">
        <v>1635</v>
      </c>
      <c r="AH1658">
        <v>0</v>
      </c>
      <c r="AI1658" s="3" t="s">
        <v>1635</v>
      </c>
      <c r="AJ1658" s="1" t="s">
        <v>1635</v>
      </c>
      <c r="AK1658" s="2" t="s">
        <v>1635</v>
      </c>
      <c r="AL1658" s="4" t="s">
        <v>1658</v>
      </c>
      <c r="AM1658" s="5" t="s">
        <v>1658</v>
      </c>
      <c r="AN1658" s="4">
        <v>0</v>
      </c>
      <c r="AO1658" t="s">
        <v>1635</v>
      </c>
      <c r="AP1658" s="4" t="s">
        <v>1658</v>
      </c>
      <c r="AQ1658" t="s">
        <v>1619</v>
      </c>
      <c r="AR1658" t="s">
        <v>1620</v>
      </c>
      <c r="AT1658" s="16" t="str">
        <f>_xlfn.XLOOKUP(B1658,'SWiSH Demand Forecast Sep-26'!D:D,'SWiSH Demand Forecast Sep-26'!G:G,"Not Exist")</f>
        <v>Not Exist</v>
      </c>
    </row>
    <row r="1659" spans="1:46" x14ac:dyDescent="0.3">
      <c r="A1659">
        <v>101200041</v>
      </c>
      <c r="B1659" t="s">
        <v>3506</v>
      </c>
      <c r="C1659" t="s">
        <v>136</v>
      </c>
      <c r="D1659" t="s">
        <v>1675</v>
      </c>
      <c r="E1659" t="s">
        <v>1732</v>
      </c>
      <c r="F1659" t="s">
        <v>1833</v>
      </c>
      <c r="G1659" t="s">
        <v>1686</v>
      </c>
      <c r="H1659" t="s">
        <v>1625</v>
      </c>
      <c r="I1659" t="s">
        <v>1626</v>
      </c>
      <c r="J1659" t="s">
        <v>2450</v>
      </c>
      <c r="K1659">
        <v>14.64285714</v>
      </c>
      <c r="L1659">
        <v>0</v>
      </c>
      <c r="M1659" s="1">
        <v>3</v>
      </c>
      <c r="N1659">
        <v>0</v>
      </c>
      <c r="O1659">
        <v>0</v>
      </c>
      <c r="P1659">
        <v>0</v>
      </c>
      <c r="Q1659" s="1">
        <v>0</v>
      </c>
      <c r="R1659">
        <v>2.0499999999999998</v>
      </c>
      <c r="S1659" s="2">
        <v>45820</v>
      </c>
      <c r="T1659" s="2">
        <v>45821</v>
      </c>
      <c r="U1659">
        <v>0</v>
      </c>
      <c r="V1659">
        <v>0</v>
      </c>
      <c r="W1659">
        <v>0</v>
      </c>
      <c r="X1659">
        <v>0</v>
      </c>
      <c r="Y1659">
        <v>0</v>
      </c>
      <c r="Z1659" s="8">
        <v>0</v>
      </c>
      <c r="AA1659">
        <v>0</v>
      </c>
      <c r="AB1659" t="s">
        <v>1635</v>
      </c>
      <c r="AC1659" t="s">
        <v>1635</v>
      </c>
      <c r="AD1659" s="1" t="s">
        <v>1635</v>
      </c>
      <c r="AE1659" s="2" t="s">
        <v>1635</v>
      </c>
      <c r="AF1659" s="2" t="s">
        <v>1635</v>
      </c>
      <c r="AG1659" s="2" t="s">
        <v>1635</v>
      </c>
      <c r="AH1659">
        <v>0</v>
      </c>
      <c r="AI1659" s="3" t="s">
        <v>1635</v>
      </c>
      <c r="AJ1659" s="1" t="s">
        <v>1635</v>
      </c>
      <c r="AK1659" s="2" t="s">
        <v>1635</v>
      </c>
      <c r="AL1659" s="4" t="s">
        <v>1658</v>
      </c>
      <c r="AM1659" s="5" t="s">
        <v>1658</v>
      </c>
      <c r="AN1659" s="4">
        <v>0</v>
      </c>
      <c r="AO1659" t="s">
        <v>1635</v>
      </c>
      <c r="AP1659" s="4" t="s">
        <v>1658</v>
      </c>
      <c r="AQ1659" t="s">
        <v>1619</v>
      </c>
      <c r="AR1659" t="s">
        <v>1620</v>
      </c>
      <c r="AT1659" s="16" t="str">
        <f>_xlfn.XLOOKUP(B1659,'SWiSH Demand Forecast Sep-26'!D:D,'SWiSH Demand Forecast Sep-26'!G:G,"Not Exist")</f>
        <v>Not Exist</v>
      </c>
    </row>
    <row r="1660" spans="1:46" x14ac:dyDescent="0.3">
      <c r="A1660">
        <v>100400078</v>
      </c>
      <c r="B1660" t="s">
        <v>3507</v>
      </c>
      <c r="C1660" t="s">
        <v>10</v>
      </c>
      <c r="D1660" t="s">
        <v>1629</v>
      </c>
      <c r="E1660" t="s">
        <v>1638</v>
      </c>
      <c r="F1660" t="s">
        <v>1664</v>
      </c>
      <c r="G1660" t="s">
        <v>1690</v>
      </c>
      <c r="H1660" t="s">
        <v>1810</v>
      </c>
      <c r="I1660" t="s">
        <v>1634</v>
      </c>
      <c r="J1660" t="s">
        <v>10</v>
      </c>
      <c r="K1660">
        <v>6.2E-2</v>
      </c>
      <c r="L1660">
        <v>0</v>
      </c>
      <c r="M1660" s="1">
        <v>30</v>
      </c>
      <c r="N1660">
        <v>0</v>
      </c>
      <c r="O1660">
        <v>0</v>
      </c>
      <c r="P1660">
        <v>0</v>
      </c>
      <c r="Q1660" s="1">
        <v>0</v>
      </c>
      <c r="R1660">
        <v>6.2E-2</v>
      </c>
      <c r="S1660" s="2">
        <v>45693</v>
      </c>
      <c r="T1660" s="2">
        <v>46071</v>
      </c>
      <c r="U1660">
        <v>0</v>
      </c>
      <c r="V1660">
        <v>0</v>
      </c>
      <c r="W1660">
        <v>0</v>
      </c>
      <c r="X1660">
        <v>0</v>
      </c>
      <c r="Y1660">
        <v>0</v>
      </c>
      <c r="Z1660" s="8">
        <v>0</v>
      </c>
      <c r="AA1660">
        <v>0</v>
      </c>
      <c r="AB1660" t="s">
        <v>1635</v>
      </c>
      <c r="AC1660" t="s">
        <v>1635</v>
      </c>
      <c r="AD1660" s="1" t="s">
        <v>1635</v>
      </c>
      <c r="AE1660" s="2" t="s">
        <v>1635</v>
      </c>
      <c r="AF1660" s="2" t="s">
        <v>1635</v>
      </c>
      <c r="AG1660" s="2" t="s">
        <v>1635</v>
      </c>
      <c r="AH1660">
        <v>0</v>
      </c>
      <c r="AI1660" s="3" t="s">
        <v>1635</v>
      </c>
      <c r="AJ1660" s="1" t="s">
        <v>1635</v>
      </c>
      <c r="AK1660" s="2" t="s">
        <v>1635</v>
      </c>
      <c r="AL1660" s="4" t="s">
        <v>1636</v>
      </c>
      <c r="AM1660" s="5" t="s">
        <v>1636</v>
      </c>
      <c r="AN1660" s="4">
        <v>0</v>
      </c>
      <c r="AO1660" t="s">
        <v>1635</v>
      </c>
      <c r="AP1660" s="4" t="s">
        <v>1636</v>
      </c>
      <c r="AQ1660" t="s">
        <v>1619</v>
      </c>
      <c r="AR1660" t="s">
        <v>1620</v>
      </c>
      <c r="AT1660" s="16" t="str">
        <f>_xlfn.XLOOKUP(B1660,'SWiSH Demand Forecast Sep-26'!D:D,'SWiSH Demand Forecast Sep-26'!G:G,"Not Exist")</f>
        <v>Not Exist</v>
      </c>
    </row>
    <row r="1661" spans="1:46" x14ac:dyDescent="0.3">
      <c r="A1661">
        <v>103700126</v>
      </c>
      <c r="B1661" t="s">
        <v>3508</v>
      </c>
      <c r="C1661" t="s">
        <v>136</v>
      </c>
      <c r="D1661" t="s">
        <v>1675</v>
      </c>
      <c r="E1661" t="s">
        <v>1638</v>
      </c>
      <c r="F1661" t="s">
        <v>1615</v>
      </c>
      <c r="G1661" t="s">
        <v>1681</v>
      </c>
      <c r="H1661" t="s">
        <v>1617</v>
      </c>
      <c r="I1661" t="s">
        <v>1618</v>
      </c>
      <c r="J1661" t="e">
        <v>#N/A</v>
      </c>
      <c r="K1661">
        <v>6.75</v>
      </c>
      <c r="L1661">
        <v>0</v>
      </c>
      <c r="M1661" s="1">
        <v>3</v>
      </c>
      <c r="N1661">
        <v>0</v>
      </c>
      <c r="O1661">
        <v>0</v>
      </c>
      <c r="P1661">
        <v>0</v>
      </c>
      <c r="Q1661" s="1">
        <v>0</v>
      </c>
      <c r="R1661">
        <v>3.95</v>
      </c>
      <c r="S1661" s="2">
        <v>45582</v>
      </c>
      <c r="T1661" s="2">
        <v>45825</v>
      </c>
      <c r="U1661">
        <v>0</v>
      </c>
      <c r="V1661">
        <v>0</v>
      </c>
      <c r="W1661">
        <v>0</v>
      </c>
      <c r="X1661">
        <v>0</v>
      </c>
      <c r="Y1661">
        <v>0</v>
      </c>
      <c r="Z1661" s="8">
        <v>0</v>
      </c>
      <c r="AA1661">
        <v>0</v>
      </c>
      <c r="AB1661" t="s">
        <v>1635</v>
      </c>
      <c r="AC1661" t="s">
        <v>1635</v>
      </c>
      <c r="AD1661" s="1" t="s">
        <v>1635</v>
      </c>
      <c r="AE1661" s="2" t="s">
        <v>1635</v>
      </c>
      <c r="AF1661" s="2" t="s">
        <v>1635</v>
      </c>
      <c r="AG1661" s="2" t="s">
        <v>1635</v>
      </c>
      <c r="AH1661">
        <v>0</v>
      </c>
      <c r="AI1661" s="3" t="s">
        <v>1635</v>
      </c>
      <c r="AJ1661" s="1" t="s">
        <v>1635</v>
      </c>
      <c r="AK1661" s="2" t="s">
        <v>1635</v>
      </c>
      <c r="AL1661" s="4" t="s">
        <v>1658</v>
      </c>
      <c r="AM1661" s="5" t="s">
        <v>1658</v>
      </c>
      <c r="AN1661" s="4">
        <v>0</v>
      </c>
      <c r="AO1661" t="s">
        <v>1635</v>
      </c>
      <c r="AP1661" s="4" t="s">
        <v>1658</v>
      </c>
      <c r="AQ1661" t="s">
        <v>1619</v>
      </c>
      <c r="AR1661" t="s">
        <v>1620</v>
      </c>
      <c r="AT1661" s="16" t="str">
        <f>_xlfn.XLOOKUP(B1661,'SWiSH Demand Forecast Sep-26'!D:D,'SWiSH Demand Forecast Sep-26'!G:G,"Not Exist")</f>
        <v>Not Exist</v>
      </c>
    </row>
    <row r="1662" spans="1:46" x14ac:dyDescent="0.3">
      <c r="A1662">
        <v>100100151</v>
      </c>
      <c r="B1662" t="s">
        <v>3509</v>
      </c>
      <c r="C1662" t="s">
        <v>10</v>
      </c>
      <c r="D1662" t="s">
        <v>1675</v>
      </c>
      <c r="E1662" t="s">
        <v>1638</v>
      </c>
      <c r="F1662" t="s">
        <v>1840</v>
      </c>
      <c r="G1662" t="s">
        <v>1690</v>
      </c>
      <c r="H1662" t="s">
        <v>1877</v>
      </c>
      <c r="I1662" t="s">
        <v>1618</v>
      </c>
      <c r="J1662" t="s">
        <v>3510</v>
      </c>
      <c r="K1662">
        <v>2.6036360000000001E-2</v>
      </c>
      <c r="L1662">
        <v>0</v>
      </c>
      <c r="M1662" s="1">
        <v>3</v>
      </c>
      <c r="N1662">
        <v>0</v>
      </c>
      <c r="O1662">
        <v>0</v>
      </c>
      <c r="P1662">
        <v>0</v>
      </c>
      <c r="Q1662" s="1">
        <v>0</v>
      </c>
      <c r="R1662">
        <v>21.48</v>
      </c>
      <c r="S1662" s="2">
        <v>45777</v>
      </c>
      <c r="T1662" s="2">
        <v>45844</v>
      </c>
      <c r="U1662">
        <v>0</v>
      </c>
      <c r="V1662">
        <v>0</v>
      </c>
      <c r="W1662">
        <v>0</v>
      </c>
      <c r="X1662">
        <v>0</v>
      </c>
      <c r="Y1662">
        <v>0</v>
      </c>
      <c r="Z1662" s="8">
        <v>0</v>
      </c>
      <c r="AA1662">
        <v>0</v>
      </c>
      <c r="AB1662" t="s">
        <v>1635</v>
      </c>
      <c r="AC1662" t="s">
        <v>1635</v>
      </c>
      <c r="AD1662" s="1" t="s">
        <v>1635</v>
      </c>
      <c r="AE1662" s="2" t="s">
        <v>1635</v>
      </c>
      <c r="AF1662" s="2" t="s">
        <v>1635</v>
      </c>
      <c r="AG1662" s="2" t="s">
        <v>1635</v>
      </c>
      <c r="AH1662">
        <v>0</v>
      </c>
      <c r="AI1662" s="3" t="s">
        <v>1635</v>
      </c>
      <c r="AJ1662" s="1" t="s">
        <v>1635</v>
      </c>
      <c r="AK1662" s="2" t="s">
        <v>1635</v>
      </c>
      <c r="AL1662" s="4" t="s">
        <v>1658</v>
      </c>
      <c r="AM1662" s="5" t="s">
        <v>1658</v>
      </c>
      <c r="AN1662" s="4">
        <v>0</v>
      </c>
      <c r="AO1662" t="s">
        <v>1635</v>
      </c>
      <c r="AP1662" s="4" t="s">
        <v>1658</v>
      </c>
      <c r="AQ1662" t="s">
        <v>1619</v>
      </c>
      <c r="AR1662" t="s">
        <v>1620</v>
      </c>
      <c r="AT1662" s="16" t="str">
        <f>_xlfn.XLOOKUP(B1662,'SWiSH Demand Forecast Sep-26'!D:D,'SWiSH Demand Forecast Sep-26'!G:G,"Not Exist")</f>
        <v>Not Exist</v>
      </c>
    </row>
    <row r="1663" spans="1:46" x14ac:dyDescent="0.3">
      <c r="A1663" t="s">
        <v>3321</v>
      </c>
      <c r="B1663" t="s">
        <v>3511</v>
      </c>
      <c r="C1663" t="s">
        <v>10</v>
      </c>
      <c r="D1663" t="s">
        <v>1629</v>
      </c>
      <c r="E1663" t="s">
        <v>1655</v>
      </c>
      <c r="F1663" t="s">
        <v>1664</v>
      </c>
      <c r="G1663" t="e">
        <v>#N/A</v>
      </c>
      <c r="H1663" t="s">
        <v>1810</v>
      </c>
      <c r="I1663" t="s">
        <v>1634</v>
      </c>
      <c r="J1663" t="s">
        <v>10</v>
      </c>
      <c r="K1663" t="e">
        <v>#N/A</v>
      </c>
      <c r="L1663" t="e">
        <v>#N/A</v>
      </c>
      <c r="M1663" s="1">
        <v>30</v>
      </c>
      <c r="N1663">
        <v>0</v>
      </c>
      <c r="O1663">
        <v>0</v>
      </c>
      <c r="P1663">
        <v>0</v>
      </c>
      <c r="Q1663" s="1">
        <v>0</v>
      </c>
      <c r="R1663" t="e">
        <v>#N/A</v>
      </c>
      <c r="S1663" s="2" t="e">
        <v>#N/A</v>
      </c>
      <c r="T1663" s="2" t="e">
        <v>#N/A</v>
      </c>
      <c r="U1663">
        <v>0</v>
      </c>
      <c r="V1663">
        <v>0</v>
      </c>
      <c r="W1663">
        <v>0</v>
      </c>
      <c r="X1663">
        <v>0</v>
      </c>
      <c r="Y1663">
        <v>0</v>
      </c>
      <c r="Z1663" s="8">
        <v>0</v>
      </c>
      <c r="AA1663">
        <v>0</v>
      </c>
      <c r="AB1663" t="s">
        <v>1635</v>
      </c>
      <c r="AC1663" t="s">
        <v>1635</v>
      </c>
      <c r="AD1663" s="1" t="s">
        <v>1635</v>
      </c>
      <c r="AE1663" s="2" t="s">
        <v>1635</v>
      </c>
      <c r="AF1663" s="2" t="s">
        <v>1635</v>
      </c>
      <c r="AG1663" s="2" t="s">
        <v>1635</v>
      </c>
      <c r="AH1663">
        <v>0</v>
      </c>
      <c r="AI1663" s="3" t="s">
        <v>1635</v>
      </c>
      <c r="AJ1663" s="1" t="s">
        <v>1635</v>
      </c>
      <c r="AK1663" s="2" t="s">
        <v>1635</v>
      </c>
      <c r="AL1663" s="4" t="s">
        <v>1636</v>
      </c>
      <c r="AM1663" s="5" t="s">
        <v>1636</v>
      </c>
      <c r="AN1663" s="4">
        <v>0</v>
      </c>
      <c r="AO1663" t="s">
        <v>1635</v>
      </c>
      <c r="AP1663" s="4" t="s">
        <v>1636</v>
      </c>
      <c r="AQ1663" t="s">
        <v>1619</v>
      </c>
      <c r="AR1663" t="s">
        <v>1620</v>
      </c>
      <c r="AT1663" s="16" t="str">
        <f>_xlfn.XLOOKUP(B1663,'SWiSH Demand Forecast Sep-26'!D:D,'SWiSH Demand Forecast Sep-26'!G:G,"Not Exist")</f>
        <v>Not Exist</v>
      </c>
    </row>
    <row r="1664" spans="1:46" x14ac:dyDescent="0.3">
      <c r="A1664">
        <v>106300050</v>
      </c>
      <c r="B1664" t="s">
        <v>3512</v>
      </c>
      <c r="C1664" t="s">
        <v>136</v>
      </c>
      <c r="D1664" t="s">
        <v>1675</v>
      </c>
      <c r="E1664" t="s">
        <v>1832</v>
      </c>
      <c r="F1664" t="s">
        <v>1615</v>
      </c>
      <c r="G1664" t="s">
        <v>1681</v>
      </c>
      <c r="H1664" t="s">
        <v>1860</v>
      </c>
      <c r="I1664" t="s">
        <v>1618</v>
      </c>
      <c r="J1664" t="s">
        <v>1858</v>
      </c>
      <c r="K1664">
        <v>7</v>
      </c>
      <c r="L1664">
        <v>0</v>
      </c>
      <c r="M1664" s="1">
        <v>3</v>
      </c>
      <c r="N1664">
        <v>0</v>
      </c>
      <c r="O1664">
        <v>0</v>
      </c>
      <c r="P1664">
        <v>0</v>
      </c>
      <c r="Q1664" s="1">
        <v>0</v>
      </c>
      <c r="R1664">
        <v>7</v>
      </c>
      <c r="S1664" s="2">
        <v>45761</v>
      </c>
      <c r="T1664" s="2">
        <v>45830</v>
      </c>
      <c r="U1664">
        <v>0</v>
      </c>
      <c r="V1664">
        <v>0</v>
      </c>
      <c r="W1664">
        <v>0</v>
      </c>
      <c r="X1664">
        <v>0</v>
      </c>
      <c r="Y1664">
        <v>0</v>
      </c>
      <c r="Z1664" s="8">
        <v>0</v>
      </c>
      <c r="AA1664">
        <v>0</v>
      </c>
      <c r="AB1664" t="s">
        <v>1635</v>
      </c>
      <c r="AC1664" t="s">
        <v>1635</v>
      </c>
      <c r="AD1664" s="1" t="s">
        <v>1635</v>
      </c>
      <c r="AE1664" s="2" t="s">
        <v>1635</v>
      </c>
      <c r="AF1664" s="2" t="s">
        <v>1635</v>
      </c>
      <c r="AG1664" s="2" t="s">
        <v>1635</v>
      </c>
      <c r="AH1664">
        <v>0</v>
      </c>
      <c r="AI1664" s="3" t="s">
        <v>1635</v>
      </c>
      <c r="AJ1664" s="1" t="s">
        <v>1635</v>
      </c>
      <c r="AK1664" s="2" t="s">
        <v>1635</v>
      </c>
      <c r="AL1664" s="4" t="s">
        <v>1658</v>
      </c>
      <c r="AM1664" s="5" t="s">
        <v>1658</v>
      </c>
      <c r="AN1664" s="4">
        <v>0</v>
      </c>
      <c r="AO1664" t="s">
        <v>1635</v>
      </c>
      <c r="AP1664" s="4" t="s">
        <v>1658</v>
      </c>
      <c r="AQ1664" t="s">
        <v>1619</v>
      </c>
      <c r="AR1664" t="s">
        <v>1620</v>
      </c>
      <c r="AT1664" s="16" t="str">
        <f>_xlfn.XLOOKUP(B1664,'SWiSH Demand Forecast Sep-26'!D:D,'SWiSH Demand Forecast Sep-26'!G:G,"Not Exist")</f>
        <v>Not Exist</v>
      </c>
    </row>
    <row r="1665" spans="1:46" x14ac:dyDescent="0.3">
      <c r="A1665">
        <v>104800017</v>
      </c>
      <c r="B1665" t="s">
        <v>3513</v>
      </c>
      <c r="C1665" t="s">
        <v>10</v>
      </c>
      <c r="D1665" t="s">
        <v>1629</v>
      </c>
      <c r="E1665" t="s">
        <v>1683</v>
      </c>
      <c r="F1665" t="s">
        <v>1639</v>
      </c>
      <c r="G1665" t="s">
        <v>1678</v>
      </c>
      <c r="H1665" t="s">
        <v>1687</v>
      </c>
      <c r="I1665" t="s">
        <v>1618</v>
      </c>
      <c r="J1665" t="s">
        <v>3514</v>
      </c>
      <c r="K1665">
        <v>4.5999999999999999E-2</v>
      </c>
      <c r="L1665">
        <v>0</v>
      </c>
      <c r="M1665" s="1">
        <v>3</v>
      </c>
      <c r="N1665">
        <v>0</v>
      </c>
      <c r="O1665">
        <v>0</v>
      </c>
      <c r="P1665">
        <v>0</v>
      </c>
      <c r="Q1665" s="1">
        <v>0</v>
      </c>
      <c r="R1665">
        <v>0</v>
      </c>
      <c r="S1665" s="2">
        <v>0</v>
      </c>
      <c r="T1665" s="2">
        <v>45967</v>
      </c>
      <c r="U1665">
        <v>0</v>
      </c>
      <c r="V1665">
        <v>0</v>
      </c>
      <c r="W1665">
        <v>0</v>
      </c>
      <c r="X1665">
        <v>0</v>
      </c>
      <c r="Y1665">
        <v>0</v>
      </c>
      <c r="Z1665" s="8">
        <v>0</v>
      </c>
      <c r="AA1665">
        <v>0</v>
      </c>
      <c r="AB1665" t="s">
        <v>1635</v>
      </c>
      <c r="AC1665" t="s">
        <v>1635</v>
      </c>
      <c r="AD1665" s="1" t="s">
        <v>1635</v>
      </c>
      <c r="AE1665" s="2" t="s">
        <v>1635</v>
      </c>
      <c r="AF1665" s="2" t="s">
        <v>1635</v>
      </c>
      <c r="AG1665" s="2" t="s">
        <v>1635</v>
      </c>
      <c r="AH1665">
        <v>0</v>
      </c>
      <c r="AI1665" s="3" t="s">
        <v>1635</v>
      </c>
      <c r="AJ1665" s="1" t="s">
        <v>1635</v>
      </c>
      <c r="AK1665" s="2" t="s">
        <v>1635</v>
      </c>
      <c r="AL1665" s="4" t="s">
        <v>1636</v>
      </c>
      <c r="AM1665" s="5" t="s">
        <v>1636</v>
      </c>
      <c r="AN1665" s="4">
        <v>0</v>
      </c>
      <c r="AO1665" t="s">
        <v>1635</v>
      </c>
      <c r="AP1665" s="4" t="s">
        <v>1636</v>
      </c>
      <c r="AQ1665" t="s">
        <v>1619</v>
      </c>
      <c r="AR1665" t="s">
        <v>1620</v>
      </c>
      <c r="AT1665" s="16" t="str">
        <f>_xlfn.XLOOKUP(B1665,'SWiSH Demand Forecast Sep-26'!D:D,'SWiSH Demand Forecast Sep-26'!G:G,"Not Exist")</f>
        <v>Not Exist</v>
      </c>
    </row>
    <row r="1666" spans="1:46" x14ac:dyDescent="0.3">
      <c r="A1666">
        <v>106200140</v>
      </c>
      <c r="B1666" t="s">
        <v>3515</v>
      </c>
      <c r="C1666" t="s">
        <v>240</v>
      </c>
      <c r="D1666" t="s">
        <v>1629</v>
      </c>
      <c r="E1666" t="e">
        <v>#N/A</v>
      </c>
      <c r="F1666" t="s">
        <v>1671</v>
      </c>
      <c r="G1666" t="s">
        <v>1690</v>
      </c>
      <c r="H1666" t="s">
        <v>1672</v>
      </c>
      <c r="I1666" t="s">
        <v>1618</v>
      </c>
      <c r="J1666" t="s">
        <v>240</v>
      </c>
      <c r="K1666">
        <v>2.9</v>
      </c>
      <c r="L1666">
        <v>0</v>
      </c>
      <c r="M1666" s="1">
        <v>3</v>
      </c>
      <c r="N1666">
        <v>0</v>
      </c>
      <c r="O1666">
        <v>0</v>
      </c>
      <c r="P1666">
        <v>0</v>
      </c>
      <c r="Q1666" s="1">
        <v>0</v>
      </c>
      <c r="R1666">
        <v>2.9</v>
      </c>
      <c r="S1666" s="2">
        <v>45774</v>
      </c>
      <c r="T1666" s="2">
        <v>45719</v>
      </c>
      <c r="U1666">
        <v>0</v>
      </c>
      <c r="V1666">
        <v>0</v>
      </c>
      <c r="W1666">
        <v>0</v>
      </c>
      <c r="X1666">
        <v>0</v>
      </c>
      <c r="Y1666">
        <v>0</v>
      </c>
      <c r="Z1666" s="8">
        <v>0</v>
      </c>
      <c r="AA1666">
        <v>0</v>
      </c>
      <c r="AB1666" t="s">
        <v>1635</v>
      </c>
      <c r="AC1666" t="s">
        <v>1635</v>
      </c>
      <c r="AD1666" s="1" t="s">
        <v>1635</v>
      </c>
      <c r="AE1666" s="2" t="s">
        <v>1635</v>
      </c>
      <c r="AF1666" s="2" t="s">
        <v>1635</v>
      </c>
      <c r="AG1666" s="2" t="s">
        <v>1635</v>
      </c>
      <c r="AH1666">
        <v>0</v>
      </c>
      <c r="AI1666" s="3" t="s">
        <v>1635</v>
      </c>
      <c r="AJ1666" s="1" t="s">
        <v>1635</v>
      </c>
      <c r="AK1666" s="2" t="s">
        <v>1635</v>
      </c>
      <c r="AL1666" s="4" t="s">
        <v>1636</v>
      </c>
      <c r="AM1666" s="5" t="s">
        <v>1636</v>
      </c>
      <c r="AN1666" s="4">
        <v>0</v>
      </c>
      <c r="AO1666" t="s">
        <v>1635</v>
      </c>
      <c r="AP1666" s="4" t="s">
        <v>1636</v>
      </c>
      <c r="AQ1666" t="s">
        <v>1619</v>
      </c>
      <c r="AR1666" t="s">
        <v>1620</v>
      </c>
      <c r="AT1666" s="16" t="str">
        <f>_xlfn.XLOOKUP(B1666,'SWiSH Demand Forecast Sep-26'!D:D,'SWiSH Demand Forecast Sep-26'!G:G,"Not Exist")</f>
        <v>Not Exist</v>
      </c>
    </row>
    <row r="1667" spans="1:46" hidden="1" x14ac:dyDescent="0.3">
      <c r="A1667">
        <v>103000029</v>
      </c>
      <c r="B1667" t="s">
        <v>718</v>
      </c>
      <c r="C1667" t="s">
        <v>136</v>
      </c>
      <c r="D1667" t="s">
        <v>1629</v>
      </c>
      <c r="E1667" t="e">
        <v>#N/A</v>
      </c>
      <c r="F1667" t="s">
        <v>1615</v>
      </c>
      <c r="G1667" t="s">
        <v>1681</v>
      </c>
      <c r="H1667" t="s">
        <v>3516</v>
      </c>
      <c r="I1667" t="s">
        <v>1618</v>
      </c>
      <c r="J1667" t="s">
        <v>136</v>
      </c>
      <c r="K1667">
        <v>0.40555554999999999</v>
      </c>
      <c r="L1667">
        <v>0</v>
      </c>
      <c r="M1667" s="1">
        <v>3</v>
      </c>
      <c r="N1667">
        <v>0</v>
      </c>
      <c r="O1667">
        <v>0</v>
      </c>
      <c r="P1667">
        <v>0</v>
      </c>
      <c r="Q1667" s="1">
        <v>0</v>
      </c>
      <c r="R1667">
        <v>0.42499999999999999</v>
      </c>
      <c r="S1667" s="2">
        <v>45922</v>
      </c>
      <c r="T1667" s="2">
        <v>46262</v>
      </c>
      <c r="U1667">
        <v>0</v>
      </c>
      <c r="V1667">
        <v>0</v>
      </c>
      <c r="W1667">
        <v>0</v>
      </c>
      <c r="X1667">
        <v>0</v>
      </c>
      <c r="Y1667">
        <v>0</v>
      </c>
      <c r="Z1667" s="8">
        <v>0</v>
      </c>
      <c r="AA1667">
        <v>0</v>
      </c>
      <c r="AB1667" t="s">
        <v>1635</v>
      </c>
      <c r="AC1667" t="s">
        <v>1635</v>
      </c>
      <c r="AD1667" s="1" t="s">
        <v>1635</v>
      </c>
      <c r="AE1667" s="2" t="s">
        <v>1635</v>
      </c>
      <c r="AF1667" s="2" t="s">
        <v>1635</v>
      </c>
      <c r="AG1667" s="2" t="s">
        <v>1635</v>
      </c>
      <c r="AH1667">
        <v>0</v>
      </c>
      <c r="AI1667" s="3" t="s">
        <v>1635</v>
      </c>
      <c r="AJ1667" s="1" t="s">
        <v>1635</v>
      </c>
      <c r="AK1667" s="2" t="s">
        <v>1635</v>
      </c>
      <c r="AL1667" s="4" t="s">
        <v>1636</v>
      </c>
      <c r="AM1667" s="5" t="s">
        <v>1636</v>
      </c>
      <c r="AN1667" s="4">
        <v>0</v>
      </c>
      <c r="AO1667" t="s">
        <v>1635</v>
      </c>
      <c r="AP1667" s="4" t="s">
        <v>1636</v>
      </c>
      <c r="AQ1667" t="s">
        <v>1619</v>
      </c>
      <c r="AR1667" t="s">
        <v>1620</v>
      </c>
      <c r="AT1667" s="16">
        <f>_xlfn.XLOOKUP(B1667,'SWiSH Demand Forecast Sep-26'!D:D,'SWiSH Demand Forecast Sep-26'!G:G,"Not Exist")</f>
        <v>579.77358874458798</v>
      </c>
    </row>
    <row r="1668" spans="1:46" x14ac:dyDescent="0.3">
      <c r="A1668">
        <v>106200059</v>
      </c>
      <c r="B1668" t="s">
        <v>3517</v>
      </c>
      <c r="C1668" t="s">
        <v>240</v>
      </c>
      <c r="D1668" t="s">
        <v>1629</v>
      </c>
      <c r="E1668" t="s">
        <v>1685</v>
      </c>
      <c r="F1668" t="s">
        <v>1671</v>
      </c>
      <c r="G1668" t="s">
        <v>1704</v>
      </c>
      <c r="H1668" t="s">
        <v>1672</v>
      </c>
      <c r="I1668" t="s">
        <v>1618</v>
      </c>
      <c r="J1668" t="s">
        <v>3518</v>
      </c>
      <c r="K1668">
        <v>1.2</v>
      </c>
      <c r="L1668">
        <v>10.319999999999999</v>
      </c>
      <c r="M1668" s="1">
        <v>3</v>
      </c>
      <c r="N1668">
        <v>0</v>
      </c>
      <c r="O1668">
        <v>0</v>
      </c>
      <c r="P1668">
        <v>8.6</v>
      </c>
      <c r="Q1668" s="1">
        <v>8.6</v>
      </c>
      <c r="R1668">
        <v>11.52</v>
      </c>
      <c r="S1668" s="2">
        <v>45792</v>
      </c>
      <c r="T1668" s="2">
        <v>46049</v>
      </c>
      <c r="U1668">
        <v>0</v>
      </c>
      <c r="V1668">
        <v>0</v>
      </c>
      <c r="W1668">
        <v>0</v>
      </c>
      <c r="X1668">
        <v>0</v>
      </c>
      <c r="Y1668">
        <v>0</v>
      </c>
      <c r="Z1668" s="8">
        <v>0</v>
      </c>
      <c r="AA1668">
        <v>0</v>
      </c>
      <c r="AB1668" t="s">
        <v>1635</v>
      </c>
      <c r="AC1668" t="s">
        <v>1635</v>
      </c>
      <c r="AD1668" s="1" t="s">
        <v>1635</v>
      </c>
      <c r="AE1668" s="2" t="s">
        <v>1635</v>
      </c>
      <c r="AF1668" s="2" t="s">
        <v>1635</v>
      </c>
      <c r="AG1668" s="2" t="s">
        <v>1635</v>
      </c>
      <c r="AH1668">
        <v>0</v>
      </c>
      <c r="AI1668" s="3" t="s">
        <v>1635</v>
      </c>
      <c r="AJ1668" s="1" t="s">
        <v>1635</v>
      </c>
      <c r="AK1668" s="2" t="s">
        <v>1635</v>
      </c>
      <c r="AL1668" s="4" t="s">
        <v>1636</v>
      </c>
      <c r="AM1668" s="5" t="s">
        <v>1636</v>
      </c>
      <c r="AN1668" s="4">
        <v>0</v>
      </c>
      <c r="AO1668" t="s">
        <v>1635</v>
      </c>
      <c r="AP1668" s="4" t="s">
        <v>1636</v>
      </c>
      <c r="AQ1668" t="s">
        <v>1619</v>
      </c>
      <c r="AR1668" t="s">
        <v>1620</v>
      </c>
      <c r="AT1668" s="16" t="str">
        <f>_xlfn.XLOOKUP(B1668,'SWiSH Demand Forecast Sep-26'!D:D,'SWiSH Demand Forecast Sep-26'!G:G,"Not Exist")</f>
        <v>Not Exist</v>
      </c>
    </row>
    <row r="1669" spans="1:46" x14ac:dyDescent="0.3">
      <c r="A1669">
        <v>106200143</v>
      </c>
      <c r="B1669" t="s">
        <v>3519</v>
      </c>
      <c r="C1669" t="s">
        <v>240</v>
      </c>
      <c r="D1669" t="s">
        <v>1629</v>
      </c>
      <c r="E1669" t="s">
        <v>1819</v>
      </c>
      <c r="F1669" t="s">
        <v>1671</v>
      </c>
      <c r="G1669" t="s">
        <v>1678</v>
      </c>
      <c r="H1669" t="s">
        <v>1672</v>
      </c>
      <c r="I1669" t="s">
        <v>1618</v>
      </c>
      <c r="J1669" t="s">
        <v>3520</v>
      </c>
      <c r="K1669">
        <v>1</v>
      </c>
      <c r="L1669">
        <v>0</v>
      </c>
      <c r="M1669" s="1">
        <v>3</v>
      </c>
      <c r="N1669">
        <v>0</v>
      </c>
      <c r="O1669">
        <v>0</v>
      </c>
      <c r="P1669">
        <v>0</v>
      </c>
      <c r="Q1669" s="1">
        <v>0</v>
      </c>
      <c r="R1669">
        <v>9</v>
      </c>
      <c r="S1669" s="2">
        <v>45875</v>
      </c>
      <c r="T1669" s="2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 s="8">
        <v>0</v>
      </c>
      <c r="AA1669">
        <v>0</v>
      </c>
      <c r="AB1669" t="s">
        <v>1635</v>
      </c>
      <c r="AC1669" t="s">
        <v>1635</v>
      </c>
      <c r="AD1669" s="1" t="s">
        <v>1635</v>
      </c>
      <c r="AE1669" s="2" t="s">
        <v>1635</v>
      </c>
      <c r="AF1669" s="2" t="s">
        <v>1635</v>
      </c>
      <c r="AG1669" s="2" t="s">
        <v>1635</v>
      </c>
      <c r="AH1669">
        <v>0</v>
      </c>
      <c r="AI1669" s="3" t="s">
        <v>1635</v>
      </c>
      <c r="AJ1669" s="1" t="s">
        <v>1635</v>
      </c>
      <c r="AK1669" s="2" t="s">
        <v>1635</v>
      </c>
      <c r="AL1669" s="4" t="s">
        <v>1636</v>
      </c>
      <c r="AM1669" s="5" t="s">
        <v>1636</v>
      </c>
      <c r="AN1669" s="4">
        <v>0</v>
      </c>
      <c r="AO1669" t="s">
        <v>1635</v>
      </c>
      <c r="AP1669" s="4" t="s">
        <v>1636</v>
      </c>
      <c r="AQ1669" t="s">
        <v>1619</v>
      </c>
      <c r="AR1669" t="s">
        <v>1620</v>
      </c>
      <c r="AT1669" s="16" t="str">
        <f>_xlfn.XLOOKUP(B1669,'SWiSH Demand Forecast Sep-26'!D:D,'SWiSH Demand Forecast Sep-26'!G:G,"Not Exist")</f>
        <v>Not Exist</v>
      </c>
    </row>
    <row r="1670" spans="1:46" x14ac:dyDescent="0.3">
      <c r="A1670">
        <v>106200109</v>
      </c>
      <c r="B1670" t="s">
        <v>3521</v>
      </c>
      <c r="C1670" t="s">
        <v>136</v>
      </c>
      <c r="D1670" t="s">
        <v>1675</v>
      </c>
      <c r="E1670" t="s">
        <v>1677</v>
      </c>
      <c r="F1670" t="s">
        <v>1671</v>
      </c>
      <c r="G1670" t="s">
        <v>1616</v>
      </c>
      <c r="H1670" t="s">
        <v>1672</v>
      </c>
      <c r="I1670" t="s">
        <v>1618</v>
      </c>
      <c r="J1670" t="s">
        <v>3522</v>
      </c>
      <c r="K1670">
        <v>3.3784777400000001</v>
      </c>
      <c r="L1670">
        <v>0</v>
      </c>
      <c r="M1670" s="1">
        <v>3</v>
      </c>
      <c r="N1670">
        <v>0</v>
      </c>
      <c r="O1670">
        <v>0</v>
      </c>
      <c r="P1670">
        <v>0</v>
      </c>
      <c r="Q1670" s="1">
        <v>0</v>
      </c>
      <c r="R1670">
        <v>15</v>
      </c>
      <c r="S1670" s="2">
        <v>46025</v>
      </c>
      <c r="T1670" s="2">
        <v>46262</v>
      </c>
      <c r="U1670">
        <v>0</v>
      </c>
      <c r="V1670">
        <v>0</v>
      </c>
      <c r="W1670">
        <v>0</v>
      </c>
      <c r="X1670">
        <v>0</v>
      </c>
      <c r="Y1670">
        <v>0</v>
      </c>
      <c r="Z1670" s="8">
        <v>0</v>
      </c>
      <c r="AA1670">
        <v>0</v>
      </c>
      <c r="AB1670" t="s">
        <v>1635</v>
      </c>
      <c r="AC1670" t="s">
        <v>1635</v>
      </c>
      <c r="AD1670" s="1" t="s">
        <v>1635</v>
      </c>
      <c r="AE1670" s="2" t="s">
        <v>1635</v>
      </c>
      <c r="AF1670" s="2" t="s">
        <v>1635</v>
      </c>
      <c r="AG1670" s="2" t="s">
        <v>1635</v>
      </c>
      <c r="AH1670">
        <v>0</v>
      </c>
      <c r="AI1670" s="3" t="s">
        <v>1635</v>
      </c>
      <c r="AJ1670" s="1" t="s">
        <v>1635</v>
      </c>
      <c r="AK1670" s="2" t="s">
        <v>1635</v>
      </c>
      <c r="AL1670" s="4" t="s">
        <v>1658</v>
      </c>
      <c r="AM1670" s="5" t="s">
        <v>1658</v>
      </c>
      <c r="AN1670" s="4">
        <v>0</v>
      </c>
      <c r="AO1670" t="s">
        <v>1635</v>
      </c>
      <c r="AP1670" s="4" t="s">
        <v>1658</v>
      </c>
      <c r="AQ1670" t="s">
        <v>1619</v>
      </c>
      <c r="AR1670" t="s">
        <v>1620</v>
      </c>
      <c r="AT1670" s="16" t="str">
        <f>_xlfn.XLOOKUP(B1670,'SWiSH Demand Forecast Sep-26'!D:D,'SWiSH Demand Forecast Sep-26'!G:G,"Not Exist")</f>
        <v>Not Exist</v>
      </c>
    </row>
    <row r="1671" spans="1:46" x14ac:dyDescent="0.3">
      <c r="A1671">
        <v>102500027</v>
      </c>
      <c r="B1671" t="s">
        <v>3523</v>
      </c>
      <c r="C1671" t="s">
        <v>136</v>
      </c>
      <c r="D1671" t="s">
        <v>1675</v>
      </c>
      <c r="E1671" t="s">
        <v>1732</v>
      </c>
      <c r="F1671" t="s">
        <v>1927</v>
      </c>
      <c r="G1671" t="s">
        <v>1616</v>
      </c>
      <c r="H1671" t="s">
        <v>1928</v>
      </c>
      <c r="I1671" t="s">
        <v>1618</v>
      </c>
      <c r="J1671" t="s">
        <v>2125</v>
      </c>
      <c r="K1671">
        <v>1.57</v>
      </c>
      <c r="L1671">
        <v>8.6349999999999998</v>
      </c>
      <c r="M1671" s="1">
        <v>3</v>
      </c>
      <c r="N1671">
        <v>0</v>
      </c>
      <c r="O1671">
        <v>0</v>
      </c>
      <c r="P1671">
        <v>5.5</v>
      </c>
      <c r="Q1671" s="1">
        <v>5.5</v>
      </c>
      <c r="R1671">
        <v>0.78500000000000003</v>
      </c>
      <c r="S1671" s="2">
        <v>45829</v>
      </c>
      <c r="T1671" s="2">
        <v>46054</v>
      </c>
      <c r="U1671">
        <v>0</v>
      </c>
      <c r="V1671">
        <v>0</v>
      </c>
      <c r="W1671">
        <v>0</v>
      </c>
      <c r="X1671">
        <v>0</v>
      </c>
      <c r="Y1671">
        <v>0</v>
      </c>
      <c r="Z1671" s="8">
        <v>0</v>
      </c>
      <c r="AA1671">
        <v>0</v>
      </c>
      <c r="AB1671" t="s">
        <v>1635</v>
      </c>
      <c r="AC1671" t="s">
        <v>1635</v>
      </c>
      <c r="AD1671" s="1" t="s">
        <v>1635</v>
      </c>
      <c r="AE1671" s="2" t="s">
        <v>1635</v>
      </c>
      <c r="AF1671" s="2" t="s">
        <v>1635</v>
      </c>
      <c r="AG1671" s="2" t="s">
        <v>1635</v>
      </c>
      <c r="AH1671">
        <v>0</v>
      </c>
      <c r="AI1671" s="3" t="s">
        <v>1635</v>
      </c>
      <c r="AJ1671" s="1" t="s">
        <v>1635</v>
      </c>
      <c r="AK1671" s="2" t="s">
        <v>1635</v>
      </c>
      <c r="AL1671" s="4" t="s">
        <v>1658</v>
      </c>
      <c r="AM1671" s="5" t="s">
        <v>1658</v>
      </c>
      <c r="AN1671" s="4">
        <v>0</v>
      </c>
      <c r="AO1671" t="s">
        <v>1635</v>
      </c>
      <c r="AP1671" s="4" t="s">
        <v>1658</v>
      </c>
      <c r="AQ1671" t="s">
        <v>1619</v>
      </c>
      <c r="AR1671" t="s">
        <v>1620</v>
      </c>
      <c r="AT1671" s="16" t="str">
        <f>_xlfn.XLOOKUP(B1671,'SWiSH Demand Forecast Sep-26'!D:D,'SWiSH Demand Forecast Sep-26'!G:G,"Not Exist")</f>
        <v>Not Exist</v>
      </c>
    </row>
    <row r="1672" spans="1:46" x14ac:dyDescent="0.3">
      <c r="A1672">
        <v>106200001</v>
      </c>
      <c r="B1672" t="s">
        <v>3524</v>
      </c>
      <c r="C1672" t="s">
        <v>136</v>
      </c>
      <c r="D1672" t="s">
        <v>1675</v>
      </c>
      <c r="E1672" t="s">
        <v>1732</v>
      </c>
      <c r="F1672" t="s">
        <v>1671</v>
      </c>
      <c r="G1672" t="s">
        <v>1632</v>
      </c>
      <c r="H1672" t="s">
        <v>1672</v>
      </c>
      <c r="I1672" t="s">
        <v>1618</v>
      </c>
      <c r="J1672" t="s">
        <v>3525</v>
      </c>
      <c r="K1672">
        <v>1.20625</v>
      </c>
      <c r="L1672">
        <v>0</v>
      </c>
      <c r="M1672" s="1">
        <v>3</v>
      </c>
      <c r="N1672">
        <v>0</v>
      </c>
      <c r="O1672">
        <v>0</v>
      </c>
      <c r="P1672">
        <v>0</v>
      </c>
      <c r="Q1672" s="1">
        <v>0</v>
      </c>
      <c r="R1672">
        <v>11.58</v>
      </c>
      <c r="S1672" s="2">
        <v>45907</v>
      </c>
      <c r="T1672" s="2">
        <v>46053</v>
      </c>
      <c r="U1672">
        <v>0</v>
      </c>
      <c r="V1672">
        <v>0</v>
      </c>
      <c r="W1672">
        <v>0</v>
      </c>
      <c r="X1672">
        <v>0</v>
      </c>
      <c r="Y1672">
        <v>0</v>
      </c>
      <c r="Z1672" s="8">
        <v>0</v>
      </c>
      <c r="AA1672">
        <v>0</v>
      </c>
      <c r="AB1672" t="s">
        <v>1635</v>
      </c>
      <c r="AC1672" t="s">
        <v>1635</v>
      </c>
      <c r="AD1672" s="1" t="s">
        <v>1635</v>
      </c>
      <c r="AE1672" s="2" t="s">
        <v>1635</v>
      </c>
      <c r="AF1672" s="2" t="s">
        <v>1635</v>
      </c>
      <c r="AG1672" s="2" t="s">
        <v>1635</v>
      </c>
      <c r="AH1672">
        <v>0</v>
      </c>
      <c r="AI1672" s="3" t="s">
        <v>1635</v>
      </c>
      <c r="AJ1672" s="1" t="s">
        <v>1635</v>
      </c>
      <c r="AK1672" s="2" t="s">
        <v>1635</v>
      </c>
      <c r="AL1672" s="4" t="s">
        <v>1658</v>
      </c>
      <c r="AM1672" s="5" t="s">
        <v>1658</v>
      </c>
      <c r="AN1672" s="4">
        <v>0</v>
      </c>
      <c r="AO1672" t="s">
        <v>1635</v>
      </c>
      <c r="AP1672" s="4" t="s">
        <v>1658</v>
      </c>
      <c r="AQ1672" t="s">
        <v>1619</v>
      </c>
      <c r="AR1672" t="s">
        <v>1620</v>
      </c>
      <c r="AT1672" s="16" t="str">
        <f>_xlfn.XLOOKUP(B1672,'SWiSH Demand Forecast Sep-26'!D:D,'SWiSH Demand Forecast Sep-26'!G:G,"Not Exist")</f>
        <v>Not Exist</v>
      </c>
    </row>
    <row r="1673" spans="1:46" x14ac:dyDescent="0.3">
      <c r="A1673">
        <v>106300061</v>
      </c>
      <c r="B1673" t="s">
        <v>3526</v>
      </c>
      <c r="C1673" t="s">
        <v>10</v>
      </c>
      <c r="D1673" t="s">
        <v>1675</v>
      </c>
      <c r="E1673" t="s">
        <v>1685</v>
      </c>
      <c r="F1673" t="s">
        <v>1671</v>
      </c>
      <c r="G1673" t="s">
        <v>1690</v>
      </c>
      <c r="H1673" t="s">
        <v>1860</v>
      </c>
      <c r="I1673" t="s">
        <v>1618</v>
      </c>
      <c r="J1673" t="s">
        <v>2064</v>
      </c>
      <c r="K1673">
        <v>0.62</v>
      </c>
      <c r="L1673">
        <v>0</v>
      </c>
      <c r="M1673" s="1">
        <v>3</v>
      </c>
      <c r="N1673">
        <v>0</v>
      </c>
      <c r="O1673">
        <v>0</v>
      </c>
      <c r="P1673">
        <v>0</v>
      </c>
      <c r="Q1673" s="1">
        <v>0</v>
      </c>
      <c r="R1673">
        <v>12.4</v>
      </c>
      <c r="S1673" s="2">
        <v>45829</v>
      </c>
      <c r="T1673" s="2">
        <v>46054</v>
      </c>
      <c r="U1673">
        <v>0</v>
      </c>
      <c r="V1673">
        <v>0</v>
      </c>
      <c r="W1673">
        <v>0</v>
      </c>
      <c r="X1673">
        <v>0</v>
      </c>
      <c r="Y1673">
        <v>0</v>
      </c>
      <c r="Z1673" s="8">
        <v>0</v>
      </c>
      <c r="AA1673">
        <v>0</v>
      </c>
      <c r="AB1673" t="s">
        <v>1635</v>
      </c>
      <c r="AC1673" t="s">
        <v>1635</v>
      </c>
      <c r="AD1673" s="1" t="s">
        <v>1635</v>
      </c>
      <c r="AE1673" s="2" t="s">
        <v>1635</v>
      </c>
      <c r="AF1673" s="2" t="s">
        <v>1635</v>
      </c>
      <c r="AG1673" s="2" t="s">
        <v>1635</v>
      </c>
      <c r="AH1673">
        <v>0</v>
      </c>
      <c r="AI1673" s="3" t="s">
        <v>1635</v>
      </c>
      <c r="AJ1673" s="1" t="s">
        <v>1635</v>
      </c>
      <c r="AK1673" s="2" t="s">
        <v>1635</v>
      </c>
      <c r="AL1673" s="4" t="s">
        <v>1658</v>
      </c>
      <c r="AM1673" s="5" t="s">
        <v>1658</v>
      </c>
      <c r="AN1673" s="4">
        <v>0</v>
      </c>
      <c r="AO1673" t="s">
        <v>1635</v>
      </c>
      <c r="AP1673" s="4" t="s">
        <v>1658</v>
      </c>
      <c r="AQ1673" t="s">
        <v>1619</v>
      </c>
      <c r="AR1673" t="s">
        <v>1620</v>
      </c>
      <c r="AT1673" s="16" t="str">
        <f>_xlfn.XLOOKUP(B1673,'SWiSH Demand Forecast Sep-26'!D:D,'SWiSH Demand Forecast Sep-26'!G:G,"Not Exist")</f>
        <v>Not Exist</v>
      </c>
    </row>
    <row r="1674" spans="1:46" x14ac:dyDescent="0.3">
      <c r="A1674">
        <v>100400216</v>
      </c>
      <c r="B1674" t="s">
        <v>3527</v>
      </c>
      <c r="C1674" t="s">
        <v>10</v>
      </c>
      <c r="D1674" t="s">
        <v>1629</v>
      </c>
      <c r="E1674" t="s">
        <v>2483</v>
      </c>
      <c r="F1674" t="s">
        <v>1664</v>
      </c>
      <c r="G1674" t="s">
        <v>1704</v>
      </c>
      <c r="H1674" t="s">
        <v>1810</v>
      </c>
      <c r="I1674" t="s">
        <v>1634</v>
      </c>
      <c r="J1674" t="s">
        <v>10</v>
      </c>
      <c r="K1674">
        <v>8.5000000000000006E-2</v>
      </c>
      <c r="L1674">
        <v>0</v>
      </c>
      <c r="M1674" s="1">
        <v>30</v>
      </c>
      <c r="N1674">
        <v>0</v>
      </c>
      <c r="O1674">
        <v>0</v>
      </c>
      <c r="P1674">
        <v>0</v>
      </c>
      <c r="Q1674" s="1">
        <v>0</v>
      </c>
      <c r="R1674">
        <v>8.5000000000000006E-2</v>
      </c>
      <c r="S1674" s="2">
        <v>44067</v>
      </c>
      <c r="T1674" s="2">
        <v>45804</v>
      </c>
      <c r="U1674">
        <v>0</v>
      </c>
      <c r="V1674">
        <v>0</v>
      </c>
      <c r="W1674">
        <v>0</v>
      </c>
      <c r="X1674">
        <v>0</v>
      </c>
      <c r="Y1674">
        <v>0</v>
      </c>
      <c r="Z1674" s="8">
        <v>0</v>
      </c>
      <c r="AA1674">
        <v>0</v>
      </c>
      <c r="AB1674" t="s">
        <v>1635</v>
      </c>
      <c r="AC1674" t="s">
        <v>1635</v>
      </c>
      <c r="AD1674" s="1" t="s">
        <v>1635</v>
      </c>
      <c r="AE1674" s="2" t="s">
        <v>1635</v>
      </c>
      <c r="AF1674" s="2" t="s">
        <v>1635</v>
      </c>
      <c r="AG1674" s="2" t="s">
        <v>1635</v>
      </c>
      <c r="AH1674">
        <v>0</v>
      </c>
      <c r="AI1674" s="3" t="s">
        <v>1635</v>
      </c>
      <c r="AJ1674" s="1" t="s">
        <v>1635</v>
      </c>
      <c r="AK1674" s="2" t="s">
        <v>1635</v>
      </c>
      <c r="AL1674" s="4" t="s">
        <v>1636</v>
      </c>
      <c r="AM1674" s="5" t="s">
        <v>1636</v>
      </c>
      <c r="AN1674" s="4">
        <v>0</v>
      </c>
      <c r="AO1674" t="s">
        <v>1635</v>
      </c>
      <c r="AP1674" s="4" t="s">
        <v>1636</v>
      </c>
      <c r="AQ1674" t="s">
        <v>1619</v>
      </c>
      <c r="AR1674" t="s">
        <v>1620</v>
      </c>
      <c r="AT1674" s="16" t="str">
        <f>_xlfn.XLOOKUP(B1674,'SWiSH Demand Forecast Sep-26'!D:D,'SWiSH Demand Forecast Sep-26'!G:G,"Not Exist")</f>
        <v>Not Exist</v>
      </c>
    </row>
    <row r="1675" spans="1:46" x14ac:dyDescent="0.3">
      <c r="A1675">
        <v>105000034</v>
      </c>
      <c r="B1675" t="s">
        <v>3528</v>
      </c>
      <c r="C1675" t="s">
        <v>240</v>
      </c>
      <c r="D1675" t="s">
        <v>1789</v>
      </c>
      <c r="E1675" t="s">
        <v>2277</v>
      </c>
      <c r="F1675" t="s">
        <v>1671</v>
      </c>
      <c r="G1675" t="s">
        <v>1616</v>
      </c>
      <c r="H1675" t="s">
        <v>2002</v>
      </c>
      <c r="I1675" t="s">
        <v>1618</v>
      </c>
      <c r="J1675" t="s">
        <v>3529</v>
      </c>
      <c r="K1675">
        <v>0.5</v>
      </c>
      <c r="L1675">
        <v>0</v>
      </c>
      <c r="M1675" s="1">
        <v>3</v>
      </c>
      <c r="N1675">
        <v>0</v>
      </c>
      <c r="O1675">
        <v>0</v>
      </c>
      <c r="P1675">
        <v>0</v>
      </c>
      <c r="Q1675" s="1">
        <v>0</v>
      </c>
      <c r="R1675">
        <v>9.8000000000000007</v>
      </c>
      <c r="S1675" s="2">
        <v>46129</v>
      </c>
      <c r="T1675" s="2">
        <v>46123</v>
      </c>
      <c r="U1675">
        <v>0</v>
      </c>
      <c r="V1675">
        <v>0</v>
      </c>
      <c r="W1675">
        <v>0</v>
      </c>
      <c r="X1675">
        <v>0</v>
      </c>
      <c r="Y1675">
        <v>0</v>
      </c>
      <c r="Z1675" s="8">
        <v>0</v>
      </c>
      <c r="AA1675">
        <v>0</v>
      </c>
      <c r="AB1675" t="s">
        <v>1635</v>
      </c>
      <c r="AC1675" t="s">
        <v>1635</v>
      </c>
      <c r="AD1675" s="1" t="s">
        <v>1635</v>
      </c>
      <c r="AE1675" s="2" t="s">
        <v>1635</v>
      </c>
      <c r="AF1675" s="2" t="s">
        <v>1635</v>
      </c>
      <c r="AG1675" s="2" t="s">
        <v>1635</v>
      </c>
      <c r="AH1675">
        <v>0</v>
      </c>
      <c r="AI1675" s="3" t="s">
        <v>1635</v>
      </c>
      <c r="AJ1675" s="1" t="s">
        <v>1635</v>
      </c>
      <c r="AK1675" s="2" t="s">
        <v>1635</v>
      </c>
      <c r="AL1675" s="4" t="s">
        <v>1658</v>
      </c>
      <c r="AM1675" s="5" t="s">
        <v>1658</v>
      </c>
      <c r="AN1675" s="4">
        <v>0</v>
      </c>
      <c r="AO1675" t="s">
        <v>1635</v>
      </c>
      <c r="AP1675" s="4" t="s">
        <v>1658</v>
      </c>
      <c r="AQ1675" t="s">
        <v>1619</v>
      </c>
      <c r="AR1675" t="s">
        <v>1620</v>
      </c>
      <c r="AT1675" s="16" t="str">
        <f>_xlfn.XLOOKUP(B1675,'SWiSH Demand Forecast Sep-26'!D:D,'SWiSH Demand Forecast Sep-26'!G:G,"Not Exist")</f>
        <v>Not Exist</v>
      </c>
    </row>
    <row r="1676" spans="1:46" x14ac:dyDescent="0.3">
      <c r="A1676">
        <v>101200015</v>
      </c>
      <c r="B1676" t="s">
        <v>3530</v>
      </c>
      <c r="C1676" t="s">
        <v>136</v>
      </c>
      <c r="D1676" t="s">
        <v>1675</v>
      </c>
      <c r="E1676" t="s">
        <v>1732</v>
      </c>
      <c r="F1676" t="s">
        <v>1833</v>
      </c>
      <c r="G1676" t="s">
        <v>1616</v>
      </c>
      <c r="H1676" t="s">
        <v>1625</v>
      </c>
      <c r="I1676" t="s">
        <v>1626</v>
      </c>
      <c r="J1676" t="s">
        <v>2254</v>
      </c>
      <c r="K1676">
        <v>3.25</v>
      </c>
      <c r="L1676">
        <v>0</v>
      </c>
      <c r="M1676" s="1">
        <v>3</v>
      </c>
      <c r="N1676">
        <v>0</v>
      </c>
      <c r="O1676">
        <v>0</v>
      </c>
      <c r="P1676">
        <v>0</v>
      </c>
      <c r="Q1676" s="1">
        <v>0</v>
      </c>
      <c r="R1676">
        <v>19.5</v>
      </c>
      <c r="S1676" s="2">
        <v>45928</v>
      </c>
      <c r="T1676" s="2">
        <v>46054</v>
      </c>
      <c r="U1676">
        <v>0</v>
      </c>
      <c r="V1676">
        <v>0</v>
      </c>
      <c r="W1676">
        <v>0</v>
      </c>
      <c r="X1676">
        <v>0</v>
      </c>
      <c r="Y1676">
        <v>0</v>
      </c>
      <c r="Z1676" s="8">
        <v>0</v>
      </c>
      <c r="AA1676">
        <v>0</v>
      </c>
      <c r="AB1676" t="s">
        <v>1635</v>
      </c>
      <c r="AC1676" t="s">
        <v>1635</v>
      </c>
      <c r="AD1676" s="1" t="s">
        <v>1635</v>
      </c>
      <c r="AE1676" s="2" t="s">
        <v>1635</v>
      </c>
      <c r="AF1676" s="2" t="s">
        <v>1635</v>
      </c>
      <c r="AG1676" s="2" t="s">
        <v>1635</v>
      </c>
      <c r="AH1676">
        <v>0</v>
      </c>
      <c r="AI1676" s="3" t="s">
        <v>1635</v>
      </c>
      <c r="AJ1676" s="1" t="s">
        <v>1635</v>
      </c>
      <c r="AK1676" s="2" t="s">
        <v>1635</v>
      </c>
      <c r="AL1676" s="4" t="s">
        <v>1658</v>
      </c>
      <c r="AM1676" s="5" t="s">
        <v>1658</v>
      </c>
      <c r="AN1676" s="4">
        <v>0</v>
      </c>
      <c r="AO1676" t="s">
        <v>1635</v>
      </c>
      <c r="AP1676" s="4" t="s">
        <v>1658</v>
      </c>
      <c r="AQ1676" t="s">
        <v>1619</v>
      </c>
      <c r="AR1676" t="s">
        <v>1620</v>
      </c>
      <c r="AT1676" s="16" t="str">
        <f>_xlfn.XLOOKUP(B1676,'SWiSH Demand Forecast Sep-26'!D:D,'SWiSH Demand Forecast Sep-26'!G:G,"Not Exist")</f>
        <v>Not Exist</v>
      </c>
    </row>
    <row r="1677" spans="1:46" x14ac:dyDescent="0.3">
      <c r="A1677">
        <v>103700032</v>
      </c>
      <c r="B1677" t="s">
        <v>3531</v>
      </c>
      <c r="C1677" t="s">
        <v>136</v>
      </c>
      <c r="D1677" t="s">
        <v>1675</v>
      </c>
      <c r="E1677" t="s">
        <v>1832</v>
      </c>
      <c r="F1677" t="s">
        <v>1615</v>
      </c>
      <c r="G1677" t="s">
        <v>1616</v>
      </c>
      <c r="H1677" t="s">
        <v>1617</v>
      </c>
      <c r="I1677" t="s">
        <v>1618</v>
      </c>
      <c r="J1677" t="s">
        <v>1858</v>
      </c>
      <c r="K1677">
        <v>3.25</v>
      </c>
      <c r="L1677">
        <v>29.25</v>
      </c>
      <c r="M1677" s="1">
        <v>3</v>
      </c>
      <c r="N1677">
        <v>0</v>
      </c>
      <c r="O1677">
        <v>0</v>
      </c>
      <c r="P1677">
        <v>9</v>
      </c>
      <c r="Q1677" s="1">
        <v>9</v>
      </c>
      <c r="R1677">
        <v>2.0499999999999998</v>
      </c>
      <c r="S1677" s="2">
        <v>45927</v>
      </c>
      <c r="T1677" s="2">
        <v>46054</v>
      </c>
      <c r="U1677">
        <v>0</v>
      </c>
      <c r="V1677">
        <v>0</v>
      </c>
      <c r="W1677">
        <v>0</v>
      </c>
      <c r="X1677">
        <v>0</v>
      </c>
      <c r="Y1677">
        <v>0</v>
      </c>
      <c r="Z1677" s="8">
        <v>0</v>
      </c>
      <c r="AA1677">
        <v>0</v>
      </c>
      <c r="AB1677" t="s">
        <v>1635</v>
      </c>
      <c r="AC1677" t="s">
        <v>1635</v>
      </c>
      <c r="AD1677" s="1" t="s">
        <v>1635</v>
      </c>
      <c r="AE1677" s="2" t="s">
        <v>1635</v>
      </c>
      <c r="AF1677" s="2" t="s">
        <v>1635</v>
      </c>
      <c r="AG1677" s="2" t="s">
        <v>1635</v>
      </c>
      <c r="AH1677">
        <v>0</v>
      </c>
      <c r="AI1677" s="3" t="s">
        <v>1635</v>
      </c>
      <c r="AJ1677" s="1" t="s">
        <v>1635</v>
      </c>
      <c r="AK1677" s="2" t="s">
        <v>1635</v>
      </c>
      <c r="AL1677" s="4" t="s">
        <v>1658</v>
      </c>
      <c r="AM1677" s="5" t="s">
        <v>1658</v>
      </c>
      <c r="AN1677" s="4">
        <v>0</v>
      </c>
      <c r="AO1677" t="s">
        <v>1635</v>
      </c>
      <c r="AP1677" s="4" t="s">
        <v>1658</v>
      </c>
      <c r="AQ1677" t="s">
        <v>1619</v>
      </c>
      <c r="AR1677" t="s">
        <v>1620</v>
      </c>
      <c r="AT1677" s="16" t="str">
        <f>_xlfn.XLOOKUP(B1677,'SWiSH Demand Forecast Sep-26'!D:D,'SWiSH Demand Forecast Sep-26'!G:G,"Not Exist")</f>
        <v>Not Exist</v>
      </c>
    </row>
    <row r="1678" spans="1:46" x14ac:dyDescent="0.3">
      <c r="A1678">
        <v>105000000</v>
      </c>
      <c r="B1678" t="s">
        <v>3532</v>
      </c>
      <c r="C1678" t="s">
        <v>240</v>
      </c>
      <c r="D1678" t="s">
        <v>1699</v>
      </c>
      <c r="E1678" t="s">
        <v>1685</v>
      </c>
      <c r="F1678" t="s">
        <v>1671</v>
      </c>
      <c r="G1678" t="s">
        <v>1616</v>
      </c>
      <c r="H1678" t="s">
        <v>2002</v>
      </c>
      <c r="I1678" t="s">
        <v>1618</v>
      </c>
      <c r="J1678" t="s">
        <v>240</v>
      </c>
      <c r="K1678">
        <v>11.46</v>
      </c>
      <c r="L1678">
        <v>73.344000000000008</v>
      </c>
      <c r="M1678" s="1">
        <v>3</v>
      </c>
      <c r="N1678">
        <v>0</v>
      </c>
      <c r="O1678">
        <v>0</v>
      </c>
      <c r="P1678">
        <v>6.4</v>
      </c>
      <c r="Q1678" s="1">
        <v>6.4</v>
      </c>
      <c r="R1678">
        <v>17.190000000000001</v>
      </c>
      <c r="S1678" s="2">
        <v>45780</v>
      </c>
      <c r="T1678" s="2">
        <v>46054</v>
      </c>
      <c r="U1678">
        <v>0</v>
      </c>
      <c r="V1678">
        <v>0</v>
      </c>
      <c r="W1678">
        <v>0</v>
      </c>
      <c r="X1678">
        <v>0</v>
      </c>
      <c r="Y1678">
        <v>0</v>
      </c>
      <c r="Z1678" s="8">
        <v>0</v>
      </c>
      <c r="AA1678">
        <v>0</v>
      </c>
      <c r="AB1678" t="s">
        <v>1635</v>
      </c>
      <c r="AC1678" t="s">
        <v>1635</v>
      </c>
      <c r="AD1678" s="1" t="s">
        <v>1635</v>
      </c>
      <c r="AE1678" s="2" t="s">
        <v>1635</v>
      </c>
      <c r="AF1678" s="2" t="s">
        <v>1635</v>
      </c>
      <c r="AG1678" s="2" t="s">
        <v>1635</v>
      </c>
      <c r="AH1678">
        <v>0</v>
      </c>
      <c r="AI1678" s="3" t="s">
        <v>1635</v>
      </c>
      <c r="AJ1678" s="1" t="s">
        <v>1635</v>
      </c>
      <c r="AK1678" s="2" t="s">
        <v>1635</v>
      </c>
      <c r="AL1678" s="4" t="s">
        <v>1658</v>
      </c>
      <c r="AM1678" s="5" t="s">
        <v>1658</v>
      </c>
      <c r="AN1678" s="4">
        <v>0</v>
      </c>
      <c r="AO1678" t="s">
        <v>1635</v>
      </c>
      <c r="AP1678" s="4" t="s">
        <v>1658</v>
      </c>
      <c r="AQ1678" t="s">
        <v>1619</v>
      </c>
      <c r="AR1678" t="s">
        <v>1620</v>
      </c>
      <c r="AT1678" s="16" t="str">
        <f>_xlfn.XLOOKUP(B1678,'SWiSH Demand Forecast Sep-26'!D:D,'SWiSH Demand Forecast Sep-26'!G:G,"Not Exist")</f>
        <v>Not Exist</v>
      </c>
    </row>
    <row r="1679" spans="1:46" x14ac:dyDescent="0.3">
      <c r="A1679">
        <v>100100060</v>
      </c>
      <c r="B1679" t="s">
        <v>3533</v>
      </c>
      <c r="C1679" t="s">
        <v>136</v>
      </c>
      <c r="D1679" t="s">
        <v>1789</v>
      </c>
      <c r="E1679" t="s">
        <v>1643</v>
      </c>
      <c r="F1679" t="s">
        <v>1639</v>
      </c>
      <c r="G1679" t="s">
        <v>1616</v>
      </c>
      <c r="H1679" t="s">
        <v>1877</v>
      </c>
      <c r="I1679" t="s">
        <v>1618</v>
      </c>
      <c r="J1679" t="s">
        <v>136</v>
      </c>
      <c r="K1679">
        <v>7.2</v>
      </c>
      <c r="L1679">
        <v>0</v>
      </c>
      <c r="M1679" s="1">
        <v>3</v>
      </c>
      <c r="N1679">
        <v>0</v>
      </c>
      <c r="O1679">
        <v>0</v>
      </c>
      <c r="P1679">
        <v>0</v>
      </c>
      <c r="Q1679" s="1">
        <v>0</v>
      </c>
      <c r="R1679">
        <v>7.2</v>
      </c>
      <c r="S1679" s="2">
        <v>46058</v>
      </c>
      <c r="T1679" s="2">
        <v>46166</v>
      </c>
      <c r="U1679">
        <v>0</v>
      </c>
      <c r="V1679">
        <v>0</v>
      </c>
      <c r="W1679">
        <v>0</v>
      </c>
      <c r="X1679">
        <v>0</v>
      </c>
      <c r="Y1679">
        <v>0</v>
      </c>
      <c r="Z1679" s="8">
        <v>0</v>
      </c>
      <c r="AA1679">
        <v>0</v>
      </c>
      <c r="AC1679" t="s">
        <v>1635</v>
      </c>
      <c r="AD1679" s="1" t="s">
        <v>1635</v>
      </c>
      <c r="AE1679" s="2" t="s">
        <v>1635</v>
      </c>
      <c r="AF1679" s="2" t="s">
        <v>1635</v>
      </c>
      <c r="AG1679" s="2" t="s">
        <v>1635</v>
      </c>
      <c r="AH1679">
        <v>0</v>
      </c>
      <c r="AI1679" s="3" t="s">
        <v>1635</v>
      </c>
      <c r="AJ1679" s="1" t="s">
        <v>1635</v>
      </c>
      <c r="AK1679" s="2" t="s">
        <v>1635</v>
      </c>
      <c r="AL1679" s="4" t="s">
        <v>1658</v>
      </c>
      <c r="AM1679" s="5" t="s">
        <v>1658</v>
      </c>
      <c r="AN1679" s="4">
        <v>0</v>
      </c>
      <c r="AO1679" t="s">
        <v>1635</v>
      </c>
      <c r="AP1679" s="4" t="s">
        <v>1658</v>
      </c>
      <c r="AQ1679" t="s">
        <v>1619</v>
      </c>
      <c r="AR1679" t="s">
        <v>1620</v>
      </c>
      <c r="AT1679" s="16" t="str">
        <f>_xlfn.XLOOKUP(B1679,'SWiSH Demand Forecast Sep-26'!D:D,'SWiSH Demand Forecast Sep-26'!G:G,"Not Exist")</f>
        <v>Not Exist</v>
      </c>
    </row>
    <row r="1680" spans="1:46" x14ac:dyDescent="0.3">
      <c r="A1680">
        <v>103700091</v>
      </c>
      <c r="B1680" t="s">
        <v>3534</v>
      </c>
      <c r="C1680" t="s">
        <v>136</v>
      </c>
      <c r="D1680" t="s">
        <v>1789</v>
      </c>
      <c r="E1680" t="s">
        <v>3535</v>
      </c>
      <c r="F1680" t="s">
        <v>1615</v>
      </c>
      <c r="G1680" t="s">
        <v>1616</v>
      </c>
      <c r="H1680" t="s">
        <v>1617</v>
      </c>
      <c r="I1680" t="s">
        <v>1618</v>
      </c>
      <c r="J1680" t="s">
        <v>136</v>
      </c>
      <c r="K1680">
        <v>1.8824000000000001</v>
      </c>
      <c r="L1680">
        <v>0</v>
      </c>
      <c r="M1680" s="1">
        <v>3</v>
      </c>
      <c r="N1680">
        <v>0</v>
      </c>
      <c r="O1680">
        <v>0</v>
      </c>
      <c r="P1680">
        <v>0</v>
      </c>
      <c r="Q1680" s="1">
        <v>0</v>
      </c>
      <c r="R1680">
        <v>1.9</v>
      </c>
      <c r="S1680" s="2">
        <v>46035</v>
      </c>
      <c r="T1680" s="2">
        <v>46054</v>
      </c>
      <c r="U1680">
        <v>0</v>
      </c>
      <c r="V1680">
        <v>0</v>
      </c>
      <c r="W1680">
        <v>0</v>
      </c>
      <c r="X1680">
        <v>0</v>
      </c>
      <c r="Y1680">
        <v>0</v>
      </c>
      <c r="Z1680" s="8">
        <v>0</v>
      </c>
      <c r="AA1680">
        <v>0</v>
      </c>
      <c r="AB1680" t="s">
        <v>1635</v>
      </c>
      <c r="AC1680" t="s">
        <v>1635</v>
      </c>
      <c r="AD1680" s="1" t="s">
        <v>1635</v>
      </c>
      <c r="AE1680" s="2" t="s">
        <v>1635</v>
      </c>
      <c r="AF1680" s="2" t="s">
        <v>1635</v>
      </c>
      <c r="AG1680" s="2" t="s">
        <v>1635</v>
      </c>
      <c r="AH1680">
        <v>0</v>
      </c>
      <c r="AI1680" s="3" t="s">
        <v>1635</v>
      </c>
      <c r="AJ1680" s="1" t="s">
        <v>1635</v>
      </c>
      <c r="AK1680" s="2" t="s">
        <v>1635</v>
      </c>
      <c r="AL1680" s="4" t="s">
        <v>1658</v>
      </c>
      <c r="AM1680" s="5" t="s">
        <v>1658</v>
      </c>
      <c r="AN1680" s="4">
        <v>0</v>
      </c>
      <c r="AO1680" t="s">
        <v>1635</v>
      </c>
      <c r="AP1680" s="4" t="s">
        <v>1658</v>
      </c>
      <c r="AQ1680" t="s">
        <v>1619</v>
      </c>
      <c r="AR1680" t="s">
        <v>1855</v>
      </c>
      <c r="AT1680" s="16" t="str">
        <f>_xlfn.XLOOKUP(B1680,'SWiSH Demand Forecast Sep-26'!D:D,'SWiSH Demand Forecast Sep-26'!G:G,"Not Exist")</f>
        <v>Not Exist</v>
      </c>
    </row>
    <row r="1681" spans="1:46" x14ac:dyDescent="0.3">
      <c r="A1681">
        <v>102500014</v>
      </c>
      <c r="B1681" t="s">
        <v>3536</v>
      </c>
      <c r="C1681" t="s">
        <v>136</v>
      </c>
      <c r="D1681" t="s">
        <v>1675</v>
      </c>
      <c r="E1681" t="s">
        <v>1732</v>
      </c>
      <c r="F1681" t="s">
        <v>1927</v>
      </c>
      <c r="G1681" t="s">
        <v>1632</v>
      </c>
      <c r="H1681" t="s">
        <v>1928</v>
      </c>
      <c r="I1681" t="s">
        <v>1618</v>
      </c>
      <c r="J1681" t="s">
        <v>136</v>
      </c>
      <c r="K1681">
        <v>0.18</v>
      </c>
      <c r="L1681">
        <v>0</v>
      </c>
      <c r="M1681" s="1">
        <v>3</v>
      </c>
      <c r="N1681">
        <v>0</v>
      </c>
      <c r="O1681">
        <v>0</v>
      </c>
      <c r="P1681">
        <v>0</v>
      </c>
      <c r="Q1681" s="1">
        <v>0</v>
      </c>
      <c r="R1681">
        <v>1.8</v>
      </c>
      <c r="S1681" s="2">
        <v>45628</v>
      </c>
      <c r="T1681" s="2">
        <v>46054</v>
      </c>
      <c r="U1681">
        <v>0</v>
      </c>
      <c r="V1681">
        <v>0</v>
      </c>
      <c r="W1681">
        <v>0</v>
      </c>
      <c r="X1681">
        <v>0</v>
      </c>
      <c r="Y1681">
        <v>0</v>
      </c>
      <c r="Z1681" s="8">
        <v>0</v>
      </c>
      <c r="AA1681">
        <v>0</v>
      </c>
      <c r="AB1681" t="s">
        <v>1635</v>
      </c>
      <c r="AC1681" t="s">
        <v>1635</v>
      </c>
      <c r="AD1681" s="1" t="s">
        <v>1635</v>
      </c>
      <c r="AE1681" s="2" t="s">
        <v>1635</v>
      </c>
      <c r="AF1681" s="2" t="s">
        <v>1635</v>
      </c>
      <c r="AG1681" s="2" t="s">
        <v>1635</v>
      </c>
      <c r="AH1681">
        <v>0</v>
      </c>
      <c r="AI1681" s="3" t="s">
        <v>1635</v>
      </c>
      <c r="AJ1681" s="1" t="s">
        <v>1635</v>
      </c>
      <c r="AK1681" s="2" t="s">
        <v>1635</v>
      </c>
      <c r="AL1681" s="4" t="s">
        <v>1658</v>
      </c>
      <c r="AM1681" s="5" t="s">
        <v>1658</v>
      </c>
      <c r="AN1681" s="4">
        <v>0</v>
      </c>
      <c r="AO1681" t="s">
        <v>1635</v>
      </c>
      <c r="AP1681" s="4" t="s">
        <v>1658</v>
      </c>
      <c r="AQ1681" t="s">
        <v>1619</v>
      </c>
      <c r="AR1681" t="s">
        <v>1620</v>
      </c>
      <c r="AT1681" s="16" t="str">
        <f>_xlfn.XLOOKUP(B1681,'SWiSH Demand Forecast Sep-26'!D:D,'SWiSH Demand Forecast Sep-26'!G:G,"Not Exist")</f>
        <v>Not Exist</v>
      </c>
    </row>
    <row r="1682" spans="1:46" x14ac:dyDescent="0.3">
      <c r="A1682">
        <v>103700136</v>
      </c>
      <c r="B1682" t="s">
        <v>3537</v>
      </c>
      <c r="C1682" t="s">
        <v>136</v>
      </c>
      <c r="D1682" t="s">
        <v>1789</v>
      </c>
      <c r="E1682" t="s">
        <v>1701</v>
      </c>
      <c r="F1682" t="s">
        <v>1615</v>
      </c>
      <c r="G1682" t="s">
        <v>1616</v>
      </c>
      <c r="H1682" t="s">
        <v>1617</v>
      </c>
      <c r="I1682" t="s">
        <v>1618</v>
      </c>
      <c r="J1682" t="s">
        <v>136</v>
      </c>
      <c r="K1682">
        <v>2.4</v>
      </c>
      <c r="L1682">
        <v>40.799999999999997</v>
      </c>
      <c r="M1682" s="1">
        <v>3</v>
      </c>
      <c r="N1682">
        <v>0</v>
      </c>
      <c r="O1682">
        <v>0</v>
      </c>
      <c r="P1682">
        <v>17</v>
      </c>
      <c r="Q1682" s="1">
        <v>17</v>
      </c>
      <c r="R1682">
        <v>2.4</v>
      </c>
      <c r="S1682" s="2">
        <v>46025</v>
      </c>
      <c r="T1682" s="2">
        <v>46252</v>
      </c>
      <c r="U1682">
        <v>0</v>
      </c>
      <c r="V1682">
        <v>0</v>
      </c>
      <c r="W1682">
        <v>0</v>
      </c>
      <c r="X1682">
        <v>0</v>
      </c>
      <c r="Y1682">
        <v>0</v>
      </c>
      <c r="Z1682" s="8">
        <v>0</v>
      </c>
      <c r="AA1682">
        <v>0</v>
      </c>
      <c r="AB1682" t="s">
        <v>1635</v>
      </c>
      <c r="AC1682" t="s">
        <v>1635</v>
      </c>
      <c r="AD1682" s="1" t="s">
        <v>1635</v>
      </c>
      <c r="AE1682" s="2" t="s">
        <v>1635</v>
      </c>
      <c r="AF1682" s="2" t="s">
        <v>1635</v>
      </c>
      <c r="AG1682" s="2" t="s">
        <v>1635</v>
      </c>
      <c r="AH1682">
        <v>3</v>
      </c>
      <c r="AI1682" s="3" t="s">
        <v>1635</v>
      </c>
      <c r="AJ1682" s="1">
        <v>164</v>
      </c>
      <c r="AK1682" s="2">
        <v>46427</v>
      </c>
      <c r="AL1682" s="4" t="s">
        <v>1658</v>
      </c>
      <c r="AM1682" s="5" t="s">
        <v>1658</v>
      </c>
      <c r="AN1682" s="4">
        <v>164</v>
      </c>
      <c r="AO1682" t="s">
        <v>1635</v>
      </c>
      <c r="AP1682" s="4" t="s">
        <v>1658</v>
      </c>
      <c r="AQ1682" t="s">
        <v>1619</v>
      </c>
      <c r="AR1682" t="s">
        <v>1620</v>
      </c>
      <c r="AT1682" s="16" t="str">
        <f>_xlfn.XLOOKUP(B1682,'SWiSH Demand Forecast Sep-26'!D:D,'SWiSH Demand Forecast Sep-26'!G:G,"Not Exist")</f>
        <v>Not Exist</v>
      </c>
    </row>
    <row r="1683" spans="1:46" x14ac:dyDescent="0.3">
      <c r="A1683">
        <v>106800071</v>
      </c>
      <c r="B1683" t="s">
        <v>3538</v>
      </c>
      <c r="C1683" t="s">
        <v>10</v>
      </c>
      <c r="D1683" t="s">
        <v>1955</v>
      </c>
      <c r="E1683" t="s">
        <v>1655</v>
      </c>
      <c r="F1683" t="s">
        <v>1664</v>
      </c>
      <c r="G1683" t="s">
        <v>1704</v>
      </c>
      <c r="H1683" t="s">
        <v>1665</v>
      </c>
      <c r="I1683" t="s">
        <v>1634</v>
      </c>
      <c r="J1683" t="s">
        <v>10</v>
      </c>
      <c r="K1683">
        <v>6.0000000000000001E-3</v>
      </c>
      <c r="L1683">
        <v>36.396000000000001</v>
      </c>
      <c r="M1683" s="1">
        <v>7</v>
      </c>
      <c r="N1683">
        <v>0</v>
      </c>
      <c r="O1683">
        <v>0</v>
      </c>
      <c r="P1683">
        <v>6066</v>
      </c>
      <c r="Q1683" s="1">
        <v>6066</v>
      </c>
      <c r="R1683">
        <v>6.0000000000000001E-3</v>
      </c>
      <c r="S1683" s="2">
        <v>45870</v>
      </c>
      <c r="T1683" s="2">
        <v>46132</v>
      </c>
      <c r="U1683">
        <v>0</v>
      </c>
      <c r="V1683">
        <v>0</v>
      </c>
      <c r="W1683">
        <v>0</v>
      </c>
      <c r="X1683">
        <v>0</v>
      </c>
      <c r="Y1683">
        <v>0</v>
      </c>
      <c r="Z1683" s="8">
        <v>0</v>
      </c>
      <c r="AA1683">
        <v>0</v>
      </c>
      <c r="AB1683" t="s">
        <v>1635</v>
      </c>
      <c r="AC1683" t="s">
        <v>1635</v>
      </c>
      <c r="AD1683" s="1" t="s">
        <v>1635</v>
      </c>
      <c r="AE1683" s="2" t="s">
        <v>1635</v>
      </c>
      <c r="AF1683" s="2" t="s">
        <v>1635</v>
      </c>
      <c r="AG1683" s="2" t="s">
        <v>1635</v>
      </c>
      <c r="AH1683">
        <v>0</v>
      </c>
      <c r="AI1683" s="3" t="s">
        <v>1635</v>
      </c>
      <c r="AJ1683" s="1" t="s">
        <v>1635</v>
      </c>
      <c r="AK1683" s="2" t="s">
        <v>1635</v>
      </c>
      <c r="AL1683" s="4" t="s">
        <v>1658</v>
      </c>
      <c r="AM1683" s="5" t="s">
        <v>1658</v>
      </c>
      <c r="AN1683" s="4">
        <v>0</v>
      </c>
      <c r="AO1683" t="s">
        <v>1635</v>
      </c>
      <c r="AP1683" s="4" t="s">
        <v>1658</v>
      </c>
      <c r="AQ1683" t="s">
        <v>1619</v>
      </c>
      <c r="AR1683" t="s">
        <v>1620</v>
      </c>
      <c r="AT1683" s="16" t="str">
        <f>_xlfn.XLOOKUP(B1683,'SWiSH Demand Forecast Sep-26'!D:D,'SWiSH Demand Forecast Sep-26'!G:G,"Not Exist")</f>
        <v>Not Exist</v>
      </c>
    </row>
    <row r="1684" spans="1:46" x14ac:dyDescent="0.3">
      <c r="A1684">
        <v>100400053</v>
      </c>
      <c r="B1684" t="s">
        <v>3539</v>
      </c>
      <c r="C1684" t="s">
        <v>10</v>
      </c>
      <c r="D1684" t="s">
        <v>1629</v>
      </c>
      <c r="E1684" t="s">
        <v>1638</v>
      </c>
      <c r="F1684" t="s">
        <v>1664</v>
      </c>
      <c r="G1684" t="e">
        <v>#N/A</v>
      </c>
      <c r="H1684" t="s">
        <v>1810</v>
      </c>
      <c r="I1684" t="s">
        <v>1634</v>
      </c>
      <c r="J1684" t="s">
        <v>10</v>
      </c>
      <c r="K1684" t="e">
        <v>#N/A</v>
      </c>
      <c r="L1684" t="e">
        <v>#N/A</v>
      </c>
      <c r="M1684" s="1">
        <v>30</v>
      </c>
      <c r="N1684">
        <v>0</v>
      </c>
      <c r="O1684">
        <v>0</v>
      </c>
      <c r="P1684">
        <v>0</v>
      </c>
      <c r="Q1684" s="1">
        <v>0</v>
      </c>
      <c r="R1684">
        <v>0.06</v>
      </c>
      <c r="S1684" s="2">
        <v>44746</v>
      </c>
      <c r="T1684" s="2">
        <v>46180</v>
      </c>
      <c r="U1684">
        <v>0</v>
      </c>
      <c r="V1684">
        <v>0</v>
      </c>
      <c r="W1684">
        <v>0</v>
      </c>
      <c r="X1684">
        <v>0</v>
      </c>
      <c r="Y1684">
        <v>0</v>
      </c>
      <c r="Z1684" s="8">
        <v>0</v>
      </c>
      <c r="AA1684">
        <v>0</v>
      </c>
      <c r="AB1684" t="s">
        <v>1635</v>
      </c>
      <c r="AC1684" t="s">
        <v>1635</v>
      </c>
      <c r="AD1684" s="1" t="s">
        <v>1635</v>
      </c>
      <c r="AE1684" s="2" t="s">
        <v>1635</v>
      </c>
      <c r="AF1684" s="2" t="s">
        <v>1635</v>
      </c>
      <c r="AG1684" s="2" t="s">
        <v>1635</v>
      </c>
      <c r="AH1684">
        <v>0</v>
      </c>
      <c r="AI1684" s="3" t="s">
        <v>1635</v>
      </c>
      <c r="AJ1684" s="1" t="s">
        <v>1635</v>
      </c>
      <c r="AK1684" s="2" t="s">
        <v>1635</v>
      </c>
      <c r="AL1684" s="4" t="s">
        <v>1636</v>
      </c>
      <c r="AM1684" s="5" t="s">
        <v>1636</v>
      </c>
      <c r="AN1684" s="4">
        <v>0</v>
      </c>
      <c r="AO1684" t="s">
        <v>1635</v>
      </c>
      <c r="AP1684" s="4" t="s">
        <v>1636</v>
      </c>
      <c r="AQ1684" t="s">
        <v>1619</v>
      </c>
      <c r="AR1684" t="s">
        <v>1620</v>
      </c>
      <c r="AT1684" s="16" t="str">
        <f>_xlfn.XLOOKUP(B1684,'SWiSH Demand Forecast Sep-26'!D:D,'SWiSH Demand Forecast Sep-26'!G:G,"Not Exist")</f>
        <v>Not Exist</v>
      </c>
    </row>
    <row r="1685" spans="1:46" x14ac:dyDescent="0.3">
      <c r="A1685">
        <v>101900002</v>
      </c>
      <c r="B1685" t="s">
        <v>3540</v>
      </c>
      <c r="C1685" t="s">
        <v>10</v>
      </c>
      <c r="D1685" t="s">
        <v>1955</v>
      </c>
      <c r="E1685" t="s">
        <v>1685</v>
      </c>
      <c r="F1685" t="s">
        <v>1840</v>
      </c>
      <c r="G1685" t="s">
        <v>1616</v>
      </c>
      <c r="H1685" t="s">
        <v>3376</v>
      </c>
      <c r="I1685" t="s">
        <v>1618</v>
      </c>
      <c r="J1685" t="s">
        <v>2487</v>
      </c>
      <c r="K1685">
        <v>2.75E-2</v>
      </c>
      <c r="L1685">
        <v>170.5</v>
      </c>
      <c r="M1685" s="1">
        <v>3</v>
      </c>
      <c r="N1685">
        <v>0</v>
      </c>
      <c r="O1685">
        <v>0</v>
      </c>
      <c r="P1685">
        <v>6200</v>
      </c>
      <c r="Q1685" s="1">
        <v>6200</v>
      </c>
      <c r="R1685">
        <v>3</v>
      </c>
      <c r="S1685" s="2">
        <v>46077</v>
      </c>
      <c r="T1685" s="2">
        <v>46180</v>
      </c>
      <c r="U1685">
        <v>0</v>
      </c>
      <c r="V1685">
        <v>0</v>
      </c>
      <c r="W1685">
        <v>0</v>
      </c>
      <c r="X1685">
        <v>0</v>
      </c>
      <c r="Y1685">
        <v>0</v>
      </c>
      <c r="Z1685" s="8">
        <v>0</v>
      </c>
      <c r="AA1685">
        <v>0</v>
      </c>
      <c r="AB1685" t="s">
        <v>1635</v>
      </c>
      <c r="AC1685" t="s">
        <v>1635</v>
      </c>
      <c r="AD1685" s="1" t="s">
        <v>1635</v>
      </c>
      <c r="AE1685" s="2" t="s">
        <v>1635</v>
      </c>
      <c r="AF1685" s="2" t="s">
        <v>1635</v>
      </c>
      <c r="AG1685" s="2" t="s">
        <v>1635</v>
      </c>
      <c r="AH1685">
        <v>0</v>
      </c>
      <c r="AI1685" s="3" t="s">
        <v>1635</v>
      </c>
      <c r="AJ1685" s="1" t="s">
        <v>1635</v>
      </c>
      <c r="AK1685" s="2" t="s">
        <v>1635</v>
      </c>
      <c r="AL1685" s="4" t="s">
        <v>1658</v>
      </c>
      <c r="AM1685" s="5" t="s">
        <v>1658</v>
      </c>
      <c r="AN1685" s="4">
        <v>0</v>
      </c>
      <c r="AO1685" t="s">
        <v>1635</v>
      </c>
      <c r="AP1685" s="4" t="s">
        <v>1658</v>
      </c>
      <c r="AQ1685" t="s">
        <v>1619</v>
      </c>
      <c r="AR1685" t="s">
        <v>1620</v>
      </c>
      <c r="AT1685" s="16" t="str">
        <f>_xlfn.XLOOKUP(B1685,'SWiSH Demand Forecast Sep-26'!D:D,'SWiSH Demand Forecast Sep-26'!G:G,"Not Exist")</f>
        <v>Not Exist</v>
      </c>
    </row>
    <row r="1686" spans="1:46" x14ac:dyDescent="0.3">
      <c r="A1686">
        <v>100400060</v>
      </c>
      <c r="B1686" t="s">
        <v>3541</v>
      </c>
      <c r="C1686" t="s">
        <v>10</v>
      </c>
      <c r="D1686" t="s">
        <v>1629</v>
      </c>
      <c r="E1686" t="s">
        <v>2483</v>
      </c>
      <c r="F1686" t="s">
        <v>1664</v>
      </c>
      <c r="G1686" t="s">
        <v>1704</v>
      </c>
      <c r="H1686" t="s">
        <v>1810</v>
      </c>
      <c r="I1686" t="s">
        <v>1634</v>
      </c>
      <c r="J1686" t="s">
        <v>10</v>
      </c>
      <c r="K1686">
        <v>6.5000000000000002E-2</v>
      </c>
      <c r="L1686">
        <v>0</v>
      </c>
      <c r="M1686" s="1">
        <v>30</v>
      </c>
      <c r="N1686">
        <v>0</v>
      </c>
      <c r="O1686">
        <v>0</v>
      </c>
      <c r="P1686">
        <v>0</v>
      </c>
      <c r="Q1686" s="1">
        <v>0</v>
      </c>
      <c r="R1686">
        <v>6.5000000000000002E-2</v>
      </c>
      <c r="S1686" s="2">
        <v>44291</v>
      </c>
      <c r="T1686" s="2">
        <v>46054</v>
      </c>
      <c r="U1686">
        <v>0</v>
      </c>
      <c r="V1686">
        <v>0</v>
      </c>
      <c r="W1686">
        <v>0</v>
      </c>
      <c r="X1686">
        <v>0</v>
      </c>
      <c r="Y1686">
        <v>0</v>
      </c>
      <c r="Z1686" s="8">
        <v>0</v>
      </c>
      <c r="AA1686">
        <v>0</v>
      </c>
      <c r="AB1686" t="s">
        <v>1635</v>
      </c>
      <c r="AC1686" t="s">
        <v>1635</v>
      </c>
      <c r="AD1686" s="1" t="s">
        <v>1635</v>
      </c>
      <c r="AE1686" s="2" t="s">
        <v>1635</v>
      </c>
      <c r="AF1686" s="2" t="s">
        <v>1635</v>
      </c>
      <c r="AG1686" s="2" t="s">
        <v>1635</v>
      </c>
      <c r="AH1686">
        <v>0</v>
      </c>
      <c r="AI1686" s="3" t="s">
        <v>1635</v>
      </c>
      <c r="AJ1686" s="1" t="s">
        <v>1635</v>
      </c>
      <c r="AK1686" s="2" t="s">
        <v>1635</v>
      </c>
      <c r="AL1686" s="4" t="s">
        <v>1636</v>
      </c>
      <c r="AM1686" s="5" t="s">
        <v>1636</v>
      </c>
      <c r="AN1686" s="4">
        <v>0</v>
      </c>
      <c r="AO1686" t="s">
        <v>1635</v>
      </c>
      <c r="AP1686" s="4" t="s">
        <v>1636</v>
      </c>
      <c r="AQ1686" t="s">
        <v>1619</v>
      </c>
      <c r="AR1686" t="s">
        <v>1620</v>
      </c>
      <c r="AT1686" s="16" t="str">
        <f>_xlfn.XLOOKUP(B1686,'SWiSH Demand Forecast Sep-26'!D:D,'SWiSH Demand Forecast Sep-26'!G:G,"Not Exist")</f>
        <v>Not Exist</v>
      </c>
    </row>
    <row r="1687" spans="1:46" x14ac:dyDescent="0.3">
      <c r="A1687">
        <v>106600066</v>
      </c>
      <c r="B1687" t="s">
        <v>3542</v>
      </c>
      <c r="C1687" t="s">
        <v>10</v>
      </c>
      <c r="D1687" t="s">
        <v>1955</v>
      </c>
      <c r="E1687" t="s">
        <v>1685</v>
      </c>
      <c r="F1687" t="s">
        <v>1664</v>
      </c>
      <c r="G1687" t="s">
        <v>1704</v>
      </c>
      <c r="H1687" t="s">
        <v>1723</v>
      </c>
      <c r="I1687" t="s">
        <v>1634</v>
      </c>
      <c r="J1687" t="s">
        <v>10</v>
      </c>
      <c r="K1687">
        <v>2.7E-2</v>
      </c>
      <c r="L1687">
        <v>54</v>
      </c>
      <c r="M1687" s="1">
        <v>7</v>
      </c>
      <c r="N1687">
        <v>0</v>
      </c>
      <c r="O1687">
        <v>0</v>
      </c>
      <c r="P1687">
        <v>2000</v>
      </c>
      <c r="Q1687" s="1">
        <v>2000</v>
      </c>
      <c r="R1687">
        <v>2.7E-2</v>
      </c>
      <c r="S1687" s="2">
        <v>46071</v>
      </c>
      <c r="T1687" s="2">
        <v>46107</v>
      </c>
      <c r="U1687">
        <v>0</v>
      </c>
      <c r="V1687">
        <v>0</v>
      </c>
      <c r="W1687">
        <v>0</v>
      </c>
      <c r="X1687">
        <v>0</v>
      </c>
      <c r="Y1687">
        <v>0</v>
      </c>
      <c r="Z1687" s="8">
        <v>0</v>
      </c>
      <c r="AA1687">
        <v>0</v>
      </c>
      <c r="AB1687" t="s">
        <v>1635</v>
      </c>
      <c r="AC1687" t="s">
        <v>1635</v>
      </c>
      <c r="AD1687" s="1" t="s">
        <v>1635</v>
      </c>
      <c r="AE1687" s="2" t="s">
        <v>1635</v>
      </c>
      <c r="AF1687" s="2" t="s">
        <v>1635</v>
      </c>
      <c r="AG1687" s="2" t="s">
        <v>1635</v>
      </c>
      <c r="AH1687">
        <v>0</v>
      </c>
      <c r="AI1687" s="3" t="s">
        <v>1635</v>
      </c>
      <c r="AJ1687" s="1" t="s">
        <v>1635</v>
      </c>
      <c r="AK1687" s="2" t="s">
        <v>1635</v>
      </c>
      <c r="AL1687" s="4" t="s">
        <v>1658</v>
      </c>
      <c r="AM1687" s="5" t="s">
        <v>1658</v>
      </c>
      <c r="AN1687" s="4">
        <v>0</v>
      </c>
      <c r="AO1687" t="s">
        <v>1635</v>
      </c>
      <c r="AP1687" s="4" t="s">
        <v>1658</v>
      </c>
      <c r="AQ1687" t="s">
        <v>1619</v>
      </c>
      <c r="AR1687" t="s">
        <v>1620</v>
      </c>
      <c r="AS1687" t="s">
        <v>1666</v>
      </c>
      <c r="AT1687" s="16" t="str">
        <f>_xlfn.XLOOKUP(B1687,'SWiSH Demand Forecast Sep-26'!D:D,'SWiSH Demand Forecast Sep-26'!G:G,"Not Exist")</f>
        <v>Not Exist</v>
      </c>
    </row>
    <row r="1688" spans="1:46" x14ac:dyDescent="0.3">
      <c r="A1688">
        <v>100400080</v>
      </c>
      <c r="B1688" t="s">
        <v>3543</v>
      </c>
      <c r="C1688" t="s">
        <v>10</v>
      </c>
      <c r="D1688" t="s">
        <v>1629</v>
      </c>
      <c r="E1688" t="s">
        <v>1638</v>
      </c>
      <c r="F1688" t="s">
        <v>1664</v>
      </c>
      <c r="G1688" t="s">
        <v>1690</v>
      </c>
      <c r="H1688" t="s">
        <v>1810</v>
      </c>
      <c r="I1688" t="s">
        <v>1634</v>
      </c>
      <c r="J1688" t="s">
        <v>10</v>
      </c>
      <c r="K1688">
        <v>4.1332309999999997E-2</v>
      </c>
      <c r="L1688">
        <v>0</v>
      </c>
      <c r="M1688" s="1">
        <v>30</v>
      </c>
      <c r="N1688">
        <v>0</v>
      </c>
      <c r="O1688">
        <v>0</v>
      </c>
      <c r="P1688">
        <v>0</v>
      </c>
      <c r="Q1688" s="1">
        <v>0</v>
      </c>
      <c r="R1688">
        <v>0.04</v>
      </c>
      <c r="S1688" s="2">
        <v>45801</v>
      </c>
      <c r="T1688" s="2">
        <v>45863</v>
      </c>
      <c r="U1688">
        <v>0</v>
      </c>
      <c r="V1688">
        <v>0</v>
      </c>
      <c r="W1688">
        <v>0</v>
      </c>
      <c r="X1688">
        <v>0</v>
      </c>
      <c r="Y1688">
        <v>0</v>
      </c>
      <c r="Z1688" s="8">
        <v>0</v>
      </c>
      <c r="AA1688">
        <v>0</v>
      </c>
      <c r="AB1688" t="s">
        <v>1635</v>
      </c>
      <c r="AC1688" t="s">
        <v>1635</v>
      </c>
      <c r="AD1688" s="1" t="s">
        <v>1635</v>
      </c>
      <c r="AE1688" s="2" t="s">
        <v>1635</v>
      </c>
      <c r="AF1688" s="2" t="s">
        <v>1635</v>
      </c>
      <c r="AG1688" s="2" t="s">
        <v>1635</v>
      </c>
      <c r="AH1688">
        <v>0</v>
      </c>
      <c r="AI1688" s="3" t="s">
        <v>1635</v>
      </c>
      <c r="AJ1688" s="1" t="s">
        <v>1635</v>
      </c>
      <c r="AK1688" s="2" t="s">
        <v>1635</v>
      </c>
      <c r="AL1688" s="4" t="s">
        <v>1636</v>
      </c>
      <c r="AM1688" s="5" t="s">
        <v>1636</v>
      </c>
      <c r="AN1688" s="4">
        <v>0</v>
      </c>
      <c r="AO1688" t="s">
        <v>1635</v>
      </c>
      <c r="AP1688" s="4" t="s">
        <v>1636</v>
      </c>
      <c r="AQ1688" t="s">
        <v>1619</v>
      </c>
      <c r="AR1688" t="s">
        <v>1620</v>
      </c>
      <c r="AT1688" s="16" t="str">
        <f>_xlfn.XLOOKUP(B1688,'SWiSH Demand Forecast Sep-26'!D:D,'SWiSH Demand Forecast Sep-26'!G:G,"Not Exist")</f>
        <v>Not Exist</v>
      </c>
    </row>
    <row r="1689" spans="1:46" x14ac:dyDescent="0.3">
      <c r="A1689">
        <v>100400004</v>
      </c>
      <c r="B1689" t="s">
        <v>3544</v>
      </c>
      <c r="C1689" t="s">
        <v>10</v>
      </c>
      <c r="D1689" t="s">
        <v>1629</v>
      </c>
      <c r="E1689" t="s">
        <v>1655</v>
      </c>
      <c r="F1689" t="s">
        <v>1664</v>
      </c>
      <c r="G1689" t="s">
        <v>1704</v>
      </c>
      <c r="H1689" t="s">
        <v>1810</v>
      </c>
      <c r="I1689" t="s">
        <v>1634</v>
      </c>
      <c r="J1689" t="s">
        <v>10</v>
      </c>
      <c r="K1689">
        <v>2.1805270000000002E-2</v>
      </c>
      <c r="L1689">
        <v>0</v>
      </c>
      <c r="M1689" s="1">
        <v>30</v>
      </c>
      <c r="N1689">
        <v>0</v>
      </c>
      <c r="O1689">
        <v>0</v>
      </c>
      <c r="P1689">
        <v>0</v>
      </c>
      <c r="Q1689" s="1">
        <v>0</v>
      </c>
      <c r="R1689">
        <v>2.1999999999999999E-2</v>
      </c>
      <c r="S1689" s="2">
        <v>45924</v>
      </c>
      <c r="T1689" s="2">
        <v>45978</v>
      </c>
      <c r="U1689">
        <v>0</v>
      </c>
      <c r="V1689">
        <v>0</v>
      </c>
      <c r="W1689">
        <v>0</v>
      </c>
      <c r="X1689">
        <v>0</v>
      </c>
      <c r="Y1689">
        <v>0</v>
      </c>
      <c r="Z1689" s="8">
        <v>0</v>
      </c>
      <c r="AA1689">
        <v>0</v>
      </c>
      <c r="AB1689" t="s">
        <v>1635</v>
      </c>
      <c r="AC1689" t="s">
        <v>1635</v>
      </c>
      <c r="AD1689" s="1" t="s">
        <v>1635</v>
      </c>
      <c r="AE1689" s="2" t="s">
        <v>1635</v>
      </c>
      <c r="AF1689" s="2" t="s">
        <v>1635</v>
      </c>
      <c r="AG1689" s="2" t="s">
        <v>1635</v>
      </c>
      <c r="AH1689">
        <v>0</v>
      </c>
      <c r="AI1689" s="3" t="s">
        <v>1635</v>
      </c>
      <c r="AJ1689" s="1" t="s">
        <v>1635</v>
      </c>
      <c r="AK1689" s="2" t="s">
        <v>1635</v>
      </c>
      <c r="AL1689" s="4" t="s">
        <v>1636</v>
      </c>
      <c r="AM1689" s="5" t="s">
        <v>1636</v>
      </c>
      <c r="AN1689" s="4">
        <v>0</v>
      </c>
      <c r="AO1689" t="s">
        <v>1635</v>
      </c>
      <c r="AP1689" s="4" t="s">
        <v>1636</v>
      </c>
      <c r="AQ1689" t="s">
        <v>1619</v>
      </c>
      <c r="AR1689" t="s">
        <v>1620</v>
      </c>
      <c r="AT1689" s="16" t="str">
        <f>_xlfn.XLOOKUP(B1689,'SWiSH Demand Forecast Sep-26'!D:D,'SWiSH Demand Forecast Sep-26'!G:G,"Not Exist")</f>
        <v>Not Exist</v>
      </c>
    </row>
    <row r="1690" spans="1:46" x14ac:dyDescent="0.3">
      <c r="A1690">
        <v>101600009</v>
      </c>
      <c r="B1690" t="s">
        <v>3545</v>
      </c>
      <c r="C1690" t="s">
        <v>10</v>
      </c>
      <c r="D1690" t="s">
        <v>1675</v>
      </c>
      <c r="E1690" t="s">
        <v>1622</v>
      </c>
      <c r="F1690" t="s">
        <v>1631</v>
      </c>
      <c r="G1690" t="s">
        <v>1704</v>
      </c>
      <c r="H1690" t="s">
        <v>1768</v>
      </c>
      <c r="I1690" t="s">
        <v>1634</v>
      </c>
      <c r="J1690" t="s">
        <v>10</v>
      </c>
      <c r="K1690">
        <v>0.21571000000000001</v>
      </c>
      <c r="L1690">
        <v>215.71</v>
      </c>
      <c r="M1690" s="1">
        <v>7</v>
      </c>
      <c r="N1690">
        <v>0</v>
      </c>
      <c r="O1690">
        <v>0</v>
      </c>
      <c r="P1690">
        <v>1000</v>
      </c>
      <c r="Q1690" s="1">
        <v>1000</v>
      </c>
      <c r="R1690">
        <v>0.21571000000000001</v>
      </c>
      <c r="S1690" s="2">
        <v>46071</v>
      </c>
      <c r="T1690" s="2">
        <v>46221</v>
      </c>
      <c r="U1690">
        <v>0</v>
      </c>
      <c r="V1690">
        <v>0</v>
      </c>
      <c r="W1690">
        <v>0</v>
      </c>
      <c r="X1690">
        <v>0</v>
      </c>
      <c r="Y1690">
        <v>0</v>
      </c>
      <c r="Z1690" s="8">
        <v>0</v>
      </c>
      <c r="AA1690">
        <v>0</v>
      </c>
      <c r="AB1690" t="s">
        <v>1635</v>
      </c>
      <c r="AC1690" t="s">
        <v>1635</v>
      </c>
      <c r="AD1690" s="1" t="s">
        <v>1635</v>
      </c>
      <c r="AE1690" s="2" t="s">
        <v>1635</v>
      </c>
      <c r="AF1690" s="2" t="s">
        <v>1635</v>
      </c>
      <c r="AG1690" s="2" t="s">
        <v>1635</v>
      </c>
      <c r="AH1690">
        <v>0</v>
      </c>
      <c r="AI1690" s="3" t="s">
        <v>1635</v>
      </c>
      <c r="AJ1690" s="1" t="s">
        <v>1635</v>
      </c>
      <c r="AK1690" s="2" t="s">
        <v>1635</v>
      </c>
      <c r="AL1690" s="4" t="s">
        <v>1658</v>
      </c>
      <c r="AM1690" s="5" t="s">
        <v>1658</v>
      </c>
      <c r="AN1690" s="4">
        <v>0</v>
      </c>
      <c r="AO1690" t="s">
        <v>1635</v>
      </c>
      <c r="AP1690" s="4" t="s">
        <v>1658</v>
      </c>
      <c r="AQ1690" t="s">
        <v>1619</v>
      </c>
      <c r="AR1690" t="s">
        <v>1620</v>
      </c>
      <c r="AS1690" t="s">
        <v>1666</v>
      </c>
      <c r="AT1690" s="16" t="str">
        <f>_xlfn.XLOOKUP(B1690,'SWiSH Demand Forecast Sep-26'!D:D,'SWiSH Demand Forecast Sep-26'!G:G,"Not Exist")</f>
        <v>Not Exist</v>
      </c>
    </row>
    <row r="1691" spans="1:46" x14ac:dyDescent="0.3">
      <c r="A1691">
        <v>105200072</v>
      </c>
      <c r="B1691" t="s">
        <v>3546</v>
      </c>
      <c r="C1691" t="s">
        <v>10</v>
      </c>
      <c r="D1691" t="s">
        <v>1955</v>
      </c>
      <c r="E1691" t="s">
        <v>1655</v>
      </c>
      <c r="F1691" t="s">
        <v>1664</v>
      </c>
      <c r="G1691" t="s">
        <v>1704</v>
      </c>
      <c r="H1691" t="s">
        <v>1779</v>
      </c>
      <c r="I1691" t="s">
        <v>1634</v>
      </c>
      <c r="J1691" t="s">
        <v>10</v>
      </c>
      <c r="K1691">
        <v>2.5000000000000001E-2</v>
      </c>
      <c r="L1691">
        <v>216.25</v>
      </c>
      <c r="M1691" s="1">
        <v>30</v>
      </c>
      <c r="N1691">
        <v>0</v>
      </c>
      <c r="O1691">
        <v>0</v>
      </c>
      <c r="P1691">
        <v>8650</v>
      </c>
      <c r="Q1691" s="1">
        <v>8650</v>
      </c>
      <c r="R1691">
        <v>0</v>
      </c>
      <c r="S1691" s="2">
        <v>45873</v>
      </c>
      <c r="T1691" s="2">
        <v>46156</v>
      </c>
      <c r="U1691">
        <v>0</v>
      </c>
      <c r="V1691">
        <v>0</v>
      </c>
      <c r="W1691">
        <v>0</v>
      </c>
      <c r="X1691">
        <v>0</v>
      </c>
      <c r="Y1691">
        <v>0</v>
      </c>
      <c r="Z1691" s="8">
        <v>0</v>
      </c>
      <c r="AA1691">
        <v>0</v>
      </c>
      <c r="AB1691" t="s">
        <v>1635</v>
      </c>
      <c r="AC1691" t="s">
        <v>1635</v>
      </c>
      <c r="AD1691" s="1" t="s">
        <v>1635</v>
      </c>
      <c r="AE1691" s="2" t="s">
        <v>1635</v>
      </c>
      <c r="AF1691" s="2" t="s">
        <v>1635</v>
      </c>
      <c r="AG1691" s="2" t="s">
        <v>1635</v>
      </c>
      <c r="AH1691">
        <v>0</v>
      </c>
      <c r="AI1691" s="3" t="s">
        <v>1635</v>
      </c>
      <c r="AJ1691" s="1" t="s">
        <v>1635</v>
      </c>
      <c r="AK1691" s="2" t="s">
        <v>1635</v>
      </c>
      <c r="AL1691" s="4" t="s">
        <v>1658</v>
      </c>
      <c r="AM1691" s="5" t="s">
        <v>1658</v>
      </c>
      <c r="AN1691" s="4">
        <v>0</v>
      </c>
      <c r="AO1691" t="s">
        <v>1635</v>
      </c>
      <c r="AP1691" s="4" t="s">
        <v>1658</v>
      </c>
      <c r="AQ1691" t="s">
        <v>1619</v>
      </c>
      <c r="AR1691" t="s">
        <v>1620</v>
      </c>
      <c r="AT1691" s="16" t="str">
        <f>_xlfn.XLOOKUP(B1691,'SWiSH Demand Forecast Sep-26'!D:D,'SWiSH Demand Forecast Sep-26'!G:G,"Not Exist")</f>
        <v>Not Exist</v>
      </c>
    </row>
    <row r="1692" spans="1:46" x14ac:dyDescent="0.3">
      <c r="A1692">
        <v>100400125</v>
      </c>
      <c r="B1692" t="s">
        <v>3547</v>
      </c>
      <c r="C1692" t="s">
        <v>10</v>
      </c>
      <c r="D1692" t="s">
        <v>1629</v>
      </c>
      <c r="E1692" t="s">
        <v>1655</v>
      </c>
      <c r="F1692" t="s">
        <v>1664</v>
      </c>
      <c r="G1692" t="s">
        <v>1678</v>
      </c>
      <c r="H1692" t="s">
        <v>1810</v>
      </c>
      <c r="I1692" t="s">
        <v>1634</v>
      </c>
      <c r="J1692" t="s">
        <v>10</v>
      </c>
      <c r="K1692">
        <v>1.7999999999999999E-2</v>
      </c>
      <c r="L1692">
        <v>0</v>
      </c>
      <c r="M1692" s="1">
        <v>30</v>
      </c>
      <c r="N1692">
        <v>0</v>
      </c>
      <c r="O1692">
        <v>0</v>
      </c>
      <c r="P1692">
        <v>0</v>
      </c>
      <c r="Q1692" s="1">
        <v>0</v>
      </c>
      <c r="R1692">
        <v>1.7999999999999999E-2</v>
      </c>
      <c r="S1692" s="2">
        <v>45872</v>
      </c>
      <c r="T1692" s="2">
        <v>45882</v>
      </c>
      <c r="U1692">
        <v>0</v>
      </c>
      <c r="V1692">
        <v>0</v>
      </c>
      <c r="W1692">
        <v>0</v>
      </c>
      <c r="X1692">
        <v>0</v>
      </c>
      <c r="Y1692">
        <v>0</v>
      </c>
      <c r="Z1692" s="8">
        <v>0</v>
      </c>
      <c r="AA1692">
        <v>0</v>
      </c>
      <c r="AB1692" t="s">
        <v>1635</v>
      </c>
      <c r="AC1692" t="s">
        <v>1635</v>
      </c>
      <c r="AD1692" s="1" t="s">
        <v>1635</v>
      </c>
      <c r="AE1692" s="2" t="s">
        <v>1635</v>
      </c>
      <c r="AF1692" s="2" t="s">
        <v>1635</v>
      </c>
      <c r="AG1692" s="2" t="s">
        <v>1635</v>
      </c>
      <c r="AH1692">
        <v>0</v>
      </c>
      <c r="AI1692" s="3" t="s">
        <v>1635</v>
      </c>
      <c r="AJ1692" s="1" t="s">
        <v>1635</v>
      </c>
      <c r="AK1692" s="2" t="s">
        <v>1635</v>
      </c>
      <c r="AL1692" s="4" t="s">
        <v>1636</v>
      </c>
      <c r="AM1692" s="5" t="s">
        <v>1636</v>
      </c>
      <c r="AN1692" s="4">
        <v>0</v>
      </c>
      <c r="AO1692" t="s">
        <v>1635</v>
      </c>
      <c r="AP1692" s="4" t="s">
        <v>1636</v>
      </c>
      <c r="AQ1692" t="s">
        <v>1619</v>
      </c>
      <c r="AR1692" t="s">
        <v>1620</v>
      </c>
      <c r="AT1692" s="16" t="str">
        <f>_xlfn.XLOOKUP(B1692,'SWiSH Demand Forecast Sep-26'!D:D,'SWiSH Demand Forecast Sep-26'!G:G,"Not Exist")</f>
        <v>Not Exist</v>
      </c>
    </row>
    <row r="1693" spans="1:46" x14ac:dyDescent="0.3">
      <c r="A1693">
        <v>100400112</v>
      </c>
      <c r="B1693" t="s">
        <v>3548</v>
      </c>
      <c r="C1693" t="s">
        <v>10</v>
      </c>
      <c r="D1693" t="s">
        <v>1629</v>
      </c>
      <c r="E1693" t="s">
        <v>2483</v>
      </c>
      <c r="F1693" t="s">
        <v>1664</v>
      </c>
      <c r="G1693" t="s">
        <v>1690</v>
      </c>
      <c r="H1693" t="s">
        <v>1810</v>
      </c>
      <c r="I1693" t="s">
        <v>1634</v>
      </c>
      <c r="J1693" t="s">
        <v>10</v>
      </c>
      <c r="K1693">
        <v>2.8779079999999999E-2</v>
      </c>
      <c r="L1693">
        <v>0</v>
      </c>
      <c r="M1693" s="1">
        <v>30</v>
      </c>
      <c r="N1693">
        <v>0</v>
      </c>
      <c r="O1693">
        <v>0</v>
      </c>
      <c r="P1693">
        <v>0</v>
      </c>
      <c r="Q1693" s="1">
        <v>0</v>
      </c>
      <c r="R1693">
        <v>5.7000000000000002E-2</v>
      </c>
      <c r="S1693" s="2">
        <v>45621</v>
      </c>
      <c r="T1693" s="2">
        <v>45959</v>
      </c>
      <c r="U1693">
        <v>0</v>
      </c>
      <c r="V1693">
        <v>0</v>
      </c>
      <c r="W1693">
        <v>0</v>
      </c>
      <c r="X1693">
        <v>0</v>
      </c>
      <c r="Y1693">
        <v>0</v>
      </c>
      <c r="Z1693" s="8">
        <v>0</v>
      </c>
      <c r="AA1693">
        <v>0</v>
      </c>
      <c r="AB1693" t="s">
        <v>1635</v>
      </c>
      <c r="AC1693" t="s">
        <v>1635</v>
      </c>
      <c r="AD1693" s="1" t="s">
        <v>1635</v>
      </c>
      <c r="AE1693" s="2" t="s">
        <v>1635</v>
      </c>
      <c r="AF1693" s="2" t="s">
        <v>1635</v>
      </c>
      <c r="AG1693" s="2" t="s">
        <v>1635</v>
      </c>
      <c r="AH1693">
        <v>0</v>
      </c>
      <c r="AI1693" s="3" t="s">
        <v>1635</v>
      </c>
      <c r="AJ1693" s="1" t="s">
        <v>1635</v>
      </c>
      <c r="AK1693" s="2" t="s">
        <v>1635</v>
      </c>
      <c r="AL1693" s="4" t="s">
        <v>1636</v>
      </c>
      <c r="AM1693" s="5" t="s">
        <v>1636</v>
      </c>
      <c r="AN1693" s="4">
        <v>0</v>
      </c>
      <c r="AO1693" t="s">
        <v>1635</v>
      </c>
      <c r="AP1693" s="4" t="s">
        <v>1636</v>
      </c>
      <c r="AQ1693" t="s">
        <v>1619</v>
      </c>
      <c r="AR1693" t="s">
        <v>1620</v>
      </c>
      <c r="AT1693" s="16" t="str">
        <f>_xlfn.XLOOKUP(B1693,'SWiSH Demand Forecast Sep-26'!D:D,'SWiSH Demand Forecast Sep-26'!G:G,"Not Exist")</f>
        <v>Not Exist</v>
      </c>
    </row>
    <row r="1694" spans="1:46" x14ac:dyDescent="0.3">
      <c r="A1694">
        <v>100400190</v>
      </c>
      <c r="B1694" t="s">
        <v>3549</v>
      </c>
      <c r="C1694" t="s">
        <v>10</v>
      </c>
      <c r="D1694" t="s">
        <v>1629</v>
      </c>
      <c r="E1694" t="s">
        <v>1926</v>
      </c>
      <c r="F1694" t="s">
        <v>1664</v>
      </c>
      <c r="G1694" t="s">
        <v>1690</v>
      </c>
      <c r="H1694" t="s">
        <v>1810</v>
      </c>
      <c r="I1694" t="s">
        <v>1634</v>
      </c>
      <c r="J1694" t="s">
        <v>10</v>
      </c>
      <c r="K1694">
        <v>3.2480000000000002E-2</v>
      </c>
      <c r="L1694">
        <v>0</v>
      </c>
      <c r="M1694" s="1">
        <v>30</v>
      </c>
      <c r="N1694">
        <v>0</v>
      </c>
      <c r="O1694">
        <v>0</v>
      </c>
      <c r="P1694">
        <v>0</v>
      </c>
      <c r="Q1694" s="1">
        <v>0</v>
      </c>
      <c r="R1694">
        <v>3.7999999999999999E-2</v>
      </c>
      <c r="S1694" s="2">
        <v>45777</v>
      </c>
      <c r="T1694" s="2">
        <v>46114</v>
      </c>
      <c r="U1694">
        <v>0</v>
      </c>
      <c r="V1694">
        <v>0</v>
      </c>
      <c r="W1694">
        <v>0</v>
      </c>
      <c r="X1694">
        <v>0</v>
      </c>
      <c r="Y1694">
        <v>0</v>
      </c>
      <c r="Z1694" s="8">
        <v>0</v>
      </c>
      <c r="AA1694">
        <v>0</v>
      </c>
      <c r="AB1694" t="s">
        <v>1635</v>
      </c>
      <c r="AC1694" t="s">
        <v>1635</v>
      </c>
      <c r="AD1694" s="1" t="s">
        <v>1635</v>
      </c>
      <c r="AE1694" s="2" t="s">
        <v>1635</v>
      </c>
      <c r="AF1694" s="2" t="s">
        <v>1635</v>
      </c>
      <c r="AG1694" s="2" t="s">
        <v>1635</v>
      </c>
      <c r="AH1694">
        <v>0</v>
      </c>
      <c r="AI1694" s="3" t="s">
        <v>1635</v>
      </c>
      <c r="AJ1694" s="1" t="s">
        <v>1635</v>
      </c>
      <c r="AK1694" s="2" t="s">
        <v>1635</v>
      </c>
      <c r="AL1694" s="4" t="s">
        <v>1636</v>
      </c>
      <c r="AM1694" s="5" t="s">
        <v>1636</v>
      </c>
      <c r="AN1694" s="4">
        <v>0</v>
      </c>
      <c r="AO1694" t="s">
        <v>1635</v>
      </c>
      <c r="AP1694" s="4" t="s">
        <v>1636</v>
      </c>
      <c r="AQ1694" t="s">
        <v>1619</v>
      </c>
      <c r="AR1694" t="s">
        <v>1620</v>
      </c>
      <c r="AT1694" s="16" t="str">
        <f>_xlfn.XLOOKUP(B1694,'SWiSH Demand Forecast Sep-26'!D:D,'SWiSH Demand Forecast Sep-26'!G:G,"Not Exist")</f>
        <v>Not Exist</v>
      </c>
    </row>
    <row r="1695" spans="1:46" x14ac:dyDescent="0.3">
      <c r="A1695">
        <v>100400148</v>
      </c>
      <c r="B1695" t="s">
        <v>3550</v>
      </c>
      <c r="C1695" t="s">
        <v>10</v>
      </c>
      <c r="D1695" t="s">
        <v>1675</v>
      </c>
      <c r="E1695" t="s">
        <v>1926</v>
      </c>
      <c r="F1695" t="s">
        <v>1664</v>
      </c>
      <c r="G1695" t="s">
        <v>1704</v>
      </c>
      <c r="H1695" t="s">
        <v>1810</v>
      </c>
      <c r="I1695" t="s">
        <v>1634</v>
      </c>
      <c r="J1695" t="s">
        <v>10</v>
      </c>
      <c r="K1695">
        <v>1.7999999999999999E-2</v>
      </c>
      <c r="L1695">
        <v>279</v>
      </c>
      <c r="M1695" s="1">
        <v>30</v>
      </c>
      <c r="N1695">
        <v>0</v>
      </c>
      <c r="O1695">
        <v>0</v>
      </c>
      <c r="P1695">
        <v>15500</v>
      </c>
      <c r="Q1695" s="1">
        <v>15500</v>
      </c>
      <c r="R1695">
        <v>1.7999999999999999E-2</v>
      </c>
      <c r="S1695" s="2">
        <v>45780</v>
      </c>
      <c r="T1695" s="2">
        <v>46107</v>
      </c>
      <c r="U1695">
        <v>0</v>
      </c>
      <c r="V1695">
        <v>0</v>
      </c>
      <c r="W1695">
        <v>0</v>
      </c>
      <c r="X1695">
        <v>0</v>
      </c>
      <c r="Y1695">
        <v>0</v>
      </c>
      <c r="Z1695" s="8">
        <v>0</v>
      </c>
      <c r="AA1695">
        <v>0</v>
      </c>
      <c r="AB1695" t="s">
        <v>1635</v>
      </c>
      <c r="AC1695" t="s">
        <v>1635</v>
      </c>
      <c r="AD1695" s="1" t="s">
        <v>1635</v>
      </c>
      <c r="AE1695" s="2" t="s">
        <v>1635</v>
      </c>
      <c r="AF1695" s="2" t="s">
        <v>1635</v>
      </c>
      <c r="AG1695" s="2" t="s">
        <v>1635</v>
      </c>
      <c r="AH1695">
        <v>0</v>
      </c>
      <c r="AI1695" s="3" t="s">
        <v>1635</v>
      </c>
      <c r="AJ1695" s="1" t="s">
        <v>1635</v>
      </c>
      <c r="AK1695" s="2" t="s">
        <v>1635</v>
      </c>
      <c r="AL1695" s="4" t="s">
        <v>1658</v>
      </c>
      <c r="AM1695" s="5" t="s">
        <v>1658</v>
      </c>
      <c r="AN1695" s="4">
        <v>0</v>
      </c>
      <c r="AO1695" t="s">
        <v>1635</v>
      </c>
      <c r="AP1695" s="4" t="s">
        <v>1658</v>
      </c>
      <c r="AQ1695" t="s">
        <v>1619</v>
      </c>
      <c r="AR1695" t="s">
        <v>1620</v>
      </c>
      <c r="AT1695" s="16" t="str">
        <f>_xlfn.XLOOKUP(B1695,'SWiSH Demand Forecast Sep-26'!D:D,'SWiSH Demand Forecast Sep-26'!G:G,"Not Exist")</f>
        <v>Not Exist</v>
      </c>
    </row>
    <row r="1696" spans="1:46" x14ac:dyDescent="0.3">
      <c r="A1696">
        <v>100400057</v>
      </c>
      <c r="B1696" t="s">
        <v>3551</v>
      </c>
      <c r="C1696" t="s">
        <v>10</v>
      </c>
      <c r="D1696" t="s">
        <v>1629</v>
      </c>
      <c r="E1696" t="e">
        <v>#N/A</v>
      </c>
      <c r="F1696" t="s">
        <v>1631</v>
      </c>
      <c r="G1696" t="s">
        <v>1690</v>
      </c>
      <c r="H1696" t="s">
        <v>1810</v>
      </c>
      <c r="I1696" t="s">
        <v>1634</v>
      </c>
      <c r="J1696" t="s">
        <v>10</v>
      </c>
      <c r="K1696">
        <v>0.2</v>
      </c>
      <c r="L1696">
        <v>0</v>
      </c>
      <c r="M1696" s="1">
        <v>30</v>
      </c>
      <c r="N1696">
        <v>0</v>
      </c>
      <c r="O1696">
        <v>0</v>
      </c>
      <c r="P1696">
        <v>0</v>
      </c>
      <c r="Q1696" s="1">
        <v>0</v>
      </c>
      <c r="R1696">
        <v>0.2</v>
      </c>
      <c r="S1696" s="2">
        <v>45867</v>
      </c>
      <c r="T1696" s="2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 s="8">
        <v>0</v>
      </c>
      <c r="AA1696">
        <v>0</v>
      </c>
      <c r="AB1696" t="s">
        <v>1635</v>
      </c>
      <c r="AC1696" t="s">
        <v>1635</v>
      </c>
      <c r="AD1696" s="1" t="s">
        <v>1635</v>
      </c>
      <c r="AE1696" s="2" t="s">
        <v>1635</v>
      </c>
      <c r="AF1696" s="2" t="s">
        <v>1635</v>
      </c>
      <c r="AG1696" s="2" t="s">
        <v>1635</v>
      </c>
      <c r="AH1696">
        <v>0</v>
      </c>
      <c r="AI1696" s="3" t="s">
        <v>1635</v>
      </c>
      <c r="AJ1696" s="1" t="s">
        <v>1635</v>
      </c>
      <c r="AK1696" s="2" t="s">
        <v>1635</v>
      </c>
      <c r="AL1696" s="4" t="s">
        <v>1636</v>
      </c>
      <c r="AM1696" s="5" t="s">
        <v>1636</v>
      </c>
      <c r="AN1696" s="4">
        <v>0</v>
      </c>
      <c r="AO1696" t="s">
        <v>1635</v>
      </c>
      <c r="AP1696" s="4" t="s">
        <v>1636</v>
      </c>
      <c r="AQ1696" t="s">
        <v>1619</v>
      </c>
      <c r="AR1696" t="s">
        <v>1620</v>
      </c>
      <c r="AT1696" s="16" t="str">
        <f>_xlfn.XLOOKUP(B1696,'SWiSH Demand Forecast Sep-26'!D:D,'SWiSH Demand Forecast Sep-26'!G:G,"Not Exist")</f>
        <v>Not Exist</v>
      </c>
    </row>
    <row r="1697" spans="1:46" x14ac:dyDescent="0.3">
      <c r="A1697">
        <v>100400086</v>
      </c>
      <c r="B1697" t="s">
        <v>3552</v>
      </c>
      <c r="C1697" t="s">
        <v>10</v>
      </c>
      <c r="D1697" t="s">
        <v>1675</v>
      </c>
      <c r="E1697" t="s">
        <v>1685</v>
      </c>
      <c r="F1697" t="s">
        <v>1664</v>
      </c>
      <c r="G1697" t="s">
        <v>1704</v>
      </c>
      <c r="H1697" t="s">
        <v>1810</v>
      </c>
      <c r="I1697" t="s">
        <v>1634</v>
      </c>
      <c r="J1697" t="s">
        <v>10</v>
      </c>
      <c r="K1697">
        <v>5.3999999999999999E-2</v>
      </c>
      <c r="L1697">
        <v>245.7</v>
      </c>
      <c r="M1697" s="1">
        <v>30</v>
      </c>
      <c r="N1697">
        <v>0</v>
      </c>
      <c r="O1697">
        <v>0</v>
      </c>
      <c r="P1697">
        <v>4550</v>
      </c>
      <c r="Q1697" s="1">
        <v>4550</v>
      </c>
      <c r="R1697">
        <v>5.3999999999999999E-2</v>
      </c>
      <c r="S1697" s="2">
        <v>45774</v>
      </c>
      <c r="T1697" s="2">
        <v>46107</v>
      </c>
      <c r="U1697">
        <v>0</v>
      </c>
      <c r="V1697">
        <v>0</v>
      </c>
      <c r="W1697">
        <v>0</v>
      </c>
      <c r="X1697">
        <v>0</v>
      </c>
      <c r="Y1697">
        <v>0</v>
      </c>
      <c r="Z1697" s="8">
        <v>0</v>
      </c>
      <c r="AA1697">
        <v>0</v>
      </c>
      <c r="AB1697" t="s">
        <v>1635</v>
      </c>
      <c r="AC1697" t="s">
        <v>1635</v>
      </c>
      <c r="AD1697" s="1" t="s">
        <v>1635</v>
      </c>
      <c r="AE1697" s="2" t="s">
        <v>1635</v>
      </c>
      <c r="AF1697" s="2" t="s">
        <v>1635</v>
      </c>
      <c r="AG1697" s="2" t="s">
        <v>1635</v>
      </c>
      <c r="AH1697">
        <v>0</v>
      </c>
      <c r="AI1697" s="3" t="s">
        <v>1635</v>
      </c>
      <c r="AJ1697" s="1" t="s">
        <v>1635</v>
      </c>
      <c r="AK1697" s="2" t="s">
        <v>1635</v>
      </c>
      <c r="AL1697" s="4" t="s">
        <v>1658</v>
      </c>
      <c r="AM1697" s="5" t="s">
        <v>1658</v>
      </c>
      <c r="AN1697" s="4">
        <v>0</v>
      </c>
      <c r="AO1697" t="s">
        <v>1635</v>
      </c>
      <c r="AP1697" s="4" t="s">
        <v>1658</v>
      </c>
      <c r="AQ1697" t="s">
        <v>1619</v>
      </c>
      <c r="AR1697" t="s">
        <v>1620</v>
      </c>
      <c r="AT1697" s="16" t="str">
        <f>_xlfn.XLOOKUP(B1697,'SWiSH Demand Forecast Sep-26'!D:D,'SWiSH Demand Forecast Sep-26'!G:G,"Not Exist")</f>
        <v>Not Exist</v>
      </c>
    </row>
    <row r="1698" spans="1:46" x14ac:dyDescent="0.3">
      <c r="A1698">
        <v>100400081</v>
      </c>
      <c r="B1698" t="s">
        <v>3553</v>
      </c>
      <c r="C1698" t="s">
        <v>10</v>
      </c>
      <c r="D1698" t="s">
        <v>1675</v>
      </c>
      <c r="E1698" t="s">
        <v>1926</v>
      </c>
      <c r="F1698" t="s">
        <v>1664</v>
      </c>
      <c r="G1698" t="s">
        <v>1704</v>
      </c>
      <c r="H1698" t="s">
        <v>1810</v>
      </c>
      <c r="I1698" t="s">
        <v>1634</v>
      </c>
      <c r="J1698" t="s">
        <v>10</v>
      </c>
      <c r="K1698">
        <v>1.4E-2</v>
      </c>
      <c r="L1698">
        <v>218.4</v>
      </c>
      <c r="M1698" s="1">
        <v>30</v>
      </c>
      <c r="N1698">
        <v>0</v>
      </c>
      <c r="O1698">
        <v>0</v>
      </c>
      <c r="P1698">
        <v>15600</v>
      </c>
      <c r="Q1698" s="1">
        <v>15600</v>
      </c>
      <c r="R1698">
        <v>1.4E-2</v>
      </c>
      <c r="S1698" s="2">
        <v>45768</v>
      </c>
      <c r="T1698" s="2">
        <v>46107</v>
      </c>
      <c r="U1698">
        <v>0</v>
      </c>
      <c r="V1698">
        <v>0</v>
      </c>
      <c r="W1698">
        <v>0</v>
      </c>
      <c r="X1698">
        <v>0</v>
      </c>
      <c r="Y1698">
        <v>0</v>
      </c>
      <c r="Z1698" s="8">
        <v>0</v>
      </c>
      <c r="AA1698">
        <v>0</v>
      </c>
      <c r="AB1698" t="s">
        <v>1635</v>
      </c>
      <c r="AC1698" t="s">
        <v>1635</v>
      </c>
      <c r="AD1698" s="1" t="s">
        <v>1635</v>
      </c>
      <c r="AE1698" s="2" t="s">
        <v>1635</v>
      </c>
      <c r="AF1698" s="2" t="s">
        <v>1635</v>
      </c>
      <c r="AG1698" s="2" t="s">
        <v>1635</v>
      </c>
      <c r="AH1698">
        <v>0</v>
      </c>
      <c r="AI1698" s="3" t="s">
        <v>1635</v>
      </c>
      <c r="AJ1698" s="1" t="s">
        <v>1635</v>
      </c>
      <c r="AK1698" s="2" t="s">
        <v>1635</v>
      </c>
      <c r="AL1698" s="4" t="s">
        <v>1658</v>
      </c>
      <c r="AM1698" s="5" t="s">
        <v>1658</v>
      </c>
      <c r="AN1698" s="4">
        <v>0</v>
      </c>
      <c r="AO1698" t="s">
        <v>1635</v>
      </c>
      <c r="AP1698" s="4" t="s">
        <v>1658</v>
      </c>
      <c r="AQ1698" t="s">
        <v>1619</v>
      </c>
      <c r="AR1698" t="s">
        <v>1620</v>
      </c>
      <c r="AT1698" s="16" t="str">
        <f>_xlfn.XLOOKUP(B1698,'SWiSH Demand Forecast Sep-26'!D:D,'SWiSH Demand Forecast Sep-26'!G:G,"Not Exist")</f>
        <v>Not Exist</v>
      </c>
    </row>
    <row r="1699" spans="1:46" x14ac:dyDescent="0.3">
      <c r="A1699">
        <v>100400147</v>
      </c>
      <c r="B1699" t="s">
        <v>3554</v>
      </c>
      <c r="C1699" t="s">
        <v>10</v>
      </c>
      <c r="D1699" t="s">
        <v>1789</v>
      </c>
      <c r="E1699" t="s">
        <v>1663</v>
      </c>
      <c r="F1699" t="s">
        <v>1664</v>
      </c>
      <c r="G1699" t="s">
        <v>1624</v>
      </c>
      <c r="H1699" t="s">
        <v>1810</v>
      </c>
      <c r="I1699" t="s">
        <v>1634</v>
      </c>
      <c r="J1699" t="s">
        <v>10</v>
      </c>
      <c r="K1699">
        <v>1.2999999999999999E-2</v>
      </c>
      <c r="L1699">
        <v>367.9</v>
      </c>
      <c r="M1699" s="1">
        <v>30</v>
      </c>
      <c r="N1699">
        <v>0</v>
      </c>
      <c r="O1699">
        <v>0</v>
      </c>
      <c r="P1699">
        <v>28300</v>
      </c>
      <c r="Q1699" s="1">
        <v>28300</v>
      </c>
      <c r="R1699">
        <v>1.2999999999999999E-2</v>
      </c>
      <c r="S1699" s="2">
        <v>46133</v>
      </c>
      <c r="T1699" s="2">
        <v>46107</v>
      </c>
      <c r="U1699">
        <v>0</v>
      </c>
      <c r="V1699">
        <v>0</v>
      </c>
      <c r="W1699">
        <v>0</v>
      </c>
      <c r="X1699">
        <v>0</v>
      </c>
      <c r="Y1699">
        <v>0</v>
      </c>
      <c r="Z1699" s="8">
        <v>0</v>
      </c>
      <c r="AA1699">
        <v>0</v>
      </c>
      <c r="AB1699" t="s">
        <v>1635</v>
      </c>
      <c r="AC1699" t="s">
        <v>1635</v>
      </c>
      <c r="AD1699" s="1" t="s">
        <v>1635</v>
      </c>
      <c r="AE1699" s="2" t="s">
        <v>1635</v>
      </c>
      <c r="AF1699" s="2" t="s">
        <v>1635</v>
      </c>
      <c r="AG1699" s="2" t="s">
        <v>1635</v>
      </c>
      <c r="AH1699">
        <v>0</v>
      </c>
      <c r="AI1699" s="3" t="s">
        <v>1635</v>
      </c>
      <c r="AJ1699" s="1" t="s">
        <v>1635</v>
      </c>
      <c r="AK1699" s="2" t="s">
        <v>1635</v>
      </c>
      <c r="AL1699" s="4" t="s">
        <v>1658</v>
      </c>
      <c r="AM1699" s="5" t="s">
        <v>1658</v>
      </c>
      <c r="AN1699" s="4">
        <v>0</v>
      </c>
      <c r="AO1699" t="s">
        <v>1635</v>
      </c>
      <c r="AP1699" s="4" t="s">
        <v>1658</v>
      </c>
      <c r="AQ1699">
        <v>25000</v>
      </c>
      <c r="AR1699" t="s">
        <v>2076</v>
      </c>
      <c r="AT1699" s="16" t="str">
        <f>_xlfn.XLOOKUP(B1699,'SWiSH Demand Forecast Sep-26'!D:D,'SWiSH Demand Forecast Sep-26'!G:G,"Not Exist")</f>
        <v>Not Exist</v>
      </c>
    </row>
    <row r="1700" spans="1:46" x14ac:dyDescent="0.3">
      <c r="A1700">
        <v>100400187</v>
      </c>
      <c r="B1700" t="s">
        <v>3555</v>
      </c>
      <c r="C1700" t="s">
        <v>10</v>
      </c>
      <c r="D1700" t="s">
        <v>1955</v>
      </c>
      <c r="E1700" t="s">
        <v>1663</v>
      </c>
      <c r="F1700" t="s">
        <v>1664</v>
      </c>
      <c r="G1700" t="s">
        <v>1616</v>
      </c>
      <c r="H1700" t="s">
        <v>1810</v>
      </c>
      <c r="I1700" t="s">
        <v>1634</v>
      </c>
      <c r="J1700" t="s">
        <v>10</v>
      </c>
      <c r="K1700">
        <v>4.8000000000000001E-2</v>
      </c>
      <c r="L1700">
        <v>777.6</v>
      </c>
      <c r="M1700" s="1">
        <v>30</v>
      </c>
      <c r="N1700">
        <v>0</v>
      </c>
      <c r="O1700">
        <v>0</v>
      </c>
      <c r="P1700">
        <v>16200</v>
      </c>
      <c r="Q1700" s="1">
        <v>16200</v>
      </c>
      <c r="R1700">
        <v>4.8000000000000001E-2</v>
      </c>
      <c r="S1700" s="2">
        <v>46077</v>
      </c>
      <c r="T1700" s="2">
        <v>46119</v>
      </c>
      <c r="U1700">
        <v>0</v>
      </c>
      <c r="V1700">
        <v>0</v>
      </c>
      <c r="W1700">
        <v>0</v>
      </c>
      <c r="X1700">
        <v>0</v>
      </c>
      <c r="Y1700">
        <v>0</v>
      </c>
      <c r="Z1700" s="8">
        <v>0</v>
      </c>
      <c r="AA1700">
        <v>0</v>
      </c>
      <c r="AB1700" t="s">
        <v>1635</v>
      </c>
      <c r="AC1700" t="s">
        <v>1635</v>
      </c>
      <c r="AD1700" s="1" t="s">
        <v>1635</v>
      </c>
      <c r="AE1700" s="2" t="s">
        <v>1635</v>
      </c>
      <c r="AF1700" s="2" t="s">
        <v>1635</v>
      </c>
      <c r="AG1700" s="2" t="s">
        <v>1635</v>
      </c>
      <c r="AH1700">
        <v>0</v>
      </c>
      <c r="AI1700" s="3" t="s">
        <v>1635</v>
      </c>
      <c r="AJ1700" s="1" t="s">
        <v>1635</v>
      </c>
      <c r="AK1700" s="2" t="s">
        <v>1635</v>
      </c>
      <c r="AL1700" s="4" t="s">
        <v>1658</v>
      </c>
      <c r="AM1700" s="5" t="s">
        <v>1658</v>
      </c>
      <c r="AN1700" s="4">
        <v>0</v>
      </c>
      <c r="AO1700" t="s">
        <v>1635</v>
      </c>
      <c r="AP1700" s="4" t="s">
        <v>1658</v>
      </c>
      <c r="AQ1700" t="s">
        <v>1619</v>
      </c>
      <c r="AR1700" t="s">
        <v>1620</v>
      </c>
      <c r="AS1700" t="s">
        <v>1666</v>
      </c>
      <c r="AT1700" s="16" t="str">
        <f>_xlfn.XLOOKUP(B1700,'SWiSH Demand Forecast Sep-26'!D:D,'SWiSH Demand Forecast Sep-26'!G:G,"Not Exist")</f>
        <v>Not Exist</v>
      </c>
    </row>
    <row r="1701" spans="1:46" x14ac:dyDescent="0.3">
      <c r="A1701">
        <v>101400046</v>
      </c>
      <c r="B1701" t="s">
        <v>3556</v>
      </c>
      <c r="C1701" t="s">
        <v>240</v>
      </c>
      <c r="D1701" t="s">
        <v>1789</v>
      </c>
      <c r="E1701" t="s">
        <v>1677</v>
      </c>
      <c r="F1701" t="s">
        <v>1644</v>
      </c>
      <c r="G1701" t="s">
        <v>1624</v>
      </c>
      <c r="H1701" t="s">
        <v>1693</v>
      </c>
      <c r="I1701" t="s">
        <v>1634</v>
      </c>
      <c r="J1701" t="s">
        <v>240</v>
      </c>
      <c r="K1701">
        <v>1.1200000000000001</v>
      </c>
      <c r="L1701">
        <v>168.00000000000003</v>
      </c>
      <c r="M1701" s="1">
        <v>3</v>
      </c>
      <c r="N1701">
        <v>0</v>
      </c>
      <c r="O1701">
        <v>0</v>
      </c>
      <c r="P1701">
        <v>150</v>
      </c>
      <c r="Q1701" s="1">
        <v>150</v>
      </c>
      <c r="R1701">
        <v>28</v>
      </c>
      <c r="S1701" s="2">
        <v>46124</v>
      </c>
      <c r="T1701" s="2">
        <v>46099</v>
      </c>
      <c r="U1701">
        <v>0</v>
      </c>
      <c r="V1701">
        <v>0</v>
      </c>
      <c r="W1701">
        <v>0</v>
      </c>
      <c r="X1701">
        <v>0</v>
      </c>
      <c r="Y1701">
        <v>0</v>
      </c>
      <c r="Z1701" s="8">
        <v>0</v>
      </c>
      <c r="AA1701">
        <v>0</v>
      </c>
      <c r="AB1701" t="s">
        <v>1635</v>
      </c>
      <c r="AC1701" t="s">
        <v>1635</v>
      </c>
      <c r="AD1701" s="1" t="s">
        <v>1635</v>
      </c>
      <c r="AE1701" s="2" t="s">
        <v>1635</v>
      </c>
      <c r="AF1701" s="2" t="s">
        <v>1635</v>
      </c>
      <c r="AG1701" s="2" t="s">
        <v>1635</v>
      </c>
      <c r="AH1701">
        <v>0</v>
      </c>
      <c r="AI1701" s="3" t="s">
        <v>1635</v>
      </c>
      <c r="AJ1701" s="1" t="s">
        <v>1635</v>
      </c>
      <c r="AK1701" s="2" t="s">
        <v>1635</v>
      </c>
      <c r="AL1701" s="4" t="s">
        <v>1658</v>
      </c>
      <c r="AM1701" s="5" t="s">
        <v>1658</v>
      </c>
      <c r="AN1701" s="4">
        <v>0</v>
      </c>
      <c r="AO1701" t="s">
        <v>1635</v>
      </c>
      <c r="AP1701" s="4" t="s">
        <v>1658</v>
      </c>
      <c r="AQ1701" t="s">
        <v>1619</v>
      </c>
      <c r="AR1701" t="s">
        <v>1620</v>
      </c>
      <c r="AT1701" s="16" t="str">
        <f>_xlfn.XLOOKUP(B1701,'SWiSH Demand Forecast Sep-26'!D:D,'SWiSH Demand Forecast Sep-26'!G:G,"Not Exist")</f>
        <v>Not Exist</v>
      </c>
    </row>
    <row r="1702" spans="1:46" x14ac:dyDescent="0.3">
      <c r="A1702">
        <v>106800021</v>
      </c>
      <c r="B1702" t="s">
        <v>3557</v>
      </c>
      <c r="C1702" t="s">
        <v>10</v>
      </c>
      <c r="D1702" t="s">
        <v>1789</v>
      </c>
      <c r="E1702" t="s">
        <v>1685</v>
      </c>
      <c r="F1702" t="s">
        <v>1664</v>
      </c>
      <c r="G1702" t="s">
        <v>1624</v>
      </c>
      <c r="H1702" t="s">
        <v>1665</v>
      </c>
      <c r="I1702" t="s">
        <v>1634</v>
      </c>
      <c r="J1702" t="s">
        <v>10</v>
      </c>
      <c r="K1702">
        <v>1.0999999999999999E-2</v>
      </c>
      <c r="L1702">
        <v>88</v>
      </c>
      <c r="M1702" s="1">
        <v>7</v>
      </c>
      <c r="N1702">
        <v>0</v>
      </c>
      <c r="O1702">
        <v>0</v>
      </c>
      <c r="P1702">
        <v>8000</v>
      </c>
      <c r="Q1702" s="1">
        <v>8000</v>
      </c>
      <c r="R1702">
        <v>1.0999999999999999E-2</v>
      </c>
      <c r="S1702" s="2">
        <v>45775</v>
      </c>
      <c r="T1702" s="2">
        <v>46085</v>
      </c>
      <c r="U1702">
        <v>0</v>
      </c>
      <c r="V1702">
        <v>0</v>
      </c>
      <c r="W1702">
        <v>0</v>
      </c>
      <c r="X1702">
        <v>0</v>
      </c>
      <c r="Y1702">
        <v>0</v>
      </c>
      <c r="Z1702" s="8">
        <v>0</v>
      </c>
      <c r="AA1702">
        <v>0</v>
      </c>
      <c r="AB1702" t="s">
        <v>1635</v>
      </c>
      <c r="AC1702" t="s">
        <v>1635</v>
      </c>
      <c r="AD1702" s="1" t="s">
        <v>1635</v>
      </c>
      <c r="AE1702" s="2" t="s">
        <v>1635</v>
      </c>
      <c r="AF1702" s="2" t="s">
        <v>1635</v>
      </c>
      <c r="AG1702" s="2" t="s">
        <v>1635</v>
      </c>
      <c r="AH1702">
        <v>0</v>
      </c>
      <c r="AI1702" s="3" t="s">
        <v>1635</v>
      </c>
      <c r="AJ1702" s="1" t="s">
        <v>1635</v>
      </c>
      <c r="AK1702" s="2" t="s">
        <v>1635</v>
      </c>
      <c r="AL1702" s="4" t="s">
        <v>1658</v>
      </c>
      <c r="AM1702" s="5" t="s">
        <v>1658</v>
      </c>
      <c r="AN1702" s="4">
        <v>0</v>
      </c>
      <c r="AO1702" t="s">
        <v>1635</v>
      </c>
      <c r="AP1702" s="4" t="s">
        <v>1658</v>
      </c>
      <c r="AQ1702">
        <v>20000</v>
      </c>
      <c r="AR1702" t="s">
        <v>2215</v>
      </c>
      <c r="AT1702" s="16" t="str">
        <f>_xlfn.XLOOKUP(B1702,'SWiSH Demand Forecast Sep-26'!D:D,'SWiSH Demand Forecast Sep-26'!G:G,"Not Exist")</f>
        <v>Not Exist</v>
      </c>
    </row>
    <row r="1703" spans="1:46" x14ac:dyDescent="0.3">
      <c r="A1703">
        <v>106600070</v>
      </c>
      <c r="B1703" t="s">
        <v>3558</v>
      </c>
      <c r="C1703" t="s">
        <v>10</v>
      </c>
      <c r="D1703" t="s">
        <v>1955</v>
      </c>
      <c r="E1703" t="s">
        <v>1685</v>
      </c>
      <c r="F1703" t="s">
        <v>1664</v>
      </c>
      <c r="G1703" t="s">
        <v>1704</v>
      </c>
      <c r="H1703" t="s">
        <v>1723</v>
      </c>
      <c r="I1703" t="s">
        <v>1634</v>
      </c>
      <c r="J1703" t="s">
        <v>10</v>
      </c>
      <c r="K1703">
        <v>9.4999999999999998E-3</v>
      </c>
      <c r="L1703">
        <v>180.5</v>
      </c>
      <c r="M1703" s="1">
        <v>7</v>
      </c>
      <c r="N1703">
        <v>0</v>
      </c>
      <c r="O1703">
        <v>0</v>
      </c>
      <c r="P1703">
        <v>19000</v>
      </c>
      <c r="Q1703" s="1">
        <v>19000</v>
      </c>
      <c r="R1703">
        <v>9.4999999999999998E-3</v>
      </c>
      <c r="S1703" s="2">
        <v>46071</v>
      </c>
      <c r="T1703" s="2">
        <v>46221</v>
      </c>
      <c r="U1703">
        <v>0</v>
      </c>
      <c r="V1703">
        <v>0</v>
      </c>
      <c r="W1703">
        <v>0</v>
      </c>
      <c r="X1703">
        <v>0</v>
      </c>
      <c r="Y1703">
        <v>0</v>
      </c>
      <c r="Z1703" s="8">
        <v>0</v>
      </c>
      <c r="AA1703">
        <v>0</v>
      </c>
      <c r="AB1703" t="s">
        <v>1635</v>
      </c>
      <c r="AC1703" t="s">
        <v>1635</v>
      </c>
      <c r="AD1703" s="1" t="s">
        <v>1635</v>
      </c>
      <c r="AE1703" s="2" t="s">
        <v>1635</v>
      </c>
      <c r="AF1703" s="2" t="s">
        <v>1635</v>
      </c>
      <c r="AG1703" s="2" t="s">
        <v>1635</v>
      </c>
      <c r="AH1703">
        <v>0</v>
      </c>
      <c r="AI1703" s="3" t="s">
        <v>1635</v>
      </c>
      <c r="AJ1703" s="1" t="s">
        <v>1635</v>
      </c>
      <c r="AK1703" s="2" t="s">
        <v>1635</v>
      </c>
      <c r="AL1703" s="4" t="s">
        <v>1658</v>
      </c>
      <c r="AM1703" s="5" t="s">
        <v>1658</v>
      </c>
      <c r="AN1703" s="4">
        <v>0</v>
      </c>
      <c r="AO1703" t="s">
        <v>1635</v>
      </c>
      <c r="AP1703" s="4" t="s">
        <v>1658</v>
      </c>
      <c r="AQ1703" t="s">
        <v>1619</v>
      </c>
      <c r="AR1703" t="s">
        <v>1620</v>
      </c>
      <c r="AT1703" s="16" t="str">
        <f>_xlfn.XLOOKUP(B1703,'SWiSH Demand Forecast Sep-26'!D:D,'SWiSH Demand Forecast Sep-26'!G:G,"Not Exist")</f>
        <v>Not Exist</v>
      </c>
    </row>
    <row r="1704" spans="1:46" hidden="1" x14ac:dyDescent="0.3">
      <c r="A1704">
        <v>106800105</v>
      </c>
      <c r="B1704" t="s">
        <v>700</v>
      </c>
      <c r="C1704" t="s">
        <v>10</v>
      </c>
      <c r="D1704" t="s">
        <v>1789</v>
      </c>
      <c r="E1704" t="s">
        <v>1663</v>
      </c>
      <c r="F1704" t="s">
        <v>1664</v>
      </c>
      <c r="G1704" t="s">
        <v>1624</v>
      </c>
      <c r="H1704" t="s">
        <v>1665</v>
      </c>
      <c r="I1704" t="s">
        <v>1634</v>
      </c>
      <c r="J1704" t="s">
        <v>10</v>
      </c>
      <c r="K1704">
        <v>3.0000000000000001E-3</v>
      </c>
      <c r="L1704">
        <v>0</v>
      </c>
      <c r="M1704" s="1">
        <v>7</v>
      </c>
      <c r="N1704">
        <v>0</v>
      </c>
      <c r="O1704">
        <v>0</v>
      </c>
      <c r="P1704">
        <v>0</v>
      </c>
      <c r="Q1704" s="1">
        <v>0</v>
      </c>
      <c r="R1704">
        <v>3.0000000000000001E-3</v>
      </c>
      <c r="S1704" s="2">
        <v>46107</v>
      </c>
      <c r="T1704" s="2">
        <v>46098</v>
      </c>
      <c r="U1704">
        <v>0</v>
      </c>
      <c r="V1704">
        <v>0</v>
      </c>
      <c r="W1704">
        <v>0</v>
      </c>
      <c r="X1704">
        <v>0</v>
      </c>
      <c r="Y1704">
        <v>0</v>
      </c>
      <c r="Z1704" s="8">
        <v>0</v>
      </c>
      <c r="AA1704">
        <v>0</v>
      </c>
      <c r="AB1704" t="s">
        <v>1635</v>
      </c>
      <c r="AC1704" t="s">
        <v>1635</v>
      </c>
      <c r="AD1704" s="1" t="s">
        <v>1635</v>
      </c>
      <c r="AE1704" s="2" t="s">
        <v>1635</v>
      </c>
      <c r="AF1704" s="2" t="s">
        <v>1635</v>
      </c>
      <c r="AG1704" s="2" t="s">
        <v>1635</v>
      </c>
      <c r="AH1704">
        <v>0</v>
      </c>
      <c r="AI1704" s="3" t="s">
        <v>1635</v>
      </c>
      <c r="AJ1704" s="1" t="s">
        <v>1635</v>
      </c>
      <c r="AK1704" s="2" t="s">
        <v>1635</v>
      </c>
      <c r="AL1704" s="4" t="s">
        <v>1658</v>
      </c>
      <c r="AM1704" s="5" t="s">
        <v>1658</v>
      </c>
      <c r="AN1704" s="4">
        <v>0</v>
      </c>
      <c r="AO1704" t="s">
        <v>1635</v>
      </c>
      <c r="AP1704" s="4" t="s">
        <v>1658</v>
      </c>
      <c r="AQ1704" t="s">
        <v>1619</v>
      </c>
      <c r="AR1704" t="s">
        <v>1620</v>
      </c>
      <c r="AT1704" s="16">
        <f>_xlfn.XLOOKUP(B1704,'SWiSH Demand Forecast Sep-26'!D:D,'SWiSH Demand Forecast Sep-26'!G:G,"Not Exist")</f>
        <v>620</v>
      </c>
    </row>
    <row r="1705" spans="1:46" x14ac:dyDescent="0.3">
      <c r="A1705">
        <v>101400013</v>
      </c>
      <c r="B1705" t="s">
        <v>3559</v>
      </c>
      <c r="C1705" t="s">
        <v>240</v>
      </c>
      <c r="D1705" t="s">
        <v>1675</v>
      </c>
      <c r="E1705" t="s">
        <v>1732</v>
      </c>
      <c r="F1705" t="s">
        <v>1644</v>
      </c>
      <c r="G1705" t="s">
        <v>1704</v>
      </c>
      <c r="H1705" t="s">
        <v>1693</v>
      </c>
      <c r="I1705" t="s">
        <v>1634</v>
      </c>
      <c r="J1705" t="s">
        <v>3028</v>
      </c>
      <c r="K1705">
        <v>1.2055555600000001</v>
      </c>
      <c r="L1705">
        <v>0</v>
      </c>
      <c r="M1705" s="1">
        <v>3</v>
      </c>
      <c r="N1705">
        <v>0</v>
      </c>
      <c r="O1705">
        <v>0</v>
      </c>
      <c r="P1705">
        <v>0</v>
      </c>
      <c r="Q1705" s="1">
        <v>0</v>
      </c>
      <c r="R1705">
        <v>35</v>
      </c>
      <c r="S1705" s="2">
        <v>46162</v>
      </c>
      <c r="T1705" s="2">
        <v>46250</v>
      </c>
      <c r="U1705">
        <v>0</v>
      </c>
      <c r="V1705">
        <v>0</v>
      </c>
      <c r="W1705">
        <v>0</v>
      </c>
      <c r="X1705">
        <v>0</v>
      </c>
      <c r="Y1705">
        <v>0</v>
      </c>
      <c r="Z1705" s="8">
        <v>0</v>
      </c>
      <c r="AA1705">
        <v>0</v>
      </c>
      <c r="AB1705" t="s">
        <v>1635</v>
      </c>
      <c r="AC1705" t="s">
        <v>1635</v>
      </c>
      <c r="AD1705" s="1" t="s">
        <v>1635</v>
      </c>
      <c r="AE1705" s="2" t="s">
        <v>1635</v>
      </c>
      <c r="AF1705" s="2" t="s">
        <v>1635</v>
      </c>
      <c r="AG1705" s="2" t="s">
        <v>1635</v>
      </c>
      <c r="AH1705">
        <v>50</v>
      </c>
      <c r="AI1705" s="3" t="s">
        <v>1635</v>
      </c>
      <c r="AJ1705" s="1">
        <v>0</v>
      </c>
      <c r="AK1705" s="2">
        <v>46263</v>
      </c>
      <c r="AL1705" s="4" t="s">
        <v>1658</v>
      </c>
      <c r="AM1705" s="5" t="s">
        <v>1658</v>
      </c>
      <c r="AN1705" s="4">
        <v>0</v>
      </c>
      <c r="AO1705" t="s">
        <v>1635</v>
      </c>
      <c r="AP1705" s="4" t="s">
        <v>1658</v>
      </c>
      <c r="AQ1705" t="s">
        <v>1619</v>
      </c>
      <c r="AR1705" t="s">
        <v>1620</v>
      </c>
      <c r="AT1705" s="16" t="str">
        <f>_xlfn.XLOOKUP(B1705,'SWiSH Demand Forecast Sep-26'!D:D,'SWiSH Demand Forecast Sep-26'!G:G,"Not Exist")</f>
        <v>Not Exist</v>
      </c>
    </row>
    <row r="1706" spans="1:46" x14ac:dyDescent="0.3">
      <c r="A1706">
        <v>100400121</v>
      </c>
      <c r="B1706" t="s">
        <v>3560</v>
      </c>
      <c r="C1706" t="s">
        <v>10</v>
      </c>
      <c r="D1706" t="s">
        <v>1629</v>
      </c>
      <c r="E1706" t="s">
        <v>1926</v>
      </c>
      <c r="F1706" t="s">
        <v>1664</v>
      </c>
      <c r="G1706" t="s">
        <v>1704</v>
      </c>
      <c r="H1706" t="s">
        <v>1810</v>
      </c>
      <c r="I1706" t="s">
        <v>1634</v>
      </c>
      <c r="J1706" t="s">
        <v>10</v>
      </c>
      <c r="K1706">
        <v>0.24673</v>
      </c>
      <c r="L1706">
        <v>49.346000000000004</v>
      </c>
      <c r="M1706" s="1">
        <v>30</v>
      </c>
      <c r="N1706">
        <v>0</v>
      </c>
      <c r="O1706">
        <v>0</v>
      </c>
      <c r="P1706">
        <v>200</v>
      </c>
      <c r="Q1706" s="1">
        <v>200</v>
      </c>
      <c r="R1706">
        <v>0.152</v>
      </c>
      <c r="S1706" s="2">
        <v>45777</v>
      </c>
      <c r="T1706" s="2">
        <v>46107</v>
      </c>
      <c r="U1706">
        <v>0</v>
      </c>
      <c r="V1706">
        <v>0</v>
      </c>
      <c r="W1706">
        <v>0</v>
      </c>
      <c r="X1706">
        <v>0</v>
      </c>
      <c r="Y1706">
        <v>0</v>
      </c>
      <c r="Z1706" s="8">
        <v>0</v>
      </c>
      <c r="AA1706">
        <v>0</v>
      </c>
      <c r="AB1706" t="s">
        <v>1635</v>
      </c>
      <c r="AC1706" t="s">
        <v>1635</v>
      </c>
      <c r="AD1706" s="1" t="s">
        <v>1635</v>
      </c>
      <c r="AE1706" s="2" t="s">
        <v>1635</v>
      </c>
      <c r="AF1706" s="2" t="s">
        <v>1635</v>
      </c>
      <c r="AG1706" s="2" t="s">
        <v>1635</v>
      </c>
      <c r="AH1706">
        <v>0</v>
      </c>
      <c r="AI1706" s="3" t="s">
        <v>1635</v>
      </c>
      <c r="AJ1706" s="1" t="s">
        <v>1635</v>
      </c>
      <c r="AK1706" s="2" t="s">
        <v>1635</v>
      </c>
      <c r="AL1706" s="4" t="s">
        <v>1636</v>
      </c>
      <c r="AM1706" s="5" t="s">
        <v>1636</v>
      </c>
      <c r="AN1706" s="4">
        <v>0</v>
      </c>
      <c r="AO1706" t="s">
        <v>1635</v>
      </c>
      <c r="AP1706" s="4" t="s">
        <v>1636</v>
      </c>
      <c r="AQ1706" t="s">
        <v>1619</v>
      </c>
      <c r="AR1706" t="s">
        <v>1620</v>
      </c>
      <c r="AT1706" s="16" t="str">
        <f>_xlfn.XLOOKUP(B1706,'SWiSH Demand Forecast Sep-26'!D:D,'SWiSH Demand Forecast Sep-26'!G:G,"Not Exist")</f>
        <v>Not Exist</v>
      </c>
    </row>
    <row r="1707" spans="1:46" x14ac:dyDescent="0.3">
      <c r="A1707">
        <v>106800050</v>
      </c>
      <c r="B1707" t="s">
        <v>3561</v>
      </c>
      <c r="C1707" t="s">
        <v>10</v>
      </c>
      <c r="D1707" t="s">
        <v>1789</v>
      </c>
      <c r="E1707" t="s">
        <v>1732</v>
      </c>
      <c r="F1707" t="s">
        <v>1664</v>
      </c>
      <c r="G1707" t="s">
        <v>1616</v>
      </c>
      <c r="H1707" t="s">
        <v>1665</v>
      </c>
      <c r="I1707" t="s">
        <v>1634</v>
      </c>
      <c r="J1707" t="s">
        <v>10</v>
      </c>
      <c r="K1707">
        <v>0.05</v>
      </c>
      <c r="L1707">
        <v>50</v>
      </c>
      <c r="M1707" s="1">
        <v>7</v>
      </c>
      <c r="N1707">
        <v>0</v>
      </c>
      <c r="O1707">
        <v>0</v>
      </c>
      <c r="P1707">
        <v>1000</v>
      </c>
      <c r="Q1707" s="1">
        <v>1000</v>
      </c>
      <c r="R1707">
        <v>0.05</v>
      </c>
      <c r="S1707" s="2">
        <v>46105</v>
      </c>
      <c r="T1707" s="2">
        <v>46080</v>
      </c>
      <c r="U1707">
        <v>0</v>
      </c>
      <c r="V1707">
        <v>0</v>
      </c>
      <c r="W1707">
        <v>0</v>
      </c>
      <c r="X1707">
        <v>0</v>
      </c>
      <c r="Y1707">
        <v>0</v>
      </c>
      <c r="Z1707" s="8">
        <v>0</v>
      </c>
      <c r="AA1707">
        <v>0</v>
      </c>
      <c r="AB1707" t="s">
        <v>1635</v>
      </c>
      <c r="AC1707" t="s">
        <v>1635</v>
      </c>
      <c r="AD1707" s="1" t="s">
        <v>1635</v>
      </c>
      <c r="AE1707" s="2" t="s">
        <v>1635</v>
      </c>
      <c r="AF1707" s="2" t="s">
        <v>1635</v>
      </c>
      <c r="AG1707" s="2" t="s">
        <v>1635</v>
      </c>
      <c r="AH1707">
        <v>0</v>
      </c>
      <c r="AI1707" s="3" t="s">
        <v>1635</v>
      </c>
      <c r="AJ1707" s="1" t="s">
        <v>1635</v>
      </c>
      <c r="AK1707" s="2" t="s">
        <v>1635</v>
      </c>
      <c r="AL1707" s="4" t="s">
        <v>1658</v>
      </c>
      <c r="AM1707" s="5" t="s">
        <v>1658</v>
      </c>
      <c r="AN1707" s="4">
        <v>0</v>
      </c>
      <c r="AO1707" t="s">
        <v>1635</v>
      </c>
      <c r="AP1707" s="4" t="s">
        <v>1658</v>
      </c>
      <c r="AQ1707" t="s">
        <v>1619</v>
      </c>
      <c r="AR1707" t="s">
        <v>1620</v>
      </c>
      <c r="AT1707" s="16" t="str">
        <f>_xlfn.XLOOKUP(B1707,'SWiSH Demand Forecast Sep-26'!D:D,'SWiSH Demand Forecast Sep-26'!G:G,"Not Exist")</f>
        <v>Not Exist</v>
      </c>
    </row>
    <row r="1708" spans="1:46" x14ac:dyDescent="0.3">
      <c r="A1708">
        <v>106800046</v>
      </c>
      <c r="B1708" t="s">
        <v>3562</v>
      </c>
      <c r="C1708" t="s">
        <v>10</v>
      </c>
      <c r="D1708" t="s">
        <v>1789</v>
      </c>
      <c r="E1708" t="s">
        <v>1732</v>
      </c>
      <c r="F1708" t="s">
        <v>1664</v>
      </c>
      <c r="G1708" t="s">
        <v>1616</v>
      </c>
      <c r="H1708" t="s">
        <v>1665</v>
      </c>
      <c r="I1708" t="s">
        <v>1634</v>
      </c>
      <c r="J1708" t="s">
        <v>10</v>
      </c>
      <c r="K1708">
        <v>0.05</v>
      </c>
      <c r="L1708">
        <v>50</v>
      </c>
      <c r="M1708" s="1">
        <v>7</v>
      </c>
      <c r="N1708">
        <v>0</v>
      </c>
      <c r="O1708">
        <v>0</v>
      </c>
      <c r="P1708">
        <v>1000</v>
      </c>
      <c r="Q1708" s="1">
        <v>1000</v>
      </c>
      <c r="R1708">
        <v>0.05</v>
      </c>
      <c r="S1708" s="2">
        <v>46105</v>
      </c>
      <c r="T1708" s="2">
        <v>46080</v>
      </c>
      <c r="U1708">
        <v>0</v>
      </c>
      <c r="V1708">
        <v>0</v>
      </c>
      <c r="W1708">
        <v>0</v>
      </c>
      <c r="X1708">
        <v>0</v>
      </c>
      <c r="Y1708">
        <v>0</v>
      </c>
      <c r="Z1708" s="8">
        <v>0</v>
      </c>
      <c r="AA1708">
        <v>0</v>
      </c>
      <c r="AB1708" t="s">
        <v>1635</v>
      </c>
      <c r="AC1708" t="s">
        <v>1635</v>
      </c>
      <c r="AD1708" s="1" t="s">
        <v>1635</v>
      </c>
      <c r="AE1708" s="2" t="s">
        <v>1635</v>
      </c>
      <c r="AF1708" s="2" t="s">
        <v>1635</v>
      </c>
      <c r="AG1708" s="2" t="s">
        <v>1635</v>
      </c>
      <c r="AH1708">
        <v>0</v>
      </c>
      <c r="AI1708" s="3" t="s">
        <v>1635</v>
      </c>
      <c r="AJ1708" s="1" t="s">
        <v>1635</v>
      </c>
      <c r="AK1708" s="2" t="s">
        <v>1635</v>
      </c>
      <c r="AL1708" s="4" t="s">
        <v>1658</v>
      </c>
      <c r="AM1708" s="5" t="s">
        <v>1658</v>
      </c>
      <c r="AN1708" s="4">
        <v>0</v>
      </c>
      <c r="AO1708" t="s">
        <v>1635</v>
      </c>
      <c r="AP1708" s="4" t="s">
        <v>1658</v>
      </c>
      <c r="AQ1708" t="s">
        <v>1619</v>
      </c>
      <c r="AR1708" t="s">
        <v>1620</v>
      </c>
      <c r="AT1708" s="16" t="str">
        <f>_xlfn.XLOOKUP(B1708,'SWiSH Demand Forecast Sep-26'!D:D,'SWiSH Demand Forecast Sep-26'!G:G,"Not Exist")</f>
        <v>Not Exist</v>
      </c>
    </row>
    <row r="1709" spans="1:46" x14ac:dyDescent="0.3">
      <c r="A1709">
        <v>106800044</v>
      </c>
      <c r="B1709" t="s">
        <v>3563</v>
      </c>
      <c r="C1709" t="s">
        <v>10</v>
      </c>
      <c r="D1709" t="s">
        <v>1789</v>
      </c>
      <c r="E1709" t="s">
        <v>1732</v>
      </c>
      <c r="F1709" t="s">
        <v>1664</v>
      </c>
      <c r="G1709" t="s">
        <v>1616</v>
      </c>
      <c r="H1709" t="s">
        <v>1665</v>
      </c>
      <c r="I1709" t="s">
        <v>1634</v>
      </c>
      <c r="J1709" t="s">
        <v>10</v>
      </c>
      <c r="K1709">
        <v>0.05</v>
      </c>
      <c r="L1709">
        <v>50</v>
      </c>
      <c r="M1709" s="1">
        <v>7</v>
      </c>
      <c r="N1709">
        <v>0</v>
      </c>
      <c r="O1709">
        <v>0</v>
      </c>
      <c r="P1709">
        <v>1000</v>
      </c>
      <c r="Q1709" s="1">
        <v>1000</v>
      </c>
      <c r="R1709">
        <v>0.05</v>
      </c>
      <c r="S1709" s="2">
        <v>46105</v>
      </c>
      <c r="T1709" s="2">
        <v>46080</v>
      </c>
      <c r="U1709">
        <v>0</v>
      </c>
      <c r="V1709">
        <v>0</v>
      </c>
      <c r="W1709">
        <v>0</v>
      </c>
      <c r="X1709">
        <v>0</v>
      </c>
      <c r="Y1709">
        <v>0</v>
      </c>
      <c r="Z1709" s="8">
        <v>0</v>
      </c>
      <c r="AA1709">
        <v>0</v>
      </c>
      <c r="AB1709" t="s">
        <v>1635</v>
      </c>
      <c r="AC1709" t="s">
        <v>1635</v>
      </c>
      <c r="AD1709" s="1" t="s">
        <v>1635</v>
      </c>
      <c r="AE1709" s="2" t="s">
        <v>1635</v>
      </c>
      <c r="AF1709" s="2" t="s">
        <v>1635</v>
      </c>
      <c r="AG1709" s="2" t="s">
        <v>1635</v>
      </c>
      <c r="AH1709">
        <v>0</v>
      </c>
      <c r="AI1709" s="3" t="s">
        <v>1635</v>
      </c>
      <c r="AJ1709" s="1" t="s">
        <v>1635</v>
      </c>
      <c r="AK1709" s="2" t="s">
        <v>1635</v>
      </c>
      <c r="AL1709" s="4" t="s">
        <v>1658</v>
      </c>
      <c r="AM1709" s="5" t="s">
        <v>1658</v>
      </c>
      <c r="AN1709" s="4">
        <v>0</v>
      </c>
      <c r="AO1709" t="s">
        <v>1635</v>
      </c>
      <c r="AP1709" s="4" t="s">
        <v>1658</v>
      </c>
      <c r="AQ1709" t="s">
        <v>1619</v>
      </c>
      <c r="AR1709" t="s">
        <v>1620</v>
      </c>
      <c r="AT1709" s="16" t="str">
        <f>_xlfn.XLOOKUP(B1709,'SWiSH Demand Forecast Sep-26'!D:D,'SWiSH Demand Forecast Sep-26'!G:G,"Not Exist")</f>
        <v>Not Exist</v>
      </c>
    </row>
    <row r="1710" spans="1:46" x14ac:dyDescent="0.3">
      <c r="A1710">
        <v>106800042</v>
      </c>
      <c r="B1710" t="s">
        <v>3564</v>
      </c>
      <c r="C1710" t="s">
        <v>10</v>
      </c>
      <c r="D1710" t="s">
        <v>1789</v>
      </c>
      <c r="E1710" t="s">
        <v>1732</v>
      </c>
      <c r="F1710" t="s">
        <v>1664</v>
      </c>
      <c r="G1710" t="s">
        <v>1616</v>
      </c>
      <c r="H1710" t="s">
        <v>1665</v>
      </c>
      <c r="I1710" t="s">
        <v>1634</v>
      </c>
      <c r="J1710" t="s">
        <v>10</v>
      </c>
      <c r="K1710">
        <v>0.05</v>
      </c>
      <c r="L1710">
        <v>50</v>
      </c>
      <c r="M1710" s="1">
        <v>7</v>
      </c>
      <c r="N1710">
        <v>0</v>
      </c>
      <c r="O1710">
        <v>0</v>
      </c>
      <c r="P1710">
        <v>1000</v>
      </c>
      <c r="Q1710" s="1">
        <v>1000</v>
      </c>
      <c r="R1710">
        <v>0.05</v>
      </c>
      <c r="S1710" s="2">
        <v>46105</v>
      </c>
      <c r="T1710" s="2">
        <v>46080</v>
      </c>
      <c r="U1710">
        <v>0</v>
      </c>
      <c r="V1710">
        <v>0</v>
      </c>
      <c r="W1710">
        <v>0</v>
      </c>
      <c r="X1710">
        <v>0</v>
      </c>
      <c r="Y1710">
        <v>0</v>
      </c>
      <c r="Z1710" s="8">
        <v>0</v>
      </c>
      <c r="AA1710">
        <v>0</v>
      </c>
      <c r="AB1710" t="s">
        <v>1635</v>
      </c>
      <c r="AC1710" t="s">
        <v>1635</v>
      </c>
      <c r="AD1710" s="1" t="s">
        <v>1635</v>
      </c>
      <c r="AE1710" s="2" t="s">
        <v>1635</v>
      </c>
      <c r="AF1710" s="2" t="s">
        <v>1635</v>
      </c>
      <c r="AG1710" s="2" t="s">
        <v>1635</v>
      </c>
      <c r="AH1710">
        <v>0</v>
      </c>
      <c r="AI1710" s="3" t="s">
        <v>1635</v>
      </c>
      <c r="AJ1710" s="1" t="s">
        <v>1635</v>
      </c>
      <c r="AK1710" s="2" t="s">
        <v>1635</v>
      </c>
      <c r="AL1710" s="4" t="s">
        <v>1658</v>
      </c>
      <c r="AM1710" s="5" t="s">
        <v>1658</v>
      </c>
      <c r="AN1710" s="4">
        <v>0</v>
      </c>
      <c r="AO1710" t="s">
        <v>1635</v>
      </c>
      <c r="AP1710" s="4" t="s">
        <v>1658</v>
      </c>
      <c r="AQ1710" t="s">
        <v>1619</v>
      </c>
      <c r="AR1710" t="s">
        <v>1620</v>
      </c>
      <c r="AT1710" s="16" t="str">
        <f>_xlfn.XLOOKUP(B1710,'SWiSH Demand Forecast Sep-26'!D:D,'SWiSH Demand Forecast Sep-26'!G:G,"Not Exist")</f>
        <v>Not Exist</v>
      </c>
    </row>
    <row r="1711" spans="1:46" x14ac:dyDescent="0.3">
      <c r="A1711">
        <v>106800051</v>
      </c>
      <c r="B1711" t="s">
        <v>3565</v>
      </c>
      <c r="C1711" t="s">
        <v>10</v>
      </c>
      <c r="D1711" t="s">
        <v>1789</v>
      </c>
      <c r="E1711" t="s">
        <v>1685</v>
      </c>
      <c r="F1711" t="s">
        <v>1664</v>
      </c>
      <c r="G1711" t="s">
        <v>1616</v>
      </c>
      <c r="H1711" t="s">
        <v>1665</v>
      </c>
      <c r="I1711" t="s">
        <v>1634</v>
      </c>
      <c r="J1711" t="s">
        <v>10</v>
      </c>
      <c r="K1711">
        <v>0.13</v>
      </c>
      <c r="L1711">
        <v>130</v>
      </c>
      <c r="M1711" s="1">
        <v>7</v>
      </c>
      <c r="N1711">
        <v>0</v>
      </c>
      <c r="O1711">
        <v>0</v>
      </c>
      <c r="P1711">
        <v>1000</v>
      </c>
      <c r="Q1711" s="1">
        <v>1000</v>
      </c>
      <c r="R1711">
        <v>0.13</v>
      </c>
      <c r="S1711" s="2">
        <v>46105</v>
      </c>
      <c r="T1711" s="2">
        <v>46080</v>
      </c>
      <c r="U1711">
        <v>0</v>
      </c>
      <c r="V1711">
        <v>0</v>
      </c>
      <c r="W1711">
        <v>0</v>
      </c>
      <c r="X1711">
        <v>0</v>
      </c>
      <c r="Y1711">
        <v>0</v>
      </c>
      <c r="Z1711" s="8">
        <v>0</v>
      </c>
      <c r="AA1711">
        <v>0</v>
      </c>
      <c r="AB1711" t="s">
        <v>1635</v>
      </c>
      <c r="AC1711" t="s">
        <v>1635</v>
      </c>
      <c r="AD1711" s="1" t="s">
        <v>1635</v>
      </c>
      <c r="AE1711" s="2" t="s">
        <v>1635</v>
      </c>
      <c r="AF1711" s="2" t="s">
        <v>1635</v>
      </c>
      <c r="AG1711" s="2" t="s">
        <v>1635</v>
      </c>
      <c r="AH1711">
        <v>0</v>
      </c>
      <c r="AI1711" s="3" t="s">
        <v>1635</v>
      </c>
      <c r="AJ1711" s="1" t="s">
        <v>1635</v>
      </c>
      <c r="AK1711" s="2" t="s">
        <v>1635</v>
      </c>
      <c r="AL1711" s="4" t="s">
        <v>1658</v>
      </c>
      <c r="AM1711" s="5" t="s">
        <v>1658</v>
      </c>
      <c r="AN1711" s="4">
        <v>0</v>
      </c>
      <c r="AO1711" t="s">
        <v>1635</v>
      </c>
      <c r="AP1711" s="4" t="s">
        <v>1658</v>
      </c>
      <c r="AQ1711" t="s">
        <v>1619</v>
      </c>
      <c r="AR1711" t="s">
        <v>1620</v>
      </c>
      <c r="AT1711" s="16" t="str">
        <f>_xlfn.XLOOKUP(B1711,'SWiSH Demand Forecast Sep-26'!D:D,'SWiSH Demand Forecast Sep-26'!G:G,"Not Exist")</f>
        <v>Not Exist</v>
      </c>
    </row>
    <row r="1712" spans="1:46" x14ac:dyDescent="0.3">
      <c r="A1712">
        <v>106800047</v>
      </c>
      <c r="B1712" t="s">
        <v>3566</v>
      </c>
      <c r="C1712" t="s">
        <v>10</v>
      </c>
      <c r="D1712" t="s">
        <v>1789</v>
      </c>
      <c r="E1712" t="s">
        <v>1685</v>
      </c>
      <c r="F1712" t="s">
        <v>1664</v>
      </c>
      <c r="G1712" t="s">
        <v>1616</v>
      </c>
      <c r="H1712" t="s">
        <v>1665</v>
      </c>
      <c r="I1712" t="s">
        <v>1634</v>
      </c>
      <c r="J1712" t="s">
        <v>10</v>
      </c>
      <c r="K1712">
        <v>0.13</v>
      </c>
      <c r="L1712">
        <v>130</v>
      </c>
      <c r="M1712" s="1">
        <v>7</v>
      </c>
      <c r="N1712">
        <v>0</v>
      </c>
      <c r="O1712">
        <v>0</v>
      </c>
      <c r="P1712">
        <v>1000</v>
      </c>
      <c r="Q1712" s="1">
        <v>1000</v>
      </c>
      <c r="R1712">
        <v>0.13</v>
      </c>
      <c r="S1712" s="2">
        <v>46105</v>
      </c>
      <c r="T1712" s="2">
        <v>46080</v>
      </c>
      <c r="U1712">
        <v>0</v>
      </c>
      <c r="V1712">
        <v>0</v>
      </c>
      <c r="W1712">
        <v>0</v>
      </c>
      <c r="X1712">
        <v>0</v>
      </c>
      <c r="Y1712">
        <v>0</v>
      </c>
      <c r="Z1712" s="8">
        <v>0</v>
      </c>
      <c r="AA1712">
        <v>0</v>
      </c>
      <c r="AB1712" t="s">
        <v>1635</v>
      </c>
      <c r="AC1712" t="s">
        <v>1635</v>
      </c>
      <c r="AD1712" s="1" t="s">
        <v>1635</v>
      </c>
      <c r="AE1712" s="2" t="s">
        <v>1635</v>
      </c>
      <c r="AF1712" s="2" t="s">
        <v>1635</v>
      </c>
      <c r="AG1712" s="2" t="s">
        <v>1635</v>
      </c>
      <c r="AH1712">
        <v>0</v>
      </c>
      <c r="AI1712" s="3" t="s">
        <v>1635</v>
      </c>
      <c r="AJ1712" s="1" t="s">
        <v>1635</v>
      </c>
      <c r="AK1712" s="2" t="s">
        <v>1635</v>
      </c>
      <c r="AL1712" s="4" t="s">
        <v>1658</v>
      </c>
      <c r="AM1712" s="5" t="s">
        <v>1658</v>
      </c>
      <c r="AN1712" s="4">
        <v>0</v>
      </c>
      <c r="AO1712" t="s">
        <v>1635</v>
      </c>
      <c r="AP1712" s="4" t="s">
        <v>1658</v>
      </c>
      <c r="AQ1712" t="s">
        <v>1619</v>
      </c>
      <c r="AR1712" t="s">
        <v>1620</v>
      </c>
      <c r="AT1712" s="16" t="str">
        <f>_xlfn.XLOOKUP(B1712,'SWiSH Demand Forecast Sep-26'!D:D,'SWiSH Demand Forecast Sep-26'!G:G,"Not Exist")</f>
        <v>Not Exist</v>
      </c>
    </row>
    <row r="1713" spans="1:46" x14ac:dyDescent="0.3">
      <c r="A1713">
        <v>106800045</v>
      </c>
      <c r="B1713" t="s">
        <v>3567</v>
      </c>
      <c r="C1713" t="s">
        <v>10</v>
      </c>
      <c r="D1713" t="s">
        <v>1789</v>
      </c>
      <c r="E1713" t="s">
        <v>1685</v>
      </c>
      <c r="F1713" t="s">
        <v>1664</v>
      </c>
      <c r="G1713" t="s">
        <v>1616</v>
      </c>
      <c r="H1713" t="s">
        <v>1665</v>
      </c>
      <c r="I1713" t="s">
        <v>1634</v>
      </c>
      <c r="J1713" t="s">
        <v>10</v>
      </c>
      <c r="K1713">
        <v>0.13</v>
      </c>
      <c r="L1713">
        <v>130</v>
      </c>
      <c r="M1713" s="1">
        <v>7</v>
      </c>
      <c r="N1713">
        <v>0</v>
      </c>
      <c r="O1713">
        <v>0</v>
      </c>
      <c r="P1713">
        <v>1000</v>
      </c>
      <c r="Q1713" s="1">
        <v>1000</v>
      </c>
      <c r="R1713">
        <v>0.13</v>
      </c>
      <c r="S1713" s="2">
        <v>46105</v>
      </c>
      <c r="T1713" s="2">
        <v>46080</v>
      </c>
      <c r="U1713">
        <v>0</v>
      </c>
      <c r="V1713">
        <v>0</v>
      </c>
      <c r="W1713">
        <v>0</v>
      </c>
      <c r="X1713">
        <v>0</v>
      </c>
      <c r="Y1713">
        <v>0</v>
      </c>
      <c r="Z1713" s="8">
        <v>0</v>
      </c>
      <c r="AA1713">
        <v>0</v>
      </c>
      <c r="AB1713" t="s">
        <v>1635</v>
      </c>
      <c r="AC1713" t="s">
        <v>1635</v>
      </c>
      <c r="AD1713" s="1" t="s">
        <v>1635</v>
      </c>
      <c r="AE1713" s="2" t="s">
        <v>1635</v>
      </c>
      <c r="AF1713" s="2" t="s">
        <v>1635</v>
      </c>
      <c r="AG1713" s="2" t="s">
        <v>1635</v>
      </c>
      <c r="AH1713">
        <v>0</v>
      </c>
      <c r="AI1713" s="3" t="s">
        <v>1635</v>
      </c>
      <c r="AJ1713" s="1" t="s">
        <v>1635</v>
      </c>
      <c r="AK1713" s="2" t="s">
        <v>1635</v>
      </c>
      <c r="AL1713" s="4" t="s">
        <v>1658</v>
      </c>
      <c r="AM1713" s="5" t="s">
        <v>1658</v>
      </c>
      <c r="AN1713" s="4">
        <v>0</v>
      </c>
      <c r="AO1713" t="s">
        <v>1635</v>
      </c>
      <c r="AP1713" s="4" t="s">
        <v>1658</v>
      </c>
      <c r="AQ1713" t="s">
        <v>1619</v>
      </c>
      <c r="AR1713" t="s">
        <v>1620</v>
      </c>
      <c r="AT1713" s="16" t="str">
        <f>_xlfn.XLOOKUP(B1713,'SWiSH Demand Forecast Sep-26'!D:D,'SWiSH Demand Forecast Sep-26'!G:G,"Not Exist")</f>
        <v>Not Exist</v>
      </c>
    </row>
    <row r="1714" spans="1:46" x14ac:dyDescent="0.3">
      <c r="A1714">
        <v>106800043</v>
      </c>
      <c r="B1714" t="s">
        <v>3568</v>
      </c>
      <c r="C1714" t="s">
        <v>10</v>
      </c>
      <c r="D1714" t="s">
        <v>1789</v>
      </c>
      <c r="E1714" t="s">
        <v>1685</v>
      </c>
      <c r="F1714" t="s">
        <v>1664</v>
      </c>
      <c r="G1714" t="s">
        <v>1616</v>
      </c>
      <c r="H1714" t="s">
        <v>1665</v>
      </c>
      <c r="I1714" t="s">
        <v>1634</v>
      </c>
      <c r="J1714" t="s">
        <v>10</v>
      </c>
      <c r="K1714">
        <v>0.13</v>
      </c>
      <c r="L1714">
        <v>130</v>
      </c>
      <c r="M1714" s="1">
        <v>7</v>
      </c>
      <c r="N1714">
        <v>0</v>
      </c>
      <c r="O1714">
        <v>0</v>
      </c>
      <c r="P1714">
        <v>1000</v>
      </c>
      <c r="Q1714" s="1">
        <v>1000</v>
      </c>
      <c r="R1714">
        <v>0.13</v>
      </c>
      <c r="S1714" s="2">
        <v>46105</v>
      </c>
      <c r="T1714" s="2">
        <v>46080</v>
      </c>
      <c r="U1714">
        <v>0</v>
      </c>
      <c r="V1714">
        <v>0</v>
      </c>
      <c r="W1714">
        <v>0</v>
      </c>
      <c r="X1714">
        <v>0</v>
      </c>
      <c r="Y1714">
        <v>0</v>
      </c>
      <c r="Z1714" s="8">
        <v>0</v>
      </c>
      <c r="AA1714">
        <v>0</v>
      </c>
      <c r="AB1714" t="s">
        <v>1635</v>
      </c>
      <c r="AC1714" t="s">
        <v>1635</v>
      </c>
      <c r="AD1714" s="1" t="s">
        <v>1635</v>
      </c>
      <c r="AE1714" s="2" t="s">
        <v>1635</v>
      </c>
      <c r="AF1714" s="2" t="s">
        <v>1635</v>
      </c>
      <c r="AG1714" s="2" t="s">
        <v>1635</v>
      </c>
      <c r="AH1714">
        <v>0</v>
      </c>
      <c r="AI1714" s="3" t="s">
        <v>1635</v>
      </c>
      <c r="AJ1714" s="1" t="s">
        <v>1635</v>
      </c>
      <c r="AK1714" s="2" t="s">
        <v>1635</v>
      </c>
      <c r="AL1714" s="4" t="s">
        <v>1658</v>
      </c>
      <c r="AM1714" s="5" t="s">
        <v>1658</v>
      </c>
      <c r="AN1714" s="4">
        <v>0</v>
      </c>
      <c r="AO1714" t="s">
        <v>1635</v>
      </c>
      <c r="AP1714" s="4" t="s">
        <v>1658</v>
      </c>
      <c r="AQ1714" t="s">
        <v>1619</v>
      </c>
      <c r="AR1714" t="s">
        <v>1620</v>
      </c>
      <c r="AT1714" s="16" t="str">
        <f>_xlfn.XLOOKUP(B1714,'SWiSH Demand Forecast Sep-26'!D:D,'SWiSH Demand Forecast Sep-26'!G:G,"Not Exist")</f>
        <v>Not Exist</v>
      </c>
    </row>
    <row r="1715" spans="1:46" x14ac:dyDescent="0.3">
      <c r="A1715">
        <v>106800049</v>
      </c>
      <c r="B1715" t="s">
        <v>3569</v>
      </c>
      <c r="C1715" t="s">
        <v>10</v>
      </c>
      <c r="D1715" t="s">
        <v>1789</v>
      </c>
      <c r="E1715" t="s">
        <v>1685</v>
      </c>
      <c r="F1715" t="s">
        <v>1664</v>
      </c>
      <c r="G1715" t="s">
        <v>1616</v>
      </c>
      <c r="H1715" t="s">
        <v>1665</v>
      </c>
      <c r="I1715" t="s">
        <v>1634</v>
      </c>
      <c r="J1715" t="s">
        <v>10</v>
      </c>
      <c r="K1715">
        <v>0.13</v>
      </c>
      <c r="L1715">
        <v>130</v>
      </c>
      <c r="M1715" s="1">
        <v>7</v>
      </c>
      <c r="N1715">
        <v>0</v>
      </c>
      <c r="O1715">
        <v>0</v>
      </c>
      <c r="P1715">
        <v>1000</v>
      </c>
      <c r="Q1715" s="1">
        <v>1000</v>
      </c>
      <c r="R1715">
        <v>0.13</v>
      </c>
      <c r="S1715" s="2">
        <v>46105</v>
      </c>
      <c r="T1715" s="2">
        <v>46080</v>
      </c>
      <c r="U1715">
        <v>0</v>
      </c>
      <c r="V1715">
        <v>0</v>
      </c>
      <c r="W1715">
        <v>0</v>
      </c>
      <c r="X1715">
        <v>0</v>
      </c>
      <c r="Y1715">
        <v>0</v>
      </c>
      <c r="Z1715" s="8">
        <v>0</v>
      </c>
      <c r="AA1715">
        <v>0</v>
      </c>
      <c r="AB1715" t="s">
        <v>1635</v>
      </c>
      <c r="AC1715" t="s">
        <v>1635</v>
      </c>
      <c r="AD1715" s="1" t="s">
        <v>1635</v>
      </c>
      <c r="AE1715" s="2" t="s">
        <v>1635</v>
      </c>
      <c r="AF1715" s="2" t="s">
        <v>1635</v>
      </c>
      <c r="AG1715" s="2" t="s">
        <v>1635</v>
      </c>
      <c r="AH1715">
        <v>0</v>
      </c>
      <c r="AI1715" s="3" t="s">
        <v>1635</v>
      </c>
      <c r="AJ1715" s="1" t="s">
        <v>1635</v>
      </c>
      <c r="AK1715" s="2" t="s">
        <v>1635</v>
      </c>
      <c r="AL1715" s="4" t="s">
        <v>1658</v>
      </c>
      <c r="AM1715" s="5" t="s">
        <v>1658</v>
      </c>
      <c r="AN1715" s="4">
        <v>0</v>
      </c>
      <c r="AO1715" t="s">
        <v>1635</v>
      </c>
      <c r="AP1715" s="4" t="s">
        <v>1658</v>
      </c>
      <c r="AQ1715" t="s">
        <v>1619</v>
      </c>
      <c r="AR1715" t="s">
        <v>1620</v>
      </c>
      <c r="AT1715" s="16" t="str">
        <f>_xlfn.XLOOKUP(B1715,'SWiSH Demand Forecast Sep-26'!D:D,'SWiSH Demand Forecast Sep-26'!G:G,"Not Exist")</f>
        <v>Not Exist</v>
      </c>
    </row>
    <row r="1716" spans="1:46" x14ac:dyDescent="0.3">
      <c r="A1716">
        <v>100400096</v>
      </c>
      <c r="B1716" t="s">
        <v>3570</v>
      </c>
      <c r="C1716" t="s">
        <v>10</v>
      </c>
      <c r="D1716" t="s">
        <v>1629</v>
      </c>
      <c r="E1716" t="s">
        <v>2075</v>
      </c>
      <c r="F1716" t="s">
        <v>1664</v>
      </c>
      <c r="G1716" t="s">
        <v>1704</v>
      </c>
      <c r="H1716" t="s">
        <v>1810</v>
      </c>
      <c r="I1716" t="s">
        <v>1634</v>
      </c>
      <c r="J1716" t="s">
        <v>10</v>
      </c>
      <c r="K1716">
        <v>0.17</v>
      </c>
      <c r="L1716">
        <v>0</v>
      </c>
      <c r="M1716" s="1">
        <v>30</v>
      </c>
      <c r="N1716">
        <v>0</v>
      </c>
      <c r="O1716">
        <v>0</v>
      </c>
      <c r="P1716">
        <v>0</v>
      </c>
      <c r="Q1716" s="1">
        <v>0</v>
      </c>
      <c r="R1716">
        <v>0.17</v>
      </c>
      <c r="S1716" s="2">
        <v>45204</v>
      </c>
      <c r="T1716" s="2">
        <v>45869</v>
      </c>
      <c r="U1716">
        <v>0</v>
      </c>
      <c r="V1716">
        <v>0</v>
      </c>
      <c r="W1716">
        <v>0</v>
      </c>
      <c r="X1716">
        <v>0</v>
      </c>
      <c r="Y1716">
        <v>0</v>
      </c>
      <c r="Z1716" s="8">
        <v>0</v>
      </c>
      <c r="AA1716">
        <v>0</v>
      </c>
      <c r="AB1716" t="s">
        <v>1635</v>
      </c>
      <c r="AC1716" t="s">
        <v>1635</v>
      </c>
      <c r="AD1716" s="1" t="s">
        <v>1635</v>
      </c>
      <c r="AE1716" s="2" t="s">
        <v>1635</v>
      </c>
      <c r="AF1716" s="2" t="s">
        <v>1635</v>
      </c>
      <c r="AG1716" s="2" t="s">
        <v>1635</v>
      </c>
      <c r="AH1716">
        <v>0</v>
      </c>
      <c r="AI1716" s="3" t="s">
        <v>1635</v>
      </c>
      <c r="AJ1716" s="1" t="s">
        <v>1635</v>
      </c>
      <c r="AK1716" s="2" t="s">
        <v>1635</v>
      </c>
      <c r="AL1716" s="4" t="s">
        <v>1636</v>
      </c>
      <c r="AM1716" s="5" t="s">
        <v>1636</v>
      </c>
      <c r="AN1716" s="4">
        <v>0</v>
      </c>
      <c r="AO1716" t="s">
        <v>1635</v>
      </c>
      <c r="AP1716" s="4" t="s">
        <v>1636</v>
      </c>
      <c r="AQ1716" t="s">
        <v>1619</v>
      </c>
      <c r="AR1716" t="s">
        <v>1620</v>
      </c>
      <c r="AT1716" s="16" t="str">
        <f>_xlfn.XLOOKUP(B1716,'SWiSH Demand Forecast Sep-26'!D:D,'SWiSH Demand Forecast Sep-26'!G:G,"Not Exist")</f>
        <v>Not Exist</v>
      </c>
    </row>
    <row r="1717" spans="1:46" x14ac:dyDescent="0.3">
      <c r="A1717">
        <v>106800242</v>
      </c>
      <c r="B1717" t="s">
        <v>3571</v>
      </c>
      <c r="C1717" t="s">
        <v>10</v>
      </c>
      <c r="D1717" t="s">
        <v>1789</v>
      </c>
      <c r="E1717" t="s">
        <v>1663</v>
      </c>
      <c r="F1717" t="s">
        <v>1664</v>
      </c>
      <c r="G1717" t="s">
        <v>1624</v>
      </c>
      <c r="H1717" t="s">
        <v>1665</v>
      </c>
      <c r="I1717" t="s">
        <v>1634</v>
      </c>
      <c r="J1717" t="s">
        <v>10</v>
      </c>
      <c r="K1717">
        <v>3.0000000000000001E-3</v>
      </c>
      <c r="L1717">
        <v>0</v>
      </c>
      <c r="M1717" s="1">
        <v>15</v>
      </c>
      <c r="N1717">
        <v>0</v>
      </c>
      <c r="O1717">
        <v>0</v>
      </c>
      <c r="P1717">
        <v>0</v>
      </c>
      <c r="Q1717" s="1">
        <v>0</v>
      </c>
      <c r="R1717">
        <v>3.0000000000000001E-3</v>
      </c>
      <c r="S1717" s="2">
        <v>46149</v>
      </c>
      <c r="T1717" s="2">
        <v>46098</v>
      </c>
      <c r="U1717">
        <v>0</v>
      </c>
      <c r="V1717">
        <v>0</v>
      </c>
      <c r="W1717">
        <v>0</v>
      </c>
      <c r="X1717">
        <v>0</v>
      </c>
      <c r="Y1717">
        <v>0</v>
      </c>
      <c r="Z1717" s="8">
        <v>0</v>
      </c>
      <c r="AA1717">
        <v>0</v>
      </c>
      <c r="AB1717" t="s">
        <v>1635</v>
      </c>
      <c r="AC1717" t="s">
        <v>1635</v>
      </c>
      <c r="AD1717" s="1" t="s">
        <v>1635</v>
      </c>
      <c r="AE1717" s="2" t="s">
        <v>1635</v>
      </c>
      <c r="AF1717" s="2" t="s">
        <v>1635</v>
      </c>
      <c r="AG1717" s="2" t="s">
        <v>1635</v>
      </c>
      <c r="AH1717">
        <v>0</v>
      </c>
      <c r="AI1717" s="3" t="s">
        <v>1635</v>
      </c>
      <c r="AJ1717" s="1" t="s">
        <v>1635</v>
      </c>
      <c r="AK1717" s="2" t="s">
        <v>1635</v>
      </c>
      <c r="AL1717" s="4" t="s">
        <v>1658</v>
      </c>
      <c r="AM1717" s="5" t="s">
        <v>1658</v>
      </c>
      <c r="AN1717" s="4">
        <v>0</v>
      </c>
      <c r="AO1717" t="s">
        <v>1635</v>
      </c>
      <c r="AP1717" s="4" t="s">
        <v>1658</v>
      </c>
      <c r="AQ1717" t="s">
        <v>1619</v>
      </c>
      <c r="AR1717" t="s">
        <v>1620</v>
      </c>
      <c r="AT1717" s="16" t="str">
        <f>_xlfn.XLOOKUP(B1717,'SWiSH Demand Forecast Sep-26'!D:D,'SWiSH Demand Forecast Sep-26'!G:G,"Not Exist")</f>
        <v>Not Exist</v>
      </c>
    </row>
    <row r="1718" spans="1:46" x14ac:dyDescent="0.3">
      <c r="A1718">
        <v>105300044</v>
      </c>
      <c r="B1718" t="s">
        <v>3572</v>
      </c>
      <c r="C1718" t="s">
        <v>10</v>
      </c>
      <c r="D1718" t="s">
        <v>1675</v>
      </c>
      <c r="E1718" t="s">
        <v>1638</v>
      </c>
      <c r="F1718" t="s">
        <v>1664</v>
      </c>
      <c r="G1718" t="s">
        <v>1704</v>
      </c>
      <c r="H1718" t="s">
        <v>1978</v>
      </c>
      <c r="I1718" t="s">
        <v>1634</v>
      </c>
      <c r="J1718" t="s">
        <v>10</v>
      </c>
      <c r="K1718">
        <v>3.3000000000000002E-2</v>
      </c>
      <c r="L1718">
        <v>231</v>
      </c>
      <c r="M1718" s="1">
        <v>30</v>
      </c>
      <c r="N1718">
        <v>0</v>
      </c>
      <c r="O1718">
        <v>0</v>
      </c>
      <c r="P1718">
        <v>7000</v>
      </c>
      <c r="Q1718" s="1">
        <v>7000</v>
      </c>
      <c r="R1718">
        <v>3.3000000000000002E-2</v>
      </c>
      <c r="S1718" s="2">
        <v>44940</v>
      </c>
      <c r="T1718" s="2">
        <v>46221</v>
      </c>
      <c r="U1718">
        <v>0</v>
      </c>
      <c r="V1718">
        <v>0</v>
      </c>
      <c r="W1718">
        <v>0</v>
      </c>
      <c r="X1718">
        <v>0</v>
      </c>
      <c r="Y1718">
        <v>0</v>
      </c>
      <c r="Z1718" s="8">
        <v>0</v>
      </c>
      <c r="AA1718">
        <v>0</v>
      </c>
      <c r="AB1718" t="s">
        <v>1635</v>
      </c>
      <c r="AC1718" t="s">
        <v>1635</v>
      </c>
      <c r="AD1718" s="1" t="s">
        <v>1635</v>
      </c>
      <c r="AE1718" s="2" t="s">
        <v>1635</v>
      </c>
      <c r="AF1718" s="2" t="s">
        <v>1635</v>
      </c>
      <c r="AG1718" s="2" t="s">
        <v>1635</v>
      </c>
      <c r="AH1718">
        <v>0</v>
      </c>
      <c r="AI1718" s="3" t="s">
        <v>1635</v>
      </c>
      <c r="AJ1718" s="1" t="s">
        <v>1635</v>
      </c>
      <c r="AK1718" s="2" t="s">
        <v>1635</v>
      </c>
      <c r="AL1718" s="4" t="s">
        <v>1658</v>
      </c>
      <c r="AM1718" s="5" t="s">
        <v>1658</v>
      </c>
      <c r="AN1718" s="4">
        <v>0</v>
      </c>
      <c r="AO1718" t="s">
        <v>1635</v>
      </c>
      <c r="AP1718" s="4" t="s">
        <v>1658</v>
      </c>
      <c r="AQ1718" t="s">
        <v>1619</v>
      </c>
      <c r="AR1718" t="s">
        <v>1620</v>
      </c>
      <c r="AT1718" s="16" t="str">
        <f>_xlfn.XLOOKUP(B1718,'SWiSH Demand Forecast Sep-26'!D:D,'SWiSH Demand Forecast Sep-26'!G:G,"Not Exist")</f>
        <v>Not Exist</v>
      </c>
    </row>
    <row r="1719" spans="1:46" x14ac:dyDescent="0.3">
      <c r="A1719">
        <v>106800072</v>
      </c>
      <c r="B1719" t="s">
        <v>3573</v>
      </c>
      <c r="C1719" t="s">
        <v>10</v>
      </c>
      <c r="D1719" t="s">
        <v>1955</v>
      </c>
      <c r="E1719" t="s">
        <v>1655</v>
      </c>
      <c r="F1719" t="s">
        <v>1664</v>
      </c>
      <c r="G1719" t="s">
        <v>1704</v>
      </c>
      <c r="H1719" t="s">
        <v>1665</v>
      </c>
      <c r="I1719" t="s">
        <v>1634</v>
      </c>
      <c r="J1719" t="s">
        <v>10</v>
      </c>
      <c r="K1719">
        <v>6.0000000000000001E-3</v>
      </c>
      <c r="L1719">
        <v>222</v>
      </c>
      <c r="M1719" s="1">
        <v>7</v>
      </c>
      <c r="N1719">
        <v>0</v>
      </c>
      <c r="O1719">
        <v>0</v>
      </c>
      <c r="P1719">
        <v>37000</v>
      </c>
      <c r="Q1719" s="1">
        <v>37000</v>
      </c>
      <c r="R1719">
        <v>7.0000000000000001E-3</v>
      </c>
      <c r="S1719" s="2">
        <v>45873</v>
      </c>
      <c r="T1719" s="2">
        <v>46221</v>
      </c>
      <c r="U1719">
        <v>0</v>
      </c>
      <c r="V1719">
        <v>0</v>
      </c>
      <c r="W1719">
        <v>0</v>
      </c>
      <c r="X1719">
        <v>0</v>
      </c>
      <c r="Y1719">
        <v>0</v>
      </c>
      <c r="Z1719" s="8">
        <v>0</v>
      </c>
      <c r="AA1719">
        <v>0</v>
      </c>
      <c r="AB1719" t="s">
        <v>1635</v>
      </c>
      <c r="AC1719" t="s">
        <v>1635</v>
      </c>
      <c r="AD1719" s="1" t="s">
        <v>1635</v>
      </c>
      <c r="AE1719" s="2" t="s">
        <v>1635</v>
      </c>
      <c r="AF1719" s="2" t="s">
        <v>1635</v>
      </c>
      <c r="AG1719" s="2" t="s">
        <v>1635</v>
      </c>
      <c r="AH1719">
        <v>0</v>
      </c>
      <c r="AI1719" s="3" t="s">
        <v>1635</v>
      </c>
      <c r="AJ1719" s="1" t="s">
        <v>1635</v>
      </c>
      <c r="AK1719" s="2" t="s">
        <v>1635</v>
      </c>
      <c r="AL1719" s="4" t="s">
        <v>1658</v>
      </c>
      <c r="AM1719" s="5" t="s">
        <v>1658</v>
      </c>
      <c r="AN1719" s="4">
        <v>0</v>
      </c>
      <c r="AO1719" t="s">
        <v>1635</v>
      </c>
      <c r="AP1719" s="4" t="s">
        <v>1658</v>
      </c>
      <c r="AQ1719" t="s">
        <v>1619</v>
      </c>
      <c r="AR1719" t="s">
        <v>1620</v>
      </c>
      <c r="AT1719" s="16" t="str">
        <f>_xlfn.XLOOKUP(B1719,'SWiSH Demand Forecast Sep-26'!D:D,'SWiSH Demand Forecast Sep-26'!G:G,"Not Exist")</f>
        <v>Not Exist</v>
      </c>
    </row>
    <row r="1720" spans="1:46" x14ac:dyDescent="0.3">
      <c r="A1720">
        <v>104200080</v>
      </c>
      <c r="B1720" t="s">
        <v>3574</v>
      </c>
      <c r="C1720" t="s">
        <v>10</v>
      </c>
      <c r="D1720" t="s">
        <v>1629</v>
      </c>
      <c r="E1720" t="s">
        <v>3575</v>
      </c>
      <c r="F1720" t="s">
        <v>1631</v>
      </c>
      <c r="G1720" t="s">
        <v>1690</v>
      </c>
      <c r="H1720" t="s">
        <v>1633</v>
      </c>
      <c r="I1720" t="s">
        <v>1634</v>
      </c>
      <c r="J1720" t="s">
        <v>2467</v>
      </c>
      <c r="K1720">
        <v>1.2264699999999999E-3</v>
      </c>
      <c r="L1720">
        <v>0</v>
      </c>
      <c r="M1720" s="1">
        <v>3</v>
      </c>
      <c r="N1720">
        <v>0</v>
      </c>
      <c r="O1720">
        <v>0</v>
      </c>
      <c r="P1720">
        <v>0</v>
      </c>
      <c r="Q1720" s="1">
        <v>0</v>
      </c>
      <c r="R1720">
        <v>3.75</v>
      </c>
      <c r="S1720" s="2">
        <v>45975</v>
      </c>
      <c r="T1720" s="2">
        <v>46208</v>
      </c>
      <c r="U1720">
        <v>0</v>
      </c>
      <c r="V1720">
        <v>0</v>
      </c>
      <c r="W1720">
        <v>0</v>
      </c>
      <c r="X1720">
        <v>0</v>
      </c>
      <c r="Y1720">
        <v>0</v>
      </c>
      <c r="Z1720" s="8">
        <v>0</v>
      </c>
      <c r="AA1720">
        <v>0</v>
      </c>
      <c r="AB1720" t="s">
        <v>1635</v>
      </c>
      <c r="AC1720" t="s">
        <v>1635</v>
      </c>
      <c r="AD1720" s="1" t="s">
        <v>1635</v>
      </c>
      <c r="AE1720" s="2" t="s">
        <v>1635</v>
      </c>
      <c r="AF1720" s="2" t="s">
        <v>1635</v>
      </c>
      <c r="AG1720" s="2" t="s">
        <v>1635</v>
      </c>
      <c r="AH1720">
        <v>0</v>
      </c>
      <c r="AI1720" s="3" t="s">
        <v>1635</v>
      </c>
      <c r="AJ1720" s="1" t="s">
        <v>1635</v>
      </c>
      <c r="AK1720" s="2" t="s">
        <v>1635</v>
      </c>
      <c r="AL1720" s="4" t="s">
        <v>1636</v>
      </c>
      <c r="AM1720" s="5" t="s">
        <v>1636</v>
      </c>
      <c r="AN1720" s="4">
        <v>0</v>
      </c>
      <c r="AO1720" t="s">
        <v>1635</v>
      </c>
      <c r="AP1720" s="4" t="s">
        <v>1636</v>
      </c>
      <c r="AQ1720" t="s">
        <v>1619</v>
      </c>
      <c r="AR1720" t="s">
        <v>3576</v>
      </c>
      <c r="AT1720" s="16" t="str">
        <f>_xlfn.XLOOKUP(B1720,'SWiSH Demand Forecast Sep-26'!D:D,'SWiSH Demand Forecast Sep-26'!G:G,"Not Exist")</f>
        <v>Not Exist</v>
      </c>
    </row>
    <row r="1721" spans="1:46" x14ac:dyDescent="0.3">
      <c r="A1721">
        <v>105600037</v>
      </c>
      <c r="B1721" t="s">
        <v>3577</v>
      </c>
      <c r="C1721" t="s">
        <v>10</v>
      </c>
      <c r="D1721" t="s">
        <v>1789</v>
      </c>
      <c r="E1721" t="s">
        <v>1685</v>
      </c>
      <c r="F1721" t="s">
        <v>1664</v>
      </c>
      <c r="G1721" t="s">
        <v>1616</v>
      </c>
      <c r="H1721" t="s">
        <v>1679</v>
      </c>
      <c r="I1721" t="s">
        <v>1634</v>
      </c>
      <c r="J1721" t="s">
        <v>10</v>
      </c>
      <c r="K1721">
        <v>0.188</v>
      </c>
      <c r="L1721">
        <v>3008</v>
      </c>
      <c r="M1721" s="1">
        <v>7</v>
      </c>
      <c r="N1721">
        <v>0</v>
      </c>
      <c r="O1721">
        <v>0</v>
      </c>
      <c r="P1721">
        <v>16000</v>
      </c>
      <c r="Q1721" s="1">
        <v>16000</v>
      </c>
      <c r="R1721">
        <v>0.188</v>
      </c>
      <c r="S1721" s="2">
        <v>46070</v>
      </c>
      <c r="T1721" s="2">
        <v>46094</v>
      </c>
      <c r="U1721">
        <v>0</v>
      </c>
      <c r="V1721">
        <v>0</v>
      </c>
      <c r="W1721">
        <v>0</v>
      </c>
      <c r="X1721">
        <v>0</v>
      </c>
      <c r="Y1721">
        <v>0</v>
      </c>
      <c r="Z1721" s="8">
        <v>0</v>
      </c>
      <c r="AA1721">
        <v>0</v>
      </c>
      <c r="AB1721" t="s">
        <v>1635</v>
      </c>
      <c r="AC1721" t="s">
        <v>1635</v>
      </c>
      <c r="AD1721" s="1" t="s">
        <v>1635</v>
      </c>
      <c r="AE1721" s="2" t="s">
        <v>1635</v>
      </c>
      <c r="AF1721" s="2" t="s">
        <v>1635</v>
      </c>
      <c r="AG1721" s="2" t="s">
        <v>1635</v>
      </c>
      <c r="AH1721">
        <v>0</v>
      </c>
      <c r="AI1721" s="3" t="s">
        <v>1635</v>
      </c>
      <c r="AJ1721" s="1" t="s">
        <v>1635</v>
      </c>
      <c r="AK1721" s="2" t="s">
        <v>1635</v>
      </c>
      <c r="AL1721" s="4" t="s">
        <v>1658</v>
      </c>
      <c r="AM1721" s="5" t="s">
        <v>1658</v>
      </c>
      <c r="AN1721" s="4">
        <v>0</v>
      </c>
      <c r="AO1721" t="s">
        <v>1635</v>
      </c>
      <c r="AP1721" s="4" t="s">
        <v>1658</v>
      </c>
      <c r="AQ1721" t="s">
        <v>1619</v>
      </c>
      <c r="AR1721" t="s">
        <v>1620</v>
      </c>
      <c r="AT1721" s="16" t="str">
        <f>_xlfn.XLOOKUP(B1721,'SWiSH Demand Forecast Sep-26'!D:D,'SWiSH Demand Forecast Sep-26'!G:G,"Not Exist")</f>
        <v>Not Exist</v>
      </c>
    </row>
    <row r="1722" spans="1:46" x14ac:dyDescent="0.3">
      <c r="A1722">
        <v>101500033</v>
      </c>
      <c r="B1722" t="s">
        <v>3578</v>
      </c>
      <c r="C1722" t="s">
        <v>10</v>
      </c>
      <c r="D1722" t="s">
        <v>1629</v>
      </c>
      <c r="E1722" t="s">
        <v>3579</v>
      </c>
      <c r="F1722" t="s">
        <v>1631</v>
      </c>
      <c r="G1722" t="s">
        <v>1704</v>
      </c>
      <c r="H1722" t="s">
        <v>1647</v>
      </c>
      <c r="I1722" t="s">
        <v>1634</v>
      </c>
      <c r="J1722" t="s">
        <v>10</v>
      </c>
      <c r="K1722">
        <v>0.5</v>
      </c>
      <c r="L1722">
        <v>0</v>
      </c>
      <c r="M1722" s="1">
        <v>3</v>
      </c>
      <c r="N1722">
        <v>0</v>
      </c>
      <c r="O1722">
        <v>0</v>
      </c>
      <c r="P1722">
        <v>0</v>
      </c>
      <c r="Q1722" s="1">
        <v>0</v>
      </c>
      <c r="R1722">
        <v>0.5</v>
      </c>
      <c r="S1722" s="2">
        <v>45964</v>
      </c>
      <c r="T1722" s="2">
        <v>46211</v>
      </c>
      <c r="U1722">
        <v>0</v>
      </c>
      <c r="V1722">
        <v>0</v>
      </c>
      <c r="W1722">
        <v>0</v>
      </c>
      <c r="X1722">
        <v>0</v>
      </c>
      <c r="Y1722">
        <v>0</v>
      </c>
      <c r="Z1722" s="8">
        <v>0</v>
      </c>
      <c r="AA1722">
        <v>0</v>
      </c>
      <c r="AB1722" t="s">
        <v>1635</v>
      </c>
      <c r="AC1722" t="s">
        <v>1635</v>
      </c>
      <c r="AD1722" s="1" t="s">
        <v>1635</v>
      </c>
      <c r="AE1722" s="2" t="s">
        <v>1635</v>
      </c>
      <c r="AF1722" s="2" t="s">
        <v>1635</v>
      </c>
      <c r="AG1722" s="2" t="s">
        <v>1635</v>
      </c>
      <c r="AH1722">
        <v>0</v>
      </c>
      <c r="AI1722" s="3" t="s">
        <v>1635</v>
      </c>
      <c r="AJ1722" s="1" t="s">
        <v>1635</v>
      </c>
      <c r="AK1722" s="2" t="s">
        <v>1635</v>
      </c>
      <c r="AL1722" s="4" t="s">
        <v>1636</v>
      </c>
      <c r="AM1722" s="5" t="s">
        <v>1636</v>
      </c>
      <c r="AN1722" s="4">
        <v>0</v>
      </c>
      <c r="AO1722" t="s">
        <v>1635</v>
      </c>
      <c r="AP1722" s="4" t="s">
        <v>1636</v>
      </c>
      <c r="AQ1722" t="s">
        <v>1619</v>
      </c>
      <c r="AR1722" t="s">
        <v>1620</v>
      </c>
      <c r="AT1722" s="16" t="str">
        <f>_xlfn.XLOOKUP(B1722,'SWiSH Demand Forecast Sep-26'!D:D,'SWiSH Demand Forecast Sep-26'!G:G,"Not Exist")</f>
        <v>Not Exist</v>
      </c>
    </row>
    <row r="1723" spans="1:46" x14ac:dyDescent="0.3">
      <c r="A1723">
        <v>104900007</v>
      </c>
      <c r="B1723" t="s">
        <v>3580</v>
      </c>
      <c r="C1723" t="s">
        <v>10</v>
      </c>
      <c r="D1723" t="s">
        <v>1629</v>
      </c>
      <c r="E1723" t="s">
        <v>1643</v>
      </c>
      <c r="F1723" t="s">
        <v>1631</v>
      </c>
      <c r="G1723" t="s">
        <v>1632</v>
      </c>
      <c r="H1723" t="s">
        <v>1759</v>
      </c>
      <c r="I1723" t="s">
        <v>1634</v>
      </c>
      <c r="J1723" t="e">
        <v>#N/A</v>
      </c>
      <c r="K1723">
        <v>8.25E-4</v>
      </c>
      <c r="L1723">
        <v>0</v>
      </c>
      <c r="M1723" s="1">
        <v>7</v>
      </c>
      <c r="N1723">
        <v>0</v>
      </c>
      <c r="O1723">
        <v>0</v>
      </c>
      <c r="P1723">
        <v>0</v>
      </c>
      <c r="Q1723" s="1">
        <v>0</v>
      </c>
      <c r="R1723">
        <v>3.3</v>
      </c>
      <c r="S1723" s="2">
        <v>43699</v>
      </c>
      <c r="T1723" s="2">
        <v>46055</v>
      </c>
      <c r="U1723">
        <v>0</v>
      </c>
      <c r="V1723">
        <v>0</v>
      </c>
      <c r="W1723">
        <v>0</v>
      </c>
      <c r="X1723">
        <v>0</v>
      </c>
      <c r="Y1723">
        <v>0</v>
      </c>
      <c r="Z1723" s="8">
        <v>0</v>
      </c>
      <c r="AA1723">
        <v>0</v>
      </c>
      <c r="AB1723" t="s">
        <v>1635</v>
      </c>
      <c r="AC1723" t="s">
        <v>1635</v>
      </c>
      <c r="AD1723" s="1" t="s">
        <v>1635</v>
      </c>
      <c r="AE1723" s="2" t="s">
        <v>1635</v>
      </c>
      <c r="AF1723" s="2" t="s">
        <v>1635</v>
      </c>
      <c r="AG1723" s="2" t="s">
        <v>1635</v>
      </c>
      <c r="AH1723">
        <v>0</v>
      </c>
      <c r="AI1723" s="3" t="s">
        <v>1635</v>
      </c>
      <c r="AJ1723" s="1" t="s">
        <v>1635</v>
      </c>
      <c r="AK1723" s="2" t="s">
        <v>1635</v>
      </c>
      <c r="AL1723" s="4" t="s">
        <v>1636</v>
      </c>
      <c r="AM1723" s="5" t="s">
        <v>1636</v>
      </c>
      <c r="AN1723" s="4">
        <v>0</v>
      </c>
      <c r="AO1723" t="s">
        <v>1635</v>
      </c>
      <c r="AP1723" s="4" t="s">
        <v>1636</v>
      </c>
      <c r="AQ1723" t="s">
        <v>1619</v>
      </c>
      <c r="AR1723" t="s">
        <v>1620</v>
      </c>
      <c r="AT1723" s="16" t="str">
        <f>_xlfn.XLOOKUP(B1723,'SWiSH Demand Forecast Sep-26'!D:D,'SWiSH Demand Forecast Sep-26'!G:G,"Not Exist")</f>
        <v>Not Exist</v>
      </c>
    </row>
    <row r="1724" spans="1:46" x14ac:dyDescent="0.3">
      <c r="A1724">
        <v>107400059</v>
      </c>
      <c r="B1724" t="s">
        <v>3581</v>
      </c>
      <c r="C1724" t="s">
        <v>10</v>
      </c>
      <c r="D1724" t="s">
        <v>1629</v>
      </c>
      <c r="E1724" t="s">
        <v>1732</v>
      </c>
      <c r="F1724" t="s">
        <v>1644</v>
      </c>
      <c r="G1724" t="s">
        <v>1686</v>
      </c>
      <c r="H1724" t="s">
        <v>2016</v>
      </c>
      <c r="I1724" t="s">
        <v>1634</v>
      </c>
      <c r="J1724" t="s">
        <v>2412</v>
      </c>
      <c r="K1724">
        <v>8.0000000000000002E-3</v>
      </c>
      <c r="L1724">
        <v>0</v>
      </c>
      <c r="M1724" s="1">
        <v>15</v>
      </c>
      <c r="N1724">
        <v>0</v>
      </c>
      <c r="O1724">
        <v>0</v>
      </c>
      <c r="P1724">
        <v>0</v>
      </c>
      <c r="Q1724" s="1">
        <v>0</v>
      </c>
      <c r="R1724">
        <v>4</v>
      </c>
      <c r="S1724" s="2">
        <v>45995</v>
      </c>
      <c r="T1724" s="2">
        <v>46054</v>
      </c>
      <c r="U1724">
        <v>0</v>
      </c>
      <c r="V1724">
        <v>0</v>
      </c>
      <c r="W1724">
        <v>0</v>
      </c>
      <c r="X1724">
        <v>0</v>
      </c>
      <c r="Y1724">
        <v>0</v>
      </c>
      <c r="Z1724" s="8">
        <v>0</v>
      </c>
      <c r="AA1724">
        <v>0</v>
      </c>
      <c r="AB1724" t="s">
        <v>1635</v>
      </c>
      <c r="AC1724" t="s">
        <v>1635</v>
      </c>
      <c r="AD1724" s="1" t="s">
        <v>1635</v>
      </c>
      <c r="AE1724" s="2" t="s">
        <v>1635</v>
      </c>
      <c r="AF1724" s="2" t="s">
        <v>1635</v>
      </c>
      <c r="AG1724" s="2" t="s">
        <v>1635</v>
      </c>
      <c r="AH1724">
        <v>0</v>
      </c>
      <c r="AI1724" s="3" t="s">
        <v>1635</v>
      </c>
      <c r="AJ1724" s="1" t="s">
        <v>1635</v>
      </c>
      <c r="AK1724" s="2" t="s">
        <v>1635</v>
      </c>
      <c r="AL1724" s="4" t="s">
        <v>1636</v>
      </c>
      <c r="AM1724" s="5" t="s">
        <v>1636</v>
      </c>
      <c r="AN1724" s="4">
        <v>0</v>
      </c>
      <c r="AO1724" t="s">
        <v>1635</v>
      </c>
      <c r="AP1724" s="4" t="s">
        <v>1636</v>
      </c>
      <c r="AQ1724" t="s">
        <v>1619</v>
      </c>
      <c r="AR1724" t="s">
        <v>1620</v>
      </c>
      <c r="AT1724" s="16" t="str">
        <f>_xlfn.XLOOKUP(B1724,'SWiSH Demand Forecast Sep-26'!D:D,'SWiSH Demand Forecast Sep-26'!G:G,"Not Exist")</f>
        <v>Not Exist</v>
      </c>
    </row>
    <row r="1725" spans="1:46" x14ac:dyDescent="0.3">
      <c r="A1725">
        <v>101500002</v>
      </c>
      <c r="B1725" t="s">
        <v>3582</v>
      </c>
      <c r="C1725" t="s">
        <v>136</v>
      </c>
      <c r="D1725" t="s">
        <v>1629</v>
      </c>
      <c r="E1725" t="s">
        <v>1683</v>
      </c>
      <c r="F1725" t="s">
        <v>1644</v>
      </c>
      <c r="G1725" t="s">
        <v>1632</v>
      </c>
      <c r="H1725" t="s">
        <v>1647</v>
      </c>
      <c r="I1725" t="s">
        <v>1634</v>
      </c>
      <c r="J1725">
        <v>0</v>
      </c>
      <c r="K1725">
        <v>0.31</v>
      </c>
      <c r="L1725">
        <v>0</v>
      </c>
      <c r="M1725" s="1">
        <v>3</v>
      </c>
      <c r="N1725">
        <v>0</v>
      </c>
      <c r="O1725">
        <v>0</v>
      </c>
      <c r="P1725">
        <v>0</v>
      </c>
      <c r="Q1725" s="1">
        <v>0</v>
      </c>
      <c r="R1725">
        <v>0</v>
      </c>
      <c r="S1725" s="2">
        <v>0</v>
      </c>
      <c r="T1725" s="2">
        <v>46055</v>
      </c>
      <c r="U1725">
        <v>0</v>
      </c>
      <c r="V1725">
        <v>0</v>
      </c>
      <c r="W1725">
        <v>0</v>
      </c>
      <c r="X1725">
        <v>0</v>
      </c>
      <c r="Y1725">
        <v>0</v>
      </c>
      <c r="Z1725" s="8">
        <v>0</v>
      </c>
      <c r="AA1725">
        <v>0</v>
      </c>
      <c r="AB1725" t="s">
        <v>1635</v>
      </c>
      <c r="AC1725" t="s">
        <v>1635</v>
      </c>
      <c r="AD1725" s="1" t="s">
        <v>1635</v>
      </c>
      <c r="AE1725" s="2" t="s">
        <v>1635</v>
      </c>
      <c r="AF1725" s="2" t="s">
        <v>1635</v>
      </c>
      <c r="AG1725" s="2" t="s">
        <v>1635</v>
      </c>
      <c r="AH1725">
        <v>0</v>
      </c>
      <c r="AI1725" s="3" t="s">
        <v>1635</v>
      </c>
      <c r="AJ1725" s="1" t="s">
        <v>1635</v>
      </c>
      <c r="AK1725" s="2" t="s">
        <v>1635</v>
      </c>
      <c r="AL1725" s="4" t="s">
        <v>1636</v>
      </c>
      <c r="AM1725" s="5" t="s">
        <v>1636</v>
      </c>
      <c r="AN1725" s="4">
        <v>0</v>
      </c>
      <c r="AO1725" t="s">
        <v>1635</v>
      </c>
      <c r="AP1725" s="4" t="s">
        <v>1636</v>
      </c>
      <c r="AQ1725" t="s">
        <v>1619</v>
      </c>
      <c r="AR1725" t="s">
        <v>1620</v>
      </c>
      <c r="AT1725" s="16" t="str">
        <f>_xlfn.XLOOKUP(B1725,'SWiSH Demand Forecast Sep-26'!D:D,'SWiSH Demand Forecast Sep-26'!G:G,"Not Exist")</f>
        <v>Not Exist</v>
      </c>
    </row>
    <row r="1726" spans="1:46" x14ac:dyDescent="0.3">
      <c r="A1726">
        <v>101500038</v>
      </c>
      <c r="B1726" t="s">
        <v>3583</v>
      </c>
      <c r="C1726" t="s">
        <v>10</v>
      </c>
      <c r="D1726" t="s">
        <v>1629</v>
      </c>
      <c r="E1726" t="s">
        <v>1643</v>
      </c>
      <c r="F1726" t="s">
        <v>1644</v>
      </c>
      <c r="G1726" t="s">
        <v>1632</v>
      </c>
      <c r="H1726" t="s">
        <v>1647</v>
      </c>
      <c r="I1726" t="s">
        <v>1634</v>
      </c>
      <c r="J1726">
        <v>0</v>
      </c>
      <c r="K1726">
        <v>0.15</v>
      </c>
      <c r="L1726">
        <v>0</v>
      </c>
      <c r="M1726" s="1">
        <v>3</v>
      </c>
      <c r="N1726">
        <v>0</v>
      </c>
      <c r="O1726">
        <v>0</v>
      </c>
      <c r="P1726">
        <v>0</v>
      </c>
      <c r="Q1726" s="1">
        <v>0</v>
      </c>
      <c r="R1726">
        <v>0.15</v>
      </c>
      <c r="S1726" s="2">
        <v>44184</v>
      </c>
      <c r="T1726" s="2">
        <v>46055</v>
      </c>
      <c r="U1726">
        <v>0</v>
      </c>
      <c r="V1726">
        <v>0</v>
      </c>
      <c r="W1726">
        <v>0</v>
      </c>
      <c r="X1726">
        <v>0</v>
      </c>
      <c r="Y1726">
        <v>0</v>
      </c>
      <c r="Z1726" s="8">
        <v>0</v>
      </c>
      <c r="AA1726">
        <v>0</v>
      </c>
      <c r="AB1726" t="s">
        <v>1635</v>
      </c>
      <c r="AC1726" t="s">
        <v>1635</v>
      </c>
      <c r="AD1726" s="1" t="s">
        <v>1635</v>
      </c>
      <c r="AE1726" s="2" t="s">
        <v>1635</v>
      </c>
      <c r="AF1726" s="2" t="s">
        <v>1635</v>
      </c>
      <c r="AG1726" s="2" t="s">
        <v>1635</v>
      </c>
      <c r="AH1726">
        <v>0</v>
      </c>
      <c r="AI1726" s="3" t="s">
        <v>1635</v>
      </c>
      <c r="AJ1726" s="1" t="s">
        <v>1635</v>
      </c>
      <c r="AK1726" s="2" t="s">
        <v>1635</v>
      </c>
      <c r="AL1726" s="4" t="s">
        <v>1636</v>
      </c>
      <c r="AM1726" s="5" t="s">
        <v>1636</v>
      </c>
      <c r="AN1726" s="4">
        <v>0</v>
      </c>
      <c r="AO1726" t="s">
        <v>1635</v>
      </c>
      <c r="AP1726" s="4" t="s">
        <v>1636</v>
      </c>
      <c r="AQ1726" t="s">
        <v>1619</v>
      </c>
      <c r="AR1726" t="s">
        <v>1620</v>
      </c>
      <c r="AT1726" s="16" t="str">
        <f>_xlfn.XLOOKUP(B1726,'SWiSH Demand Forecast Sep-26'!D:D,'SWiSH Demand Forecast Sep-26'!G:G,"Not Exist")</f>
        <v>Not Exist</v>
      </c>
    </row>
    <row r="1727" spans="1:46" x14ac:dyDescent="0.3">
      <c r="A1727">
        <v>107200097</v>
      </c>
      <c r="B1727" t="s">
        <v>3584</v>
      </c>
      <c r="C1727" t="s">
        <v>10</v>
      </c>
      <c r="D1727" t="s">
        <v>1789</v>
      </c>
      <c r="E1727" t="s">
        <v>1663</v>
      </c>
      <c r="F1727" t="s">
        <v>1656</v>
      </c>
      <c r="G1727" t="s">
        <v>1690</v>
      </c>
      <c r="H1727" t="s">
        <v>1657</v>
      </c>
      <c r="I1727" t="s">
        <v>1634</v>
      </c>
      <c r="J1727" t="s">
        <v>10</v>
      </c>
      <c r="K1727">
        <v>4.7409090899999997</v>
      </c>
      <c r="L1727">
        <v>0</v>
      </c>
      <c r="M1727" s="1">
        <v>15</v>
      </c>
      <c r="N1727">
        <v>0</v>
      </c>
      <c r="O1727">
        <v>0</v>
      </c>
      <c r="P1727">
        <v>0</v>
      </c>
      <c r="Q1727" s="1">
        <v>0</v>
      </c>
      <c r="R1727">
        <v>4.5</v>
      </c>
      <c r="S1727" s="2">
        <v>45827</v>
      </c>
      <c r="T1727" s="2">
        <v>46075</v>
      </c>
      <c r="U1727">
        <v>0</v>
      </c>
      <c r="V1727">
        <v>0</v>
      </c>
      <c r="W1727">
        <v>0</v>
      </c>
      <c r="X1727">
        <v>0</v>
      </c>
      <c r="Y1727">
        <v>0</v>
      </c>
      <c r="Z1727" s="8">
        <v>0</v>
      </c>
      <c r="AA1727">
        <v>0</v>
      </c>
      <c r="AB1727" t="s">
        <v>1635</v>
      </c>
      <c r="AC1727" t="s">
        <v>1635</v>
      </c>
      <c r="AD1727" s="1" t="s">
        <v>1635</v>
      </c>
      <c r="AE1727" s="2" t="s">
        <v>1635</v>
      </c>
      <c r="AF1727" s="2" t="s">
        <v>1635</v>
      </c>
      <c r="AG1727" s="2" t="s">
        <v>1635</v>
      </c>
      <c r="AH1727">
        <v>0</v>
      </c>
      <c r="AI1727" s="3" t="s">
        <v>1635</v>
      </c>
      <c r="AJ1727" s="1" t="s">
        <v>1635</v>
      </c>
      <c r="AK1727" s="2" t="s">
        <v>1635</v>
      </c>
      <c r="AL1727" s="4" t="s">
        <v>1658</v>
      </c>
      <c r="AM1727" s="5" t="s">
        <v>1658</v>
      </c>
      <c r="AN1727" s="4">
        <v>0</v>
      </c>
      <c r="AO1727" t="s">
        <v>1635</v>
      </c>
      <c r="AP1727" s="4" t="s">
        <v>1658</v>
      </c>
      <c r="AQ1727" t="s">
        <v>1619</v>
      </c>
      <c r="AR1727" t="s">
        <v>1620</v>
      </c>
      <c r="AT1727" s="16" t="str">
        <f>_xlfn.XLOOKUP(B1727,'SWiSH Demand Forecast Sep-26'!D:D,'SWiSH Demand Forecast Sep-26'!G:G,"Not Exist")</f>
        <v>Not Exist</v>
      </c>
    </row>
    <row r="1728" spans="1:46" x14ac:dyDescent="0.3">
      <c r="A1728">
        <v>102200013</v>
      </c>
      <c r="B1728" t="s">
        <v>3585</v>
      </c>
      <c r="C1728" t="s">
        <v>10</v>
      </c>
      <c r="D1728" t="s">
        <v>1789</v>
      </c>
      <c r="E1728" t="s">
        <v>1926</v>
      </c>
      <c r="F1728" t="s">
        <v>1631</v>
      </c>
      <c r="G1728" t="e">
        <v>#N/A</v>
      </c>
      <c r="H1728" t="s">
        <v>2329</v>
      </c>
      <c r="I1728" t="s">
        <v>1634</v>
      </c>
      <c r="J1728" t="s">
        <v>10</v>
      </c>
      <c r="K1728" t="e">
        <v>#N/A</v>
      </c>
      <c r="L1728" t="e">
        <v>#N/A</v>
      </c>
      <c r="M1728" s="1">
        <v>90</v>
      </c>
      <c r="N1728">
        <v>0</v>
      </c>
      <c r="O1728">
        <v>0</v>
      </c>
      <c r="P1728">
        <v>0</v>
      </c>
      <c r="Q1728" s="1">
        <v>0</v>
      </c>
      <c r="R1728">
        <v>0</v>
      </c>
      <c r="S1728" s="2">
        <v>45777</v>
      </c>
      <c r="T1728" s="2">
        <v>45965</v>
      </c>
      <c r="U1728">
        <v>0</v>
      </c>
      <c r="V1728">
        <v>0</v>
      </c>
      <c r="W1728">
        <v>0</v>
      </c>
      <c r="X1728">
        <v>0</v>
      </c>
      <c r="Y1728">
        <v>0</v>
      </c>
      <c r="Z1728" s="8">
        <v>0</v>
      </c>
      <c r="AA1728">
        <v>0</v>
      </c>
      <c r="AB1728" t="s">
        <v>1635</v>
      </c>
      <c r="AC1728" t="s">
        <v>1635</v>
      </c>
      <c r="AD1728" s="1" t="s">
        <v>1635</v>
      </c>
      <c r="AE1728" s="2" t="s">
        <v>1635</v>
      </c>
      <c r="AF1728" s="2" t="s">
        <v>1635</v>
      </c>
      <c r="AG1728" s="2" t="s">
        <v>1635</v>
      </c>
      <c r="AH1728">
        <v>0</v>
      </c>
      <c r="AI1728" s="3" t="s">
        <v>1635</v>
      </c>
      <c r="AJ1728" s="1" t="s">
        <v>1635</v>
      </c>
      <c r="AK1728" s="2" t="s">
        <v>1635</v>
      </c>
      <c r="AL1728" s="4" t="s">
        <v>1658</v>
      </c>
      <c r="AM1728" s="5" t="s">
        <v>1658</v>
      </c>
      <c r="AN1728" s="4">
        <v>0</v>
      </c>
      <c r="AO1728" t="s">
        <v>1635</v>
      </c>
      <c r="AP1728" s="4" t="s">
        <v>1658</v>
      </c>
      <c r="AQ1728" t="s">
        <v>1619</v>
      </c>
      <c r="AR1728" t="s">
        <v>1620</v>
      </c>
      <c r="AT1728" s="16" t="str">
        <f>_xlfn.XLOOKUP(B1728,'SWiSH Demand Forecast Sep-26'!D:D,'SWiSH Demand Forecast Sep-26'!G:G,"Not Exist")</f>
        <v>Not Exist</v>
      </c>
    </row>
    <row r="1729" spans="1:46" x14ac:dyDescent="0.3">
      <c r="A1729">
        <v>101600021</v>
      </c>
      <c r="B1729" t="s">
        <v>3586</v>
      </c>
      <c r="C1729" t="s">
        <v>10</v>
      </c>
      <c r="D1729" t="s">
        <v>1789</v>
      </c>
      <c r="E1729" t="s">
        <v>1732</v>
      </c>
      <c r="F1729" t="s">
        <v>1631</v>
      </c>
      <c r="G1729" t="e">
        <v>#N/A</v>
      </c>
      <c r="H1729" t="s">
        <v>1768</v>
      </c>
      <c r="I1729" t="s">
        <v>1634</v>
      </c>
      <c r="J1729" t="s">
        <v>2113</v>
      </c>
      <c r="K1729" t="e">
        <v>#N/A</v>
      </c>
      <c r="L1729" t="e">
        <v>#N/A</v>
      </c>
      <c r="M1729" s="1">
        <v>7</v>
      </c>
      <c r="N1729">
        <v>0</v>
      </c>
      <c r="O1729">
        <v>0</v>
      </c>
      <c r="P1729">
        <v>0</v>
      </c>
      <c r="Q1729" s="1">
        <v>0</v>
      </c>
      <c r="R1729">
        <v>22</v>
      </c>
      <c r="S1729" s="2">
        <v>46019</v>
      </c>
      <c r="T1729" s="2">
        <v>46054</v>
      </c>
      <c r="U1729">
        <v>0</v>
      </c>
      <c r="V1729">
        <v>0</v>
      </c>
      <c r="W1729">
        <v>0</v>
      </c>
      <c r="X1729">
        <v>0</v>
      </c>
      <c r="Y1729">
        <v>0</v>
      </c>
      <c r="Z1729" s="8">
        <v>0</v>
      </c>
      <c r="AA1729">
        <v>0</v>
      </c>
      <c r="AB1729" t="s">
        <v>1635</v>
      </c>
      <c r="AC1729" t="s">
        <v>1635</v>
      </c>
      <c r="AD1729" s="1" t="s">
        <v>1635</v>
      </c>
      <c r="AE1729" s="2" t="s">
        <v>1635</v>
      </c>
      <c r="AF1729" s="2" t="s">
        <v>1635</v>
      </c>
      <c r="AG1729" s="2" t="s">
        <v>1635</v>
      </c>
      <c r="AH1729">
        <v>0</v>
      </c>
      <c r="AI1729" s="3" t="s">
        <v>1635</v>
      </c>
      <c r="AJ1729" s="1" t="s">
        <v>1635</v>
      </c>
      <c r="AK1729" s="2" t="s">
        <v>1635</v>
      </c>
      <c r="AL1729" s="4" t="s">
        <v>1658</v>
      </c>
      <c r="AM1729" s="5" t="s">
        <v>1658</v>
      </c>
      <c r="AN1729" s="4">
        <v>0</v>
      </c>
      <c r="AO1729" t="s">
        <v>1635</v>
      </c>
      <c r="AP1729" s="4" t="s">
        <v>1658</v>
      </c>
      <c r="AQ1729" t="s">
        <v>1619</v>
      </c>
      <c r="AR1729" t="s">
        <v>1620</v>
      </c>
      <c r="AT1729" s="16" t="str">
        <f>_xlfn.XLOOKUP(B1729,'SWiSH Demand Forecast Sep-26'!D:D,'SWiSH Demand Forecast Sep-26'!G:G,"Not Exist")</f>
        <v>Not Exist</v>
      </c>
    </row>
    <row r="1730" spans="1:46" x14ac:dyDescent="0.3">
      <c r="A1730">
        <v>100900076</v>
      </c>
      <c r="B1730" t="s">
        <v>3587</v>
      </c>
      <c r="C1730" t="s">
        <v>10</v>
      </c>
      <c r="D1730" t="s">
        <v>1629</v>
      </c>
      <c r="E1730" t="s">
        <v>1638</v>
      </c>
      <c r="F1730" t="s">
        <v>1639</v>
      </c>
      <c r="G1730" t="s">
        <v>1616</v>
      </c>
      <c r="H1730" t="s">
        <v>1640</v>
      </c>
      <c r="I1730" t="s">
        <v>1618</v>
      </c>
      <c r="J1730" t="s">
        <v>1641</v>
      </c>
      <c r="K1730">
        <v>6.6060670000000002E-2</v>
      </c>
      <c r="L1730">
        <v>0</v>
      </c>
      <c r="M1730" s="1">
        <v>3</v>
      </c>
      <c r="N1730">
        <v>0</v>
      </c>
      <c r="O1730">
        <v>0</v>
      </c>
      <c r="P1730">
        <v>0</v>
      </c>
      <c r="Q1730" s="1">
        <v>0</v>
      </c>
      <c r="R1730">
        <v>1.9818199999999999</v>
      </c>
      <c r="S1730" s="2">
        <v>46020</v>
      </c>
      <c r="T1730" s="2">
        <v>46256</v>
      </c>
      <c r="U1730">
        <v>0</v>
      </c>
      <c r="V1730">
        <v>0</v>
      </c>
      <c r="W1730">
        <v>0</v>
      </c>
      <c r="X1730">
        <v>0</v>
      </c>
      <c r="Y1730">
        <v>0</v>
      </c>
      <c r="Z1730" s="8">
        <v>0</v>
      </c>
      <c r="AA1730">
        <v>0</v>
      </c>
      <c r="AB1730" t="s">
        <v>1635</v>
      </c>
      <c r="AC1730" t="s">
        <v>1635</v>
      </c>
      <c r="AD1730" s="1" t="s">
        <v>1635</v>
      </c>
      <c r="AE1730" s="2" t="s">
        <v>1635</v>
      </c>
      <c r="AF1730" s="2" t="s">
        <v>1635</v>
      </c>
      <c r="AG1730" s="2" t="s">
        <v>1635</v>
      </c>
      <c r="AH1730">
        <v>630</v>
      </c>
      <c r="AI1730" s="3" t="s">
        <v>1635</v>
      </c>
      <c r="AJ1730" s="1">
        <v>0</v>
      </c>
      <c r="AK1730" s="2">
        <v>46263</v>
      </c>
      <c r="AL1730" s="4" t="s">
        <v>1636</v>
      </c>
      <c r="AM1730" s="5" t="s">
        <v>1636</v>
      </c>
      <c r="AN1730" s="4">
        <v>0</v>
      </c>
      <c r="AO1730" t="s">
        <v>1635</v>
      </c>
      <c r="AP1730" s="4" t="s">
        <v>1636</v>
      </c>
      <c r="AQ1730" t="s">
        <v>1619</v>
      </c>
      <c r="AR1730" t="s">
        <v>1620</v>
      </c>
      <c r="AT1730" s="16" t="str">
        <f>_xlfn.XLOOKUP(B1730,'SWiSH Demand Forecast Sep-26'!D:D,'SWiSH Demand Forecast Sep-26'!G:G,"Not Exist")</f>
        <v>Not Exist</v>
      </c>
    </row>
    <row r="1731" spans="1:46" x14ac:dyDescent="0.3">
      <c r="A1731">
        <v>104200070</v>
      </c>
      <c r="B1731" t="s">
        <v>3588</v>
      </c>
      <c r="C1731" t="s">
        <v>10</v>
      </c>
      <c r="D1731" t="s">
        <v>1629</v>
      </c>
      <c r="E1731" t="s">
        <v>1775</v>
      </c>
      <c r="F1731" t="s">
        <v>1650</v>
      </c>
      <c r="G1731" t="s">
        <v>1704</v>
      </c>
      <c r="H1731" t="s">
        <v>1633</v>
      </c>
      <c r="I1731" t="s">
        <v>1634</v>
      </c>
      <c r="J1731" t="e">
        <v>#N/A</v>
      </c>
      <c r="K1731">
        <v>14</v>
      </c>
      <c r="L1731">
        <v>0</v>
      </c>
      <c r="M1731" s="1">
        <v>30</v>
      </c>
      <c r="N1731">
        <v>0</v>
      </c>
      <c r="O1731">
        <v>0</v>
      </c>
      <c r="P1731">
        <v>0</v>
      </c>
      <c r="Q1731" s="1">
        <v>0</v>
      </c>
      <c r="R1731">
        <v>14</v>
      </c>
      <c r="S1731" s="2">
        <v>44470</v>
      </c>
      <c r="T1731" s="2">
        <v>45858</v>
      </c>
      <c r="U1731">
        <v>0</v>
      </c>
      <c r="V1731">
        <v>0</v>
      </c>
      <c r="W1731">
        <v>0</v>
      </c>
      <c r="X1731">
        <v>0</v>
      </c>
      <c r="Y1731">
        <v>0</v>
      </c>
      <c r="Z1731" s="8">
        <v>0</v>
      </c>
      <c r="AA1731">
        <v>0</v>
      </c>
      <c r="AB1731" t="s">
        <v>1635</v>
      </c>
      <c r="AC1731" t="s">
        <v>1635</v>
      </c>
      <c r="AD1731" s="1" t="s">
        <v>1635</v>
      </c>
      <c r="AE1731" s="2" t="s">
        <v>1635</v>
      </c>
      <c r="AF1731" s="2" t="s">
        <v>1635</v>
      </c>
      <c r="AG1731" s="2" t="s">
        <v>1635</v>
      </c>
      <c r="AH1731">
        <v>0</v>
      </c>
      <c r="AI1731" s="3" t="s">
        <v>1635</v>
      </c>
      <c r="AJ1731" s="1" t="s">
        <v>1635</v>
      </c>
      <c r="AK1731" s="2" t="s">
        <v>1635</v>
      </c>
      <c r="AL1731" s="4" t="s">
        <v>1636</v>
      </c>
      <c r="AM1731" s="5" t="s">
        <v>1636</v>
      </c>
      <c r="AN1731" s="4">
        <v>0</v>
      </c>
      <c r="AO1731" t="s">
        <v>1635</v>
      </c>
      <c r="AP1731" s="4" t="s">
        <v>1636</v>
      </c>
      <c r="AQ1731" t="s">
        <v>1619</v>
      </c>
      <c r="AR1731" t="s">
        <v>1620</v>
      </c>
      <c r="AT1731" s="16" t="str">
        <f>_xlfn.XLOOKUP(B1731,'SWiSH Demand Forecast Sep-26'!D:D,'SWiSH Demand Forecast Sep-26'!G:G,"Not Exist")</f>
        <v>Not Exist</v>
      </c>
    </row>
    <row r="1732" spans="1:46" x14ac:dyDescent="0.3">
      <c r="A1732">
        <v>101400065</v>
      </c>
      <c r="B1732" t="s">
        <v>3589</v>
      </c>
      <c r="C1732" t="s">
        <v>10</v>
      </c>
      <c r="D1732" t="s">
        <v>1629</v>
      </c>
      <c r="E1732" t="s">
        <v>1701</v>
      </c>
      <c r="F1732" t="s">
        <v>1644</v>
      </c>
      <c r="G1732" t="s">
        <v>1678</v>
      </c>
      <c r="H1732" t="s">
        <v>1693</v>
      </c>
      <c r="I1732" t="s">
        <v>1634</v>
      </c>
      <c r="J1732" t="s">
        <v>10</v>
      </c>
      <c r="K1732">
        <v>1.36</v>
      </c>
      <c r="L1732">
        <v>0</v>
      </c>
      <c r="M1732" s="1">
        <v>3</v>
      </c>
      <c r="N1732">
        <v>0</v>
      </c>
      <c r="O1732">
        <v>0</v>
      </c>
      <c r="P1732">
        <v>0</v>
      </c>
      <c r="Q1732" s="1">
        <v>0</v>
      </c>
      <c r="R1732">
        <v>1.36</v>
      </c>
      <c r="S1732" s="2">
        <v>45873</v>
      </c>
      <c r="T1732" s="2">
        <v>45976</v>
      </c>
      <c r="U1732">
        <v>0</v>
      </c>
      <c r="V1732">
        <v>0</v>
      </c>
      <c r="W1732">
        <v>0</v>
      </c>
      <c r="X1732">
        <v>0</v>
      </c>
      <c r="Y1732">
        <v>0</v>
      </c>
      <c r="Z1732" s="8">
        <v>0</v>
      </c>
      <c r="AA1732">
        <v>0</v>
      </c>
      <c r="AB1732" t="s">
        <v>1635</v>
      </c>
      <c r="AC1732" t="s">
        <v>1635</v>
      </c>
      <c r="AD1732" s="1" t="s">
        <v>1635</v>
      </c>
      <c r="AE1732" s="2" t="s">
        <v>1635</v>
      </c>
      <c r="AF1732" s="2" t="s">
        <v>1635</v>
      </c>
      <c r="AG1732" s="2" t="s">
        <v>1635</v>
      </c>
      <c r="AH1732">
        <v>0</v>
      </c>
      <c r="AI1732" s="3" t="s">
        <v>1635</v>
      </c>
      <c r="AJ1732" s="1" t="s">
        <v>1635</v>
      </c>
      <c r="AK1732" s="2" t="s">
        <v>1635</v>
      </c>
      <c r="AL1732" s="4" t="s">
        <v>1636</v>
      </c>
      <c r="AM1732" s="5" t="s">
        <v>1636</v>
      </c>
      <c r="AN1732" s="4">
        <v>0</v>
      </c>
      <c r="AO1732" t="s">
        <v>1635</v>
      </c>
      <c r="AP1732" s="4" t="s">
        <v>1636</v>
      </c>
      <c r="AQ1732" t="s">
        <v>1619</v>
      </c>
      <c r="AR1732" t="s">
        <v>1620</v>
      </c>
      <c r="AT1732" s="16" t="str">
        <f>_xlfn.XLOOKUP(B1732,'SWiSH Demand Forecast Sep-26'!D:D,'SWiSH Demand Forecast Sep-26'!G:G,"Not Exist")</f>
        <v>Not Exist</v>
      </c>
    </row>
    <row r="1733" spans="1:46" x14ac:dyDescent="0.3">
      <c r="A1733">
        <v>106700085</v>
      </c>
      <c r="B1733" t="s">
        <v>3590</v>
      </c>
      <c r="C1733" t="s">
        <v>10</v>
      </c>
      <c r="D1733" t="s">
        <v>1789</v>
      </c>
      <c r="E1733" t="s">
        <v>1643</v>
      </c>
      <c r="F1733" t="s">
        <v>1650</v>
      </c>
      <c r="G1733" t="s">
        <v>1624</v>
      </c>
      <c r="H1733" t="s">
        <v>1651</v>
      </c>
      <c r="I1733" t="s">
        <v>1634</v>
      </c>
      <c r="J1733" t="s">
        <v>3591</v>
      </c>
      <c r="K1733">
        <v>0.04</v>
      </c>
      <c r="L1733">
        <v>240</v>
      </c>
      <c r="M1733" s="1">
        <v>3</v>
      </c>
      <c r="N1733">
        <v>0</v>
      </c>
      <c r="O1733">
        <v>6000</v>
      </c>
      <c r="P1733">
        <v>6000</v>
      </c>
      <c r="Q1733" s="1">
        <v>0</v>
      </c>
      <c r="R1733">
        <v>0.5</v>
      </c>
      <c r="S1733" s="2">
        <v>46243</v>
      </c>
      <c r="T1733" s="2">
        <v>45958</v>
      </c>
      <c r="U1733">
        <v>0</v>
      </c>
      <c r="V1733">
        <v>0</v>
      </c>
      <c r="W1733">
        <v>0</v>
      </c>
      <c r="X1733">
        <v>0</v>
      </c>
      <c r="Y1733">
        <v>0</v>
      </c>
      <c r="Z1733" s="8">
        <v>0</v>
      </c>
      <c r="AA1733">
        <v>0</v>
      </c>
      <c r="AB1733" t="s">
        <v>1635</v>
      </c>
      <c r="AC1733" t="s">
        <v>1635</v>
      </c>
      <c r="AD1733" s="1" t="s">
        <v>1635</v>
      </c>
      <c r="AE1733" s="2" t="s">
        <v>1635</v>
      </c>
      <c r="AF1733" s="2" t="s">
        <v>1635</v>
      </c>
      <c r="AG1733" s="2" t="s">
        <v>1635</v>
      </c>
      <c r="AH1733">
        <v>0</v>
      </c>
      <c r="AI1733" s="3" t="s">
        <v>1635</v>
      </c>
      <c r="AJ1733" s="1" t="s">
        <v>1635</v>
      </c>
      <c r="AK1733" s="2" t="s">
        <v>1635</v>
      </c>
      <c r="AL1733" s="4" t="s">
        <v>1658</v>
      </c>
      <c r="AM1733" s="5" t="s">
        <v>1658</v>
      </c>
      <c r="AN1733" s="4">
        <v>0</v>
      </c>
      <c r="AO1733" t="s">
        <v>1635</v>
      </c>
      <c r="AP1733" s="4" t="s">
        <v>1658</v>
      </c>
      <c r="AQ1733" t="s">
        <v>1619</v>
      </c>
      <c r="AR1733" t="s">
        <v>1620</v>
      </c>
      <c r="AT1733" s="16" t="str">
        <f>_xlfn.XLOOKUP(B1733,'SWiSH Demand Forecast Sep-26'!D:D,'SWiSH Demand Forecast Sep-26'!G:G,"Not Exist")</f>
        <v>Not Exist</v>
      </c>
    </row>
    <row r="1734" spans="1:46" x14ac:dyDescent="0.3">
      <c r="A1734">
        <v>107200019</v>
      </c>
      <c r="B1734" t="s">
        <v>3592</v>
      </c>
      <c r="C1734" t="s">
        <v>10</v>
      </c>
      <c r="D1734" t="s">
        <v>1629</v>
      </c>
      <c r="E1734" t="s">
        <v>1638</v>
      </c>
      <c r="F1734" t="s">
        <v>1656</v>
      </c>
      <c r="G1734" t="s">
        <v>1690</v>
      </c>
      <c r="H1734" t="s">
        <v>1657</v>
      </c>
      <c r="I1734" t="s">
        <v>1634</v>
      </c>
      <c r="J1734" t="s">
        <v>10</v>
      </c>
      <c r="K1734">
        <v>1.75</v>
      </c>
      <c r="L1734">
        <v>0</v>
      </c>
      <c r="M1734" s="1">
        <v>15</v>
      </c>
      <c r="N1734">
        <v>0</v>
      </c>
      <c r="O1734">
        <v>0</v>
      </c>
      <c r="P1734">
        <v>0</v>
      </c>
      <c r="Q1734" s="1">
        <v>0</v>
      </c>
      <c r="R1734">
        <v>1.75</v>
      </c>
      <c r="S1734" s="2">
        <v>45150</v>
      </c>
      <c r="T1734" s="2">
        <v>46135</v>
      </c>
      <c r="U1734">
        <v>0</v>
      </c>
      <c r="V1734">
        <v>0</v>
      </c>
      <c r="W1734">
        <v>0</v>
      </c>
      <c r="X1734">
        <v>0</v>
      </c>
      <c r="Y1734">
        <v>0</v>
      </c>
      <c r="Z1734" s="8">
        <v>0</v>
      </c>
      <c r="AA1734">
        <v>0</v>
      </c>
      <c r="AB1734" t="s">
        <v>1635</v>
      </c>
      <c r="AC1734" t="s">
        <v>1635</v>
      </c>
      <c r="AD1734" s="1" t="s">
        <v>1635</v>
      </c>
      <c r="AE1734" s="2" t="s">
        <v>1635</v>
      </c>
      <c r="AF1734" s="2" t="s">
        <v>1635</v>
      </c>
      <c r="AG1734" s="2" t="s">
        <v>1635</v>
      </c>
      <c r="AH1734">
        <v>0</v>
      </c>
      <c r="AI1734" s="3" t="s">
        <v>1635</v>
      </c>
      <c r="AJ1734" s="1" t="s">
        <v>1635</v>
      </c>
      <c r="AK1734" s="2" t="s">
        <v>1635</v>
      </c>
      <c r="AL1734" s="4" t="s">
        <v>1636</v>
      </c>
      <c r="AM1734" s="5" t="s">
        <v>1636</v>
      </c>
      <c r="AN1734" s="4">
        <v>0</v>
      </c>
      <c r="AO1734" t="s">
        <v>1635</v>
      </c>
      <c r="AP1734" s="4" t="s">
        <v>1636</v>
      </c>
      <c r="AQ1734" t="s">
        <v>1619</v>
      </c>
      <c r="AR1734" t="s">
        <v>1620</v>
      </c>
      <c r="AT1734" s="16" t="str">
        <f>_xlfn.XLOOKUP(B1734,'SWiSH Demand Forecast Sep-26'!D:D,'SWiSH Demand Forecast Sep-26'!G:G,"Not Exist")</f>
        <v>Not Exist</v>
      </c>
    </row>
    <row r="1735" spans="1:46" x14ac:dyDescent="0.3">
      <c r="A1735">
        <v>107200134</v>
      </c>
      <c r="B1735" t="s">
        <v>3593</v>
      </c>
      <c r="C1735" t="s">
        <v>10</v>
      </c>
      <c r="D1735" t="s">
        <v>1789</v>
      </c>
      <c r="E1735" t="s">
        <v>1926</v>
      </c>
      <c r="F1735" t="s">
        <v>1656</v>
      </c>
      <c r="G1735" t="s">
        <v>1690</v>
      </c>
      <c r="H1735" t="s">
        <v>1657</v>
      </c>
      <c r="I1735" t="s">
        <v>1634</v>
      </c>
      <c r="J1735" t="s">
        <v>10</v>
      </c>
      <c r="K1735">
        <v>2.75</v>
      </c>
      <c r="L1735">
        <v>0</v>
      </c>
      <c r="M1735" s="1">
        <v>15</v>
      </c>
      <c r="N1735">
        <v>0</v>
      </c>
      <c r="O1735">
        <v>0</v>
      </c>
      <c r="P1735">
        <v>0</v>
      </c>
      <c r="Q1735" s="1">
        <v>0</v>
      </c>
      <c r="R1735">
        <v>2.75</v>
      </c>
      <c r="S1735" s="2">
        <v>45969</v>
      </c>
      <c r="T1735" s="2">
        <v>46183</v>
      </c>
      <c r="U1735">
        <v>0</v>
      </c>
      <c r="V1735">
        <v>0</v>
      </c>
      <c r="W1735">
        <v>0</v>
      </c>
      <c r="X1735">
        <v>0</v>
      </c>
      <c r="Y1735">
        <v>0</v>
      </c>
      <c r="Z1735" s="8">
        <v>0</v>
      </c>
      <c r="AA1735">
        <v>0</v>
      </c>
      <c r="AB1735" t="s">
        <v>1635</v>
      </c>
      <c r="AC1735" t="s">
        <v>1635</v>
      </c>
      <c r="AD1735" s="1" t="s">
        <v>1635</v>
      </c>
      <c r="AE1735" s="2" t="s">
        <v>1635</v>
      </c>
      <c r="AF1735" s="2" t="s">
        <v>1635</v>
      </c>
      <c r="AG1735" s="2" t="s">
        <v>1635</v>
      </c>
      <c r="AH1735">
        <v>0</v>
      </c>
      <c r="AI1735" s="3" t="s">
        <v>1635</v>
      </c>
      <c r="AJ1735" s="1" t="s">
        <v>1635</v>
      </c>
      <c r="AK1735" s="2" t="s">
        <v>1635</v>
      </c>
      <c r="AL1735" s="4" t="s">
        <v>1658</v>
      </c>
      <c r="AM1735" s="5" t="s">
        <v>1658</v>
      </c>
      <c r="AN1735" s="4">
        <v>0</v>
      </c>
      <c r="AO1735" t="s">
        <v>1635</v>
      </c>
      <c r="AP1735" s="4" t="s">
        <v>1658</v>
      </c>
      <c r="AQ1735" t="s">
        <v>1619</v>
      </c>
      <c r="AR1735" t="s">
        <v>1620</v>
      </c>
      <c r="AT1735" s="16" t="str">
        <f>_xlfn.XLOOKUP(B1735,'SWiSH Demand Forecast Sep-26'!D:D,'SWiSH Demand Forecast Sep-26'!G:G,"Not Exist")</f>
        <v>Not Exist</v>
      </c>
    </row>
    <row r="1736" spans="1:46" x14ac:dyDescent="0.3">
      <c r="A1736">
        <v>101600003</v>
      </c>
      <c r="B1736" t="s">
        <v>3594</v>
      </c>
      <c r="C1736" t="s">
        <v>10</v>
      </c>
      <c r="D1736" t="s">
        <v>1629</v>
      </c>
      <c r="E1736" t="s">
        <v>2483</v>
      </c>
      <c r="F1736" t="s">
        <v>1631</v>
      </c>
      <c r="G1736" t="s">
        <v>1704</v>
      </c>
      <c r="H1736" t="s">
        <v>1768</v>
      </c>
      <c r="I1736" t="s">
        <v>1634</v>
      </c>
      <c r="J1736" t="e">
        <v>#N/A</v>
      </c>
      <c r="K1736">
        <v>1.4999999999999999E-2</v>
      </c>
      <c r="L1736">
        <v>0</v>
      </c>
      <c r="M1736" s="1">
        <v>3</v>
      </c>
      <c r="N1736">
        <v>0</v>
      </c>
      <c r="O1736">
        <v>0</v>
      </c>
      <c r="P1736">
        <v>0</v>
      </c>
      <c r="Q1736" s="1">
        <v>0</v>
      </c>
      <c r="R1736">
        <v>1.4999999999999999E-2</v>
      </c>
      <c r="S1736" s="2">
        <v>44084</v>
      </c>
      <c r="T1736" s="2">
        <v>45777</v>
      </c>
      <c r="U1736">
        <v>0</v>
      </c>
      <c r="V1736">
        <v>0</v>
      </c>
      <c r="W1736">
        <v>0</v>
      </c>
      <c r="X1736">
        <v>0</v>
      </c>
      <c r="Y1736">
        <v>0</v>
      </c>
      <c r="Z1736" s="8">
        <v>0</v>
      </c>
      <c r="AA1736">
        <v>0</v>
      </c>
      <c r="AB1736" t="s">
        <v>1635</v>
      </c>
      <c r="AC1736" t="s">
        <v>1635</v>
      </c>
      <c r="AD1736" s="1" t="s">
        <v>1635</v>
      </c>
      <c r="AE1736" s="2" t="s">
        <v>1635</v>
      </c>
      <c r="AF1736" s="2" t="s">
        <v>1635</v>
      </c>
      <c r="AG1736" s="2" t="s">
        <v>1635</v>
      </c>
      <c r="AH1736">
        <v>0</v>
      </c>
      <c r="AI1736" s="3" t="s">
        <v>1635</v>
      </c>
      <c r="AJ1736" s="1" t="s">
        <v>1635</v>
      </c>
      <c r="AK1736" s="2" t="s">
        <v>1635</v>
      </c>
      <c r="AL1736" s="4" t="s">
        <v>1636</v>
      </c>
      <c r="AM1736" s="5" t="s">
        <v>1636</v>
      </c>
      <c r="AN1736" s="4">
        <v>0</v>
      </c>
      <c r="AO1736" t="s">
        <v>1635</v>
      </c>
      <c r="AP1736" s="4" t="s">
        <v>1636</v>
      </c>
      <c r="AQ1736" t="s">
        <v>1619</v>
      </c>
      <c r="AR1736" t="s">
        <v>1620</v>
      </c>
      <c r="AT1736" s="16" t="str">
        <f>_xlfn.XLOOKUP(B1736,'SWiSH Demand Forecast Sep-26'!D:D,'SWiSH Demand Forecast Sep-26'!G:G,"Not Exist")</f>
        <v>Not Exist</v>
      </c>
    </row>
    <row r="1737" spans="1:46" x14ac:dyDescent="0.3">
      <c r="A1737">
        <v>104200026</v>
      </c>
      <c r="B1737" t="s">
        <v>3595</v>
      </c>
      <c r="C1737" t="s">
        <v>10</v>
      </c>
      <c r="D1737" t="s">
        <v>1629</v>
      </c>
      <c r="E1737" t="s">
        <v>1832</v>
      </c>
      <c r="F1737" t="s">
        <v>1631</v>
      </c>
      <c r="G1737" t="s">
        <v>1632</v>
      </c>
      <c r="H1737" t="s">
        <v>1633</v>
      </c>
      <c r="I1737" t="s">
        <v>1634</v>
      </c>
      <c r="J1737" t="s">
        <v>2412</v>
      </c>
      <c r="K1737">
        <v>1.03E-2</v>
      </c>
      <c r="L1737">
        <v>0</v>
      </c>
      <c r="M1737" s="1">
        <v>3</v>
      </c>
      <c r="N1737">
        <v>0</v>
      </c>
      <c r="O1737">
        <v>0</v>
      </c>
      <c r="P1737">
        <v>0</v>
      </c>
      <c r="Q1737" s="1">
        <v>0</v>
      </c>
      <c r="R1737">
        <v>5.15</v>
      </c>
      <c r="S1737" s="2">
        <v>45883</v>
      </c>
      <c r="T1737" s="2">
        <v>46053</v>
      </c>
      <c r="U1737">
        <v>0</v>
      </c>
      <c r="V1737">
        <v>0</v>
      </c>
      <c r="W1737">
        <v>0</v>
      </c>
      <c r="X1737">
        <v>0</v>
      </c>
      <c r="Y1737">
        <v>0</v>
      </c>
      <c r="Z1737" s="8">
        <v>0</v>
      </c>
      <c r="AA1737">
        <v>0</v>
      </c>
      <c r="AB1737" t="s">
        <v>1635</v>
      </c>
      <c r="AC1737" t="s">
        <v>1635</v>
      </c>
      <c r="AD1737" s="1" t="s">
        <v>1635</v>
      </c>
      <c r="AE1737" s="2" t="s">
        <v>1635</v>
      </c>
      <c r="AF1737" s="2" t="s">
        <v>1635</v>
      </c>
      <c r="AG1737" s="2" t="s">
        <v>1635</v>
      </c>
      <c r="AH1737">
        <v>0</v>
      </c>
      <c r="AI1737" s="3" t="s">
        <v>1635</v>
      </c>
      <c r="AJ1737" s="1" t="s">
        <v>1635</v>
      </c>
      <c r="AK1737" s="2" t="s">
        <v>1635</v>
      </c>
      <c r="AL1737" s="4" t="s">
        <v>1636</v>
      </c>
      <c r="AM1737" s="5" t="s">
        <v>1636</v>
      </c>
      <c r="AN1737" s="4">
        <v>0</v>
      </c>
      <c r="AO1737" t="s">
        <v>1635</v>
      </c>
      <c r="AP1737" s="4" t="s">
        <v>1636</v>
      </c>
      <c r="AQ1737" t="s">
        <v>1619</v>
      </c>
      <c r="AR1737" t="s">
        <v>1620</v>
      </c>
      <c r="AT1737" s="16" t="str">
        <f>_xlfn.XLOOKUP(B1737,'SWiSH Demand Forecast Sep-26'!D:D,'SWiSH Demand Forecast Sep-26'!G:G,"Not Exist")</f>
        <v>Not Exist</v>
      </c>
    </row>
    <row r="1738" spans="1:46" x14ac:dyDescent="0.3">
      <c r="A1738" t="s">
        <v>3321</v>
      </c>
      <c r="B1738" t="s">
        <v>3596</v>
      </c>
      <c r="C1738" t="s">
        <v>10</v>
      </c>
      <c r="D1738" t="s">
        <v>1629</v>
      </c>
      <c r="E1738" t="s">
        <v>1784</v>
      </c>
      <c r="F1738" t="s">
        <v>1631</v>
      </c>
      <c r="G1738" t="e">
        <v>#N/A</v>
      </c>
      <c r="H1738" t="s">
        <v>1978</v>
      </c>
      <c r="I1738" t="s">
        <v>1634</v>
      </c>
      <c r="J1738" t="s">
        <v>2113</v>
      </c>
      <c r="K1738" t="e">
        <v>#N/A</v>
      </c>
      <c r="L1738" t="e">
        <v>#N/A</v>
      </c>
      <c r="M1738" s="1">
        <v>7</v>
      </c>
      <c r="N1738">
        <v>0</v>
      </c>
      <c r="O1738">
        <v>0</v>
      </c>
      <c r="P1738">
        <v>0</v>
      </c>
      <c r="Q1738" s="1">
        <v>0</v>
      </c>
      <c r="R1738" t="e">
        <v>#N/A</v>
      </c>
      <c r="S1738" s="2" t="e">
        <v>#N/A</v>
      </c>
      <c r="T1738" s="2" t="e">
        <v>#N/A</v>
      </c>
      <c r="U1738">
        <v>0</v>
      </c>
      <c r="V1738">
        <v>0</v>
      </c>
      <c r="W1738">
        <v>0</v>
      </c>
      <c r="X1738">
        <v>0</v>
      </c>
      <c r="Y1738">
        <v>0</v>
      </c>
      <c r="Z1738" s="8">
        <v>0</v>
      </c>
      <c r="AA1738">
        <v>0</v>
      </c>
      <c r="AB1738" t="s">
        <v>1635</v>
      </c>
      <c r="AC1738" t="s">
        <v>1635</v>
      </c>
      <c r="AD1738" s="1" t="s">
        <v>1635</v>
      </c>
      <c r="AE1738" s="2" t="s">
        <v>1635</v>
      </c>
      <c r="AF1738" s="2" t="s">
        <v>1635</v>
      </c>
      <c r="AG1738" s="2" t="s">
        <v>1635</v>
      </c>
      <c r="AH1738">
        <v>0</v>
      </c>
      <c r="AI1738" s="3" t="s">
        <v>1635</v>
      </c>
      <c r="AJ1738" s="1" t="s">
        <v>1635</v>
      </c>
      <c r="AK1738" s="2" t="s">
        <v>1635</v>
      </c>
      <c r="AL1738" s="4" t="s">
        <v>1636</v>
      </c>
      <c r="AM1738" s="5" t="s">
        <v>1636</v>
      </c>
      <c r="AN1738" s="4">
        <v>0</v>
      </c>
      <c r="AO1738" t="s">
        <v>1635</v>
      </c>
      <c r="AP1738" s="4" t="s">
        <v>1636</v>
      </c>
      <c r="AQ1738" t="s">
        <v>1619</v>
      </c>
      <c r="AR1738" t="s">
        <v>1620</v>
      </c>
      <c r="AT1738" s="16" t="str">
        <f>_xlfn.XLOOKUP(B1738,'SWiSH Demand Forecast Sep-26'!D:D,'SWiSH Demand Forecast Sep-26'!G:G,"Not Exist")</f>
        <v>Not Exist</v>
      </c>
    </row>
    <row r="1739" spans="1:46" x14ac:dyDescent="0.3">
      <c r="A1739">
        <v>100800008</v>
      </c>
      <c r="B1739" t="s">
        <v>3597</v>
      </c>
      <c r="C1739" t="s">
        <v>10</v>
      </c>
      <c r="D1739" t="s">
        <v>1629</v>
      </c>
      <c r="E1739" t="s">
        <v>1913</v>
      </c>
      <c r="F1739" t="s">
        <v>1639</v>
      </c>
      <c r="G1739" t="s">
        <v>1616</v>
      </c>
      <c r="H1739" t="s">
        <v>1914</v>
      </c>
      <c r="I1739" t="s">
        <v>1618</v>
      </c>
      <c r="J1739" t="s">
        <v>1781</v>
      </c>
      <c r="K1739">
        <v>0.10303042</v>
      </c>
      <c r="L1739">
        <v>0</v>
      </c>
      <c r="M1739" s="1">
        <v>3</v>
      </c>
      <c r="N1739">
        <v>0</v>
      </c>
      <c r="O1739">
        <v>0</v>
      </c>
      <c r="P1739">
        <v>0</v>
      </c>
      <c r="Q1739" s="1">
        <v>0</v>
      </c>
      <c r="R1739">
        <v>2.4727299999999999</v>
      </c>
      <c r="S1739" s="2">
        <v>46109</v>
      </c>
      <c r="T1739" s="2">
        <v>46109</v>
      </c>
      <c r="U1739">
        <v>0</v>
      </c>
      <c r="V1739">
        <v>0</v>
      </c>
      <c r="W1739">
        <v>0</v>
      </c>
      <c r="X1739">
        <v>0</v>
      </c>
      <c r="Y1739">
        <v>0</v>
      </c>
      <c r="Z1739" s="8">
        <v>0</v>
      </c>
      <c r="AA1739">
        <v>0</v>
      </c>
      <c r="AB1739" t="s">
        <v>1635</v>
      </c>
      <c r="AC1739" t="s">
        <v>1635</v>
      </c>
      <c r="AD1739" s="1" t="s">
        <v>1635</v>
      </c>
      <c r="AE1739" s="2" t="s">
        <v>1635</v>
      </c>
      <c r="AF1739" s="2" t="s">
        <v>1635</v>
      </c>
      <c r="AG1739" s="2" t="s">
        <v>1635</v>
      </c>
      <c r="AH1739">
        <v>0</v>
      </c>
      <c r="AI1739" s="3" t="s">
        <v>1635</v>
      </c>
      <c r="AJ1739" s="1" t="s">
        <v>1635</v>
      </c>
      <c r="AK1739" s="2" t="s">
        <v>1635</v>
      </c>
      <c r="AL1739" s="4" t="s">
        <v>1636</v>
      </c>
      <c r="AM1739" s="5" t="s">
        <v>1636</v>
      </c>
      <c r="AN1739" s="4">
        <v>0</v>
      </c>
      <c r="AO1739" t="s">
        <v>1635</v>
      </c>
      <c r="AP1739" s="4" t="s">
        <v>1636</v>
      </c>
      <c r="AQ1739" t="s">
        <v>1619</v>
      </c>
      <c r="AR1739" t="s">
        <v>1620</v>
      </c>
      <c r="AT1739" s="16" t="str">
        <f>_xlfn.XLOOKUP(B1739,'SWiSH Demand Forecast Sep-26'!D:D,'SWiSH Demand Forecast Sep-26'!G:G,"Not Exist")</f>
        <v>Not Exist</v>
      </c>
    </row>
    <row r="1740" spans="1:46" x14ac:dyDescent="0.3">
      <c r="A1740">
        <v>101600026</v>
      </c>
      <c r="B1740" t="s">
        <v>3598</v>
      </c>
      <c r="C1740" t="s">
        <v>10</v>
      </c>
      <c r="D1740" t="s">
        <v>1675</v>
      </c>
      <c r="E1740" t="e">
        <v>#N/A</v>
      </c>
      <c r="F1740" t="s">
        <v>1631</v>
      </c>
      <c r="G1740" t="e">
        <v>#N/A</v>
      </c>
      <c r="H1740" t="s">
        <v>1768</v>
      </c>
      <c r="I1740" t="s">
        <v>1634</v>
      </c>
      <c r="J1740" t="e">
        <v>#N/A</v>
      </c>
      <c r="K1740" t="e">
        <v>#N/A</v>
      </c>
      <c r="L1740" t="e">
        <v>#N/A</v>
      </c>
      <c r="M1740" s="1">
        <v>3</v>
      </c>
      <c r="N1740">
        <v>0</v>
      </c>
      <c r="O1740">
        <v>0</v>
      </c>
      <c r="P1740">
        <v>0</v>
      </c>
      <c r="Q1740" s="1">
        <v>0</v>
      </c>
      <c r="R1740">
        <v>5.0000000000000001E-3</v>
      </c>
      <c r="S1740" s="2">
        <v>43908</v>
      </c>
      <c r="T1740" s="2">
        <v>45807</v>
      </c>
      <c r="U1740">
        <v>0</v>
      </c>
      <c r="V1740">
        <v>0</v>
      </c>
      <c r="W1740">
        <v>0</v>
      </c>
      <c r="X1740">
        <v>0</v>
      </c>
      <c r="Y1740">
        <v>0</v>
      </c>
      <c r="Z1740" s="8">
        <v>0</v>
      </c>
      <c r="AA1740">
        <v>0</v>
      </c>
      <c r="AB1740" t="s">
        <v>1635</v>
      </c>
      <c r="AC1740" t="s">
        <v>1635</v>
      </c>
      <c r="AD1740" s="1" t="s">
        <v>1635</v>
      </c>
      <c r="AE1740" s="2" t="s">
        <v>1635</v>
      </c>
      <c r="AF1740" s="2" t="s">
        <v>1635</v>
      </c>
      <c r="AG1740" s="2" t="s">
        <v>1635</v>
      </c>
      <c r="AH1740">
        <v>0</v>
      </c>
      <c r="AI1740" s="3" t="s">
        <v>1635</v>
      </c>
      <c r="AJ1740" s="1" t="s">
        <v>1635</v>
      </c>
      <c r="AK1740" s="2" t="s">
        <v>1635</v>
      </c>
      <c r="AL1740" s="4" t="s">
        <v>1658</v>
      </c>
      <c r="AM1740" s="5" t="s">
        <v>1658</v>
      </c>
      <c r="AN1740" s="4">
        <v>0</v>
      </c>
      <c r="AO1740" t="s">
        <v>1635</v>
      </c>
      <c r="AP1740" s="4" t="s">
        <v>1658</v>
      </c>
      <c r="AQ1740" t="s">
        <v>1619</v>
      </c>
      <c r="AR1740" t="s">
        <v>1620</v>
      </c>
      <c r="AT1740" s="16" t="str">
        <f>_xlfn.XLOOKUP(B1740,'SWiSH Demand Forecast Sep-26'!D:D,'SWiSH Demand Forecast Sep-26'!G:G,"Not Exist")</f>
        <v>Not Exist</v>
      </c>
    </row>
    <row r="1741" spans="1:46" x14ac:dyDescent="0.3">
      <c r="A1741">
        <v>100800014</v>
      </c>
      <c r="B1741" t="s">
        <v>3599</v>
      </c>
      <c r="C1741" t="s">
        <v>10</v>
      </c>
      <c r="D1741" t="s">
        <v>1629</v>
      </c>
      <c r="E1741" t="s">
        <v>3600</v>
      </c>
      <c r="F1741" t="s">
        <v>1639</v>
      </c>
      <c r="G1741" t="s">
        <v>1616</v>
      </c>
      <c r="H1741" t="s">
        <v>1914</v>
      </c>
      <c r="I1741" t="s">
        <v>1618</v>
      </c>
      <c r="J1741" t="s">
        <v>1781</v>
      </c>
      <c r="K1741">
        <v>0.10303042</v>
      </c>
      <c r="L1741">
        <v>0</v>
      </c>
      <c r="M1741" s="1">
        <v>3</v>
      </c>
      <c r="N1741">
        <v>0</v>
      </c>
      <c r="O1741">
        <v>0</v>
      </c>
      <c r="P1741">
        <v>0</v>
      </c>
      <c r="Q1741" s="1">
        <v>0</v>
      </c>
      <c r="R1741">
        <v>2.4727299999999999</v>
      </c>
      <c r="S1741" s="2">
        <v>46109</v>
      </c>
      <c r="T1741" s="2">
        <v>46248</v>
      </c>
      <c r="U1741">
        <v>0</v>
      </c>
      <c r="V1741">
        <v>0</v>
      </c>
      <c r="W1741">
        <v>0</v>
      </c>
      <c r="X1741">
        <v>0</v>
      </c>
      <c r="Y1741">
        <v>0</v>
      </c>
      <c r="Z1741" s="8">
        <v>0</v>
      </c>
      <c r="AA1741">
        <v>0</v>
      </c>
      <c r="AB1741" t="s">
        <v>1635</v>
      </c>
      <c r="AC1741" t="s">
        <v>1635</v>
      </c>
      <c r="AD1741" s="1" t="s">
        <v>1635</v>
      </c>
      <c r="AE1741" s="2" t="s">
        <v>1635</v>
      </c>
      <c r="AF1741" s="2" t="s">
        <v>1635</v>
      </c>
      <c r="AG1741" s="2" t="s">
        <v>1635</v>
      </c>
      <c r="AH1741">
        <v>72</v>
      </c>
      <c r="AI1741" s="3" t="s">
        <v>1635</v>
      </c>
      <c r="AJ1741" s="1">
        <v>0</v>
      </c>
      <c r="AK1741" s="2">
        <v>46263</v>
      </c>
      <c r="AL1741" s="4" t="s">
        <v>1636</v>
      </c>
      <c r="AM1741" s="5" t="s">
        <v>1636</v>
      </c>
      <c r="AN1741" s="4">
        <v>0</v>
      </c>
      <c r="AO1741" t="s">
        <v>1635</v>
      </c>
      <c r="AP1741" s="4" t="s">
        <v>1636</v>
      </c>
      <c r="AQ1741" t="s">
        <v>1619</v>
      </c>
      <c r="AR1741" t="s">
        <v>1794</v>
      </c>
      <c r="AT1741" s="16" t="str">
        <f>_xlfn.XLOOKUP(B1741,'SWiSH Demand Forecast Sep-26'!D:D,'SWiSH Demand Forecast Sep-26'!G:G,"Not Exist")</f>
        <v>Not Exist</v>
      </c>
    </row>
    <row r="1742" spans="1:46" x14ac:dyDescent="0.3">
      <c r="A1742">
        <v>100800000</v>
      </c>
      <c r="B1742" t="s">
        <v>3601</v>
      </c>
      <c r="C1742" t="s">
        <v>10</v>
      </c>
      <c r="D1742" t="s">
        <v>1629</v>
      </c>
      <c r="E1742" t="s">
        <v>3393</v>
      </c>
      <c r="F1742" t="s">
        <v>1639</v>
      </c>
      <c r="G1742" t="s">
        <v>1616</v>
      </c>
      <c r="H1742" t="s">
        <v>1914</v>
      </c>
      <c r="I1742" t="s">
        <v>1618</v>
      </c>
      <c r="J1742" t="s">
        <v>1781</v>
      </c>
      <c r="K1742">
        <v>0.10303042</v>
      </c>
      <c r="L1742">
        <v>0</v>
      </c>
      <c r="M1742" s="1">
        <v>3</v>
      </c>
      <c r="N1742">
        <v>0</v>
      </c>
      <c r="O1742">
        <v>0</v>
      </c>
      <c r="P1742">
        <v>0</v>
      </c>
      <c r="Q1742" s="1">
        <v>0</v>
      </c>
      <c r="R1742">
        <v>2.4727299999999999</v>
      </c>
      <c r="S1742" s="2">
        <v>45970</v>
      </c>
      <c r="T1742" s="2">
        <v>46247</v>
      </c>
      <c r="U1742">
        <v>0</v>
      </c>
      <c r="V1742">
        <v>0</v>
      </c>
      <c r="W1742">
        <v>0</v>
      </c>
      <c r="X1742">
        <v>0</v>
      </c>
      <c r="Y1742">
        <v>0</v>
      </c>
      <c r="Z1742" s="8">
        <v>0</v>
      </c>
      <c r="AA1742">
        <v>0</v>
      </c>
      <c r="AB1742" t="s">
        <v>1635</v>
      </c>
      <c r="AC1742" t="s">
        <v>1635</v>
      </c>
      <c r="AD1742" s="1" t="s">
        <v>1635</v>
      </c>
      <c r="AE1742" s="2" t="s">
        <v>1635</v>
      </c>
      <c r="AF1742" s="2" t="s">
        <v>1635</v>
      </c>
      <c r="AG1742" s="2" t="s">
        <v>1635</v>
      </c>
      <c r="AH1742">
        <v>24</v>
      </c>
      <c r="AI1742" s="3" t="s">
        <v>1635</v>
      </c>
      <c r="AJ1742" s="1">
        <v>0</v>
      </c>
      <c r="AK1742" s="2">
        <v>46263</v>
      </c>
      <c r="AL1742" s="4" t="s">
        <v>1636</v>
      </c>
      <c r="AM1742" s="5" t="s">
        <v>1636</v>
      </c>
      <c r="AN1742" s="4">
        <v>0</v>
      </c>
      <c r="AO1742" t="s">
        <v>1635</v>
      </c>
      <c r="AP1742" s="4" t="s">
        <v>1636</v>
      </c>
      <c r="AQ1742" t="s">
        <v>1619</v>
      </c>
      <c r="AR1742" t="s">
        <v>1794</v>
      </c>
      <c r="AT1742" s="16" t="str">
        <f>_xlfn.XLOOKUP(B1742,'SWiSH Demand Forecast Sep-26'!D:D,'SWiSH Demand Forecast Sep-26'!G:G,"Not Exist")</f>
        <v>Not Exist</v>
      </c>
    </row>
    <row r="1743" spans="1:46" x14ac:dyDescent="0.3">
      <c r="A1743">
        <v>101400052</v>
      </c>
      <c r="B1743" t="s">
        <v>3602</v>
      </c>
      <c r="C1743" t="s">
        <v>240</v>
      </c>
      <c r="D1743" t="s">
        <v>1675</v>
      </c>
      <c r="E1743" t="e">
        <v>#N/A</v>
      </c>
      <c r="F1743" t="s">
        <v>1946</v>
      </c>
      <c r="G1743" t="s">
        <v>1704</v>
      </c>
      <c r="H1743" t="s">
        <v>1693</v>
      </c>
      <c r="I1743" t="s">
        <v>1634</v>
      </c>
      <c r="J1743" t="e">
        <v>#N/A</v>
      </c>
      <c r="K1743">
        <v>5.2249999999999996</v>
      </c>
      <c r="L1743">
        <v>10.45</v>
      </c>
      <c r="M1743" s="1">
        <v>3</v>
      </c>
      <c r="N1743">
        <v>0</v>
      </c>
      <c r="O1743">
        <v>0</v>
      </c>
      <c r="P1743">
        <v>2</v>
      </c>
      <c r="Q1743" s="1">
        <v>2</v>
      </c>
      <c r="R1743">
        <v>9.5</v>
      </c>
      <c r="S1743" s="2">
        <v>43764</v>
      </c>
      <c r="T1743" s="2">
        <v>46049</v>
      </c>
      <c r="U1743">
        <v>0</v>
      </c>
      <c r="V1743">
        <v>0</v>
      </c>
      <c r="W1743">
        <v>0</v>
      </c>
      <c r="X1743">
        <v>0</v>
      </c>
      <c r="Y1743">
        <v>0</v>
      </c>
      <c r="Z1743" s="8">
        <v>0</v>
      </c>
      <c r="AA1743">
        <v>0</v>
      </c>
      <c r="AB1743" t="s">
        <v>1635</v>
      </c>
      <c r="AC1743" t="s">
        <v>1635</v>
      </c>
      <c r="AD1743" s="1" t="s">
        <v>1635</v>
      </c>
      <c r="AE1743" s="2" t="s">
        <v>1635</v>
      </c>
      <c r="AF1743" s="2" t="s">
        <v>1635</v>
      </c>
      <c r="AG1743" s="2" t="s">
        <v>1635</v>
      </c>
      <c r="AH1743">
        <v>0</v>
      </c>
      <c r="AI1743" s="3" t="s">
        <v>1635</v>
      </c>
      <c r="AJ1743" s="1" t="s">
        <v>1635</v>
      </c>
      <c r="AK1743" s="2" t="s">
        <v>1635</v>
      </c>
      <c r="AL1743" s="4" t="s">
        <v>1658</v>
      </c>
      <c r="AM1743" s="5" t="s">
        <v>1658</v>
      </c>
      <c r="AN1743" s="4">
        <v>0</v>
      </c>
      <c r="AO1743" t="s">
        <v>1635</v>
      </c>
      <c r="AP1743" s="4" t="s">
        <v>1658</v>
      </c>
      <c r="AQ1743" t="s">
        <v>1619</v>
      </c>
      <c r="AR1743" t="s">
        <v>1620</v>
      </c>
      <c r="AT1743" s="16" t="str">
        <f>_xlfn.XLOOKUP(B1743,'SWiSH Demand Forecast Sep-26'!D:D,'SWiSH Demand Forecast Sep-26'!G:G,"Not Exist")</f>
        <v>Not Exist</v>
      </c>
    </row>
    <row r="1744" spans="1:46" x14ac:dyDescent="0.3">
      <c r="A1744">
        <v>100700003</v>
      </c>
      <c r="B1744" t="s">
        <v>3603</v>
      </c>
      <c r="C1744" t="s">
        <v>136</v>
      </c>
      <c r="D1744" t="s">
        <v>1629</v>
      </c>
      <c r="E1744" t="s">
        <v>1796</v>
      </c>
      <c r="F1744" t="s">
        <v>1875</v>
      </c>
      <c r="G1744" t="s">
        <v>1624</v>
      </c>
      <c r="H1744" t="s">
        <v>1867</v>
      </c>
      <c r="I1744" t="s">
        <v>1618</v>
      </c>
      <c r="J1744" t="s">
        <v>2318</v>
      </c>
      <c r="K1744">
        <v>0.59895832999999998</v>
      </c>
      <c r="L1744">
        <v>110.92708271599999</v>
      </c>
      <c r="M1744" s="1">
        <v>3</v>
      </c>
      <c r="N1744">
        <v>0</v>
      </c>
      <c r="O1744">
        <v>0</v>
      </c>
      <c r="P1744">
        <v>185.2</v>
      </c>
      <c r="Q1744" s="1">
        <v>185.2</v>
      </c>
      <c r="R1744">
        <v>5.75</v>
      </c>
      <c r="S1744" s="2">
        <v>45794</v>
      </c>
      <c r="T1744" s="2">
        <v>46104</v>
      </c>
      <c r="U1744">
        <v>0</v>
      </c>
      <c r="V1744">
        <v>0</v>
      </c>
      <c r="W1744">
        <v>0</v>
      </c>
      <c r="X1744">
        <v>0</v>
      </c>
      <c r="Y1744">
        <v>0</v>
      </c>
      <c r="Z1744" s="8">
        <v>0</v>
      </c>
      <c r="AA1744">
        <v>0</v>
      </c>
      <c r="AB1744" t="s">
        <v>1635</v>
      </c>
      <c r="AC1744" t="s">
        <v>1635</v>
      </c>
      <c r="AD1744" s="1" t="s">
        <v>1635</v>
      </c>
      <c r="AE1744" s="2" t="s">
        <v>1635</v>
      </c>
      <c r="AF1744" s="2" t="s">
        <v>1635</v>
      </c>
      <c r="AG1744" s="2" t="s">
        <v>1635</v>
      </c>
      <c r="AH1744">
        <v>0</v>
      </c>
      <c r="AI1744" s="3" t="s">
        <v>1635</v>
      </c>
      <c r="AJ1744" s="1" t="s">
        <v>1635</v>
      </c>
      <c r="AK1744" s="2" t="s">
        <v>1635</v>
      </c>
      <c r="AL1744" s="4" t="s">
        <v>1636</v>
      </c>
      <c r="AM1744" s="5" t="s">
        <v>1636</v>
      </c>
      <c r="AN1744" s="4">
        <v>0</v>
      </c>
      <c r="AO1744" t="s">
        <v>1635</v>
      </c>
      <c r="AP1744" s="4" t="s">
        <v>1636</v>
      </c>
      <c r="AQ1744" t="s">
        <v>1619</v>
      </c>
      <c r="AR1744" t="s">
        <v>1620</v>
      </c>
      <c r="AT1744" s="16" t="str">
        <f>_xlfn.XLOOKUP(B1744,'SWiSH Demand Forecast Sep-26'!D:D,'SWiSH Demand Forecast Sep-26'!G:G,"Not Exist")</f>
        <v>Not Exist</v>
      </c>
    </row>
    <row r="1745" spans="1:46" x14ac:dyDescent="0.3">
      <c r="A1745">
        <v>107400027</v>
      </c>
      <c r="B1745" t="s">
        <v>3604</v>
      </c>
      <c r="C1745" t="s">
        <v>10</v>
      </c>
      <c r="D1745" t="s">
        <v>1629</v>
      </c>
      <c r="E1745" t="s">
        <v>1685</v>
      </c>
      <c r="F1745" t="s">
        <v>1664</v>
      </c>
      <c r="G1745" t="s">
        <v>1690</v>
      </c>
      <c r="H1745" t="s">
        <v>2016</v>
      </c>
      <c r="I1745" t="s">
        <v>1634</v>
      </c>
      <c r="J1745" t="s">
        <v>10</v>
      </c>
      <c r="K1745">
        <v>6.0000000000000001E-3</v>
      </c>
      <c r="L1745">
        <v>0</v>
      </c>
      <c r="M1745" s="1">
        <v>15</v>
      </c>
      <c r="N1745">
        <v>0</v>
      </c>
      <c r="O1745">
        <v>0</v>
      </c>
      <c r="P1745">
        <v>0</v>
      </c>
      <c r="Q1745" s="1">
        <v>0</v>
      </c>
      <c r="R1745">
        <v>6.0000000000000001E-3</v>
      </c>
      <c r="S1745" s="2">
        <v>45831</v>
      </c>
      <c r="T1745" s="2">
        <v>46060</v>
      </c>
      <c r="U1745">
        <v>0</v>
      </c>
      <c r="V1745">
        <v>0</v>
      </c>
      <c r="W1745">
        <v>0</v>
      </c>
      <c r="X1745">
        <v>0</v>
      </c>
      <c r="Y1745">
        <v>0</v>
      </c>
      <c r="Z1745" s="8">
        <v>0</v>
      </c>
      <c r="AA1745">
        <v>0</v>
      </c>
      <c r="AB1745" t="s">
        <v>1635</v>
      </c>
      <c r="AC1745" t="s">
        <v>1635</v>
      </c>
      <c r="AD1745" s="1" t="s">
        <v>1635</v>
      </c>
      <c r="AE1745" s="2" t="s">
        <v>1635</v>
      </c>
      <c r="AF1745" s="2" t="s">
        <v>1635</v>
      </c>
      <c r="AG1745" s="2" t="s">
        <v>1635</v>
      </c>
      <c r="AH1745">
        <v>0</v>
      </c>
      <c r="AI1745" s="3" t="s">
        <v>1635</v>
      </c>
      <c r="AJ1745" s="1" t="s">
        <v>1635</v>
      </c>
      <c r="AK1745" s="2" t="s">
        <v>1635</v>
      </c>
      <c r="AL1745" s="4" t="s">
        <v>1636</v>
      </c>
      <c r="AM1745" s="5" t="s">
        <v>1636</v>
      </c>
      <c r="AN1745" s="4">
        <v>0</v>
      </c>
      <c r="AO1745" t="s">
        <v>1635</v>
      </c>
      <c r="AP1745" s="4" t="s">
        <v>1636</v>
      </c>
      <c r="AQ1745" t="s">
        <v>1619</v>
      </c>
      <c r="AR1745" t="s">
        <v>1620</v>
      </c>
      <c r="AT1745" s="16" t="str">
        <f>_xlfn.XLOOKUP(B1745,'SWiSH Demand Forecast Sep-26'!D:D,'SWiSH Demand Forecast Sep-26'!G:G,"Not Exist")</f>
        <v>Not Exist</v>
      </c>
    </row>
    <row r="1746" spans="1:46" x14ac:dyDescent="0.3">
      <c r="A1746">
        <v>101500011</v>
      </c>
      <c r="B1746" t="s">
        <v>3605</v>
      </c>
      <c r="C1746" t="s">
        <v>10</v>
      </c>
      <c r="D1746" t="s">
        <v>1675</v>
      </c>
      <c r="E1746" t="e">
        <v>#N/A</v>
      </c>
      <c r="F1746" t="s">
        <v>1631</v>
      </c>
      <c r="G1746" t="s">
        <v>1704</v>
      </c>
      <c r="H1746" t="s">
        <v>1647</v>
      </c>
      <c r="I1746" t="s">
        <v>1634</v>
      </c>
      <c r="J1746" t="s">
        <v>10</v>
      </c>
      <c r="K1746">
        <v>0.85</v>
      </c>
      <c r="L1746">
        <v>0</v>
      </c>
      <c r="M1746" s="1">
        <v>3</v>
      </c>
      <c r="N1746">
        <v>0</v>
      </c>
      <c r="O1746">
        <v>0</v>
      </c>
      <c r="P1746">
        <v>0</v>
      </c>
      <c r="Q1746" s="1">
        <v>0</v>
      </c>
      <c r="R1746">
        <v>0.85</v>
      </c>
      <c r="S1746" s="2">
        <v>45773</v>
      </c>
      <c r="T1746" s="2">
        <v>45259</v>
      </c>
      <c r="U1746">
        <v>0</v>
      </c>
      <c r="V1746">
        <v>0</v>
      </c>
      <c r="W1746">
        <v>0</v>
      </c>
      <c r="X1746">
        <v>0</v>
      </c>
      <c r="Y1746">
        <v>0</v>
      </c>
      <c r="Z1746" s="8">
        <v>0</v>
      </c>
      <c r="AA1746">
        <v>0</v>
      </c>
      <c r="AB1746" t="s">
        <v>1635</v>
      </c>
      <c r="AC1746" t="s">
        <v>1635</v>
      </c>
      <c r="AD1746" s="1" t="s">
        <v>1635</v>
      </c>
      <c r="AE1746" s="2" t="s">
        <v>1635</v>
      </c>
      <c r="AF1746" s="2" t="s">
        <v>1635</v>
      </c>
      <c r="AG1746" s="2" t="s">
        <v>1635</v>
      </c>
      <c r="AH1746">
        <v>0</v>
      </c>
      <c r="AI1746" s="3" t="s">
        <v>1635</v>
      </c>
      <c r="AJ1746" s="1" t="s">
        <v>1635</v>
      </c>
      <c r="AK1746" s="2" t="s">
        <v>1635</v>
      </c>
      <c r="AL1746" s="4" t="s">
        <v>1658</v>
      </c>
      <c r="AM1746" s="5" t="s">
        <v>1658</v>
      </c>
      <c r="AN1746" s="4">
        <v>0</v>
      </c>
      <c r="AO1746" t="s">
        <v>1635</v>
      </c>
      <c r="AP1746" s="4" t="s">
        <v>1658</v>
      </c>
      <c r="AQ1746" t="s">
        <v>1619</v>
      </c>
      <c r="AR1746" t="s">
        <v>1620</v>
      </c>
      <c r="AT1746" s="16" t="str">
        <f>_xlfn.XLOOKUP(B1746,'SWiSH Demand Forecast Sep-26'!D:D,'SWiSH Demand Forecast Sep-26'!G:G,"Not Exist")</f>
        <v>Not Exist</v>
      </c>
    </row>
    <row r="1747" spans="1:46" x14ac:dyDescent="0.3">
      <c r="A1747">
        <v>101200003</v>
      </c>
      <c r="B1747" t="s">
        <v>3606</v>
      </c>
      <c r="C1747" t="s">
        <v>136</v>
      </c>
      <c r="D1747" t="s">
        <v>1675</v>
      </c>
      <c r="E1747" t="s">
        <v>1732</v>
      </c>
      <c r="F1747" t="s">
        <v>1833</v>
      </c>
      <c r="G1747" t="s">
        <v>1616</v>
      </c>
      <c r="H1747" t="s">
        <v>1625</v>
      </c>
      <c r="I1747" t="s">
        <v>1626</v>
      </c>
      <c r="J1747" t="s">
        <v>136</v>
      </c>
      <c r="K1747">
        <v>7.95</v>
      </c>
      <c r="L1747">
        <v>0</v>
      </c>
      <c r="M1747" s="1">
        <v>3</v>
      </c>
      <c r="N1747">
        <v>0</v>
      </c>
      <c r="O1747">
        <v>0</v>
      </c>
      <c r="P1747">
        <v>0</v>
      </c>
      <c r="Q1747" s="1">
        <v>0</v>
      </c>
      <c r="R1747">
        <v>0.79500000000000004</v>
      </c>
      <c r="S1747" s="2">
        <v>46232</v>
      </c>
      <c r="T1747" s="2">
        <v>46235</v>
      </c>
      <c r="U1747">
        <v>0</v>
      </c>
      <c r="V1747">
        <v>0</v>
      </c>
      <c r="W1747">
        <v>0</v>
      </c>
      <c r="X1747">
        <v>0</v>
      </c>
      <c r="Y1747">
        <v>0</v>
      </c>
      <c r="Z1747" s="8">
        <v>0</v>
      </c>
      <c r="AA1747">
        <v>0</v>
      </c>
      <c r="AB1747" t="s">
        <v>1635</v>
      </c>
      <c r="AC1747" t="s">
        <v>1635</v>
      </c>
      <c r="AD1747" s="1" t="s">
        <v>1635</v>
      </c>
      <c r="AE1747" s="2" t="s">
        <v>1635</v>
      </c>
      <c r="AF1747" s="2" t="s">
        <v>1635</v>
      </c>
      <c r="AG1747" s="2" t="s">
        <v>1635</v>
      </c>
      <c r="AH1747">
        <v>0.3</v>
      </c>
      <c r="AI1747" s="3" t="s">
        <v>1635</v>
      </c>
      <c r="AJ1747" s="1">
        <v>0</v>
      </c>
      <c r="AK1747" s="2">
        <v>46263</v>
      </c>
      <c r="AL1747" s="4" t="s">
        <v>1658</v>
      </c>
      <c r="AM1747" s="5" t="s">
        <v>1658</v>
      </c>
      <c r="AN1747" s="4">
        <v>0</v>
      </c>
      <c r="AO1747" t="s">
        <v>1635</v>
      </c>
      <c r="AP1747" s="4" t="s">
        <v>1658</v>
      </c>
      <c r="AQ1747" t="s">
        <v>1619</v>
      </c>
      <c r="AR1747" t="s">
        <v>1620</v>
      </c>
      <c r="AT1747" s="16" t="str">
        <f>_xlfn.XLOOKUP(B1747,'SWiSH Demand Forecast Sep-26'!D:D,'SWiSH Demand Forecast Sep-26'!G:G,"Not Exist")</f>
        <v>Not Exist</v>
      </c>
    </row>
    <row r="1748" spans="1:46" x14ac:dyDescent="0.3">
      <c r="A1748">
        <v>101200004</v>
      </c>
      <c r="B1748" t="s">
        <v>3607</v>
      </c>
      <c r="C1748" t="s">
        <v>136</v>
      </c>
      <c r="D1748" t="s">
        <v>1629</v>
      </c>
      <c r="E1748" t="s">
        <v>1732</v>
      </c>
      <c r="F1748" t="s">
        <v>1833</v>
      </c>
      <c r="G1748" t="s">
        <v>1616</v>
      </c>
      <c r="H1748" t="s">
        <v>1625</v>
      </c>
      <c r="I1748" t="s">
        <v>1626</v>
      </c>
      <c r="J1748" t="s">
        <v>136</v>
      </c>
      <c r="K1748">
        <v>14.95</v>
      </c>
      <c r="L1748">
        <v>0</v>
      </c>
      <c r="M1748" s="1">
        <v>3</v>
      </c>
      <c r="N1748">
        <v>0</v>
      </c>
      <c r="O1748">
        <v>0</v>
      </c>
      <c r="P1748">
        <v>0</v>
      </c>
      <c r="Q1748" s="1">
        <v>0</v>
      </c>
      <c r="R1748">
        <v>2.99</v>
      </c>
      <c r="S1748" s="2">
        <v>46232</v>
      </c>
      <c r="T1748" s="2">
        <v>46235</v>
      </c>
      <c r="U1748">
        <v>0</v>
      </c>
      <c r="V1748">
        <v>0</v>
      </c>
      <c r="W1748">
        <v>0</v>
      </c>
      <c r="X1748">
        <v>0</v>
      </c>
      <c r="Y1748">
        <v>0</v>
      </c>
      <c r="Z1748" s="8">
        <v>0</v>
      </c>
      <c r="AA1748">
        <v>0</v>
      </c>
      <c r="AB1748" t="s">
        <v>1635</v>
      </c>
      <c r="AC1748" t="s">
        <v>1635</v>
      </c>
      <c r="AD1748" s="1" t="s">
        <v>1635</v>
      </c>
      <c r="AE1748" s="2" t="s">
        <v>1635</v>
      </c>
      <c r="AF1748" s="2" t="s">
        <v>1635</v>
      </c>
      <c r="AG1748" s="2" t="s">
        <v>1635</v>
      </c>
      <c r="AH1748">
        <v>0.2</v>
      </c>
      <c r="AI1748" s="3" t="s">
        <v>1635</v>
      </c>
      <c r="AJ1748" s="1">
        <v>0</v>
      </c>
      <c r="AK1748" s="2">
        <v>46263</v>
      </c>
      <c r="AL1748" s="4" t="s">
        <v>1636</v>
      </c>
      <c r="AM1748" s="5" t="s">
        <v>1636</v>
      </c>
      <c r="AN1748" s="4">
        <v>0</v>
      </c>
      <c r="AO1748" t="s">
        <v>1635</v>
      </c>
      <c r="AP1748" s="4" t="s">
        <v>1636</v>
      </c>
      <c r="AQ1748" t="s">
        <v>1619</v>
      </c>
      <c r="AR1748" t="s">
        <v>1620</v>
      </c>
      <c r="AT1748" s="16" t="str">
        <f>_xlfn.XLOOKUP(B1748,'SWiSH Demand Forecast Sep-26'!D:D,'SWiSH Demand Forecast Sep-26'!G:G,"Not Exist")</f>
        <v>Not Exist</v>
      </c>
    </row>
    <row r="1749" spans="1:46" x14ac:dyDescent="0.3">
      <c r="A1749">
        <v>106100003</v>
      </c>
      <c r="B1749" t="s">
        <v>3608</v>
      </c>
      <c r="C1749" t="s">
        <v>10</v>
      </c>
      <c r="D1749" t="s">
        <v>1629</v>
      </c>
      <c r="E1749" t="s">
        <v>1819</v>
      </c>
      <c r="F1749" t="s">
        <v>1650</v>
      </c>
      <c r="G1749" t="s">
        <v>1632</v>
      </c>
      <c r="H1749" t="s">
        <v>2242</v>
      </c>
      <c r="I1749" t="s">
        <v>1634</v>
      </c>
      <c r="J1749" t="s">
        <v>2487</v>
      </c>
      <c r="K1749">
        <v>0.06</v>
      </c>
      <c r="L1749">
        <v>0</v>
      </c>
      <c r="M1749" s="1">
        <v>3</v>
      </c>
      <c r="N1749">
        <v>0</v>
      </c>
      <c r="O1749">
        <v>0</v>
      </c>
      <c r="P1749">
        <v>0</v>
      </c>
      <c r="Q1749" s="1">
        <v>0</v>
      </c>
      <c r="R1749">
        <v>0.06</v>
      </c>
      <c r="S1749" s="2">
        <v>45990</v>
      </c>
      <c r="T1749" s="2">
        <v>45990</v>
      </c>
      <c r="U1749">
        <v>0</v>
      </c>
      <c r="V1749">
        <v>0</v>
      </c>
      <c r="W1749">
        <v>0</v>
      </c>
      <c r="X1749">
        <v>0</v>
      </c>
      <c r="Y1749">
        <v>0</v>
      </c>
      <c r="Z1749" s="8">
        <v>0</v>
      </c>
      <c r="AA1749">
        <v>0</v>
      </c>
      <c r="AB1749" t="s">
        <v>1635</v>
      </c>
      <c r="AC1749" t="s">
        <v>1635</v>
      </c>
      <c r="AD1749" s="1" t="s">
        <v>1635</v>
      </c>
      <c r="AE1749" s="2" t="s">
        <v>1635</v>
      </c>
      <c r="AF1749" s="2" t="s">
        <v>1635</v>
      </c>
      <c r="AG1749" s="2" t="s">
        <v>1635</v>
      </c>
      <c r="AH1749">
        <v>0</v>
      </c>
      <c r="AI1749" s="3" t="s">
        <v>1635</v>
      </c>
      <c r="AJ1749" s="1" t="s">
        <v>1635</v>
      </c>
      <c r="AK1749" s="2" t="s">
        <v>1635</v>
      </c>
      <c r="AL1749" s="4" t="s">
        <v>1636</v>
      </c>
      <c r="AM1749" s="5" t="s">
        <v>1636</v>
      </c>
      <c r="AN1749" s="4">
        <v>0</v>
      </c>
      <c r="AO1749" t="s">
        <v>1635</v>
      </c>
      <c r="AP1749" s="4" t="s">
        <v>1636</v>
      </c>
      <c r="AQ1749" t="s">
        <v>1619</v>
      </c>
      <c r="AR1749" t="s">
        <v>1620</v>
      </c>
      <c r="AT1749" s="16" t="str">
        <f>_xlfn.XLOOKUP(B1749,'SWiSH Demand Forecast Sep-26'!D:D,'SWiSH Demand Forecast Sep-26'!G:G,"Not Exist")</f>
        <v>Not Exist</v>
      </c>
    </row>
    <row r="1750" spans="1:46" x14ac:dyDescent="0.3">
      <c r="A1750">
        <v>100700023</v>
      </c>
      <c r="B1750" t="s">
        <v>3609</v>
      </c>
      <c r="C1750" t="s">
        <v>136</v>
      </c>
      <c r="D1750" t="s">
        <v>1629</v>
      </c>
      <c r="E1750" t="s">
        <v>3610</v>
      </c>
      <c r="F1750" t="s">
        <v>1875</v>
      </c>
      <c r="G1750" t="s">
        <v>1616</v>
      </c>
      <c r="H1750" t="s">
        <v>1867</v>
      </c>
      <c r="I1750" t="s">
        <v>1618</v>
      </c>
      <c r="J1750" t="s">
        <v>3611</v>
      </c>
      <c r="K1750">
        <v>1.2222200000000001</v>
      </c>
      <c r="L1750">
        <v>0</v>
      </c>
      <c r="M1750" s="1">
        <v>3</v>
      </c>
      <c r="N1750">
        <v>0</v>
      </c>
      <c r="O1750">
        <v>0</v>
      </c>
      <c r="P1750">
        <v>0</v>
      </c>
      <c r="Q1750" s="1">
        <v>0</v>
      </c>
      <c r="R1750">
        <v>11</v>
      </c>
      <c r="S1750" s="2">
        <v>45969</v>
      </c>
      <c r="T1750" s="2">
        <v>46255</v>
      </c>
      <c r="U1750">
        <v>0</v>
      </c>
      <c r="V1750">
        <v>0</v>
      </c>
      <c r="W1750">
        <v>0</v>
      </c>
      <c r="X1750">
        <v>0</v>
      </c>
      <c r="Y1750">
        <v>0</v>
      </c>
      <c r="Z1750" s="8">
        <v>0</v>
      </c>
      <c r="AA1750">
        <v>0</v>
      </c>
      <c r="AB1750" t="s">
        <v>1635</v>
      </c>
      <c r="AC1750" t="s">
        <v>1635</v>
      </c>
      <c r="AD1750" s="1" t="s">
        <v>1635</v>
      </c>
      <c r="AE1750" s="2" t="s">
        <v>1635</v>
      </c>
      <c r="AF1750" s="2" t="s">
        <v>1635</v>
      </c>
      <c r="AG1750" s="2" t="s">
        <v>1635</v>
      </c>
      <c r="AH1750">
        <v>0</v>
      </c>
      <c r="AI1750" s="3" t="s">
        <v>1635</v>
      </c>
      <c r="AJ1750" s="1" t="s">
        <v>1635</v>
      </c>
      <c r="AK1750" s="2" t="s">
        <v>1635</v>
      </c>
      <c r="AL1750" s="4" t="s">
        <v>1636</v>
      </c>
      <c r="AM1750" s="5" t="s">
        <v>1636</v>
      </c>
      <c r="AN1750" s="4">
        <v>0</v>
      </c>
      <c r="AO1750" t="s">
        <v>1635</v>
      </c>
      <c r="AP1750" s="4" t="s">
        <v>1636</v>
      </c>
      <c r="AQ1750" t="s">
        <v>1619</v>
      </c>
      <c r="AR1750" t="s">
        <v>2941</v>
      </c>
      <c r="AT1750" s="16" t="str">
        <f>_xlfn.XLOOKUP(B1750,'SWiSH Demand Forecast Sep-26'!D:D,'SWiSH Demand Forecast Sep-26'!G:G,"Not Exist")</f>
        <v>Not Exist</v>
      </c>
    </row>
    <row r="1751" spans="1:46" x14ac:dyDescent="0.3">
      <c r="A1751">
        <v>106600045</v>
      </c>
      <c r="B1751" t="s">
        <v>3612</v>
      </c>
      <c r="C1751" t="s">
        <v>10</v>
      </c>
      <c r="D1751" t="s">
        <v>1629</v>
      </c>
      <c r="E1751" t="s">
        <v>1685</v>
      </c>
      <c r="F1751" t="s">
        <v>1664</v>
      </c>
      <c r="G1751" t="s">
        <v>1704</v>
      </c>
      <c r="H1751" t="s">
        <v>1723</v>
      </c>
      <c r="I1751" t="s">
        <v>1634</v>
      </c>
      <c r="J1751" t="s">
        <v>10</v>
      </c>
      <c r="K1751">
        <v>5.0000000000000001E-3</v>
      </c>
      <c r="L1751">
        <v>0</v>
      </c>
      <c r="M1751" s="1">
        <v>15</v>
      </c>
      <c r="N1751">
        <v>0</v>
      </c>
      <c r="O1751">
        <v>0</v>
      </c>
      <c r="P1751">
        <v>0</v>
      </c>
      <c r="Q1751" s="1">
        <v>0</v>
      </c>
      <c r="R1751">
        <v>5.0000000000000001E-3</v>
      </c>
      <c r="S1751" s="2">
        <v>45990</v>
      </c>
      <c r="T1751" s="2">
        <v>46054</v>
      </c>
      <c r="U1751">
        <v>0</v>
      </c>
      <c r="V1751">
        <v>0</v>
      </c>
      <c r="W1751">
        <v>0</v>
      </c>
      <c r="X1751">
        <v>0</v>
      </c>
      <c r="Y1751">
        <v>0</v>
      </c>
      <c r="Z1751" s="8">
        <v>0</v>
      </c>
      <c r="AA1751">
        <v>0</v>
      </c>
      <c r="AB1751" t="s">
        <v>1635</v>
      </c>
      <c r="AC1751" t="s">
        <v>1635</v>
      </c>
      <c r="AD1751" s="1" t="s">
        <v>1635</v>
      </c>
      <c r="AE1751" s="2" t="s">
        <v>1635</v>
      </c>
      <c r="AF1751" s="2" t="s">
        <v>1635</v>
      </c>
      <c r="AG1751" s="2" t="s">
        <v>1635</v>
      </c>
      <c r="AH1751">
        <v>0</v>
      </c>
      <c r="AI1751" s="3" t="s">
        <v>1635</v>
      </c>
      <c r="AJ1751" s="1" t="s">
        <v>1635</v>
      </c>
      <c r="AK1751" s="2" t="s">
        <v>1635</v>
      </c>
      <c r="AL1751" s="4" t="s">
        <v>1636</v>
      </c>
      <c r="AM1751" s="5" t="s">
        <v>1636</v>
      </c>
      <c r="AN1751" s="4">
        <v>0</v>
      </c>
      <c r="AO1751" t="s">
        <v>1635</v>
      </c>
      <c r="AP1751" s="4" t="s">
        <v>1636</v>
      </c>
      <c r="AQ1751" t="s">
        <v>1619</v>
      </c>
      <c r="AR1751" t="s">
        <v>1620</v>
      </c>
      <c r="AT1751" s="16" t="str">
        <f>_xlfn.XLOOKUP(B1751,'SWiSH Demand Forecast Sep-26'!D:D,'SWiSH Demand Forecast Sep-26'!G:G,"Not Exist")</f>
        <v>Not Exist</v>
      </c>
    </row>
    <row r="1752" spans="1:46" x14ac:dyDescent="0.3">
      <c r="A1752">
        <v>101600066</v>
      </c>
      <c r="B1752" t="s">
        <v>3613</v>
      </c>
      <c r="C1752" t="s">
        <v>10</v>
      </c>
      <c r="D1752" t="s">
        <v>1629</v>
      </c>
      <c r="E1752" t="s">
        <v>1685</v>
      </c>
      <c r="F1752" t="s">
        <v>1631</v>
      </c>
      <c r="G1752" t="s">
        <v>1704</v>
      </c>
      <c r="H1752" t="s">
        <v>1768</v>
      </c>
      <c r="I1752" t="s">
        <v>1634</v>
      </c>
      <c r="J1752" t="s">
        <v>3614</v>
      </c>
      <c r="K1752">
        <v>7.4999999999999997E-2</v>
      </c>
      <c r="L1752">
        <v>90</v>
      </c>
      <c r="M1752" s="1">
        <v>3</v>
      </c>
      <c r="N1752">
        <v>0</v>
      </c>
      <c r="O1752">
        <v>0</v>
      </c>
      <c r="P1752">
        <v>1200</v>
      </c>
      <c r="Q1752" s="1">
        <v>1200</v>
      </c>
      <c r="R1752">
        <v>15</v>
      </c>
      <c r="S1752" s="2">
        <v>45844</v>
      </c>
      <c r="T1752" s="2">
        <v>46049</v>
      </c>
      <c r="U1752">
        <v>0</v>
      </c>
      <c r="V1752">
        <v>0</v>
      </c>
      <c r="W1752">
        <v>0</v>
      </c>
      <c r="X1752">
        <v>0</v>
      </c>
      <c r="Y1752">
        <v>0</v>
      </c>
      <c r="Z1752" s="8">
        <v>0</v>
      </c>
      <c r="AA1752">
        <v>0</v>
      </c>
      <c r="AB1752" t="s">
        <v>1635</v>
      </c>
      <c r="AC1752" t="s">
        <v>1635</v>
      </c>
      <c r="AD1752" s="1" t="s">
        <v>1635</v>
      </c>
      <c r="AE1752" s="2" t="s">
        <v>1635</v>
      </c>
      <c r="AF1752" s="2" t="s">
        <v>1635</v>
      </c>
      <c r="AG1752" s="2" t="s">
        <v>1635</v>
      </c>
      <c r="AH1752">
        <v>0</v>
      </c>
      <c r="AI1752" s="3" t="s">
        <v>1635</v>
      </c>
      <c r="AJ1752" s="1" t="s">
        <v>1635</v>
      </c>
      <c r="AK1752" s="2" t="s">
        <v>1635</v>
      </c>
      <c r="AL1752" s="4" t="s">
        <v>1636</v>
      </c>
      <c r="AM1752" s="5" t="s">
        <v>1636</v>
      </c>
      <c r="AN1752" s="4">
        <v>0</v>
      </c>
      <c r="AO1752" t="s">
        <v>1635</v>
      </c>
      <c r="AP1752" s="4" t="s">
        <v>1636</v>
      </c>
      <c r="AQ1752" t="s">
        <v>1619</v>
      </c>
      <c r="AR1752" t="s">
        <v>1620</v>
      </c>
      <c r="AT1752" s="16" t="str">
        <f>_xlfn.XLOOKUP(B1752,'SWiSH Demand Forecast Sep-26'!D:D,'SWiSH Demand Forecast Sep-26'!G:G,"Not Exist")</f>
        <v>Not Exist</v>
      </c>
    </row>
    <row r="1753" spans="1:46" x14ac:dyDescent="0.3">
      <c r="A1753">
        <v>101800012</v>
      </c>
      <c r="B1753" t="s">
        <v>3615</v>
      </c>
      <c r="C1753" t="s">
        <v>10</v>
      </c>
      <c r="D1753" t="s">
        <v>1629</v>
      </c>
      <c r="E1753" t="s">
        <v>2483</v>
      </c>
      <c r="F1753" t="s">
        <v>1631</v>
      </c>
      <c r="G1753" t="s">
        <v>1704</v>
      </c>
      <c r="H1753" t="s">
        <v>2144</v>
      </c>
      <c r="I1753" t="s">
        <v>1634</v>
      </c>
      <c r="J1753" t="s">
        <v>2233</v>
      </c>
      <c r="K1753">
        <v>3.2499999999999999E-3</v>
      </c>
      <c r="L1753">
        <v>11.375</v>
      </c>
      <c r="M1753" s="1">
        <v>7</v>
      </c>
      <c r="N1753">
        <v>0</v>
      </c>
      <c r="O1753">
        <v>0</v>
      </c>
      <c r="P1753">
        <v>3500</v>
      </c>
      <c r="Q1753" s="1">
        <v>3500</v>
      </c>
      <c r="R1753">
        <v>6.5</v>
      </c>
      <c r="S1753" s="2">
        <v>45774</v>
      </c>
      <c r="T1753" s="2">
        <v>46132</v>
      </c>
      <c r="U1753">
        <v>0</v>
      </c>
      <c r="V1753">
        <v>0</v>
      </c>
      <c r="W1753">
        <v>0</v>
      </c>
      <c r="X1753">
        <v>0</v>
      </c>
      <c r="Y1753">
        <v>0</v>
      </c>
      <c r="Z1753" s="8">
        <v>0</v>
      </c>
      <c r="AA1753">
        <v>0</v>
      </c>
      <c r="AB1753" t="s">
        <v>1635</v>
      </c>
      <c r="AC1753" t="s">
        <v>1635</v>
      </c>
      <c r="AD1753" s="1" t="s">
        <v>1635</v>
      </c>
      <c r="AE1753" s="2" t="s">
        <v>1635</v>
      </c>
      <c r="AF1753" s="2" t="s">
        <v>1635</v>
      </c>
      <c r="AG1753" s="2" t="s">
        <v>1635</v>
      </c>
      <c r="AH1753">
        <v>0</v>
      </c>
      <c r="AI1753" s="3" t="s">
        <v>1635</v>
      </c>
      <c r="AJ1753" s="1" t="s">
        <v>1635</v>
      </c>
      <c r="AK1753" s="2" t="s">
        <v>1635</v>
      </c>
      <c r="AL1753" s="4" t="s">
        <v>1636</v>
      </c>
      <c r="AM1753" s="5" t="s">
        <v>1636</v>
      </c>
      <c r="AN1753" s="4">
        <v>0</v>
      </c>
      <c r="AO1753" t="s">
        <v>1635</v>
      </c>
      <c r="AP1753" s="4" t="s">
        <v>1636</v>
      </c>
      <c r="AQ1753" t="s">
        <v>1619</v>
      </c>
      <c r="AR1753" t="s">
        <v>1620</v>
      </c>
      <c r="AT1753" s="16" t="str">
        <f>_xlfn.XLOOKUP(B1753,'SWiSH Demand Forecast Sep-26'!D:D,'SWiSH Demand Forecast Sep-26'!G:G,"Not Exist")</f>
        <v>Not Exist</v>
      </c>
    </row>
    <row r="1754" spans="1:46" x14ac:dyDescent="0.3">
      <c r="A1754">
        <v>105700004</v>
      </c>
      <c r="B1754" t="s">
        <v>3616</v>
      </c>
      <c r="C1754" t="s">
        <v>10</v>
      </c>
      <c r="D1754" t="s">
        <v>1675</v>
      </c>
      <c r="E1754" t="e">
        <v>#N/A</v>
      </c>
      <c r="F1754" t="s">
        <v>1631</v>
      </c>
      <c r="G1754" t="s">
        <v>1704</v>
      </c>
      <c r="H1754" t="s">
        <v>2574</v>
      </c>
      <c r="I1754" t="s">
        <v>1634</v>
      </c>
      <c r="J1754" t="s">
        <v>10</v>
      </c>
      <c r="K1754">
        <v>1.2E-2</v>
      </c>
      <c r="L1754">
        <v>0</v>
      </c>
      <c r="M1754" s="1">
        <v>7</v>
      </c>
      <c r="N1754">
        <v>0</v>
      </c>
      <c r="O1754">
        <v>0</v>
      </c>
      <c r="P1754">
        <v>0</v>
      </c>
      <c r="Q1754" s="1">
        <v>0</v>
      </c>
      <c r="R1754">
        <v>1.2E-2</v>
      </c>
      <c r="S1754" s="2">
        <v>45773</v>
      </c>
      <c r="T1754" s="2">
        <v>45258</v>
      </c>
      <c r="U1754">
        <v>0</v>
      </c>
      <c r="V1754">
        <v>0</v>
      </c>
      <c r="W1754">
        <v>0</v>
      </c>
      <c r="X1754">
        <v>0</v>
      </c>
      <c r="Y1754">
        <v>0</v>
      </c>
      <c r="Z1754" s="8">
        <v>0</v>
      </c>
      <c r="AA1754">
        <v>0</v>
      </c>
      <c r="AB1754" t="s">
        <v>1635</v>
      </c>
      <c r="AC1754" t="s">
        <v>1635</v>
      </c>
      <c r="AD1754" s="1" t="s">
        <v>1635</v>
      </c>
      <c r="AE1754" s="2" t="s">
        <v>1635</v>
      </c>
      <c r="AF1754" s="2" t="s">
        <v>1635</v>
      </c>
      <c r="AG1754" s="2" t="s">
        <v>1635</v>
      </c>
      <c r="AH1754">
        <v>0</v>
      </c>
      <c r="AI1754" s="3" t="s">
        <v>1635</v>
      </c>
      <c r="AJ1754" s="1" t="s">
        <v>1635</v>
      </c>
      <c r="AK1754" s="2" t="s">
        <v>1635</v>
      </c>
      <c r="AL1754" s="4" t="s">
        <v>1658</v>
      </c>
      <c r="AM1754" s="5" t="s">
        <v>1658</v>
      </c>
      <c r="AN1754" s="4">
        <v>0</v>
      </c>
      <c r="AO1754" t="s">
        <v>1635</v>
      </c>
      <c r="AP1754" s="4" t="s">
        <v>1658</v>
      </c>
      <c r="AQ1754" t="s">
        <v>1619</v>
      </c>
      <c r="AR1754" t="s">
        <v>1620</v>
      </c>
      <c r="AT1754" s="16" t="str">
        <f>_xlfn.XLOOKUP(B1754,'SWiSH Demand Forecast Sep-26'!D:D,'SWiSH Demand Forecast Sep-26'!G:G,"Not Exist")</f>
        <v>Not Exist</v>
      </c>
    </row>
    <row r="1755" spans="1:46" x14ac:dyDescent="0.3">
      <c r="A1755">
        <v>102600004</v>
      </c>
      <c r="B1755" t="s">
        <v>3617</v>
      </c>
      <c r="C1755" t="s">
        <v>10</v>
      </c>
      <c r="D1755" t="s">
        <v>1629</v>
      </c>
      <c r="E1755" t="s">
        <v>1655</v>
      </c>
      <c r="F1755" t="s">
        <v>1664</v>
      </c>
      <c r="G1755" t="e">
        <v>#N/A</v>
      </c>
      <c r="H1755" t="s">
        <v>3205</v>
      </c>
      <c r="I1755" t="s">
        <v>1634</v>
      </c>
      <c r="J1755" t="s">
        <v>10</v>
      </c>
      <c r="K1755" t="e">
        <v>#N/A</v>
      </c>
      <c r="L1755" t="e">
        <v>#N/A</v>
      </c>
      <c r="M1755" s="1">
        <v>15</v>
      </c>
      <c r="N1755">
        <v>0</v>
      </c>
      <c r="O1755">
        <v>0</v>
      </c>
      <c r="P1755">
        <v>0</v>
      </c>
      <c r="Q1755" s="1">
        <v>0</v>
      </c>
      <c r="R1755">
        <v>1.2E-2</v>
      </c>
      <c r="S1755" s="2">
        <v>45873</v>
      </c>
      <c r="T1755" s="2">
        <v>46075</v>
      </c>
      <c r="U1755">
        <v>0</v>
      </c>
      <c r="V1755">
        <v>0</v>
      </c>
      <c r="W1755">
        <v>0</v>
      </c>
      <c r="X1755">
        <v>0</v>
      </c>
      <c r="Y1755">
        <v>0</v>
      </c>
      <c r="Z1755" s="8">
        <v>0</v>
      </c>
      <c r="AA1755">
        <v>0</v>
      </c>
      <c r="AB1755" t="s">
        <v>1635</v>
      </c>
      <c r="AC1755" t="s">
        <v>1635</v>
      </c>
      <c r="AD1755" s="1" t="s">
        <v>1635</v>
      </c>
      <c r="AE1755" s="2" t="s">
        <v>1635</v>
      </c>
      <c r="AF1755" s="2" t="s">
        <v>1635</v>
      </c>
      <c r="AG1755" s="2" t="s">
        <v>1635</v>
      </c>
      <c r="AH1755">
        <v>0</v>
      </c>
      <c r="AI1755" s="3" t="s">
        <v>1635</v>
      </c>
      <c r="AJ1755" s="1" t="s">
        <v>1635</v>
      </c>
      <c r="AK1755" s="2" t="s">
        <v>1635</v>
      </c>
      <c r="AL1755" s="4" t="s">
        <v>1636</v>
      </c>
      <c r="AM1755" s="5" t="s">
        <v>1636</v>
      </c>
      <c r="AN1755" s="4">
        <v>0</v>
      </c>
      <c r="AO1755" t="s">
        <v>1635</v>
      </c>
      <c r="AP1755" s="4" t="s">
        <v>1636</v>
      </c>
      <c r="AQ1755" t="s">
        <v>1619</v>
      </c>
      <c r="AR1755" t="s">
        <v>1620</v>
      </c>
      <c r="AT1755" s="16" t="str">
        <f>_xlfn.XLOOKUP(B1755,'SWiSH Demand Forecast Sep-26'!D:D,'SWiSH Demand Forecast Sep-26'!G:G,"Not Exist")</f>
        <v>Not Exist</v>
      </c>
    </row>
    <row r="1756" spans="1:46" x14ac:dyDescent="0.3">
      <c r="A1756">
        <v>100100054</v>
      </c>
      <c r="B1756" t="s">
        <v>3618</v>
      </c>
      <c r="C1756" t="s">
        <v>10</v>
      </c>
      <c r="D1756" t="s">
        <v>1675</v>
      </c>
      <c r="E1756" t="s">
        <v>1685</v>
      </c>
      <c r="F1756" t="s">
        <v>1941</v>
      </c>
      <c r="G1756" t="s">
        <v>1686</v>
      </c>
      <c r="H1756" t="s">
        <v>1877</v>
      </c>
      <c r="I1756" t="s">
        <v>1618</v>
      </c>
      <c r="J1756" t="s">
        <v>1688</v>
      </c>
      <c r="K1756">
        <v>0.75</v>
      </c>
      <c r="L1756">
        <v>0</v>
      </c>
      <c r="M1756" s="1">
        <v>3</v>
      </c>
      <c r="N1756">
        <v>0</v>
      </c>
      <c r="O1756">
        <v>0</v>
      </c>
      <c r="P1756">
        <v>0</v>
      </c>
      <c r="Q1756" s="1">
        <v>0</v>
      </c>
      <c r="R1756">
        <v>9</v>
      </c>
      <c r="S1756" s="2">
        <v>45952</v>
      </c>
      <c r="T1756" s="2">
        <v>46127</v>
      </c>
      <c r="U1756">
        <v>0</v>
      </c>
      <c r="V1756">
        <v>0</v>
      </c>
      <c r="W1756">
        <v>0</v>
      </c>
      <c r="X1756">
        <v>0</v>
      </c>
      <c r="Y1756">
        <v>0</v>
      </c>
      <c r="Z1756" s="8">
        <v>0</v>
      </c>
      <c r="AA1756">
        <v>0</v>
      </c>
      <c r="AB1756" t="s">
        <v>1635</v>
      </c>
      <c r="AC1756" t="s">
        <v>1635</v>
      </c>
      <c r="AD1756" s="1" t="s">
        <v>1635</v>
      </c>
      <c r="AE1756" s="2" t="s">
        <v>1635</v>
      </c>
      <c r="AF1756" s="2" t="s">
        <v>1635</v>
      </c>
      <c r="AG1756" s="2" t="s">
        <v>1635</v>
      </c>
      <c r="AH1756">
        <v>0</v>
      </c>
      <c r="AI1756" s="3" t="s">
        <v>1635</v>
      </c>
      <c r="AJ1756" s="1" t="s">
        <v>1635</v>
      </c>
      <c r="AK1756" s="2" t="s">
        <v>1635</v>
      </c>
      <c r="AL1756" s="4" t="s">
        <v>1658</v>
      </c>
      <c r="AM1756" s="5" t="s">
        <v>1658</v>
      </c>
      <c r="AN1756" s="4">
        <v>0</v>
      </c>
      <c r="AO1756" t="s">
        <v>1635</v>
      </c>
      <c r="AP1756" s="4" t="s">
        <v>1658</v>
      </c>
      <c r="AQ1756" t="s">
        <v>1619</v>
      </c>
      <c r="AR1756" t="s">
        <v>3619</v>
      </c>
      <c r="AT1756" s="16" t="str">
        <f>_xlfn.XLOOKUP(B1756,'SWiSH Demand Forecast Sep-26'!D:D,'SWiSH Demand Forecast Sep-26'!G:G,"Not Exist")</f>
        <v>Not Exist</v>
      </c>
    </row>
    <row r="1757" spans="1:46" x14ac:dyDescent="0.3">
      <c r="A1757">
        <v>100400015</v>
      </c>
      <c r="B1757" t="s">
        <v>3620</v>
      </c>
      <c r="C1757" t="s">
        <v>10</v>
      </c>
      <c r="D1757" t="s">
        <v>1675</v>
      </c>
      <c r="E1757" t="s">
        <v>1643</v>
      </c>
      <c r="F1757" t="s">
        <v>1631</v>
      </c>
      <c r="G1757" t="s">
        <v>1704</v>
      </c>
      <c r="H1757" t="s">
        <v>1810</v>
      </c>
      <c r="I1757" t="s">
        <v>1634</v>
      </c>
      <c r="J1757" t="e">
        <v>#N/A</v>
      </c>
      <c r="K1757">
        <v>0.75</v>
      </c>
      <c r="L1757">
        <v>0</v>
      </c>
      <c r="M1757" s="1">
        <v>15</v>
      </c>
      <c r="N1757">
        <v>0</v>
      </c>
      <c r="O1757">
        <v>0</v>
      </c>
      <c r="P1757">
        <v>0</v>
      </c>
      <c r="Q1757" s="1">
        <v>0</v>
      </c>
      <c r="R1757">
        <v>0.75</v>
      </c>
      <c r="S1757" s="2">
        <v>45461</v>
      </c>
      <c r="T1757" s="2">
        <v>46250</v>
      </c>
      <c r="U1757">
        <v>0</v>
      </c>
      <c r="V1757">
        <v>0</v>
      </c>
      <c r="W1757">
        <v>0</v>
      </c>
      <c r="X1757">
        <v>0</v>
      </c>
      <c r="Y1757">
        <v>0</v>
      </c>
      <c r="Z1757" s="8">
        <v>0</v>
      </c>
      <c r="AA1757">
        <v>0</v>
      </c>
      <c r="AB1757" t="s">
        <v>1635</v>
      </c>
      <c r="AC1757" t="s">
        <v>1635</v>
      </c>
      <c r="AD1757" s="1" t="s">
        <v>1635</v>
      </c>
      <c r="AE1757" s="2" t="s">
        <v>1635</v>
      </c>
      <c r="AF1757" s="2" t="s">
        <v>1635</v>
      </c>
      <c r="AG1757" s="2" t="s">
        <v>1635</v>
      </c>
      <c r="AH1757">
        <v>0</v>
      </c>
      <c r="AI1757" s="3" t="s">
        <v>1635</v>
      </c>
      <c r="AJ1757" s="1" t="s">
        <v>1635</v>
      </c>
      <c r="AK1757" s="2" t="s">
        <v>1635</v>
      </c>
      <c r="AL1757" s="4" t="s">
        <v>1658</v>
      </c>
      <c r="AM1757" s="5" t="s">
        <v>1658</v>
      </c>
      <c r="AN1757" s="4">
        <v>0</v>
      </c>
      <c r="AO1757" t="s">
        <v>1635</v>
      </c>
      <c r="AP1757" s="4" t="s">
        <v>1658</v>
      </c>
      <c r="AQ1757" t="s">
        <v>1619</v>
      </c>
      <c r="AR1757" t="s">
        <v>1620</v>
      </c>
      <c r="AT1757" s="16" t="str">
        <f>_xlfn.XLOOKUP(B1757,'SWiSH Demand Forecast Sep-26'!D:D,'SWiSH Demand Forecast Sep-26'!G:G,"Not Exist")</f>
        <v>Not Exist</v>
      </c>
    </row>
    <row r="1758" spans="1:46" x14ac:dyDescent="0.3">
      <c r="A1758">
        <v>105700014</v>
      </c>
      <c r="B1758" t="s">
        <v>3621</v>
      </c>
      <c r="C1758" t="s">
        <v>10</v>
      </c>
      <c r="D1758" t="s">
        <v>1675</v>
      </c>
      <c r="E1758" t="e">
        <v>#N/A</v>
      </c>
      <c r="F1758" t="s">
        <v>1631</v>
      </c>
      <c r="G1758" t="s">
        <v>1704</v>
      </c>
      <c r="H1758" t="s">
        <v>2574</v>
      </c>
      <c r="I1758" t="s">
        <v>1634</v>
      </c>
      <c r="J1758" t="s">
        <v>10</v>
      </c>
      <c r="K1758">
        <v>3.3329999999999999E-2</v>
      </c>
      <c r="L1758">
        <v>0</v>
      </c>
      <c r="M1758" s="1">
        <v>7</v>
      </c>
      <c r="N1758">
        <v>0</v>
      </c>
      <c r="O1758">
        <v>0</v>
      </c>
      <c r="P1758">
        <v>0</v>
      </c>
      <c r="Q1758" s="1">
        <v>0</v>
      </c>
      <c r="R1758">
        <v>3.3329999999999999E-2</v>
      </c>
      <c r="S1758" s="2">
        <v>45773</v>
      </c>
      <c r="T1758" s="2">
        <v>46251</v>
      </c>
      <c r="U1758">
        <v>0</v>
      </c>
      <c r="V1758">
        <v>0</v>
      </c>
      <c r="W1758">
        <v>0</v>
      </c>
      <c r="X1758">
        <v>0</v>
      </c>
      <c r="Y1758">
        <v>0</v>
      </c>
      <c r="Z1758" s="8">
        <v>0</v>
      </c>
      <c r="AA1758">
        <v>0</v>
      </c>
      <c r="AB1758" t="s">
        <v>1635</v>
      </c>
      <c r="AC1758" t="s">
        <v>1635</v>
      </c>
      <c r="AD1758" s="1" t="s">
        <v>1635</v>
      </c>
      <c r="AE1758" s="2" t="s">
        <v>1635</v>
      </c>
      <c r="AF1758" s="2" t="s">
        <v>1635</v>
      </c>
      <c r="AG1758" s="2" t="s">
        <v>1635</v>
      </c>
      <c r="AH1758">
        <v>2400</v>
      </c>
      <c r="AI1758" s="3" t="s">
        <v>1635</v>
      </c>
      <c r="AJ1758" s="1">
        <v>0</v>
      </c>
      <c r="AK1758" s="2">
        <v>46263</v>
      </c>
      <c r="AL1758" s="4" t="s">
        <v>1658</v>
      </c>
      <c r="AM1758" s="5" t="s">
        <v>1658</v>
      </c>
      <c r="AN1758" s="4">
        <v>0</v>
      </c>
      <c r="AO1758" t="s">
        <v>1635</v>
      </c>
      <c r="AP1758" s="4" t="s">
        <v>1658</v>
      </c>
      <c r="AQ1758" t="s">
        <v>1619</v>
      </c>
      <c r="AR1758" t="s">
        <v>1620</v>
      </c>
      <c r="AT1758" s="16" t="str">
        <f>_xlfn.XLOOKUP(B1758,'SWiSH Demand Forecast Sep-26'!D:D,'SWiSH Demand Forecast Sep-26'!G:G,"Not Exist")</f>
        <v>Not Exist</v>
      </c>
    </row>
    <row r="1759" spans="1:46" x14ac:dyDescent="0.3">
      <c r="A1759">
        <v>107200185</v>
      </c>
      <c r="B1759" t="s">
        <v>3622</v>
      </c>
      <c r="C1759" t="s">
        <v>10</v>
      </c>
      <c r="D1759" t="s">
        <v>1629</v>
      </c>
      <c r="E1759" t="s">
        <v>1775</v>
      </c>
      <c r="F1759" t="s">
        <v>1656</v>
      </c>
      <c r="G1759" t="e">
        <v>#N/A</v>
      </c>
      <c r="H1759" t="s">
        <v>1657</v>
      </c>
      <c r="I1759" t="s">
        <v>1634</v>
      </c>
      <c r="J1759" t="s">
        <v>10</v>
      </c>
      <c r="K1759" t="e">
        <v>#N/A</v>
      </c>
      <c r="L1759" t="e">
        <v>#N/A</v>
      </c>
      <c r="M1759" s="1">
        <v>15</v>
      </c>
      <c r="N1759">
        <v>0</v>
      </c>
      <c r="O1759">
        <v>0</v>
      </c>
      <c r="P1759">
        <v>0</v>
      </c>
      <c r="Q1759" s="1">
        <v>0</v>
      </c>
      <c r="R1759">
        <v>4.25</v>
      </c>
      <c r="S1759" s="2">
        <v>46011</v>
      </c>
      <c r="T1759" s="2">
        <v>46064</v>
      </c>
      <c r="U1759">
        <v>0</v>
      </c>
      <c r="V1759">
        <v>0</v>
      </c>
      <c r="W1759">
        <v>0</v>
      </c>
      <c r="X1759">
        <v>0</v>
      </c>
      <c r="Y1759">
        <v>0</v>
      </c>
      <c r="Z1759" s="8">
        <v>0</v>
      </c>
      <c r="AA1759">
        <v>0</v>
      </c>
      <c r="AB1759" t="s">
        <v>1635</v>
      </c>
      <c r="AC1759" t="s">
        <v>1635</v>
      </c>
      <c r="AD1759" s="1" t="s">
        <v>1635</v>
      </c>
      <c r="AE1759" s="2" t="s">
        <v>1635</v>
      </c>
      <c r="AF1759" s="2" t="s">
        <v>1635</v>
      </c>
      <c r="AG1759" s="2" t="s">
        <v>1635</v>
      </c>
      <c r="AH1759">
        <v>0</v>
      </c>
      <c r="AI1759" s="3" t="s">
        <v>1635</v>
      </c>
      <c r="AJ1759" s="1" t="s">
        <v>1635</v>
      </c>
      <c r="AK1759" s="2" t="s">
        <v>1635</v>
      </c>
      <c r="AL1759" s="4" t="s">
        <v>1636</v>
      </c>
      <c r="AM1759" s="5" t="s">
        <v>1636</v>
      </c>
      <c r="AN1759" s="4">
        <v>0</v>
      </c>
      <c r="AO1759" t="s">
        <v>1635</v>
      </c>
      <c r="AP1759" s="4" t="s">
        <v>1636</v>
      </c>
      <c r="AQ1759" t="s">
        <v>1619</v>
      </c>
      <c r="AR1759" t="s">
        <v>1620</v>
      </c>
      <c r="AT1759" s="16" t="str">
        <f>_xlfn.XLOOKUP(B1759,'SWiSH Demand Forecast Sep-26'!D:D,'SWiSH Demand Forecast Sep-26'!G:G,"Not Exist")</f>
        <v>Not Exist</v>
      </c>
    </row>
    <row r="1760" spans="1:46" x14ac:dyDescent="0.3">
      <c r="A1760">
        <v>105600053</v>
      </c>
      <c r="B1760" t="s">
        <v>3623</v>
      </c>
      <c r="C1760" t="s">
        <v>136</v>
      </c>
      <c r="D1760" t="s">
        <v>1629</v>
      </c>
      <c r="E1760" t="s">
        <v>2483</v>
      </c>
      <c r="F1760" t="s">
        <v>1631</v>
      </c>
      <c r="G1760" t="s">
        <v>1690</v>
      </c>
      <c r="H1760" t="s">
        <v>1679</v>
      </c>
      <c r="I1760" t="s">
        <v>1634</v>
      </c>
      <c r="J1760" t="e">
        <v>#N/A</v>
      </c>
      <c r="K1760">
        <v>0.47344894999999998</v>
      </c>
      <c r="L1760">
        <v>0</v>
      </c>
      <c r="M1760" s="1">
        <v>30</v>
      </c>
      <c r="N1760">
        <v>0</v>
      </c>
      <c r="O1760">
        <v>0</v>
      </c>
      <c r="P1760">
        <v>0</v>
      </c>
      <c r="Q1760" s="1">
        <v>0</v>
      </c>
      <c r="R1760">
        <v>0.57999999999999996</v>
      </c>
      <c r="S1760" s="2">
        <v>45258</v>
      </c>
      <c r="T1760" s="2">
        <v>46054</v>
      </c>
      <c r="U1760">
        <v>0</v>
      </c>
      <c r="V1760">
        <v>0</v>
      </c>
      <c r="W1760">
        <v>0</v>
      </c>
      <c r="X1760">
        <v>0</v>
      </c>
      <c r="Y1760">
        <v>0</v>
      </c>
      <c r="Z1760" s="8">
        <v>0</v>
      </c>
      <c r="AA1760">
        <v>0</v>
      </c>
      <c r="AB1760" t="s">
        <v>1635</v>
      </c>
      <c r="AC1760" t="s">
        <v>1635</v>
      </c>
      <c r="AD1760" s="1" t="s">
        <v>1635</v>
      </c>
      <c r="AE1760" s="2" t="s">
        <v>1635</v>
      </c>
      <c r="AF1760" s="2" t="s">
        <v>1635</v>
      </c>
      <c r="AG1760" s="2" t="s">
        <v>1635</v>
      </c>
      <c r="AH1760">
        <v>0</v>
      </c>
      <c r="AI1760" s="3" t="s">
        <v>1635</v>
      </c>
      <c r="AJ1760" s="1" t="s">
        <v>1635</v>
      </c>
      <c r="AK1760" s="2" t="s">
        <v>1635</v>
      </c>
      <c r="AL1760" s="4" t="s">
        <v>1636</v>
      </c>
      <c r="AM1760" s="5" t="s">
        <v>1636</v>
      </c>
      <c r="AN1760" s="4">
        <v>0</v>
      </c>
      <c r="AO1760" t="s">
        <v>1635</v>
      </c>
      <c r="AP1760" s="4" t="s">
        <v>1636</v>
      </c>
      <c r="AQ1760" t="s">
        <v>1619</v>
      </c>
      <c r="AR1760" t="s">
        <v>1620</v>
      </c>
      <c r="AT1760" s="16" t="str">
        <f>_xlfn.XLOOKUP(B1760,'SWiSH Demand Forecast Sep-26'!D:D,'SWiSH Demand Forecast Sep-26'!G:G,"Not Exist")</f>
        <v>Not Exist</v>
      </c>
    </row>
    <row r="1761" spans="1:46" x14ac:dyDescent="0.3">
      <c r="A1761">
        <v>106600126</v>
      </c>
      <c r="B1761" t="s">
        <v>3624</v>
      </c>
      <c r="C1761" t="s">
        <v>10</v>
      </c>
      <c r="D1761" t="s">
        <v>1629</v>
      </c>
      <c r="E1761" t="s">
        <v>3625</v>
      </c>
      <c r="F1761" t="s">
        <v>1664</v>
      </c>
      <c r="G1761" t="e">
        <v>#N/A</v>
      </c>
      <c r="H1761" t="s">
        <v>1723</v>
      </c>
      <c r="I1761" t="s">
        <v>1634</v>
      </c>
      <c r="J1761" t="s">
        <v>10</v>
      </c>
      <c r="K1761" t="e">
        <v>#N/A</v>
      </c>
      <c r="L1761" t="e">
        <v>#N/A</v>
      </c>
      <c r="M1761" s="1">
        <v>15</v>
      </c>
      <c r="N1761">
        <v>0</v>
      </c>
      <c r="O1761">
        <v>0</v>
      </c>
      <c r="P1761">
        <v>0</v>
      </c>
      <c r="Q1761" s="1">
        <v>0</v>
      </c>
      <c r="R1761">
        <v>4.0000000000000001E-3</v>
      </c>
      <c r="S1761" s="2">
        <v>45812</v>
      </c>
      <c r="T1761" s="2">
        <v>46054</v>
      </c>
      <c r="U1761">
        <v>0</v>
      </c>
      <c r="V1761">
        <v>0</v>
      </c>
      <c r="W1761">
        <v>0</v>
      </c>
      <c r="X1761">
        <v>0</v>
      </c>
      <c r="Y1761">
        <v>0</v>
      </c>
      <c r="Z1761" s="8">
        <v>0</v>
      </c>
      <c r="AA1761">
        <v>0</v>
      </c>
      <c r="AB1761" t="s">
        <v>1635</v>
      </c>
      <c r="AC1761" t="s">
        <v>1635</v>
      </c>
      <c r="AD1761" s="1" t="s">
        <v>1635</v>
      </c>
      <c r="AE1761" s="2" t="s">
        <v>1635</v>
      </c>
      <c r="AF1761" s="2" t="s">
        <v>1635</v>
      </c>
      <c r="AG1761" s="2" t="s">
        <v>1635</v>
      </c>
      <c r="AH1761">
        <v>0</v>
      </c>
      <c r="AI1761" s="3" t="s">
        <v>1635</v>
      </c>
      <c r="AJ1761" s="1" t="s">
        <v>1635</v>
      </c>
      <c r="AK1761" s="2" t="s">
        <v>1635</v>
      </c>
      <c r="AL1761" s="4" t="s">
        <v>1658</v>
      </c>
      <c r="AM1761" s="5" t="s">
        <v>1658</v>
      </c>
      <c r="AN1761" s="4">
        <v>0</v>
      </c>
      <c r="AO1761" t="s">
        <v>1635</v>
      </c>
      <c r="AP1761" s="4" t="s">
        <v>1658</v>
      </c>
      <c r="AQ1761" t="s">
        <v>1619</v>
      </c>
      <c r="AR1761" t="s">
        <v>1620</v>
      </c>
      <c r="AT1761" s="16" t="str">
        <f>_xlfn.XLOOKUP(B1761,'SWiSH Demand Forecast Sep-26'!D:D,'SWiSH Demand Forecast Sep-26'!G:G,"Not Exist")</f>
        <v>Not Exist</v>
      </c>
    </row>
    <row r="1762" spans="1:46" hidden="1" x14ac:dyDescent="0.3">
      <c r="A1762">
        <v>101600033</v>
      </c>
      <c r="B1762" t="s">
        <v>988</v>
      </c>
      <c r="C1762" t="s">
        <v>10</v>
      </c>
      <c r="D1762" t="s">
        <v>1629</v>
      </c>
      <c r="E1762" t="s">
        <v>1655</v>
      </c>
      <c r="F1762" t="s">
        <v>1664</v>
      </c>
      <c r="G1762" t="e">
        <v>#N/A</v>
      </c>
      <c r="H1762" t="s">
        <v>1768</v>
      </c>
      <c r="I1762" t="s">
        <v>1634</v>
      </c>
      <c r="J1762" t="s">
        <v>10</v>
      </c>
      <c r="K1762" t="e">
        <v>#N/A</v>
      </c>
      <c r="L1762" t="e">
        <v>#N/A</v>
      </c>
      <c r="M1762" s="1">
        <v>7</v>
      </c>
      <c r="N1762">
        <v>0</v>
      </c>
      <c r="O1762">
        <v>0</v>
      </c>
      <c r="P1762">
        <v>0</v>
      </c>
      <c r="Q1762" s="1">
        <v>0</v>
      </c>
      <c r="R1762">
        <v>0.06</v>
      </c>
      <c r="S1762" s="2">
        <v>45873</v>
      </c>
      <c r="T1762" s="2">
        <v>46191</v>
      </c>
      <c r="U1762">
        <v>0</v>
      </c>
      <c r="V1762">
        <v>0</v>
      </c>
      <c r="W1762">
        <v>0</v>
      </c>
      <c r="X1762">
        <v>0</v>
      </c>
      <c r="Y1762">
        <v>0</v>
      </c>
      <c r="Z1762" s="8">
        <v>0</v>
      </c>
      <c r="AA1762">
        <v>0</v>
      </c>
      <c r="AB1762" t="s">
        <v>1635</v>
      </c>
      <c r="AC1762" t="s">
        <v>1635</v>
      </c>
      <c r="AD1762" s="1" t="s">
        <v>1635</v>
      </c>
      <c r="AE1762" s="2" t="s">
        <v>1635</v>
      </c>
      <c r="AF1762" s="2" t="s">
        <v>1635</v>
      </c>
      <c r="AG1762" s="2" t="s">
        <v>1635</v>
      </c>
      <c r="AH1762">
        <v>0</v>
      </c>
      <c r="AI1762" s="3" t="s">
        <v>1635</v>
      </c>
      <c r="AJ1762" s="1" t="s">
        <v>1635</v>
      </c>
      <c r="AK1762" s="2" t="s">
        <v>1635</v>
      </c>
      <c r="AL1762" s="4" t="s">
        <v>1636</v>
      </c>
      <c r="AM1762" s="5" t="s">
        <v>1636</v>
      </c>
      <c r="AN1762" s="4">
        <v>0</v>
      </c>
      <c r="AO1762" t="s">
        <v>1635</v>
      </c>
      <c r="AP1762" s="4" t="s">
        <v>1636</v>
      </c>
      <c r="AQ1762" t="s">
        <v>1619</v>
      </c>
      <c r="AR1762" t="s">
        <v>1620</v>
      </c>
      <c r="AT1762" s="16">
        <f>_xlfn.XLOOKUP(B1762,'SWiSH Demand Forecast Sep-26'!D:D,'SWiSH Demand Forecast Sep-26'!G:G,"Not Exist")</f>
        <v>156</v>
      </c>
    </row>
    <row r="1763" spans="1:46" x14ac:dyDescent="0.3">
      <c r="A1763">
        <v>106600084</v>
      </c>
      <c r="B1763" t="s">
        <v>3626</v>
      </c>
      <c r="C1763" t="s">
        <v>10</v>
      </c>
      <c r="D1763" t="s">
        <v>1629</v>
      </c>
      <c r="E1763" t="s">
        <v>1926</v>
      </c>
      <c r="F1763" t="s">
        <v>1664</v>
      </c>
      <c r="G1763" t="s">
        <v>1704</v>
      </c>
      <c r="H1763" t="s">
        <v>1723</v>
      </c>
      <c r="I1763" t="s">
        <v>1634</v>
      </c>
      <c r="J1763" t="s">
        <v>10</v>
      </c>
      <c r="K1763">
        <v>7.0099999999999997E-3</v>
      </c>
      <c r="L1763">
        <v>35.049999999999997</v>
      </c>
      <c r="M1763" s="1">
        <v>15</v>
      </c>
      <c r="N1763">
        <v>0</v>
      </c>
      <c r="O1763">
        <v>0</v>
      </c>
      <c r="P1763">
        <v>5000</v>
      </c>
      <c r="Q1763" s="1">
        <v>5000</v>
      </c>
      <c r="R1763">
        <v>4.62E-3</v>
      </c>
      <c r="S1763" s="2">
        <v>45777</v>
      </c>
      <c r="T1763" s="2">
        <v>46049</v>
      </c>
      <c r="U1763">
        <v>0</v>
      </c>
      <c r="V1763">
        <v>0</v>
      </c>
      <c r="W1763">
        <v>0</v>
      </c>
      <c r="X1763">
        <v>0</v>
      </c>
      <c r="Y1763">
        <v>0</v>
      </c>
      <c r="Z1763" s="8">
        <v>0</v>
      </c>
      <c r="AA1763">
        <v>0</v>
      </c>
      <c r="AB1763" t="s">
        <v>1635</v>
      </c>
      <c r="AC1763" t="s">
        <v>1635</v>
      </c>
      <c r="AD1763" s="1" t="s">
        <v>1635</v>
      </c>
      <c r="AE1763" s="2" t="s">
        <v>1635</v>
      </c>
      <c r="AF1763" s="2" t="s">
        <v>1635</v>
      </c>
      <c r="AG1763" s="2" t="s">
        <v>1635</v>
      </c>
      <c r="AH1763">
        <v>0</v>
      </c>
      <c r="AI1763" s="3" t="s">
        <v>1635</v>
      </c>
      <c r="AJ1763" s="1" t="s">
        <v>1635</v>
      </c>
      <c r="AK1763" s="2" t="s">
        <v>1635</v>
      </c>
      <c r="AL1763" s="4" t="s">
        <v>1636</v>
      </c>
      <c r="AM1763" s="5" t="s">
        <v>1636</v>
      </c>
      <c r="AN1763" s="4">
        <v>0</v>
      </c>
      <c r="AO1763" t="s">
        <v>1635</v>
      </c>
      <c r="AP1763" s="4" t="s">
        <v>1636</v>
      </c>
      <c r="AQ1763" t="s">
        <v>1619</v>
      </c>
      <c r="AR1763" t="s">
        <v>1620</v>
      </c>
      <c r="AT1763" s="16" t="str">
        <f>_xlfn.XLOOKUP(B1763,'SWiSH Demand Forecast Sep-26'!D:D,'SWiSH Demand Forecast Sep-26'!G:G,"Not Exist")</f>
        <v>Not Exist</v>
      </c>
    </row>
    <row r="1764" spans="1:46" x14ac:dyDescent="0.3">
      <c r="A1764">
        <v>106800247</v>
      </c>
      <c r="B1764" t="s">
        <v>3627</v>
      </c>
      <c r="C1764" t="s">
        <v>10</v>
      </c>
      <c r="D1764" t="s">
        <v>1629</v>
      </c>
      <c r="E1764" t="s">
        <v>1663</v>
      </c>
      <c r="F1764" t="s">
        <v>1664</v>
      </c>
      <c r="G1764" t="s">
        <v>1704</v>
      </c>
      <c r="H1764" t="s">
        <v>1665</v>
      </c>
      <c r="I1764" t="s">
        <v>1634</v>
      </c>
      <c r="J1764" t="s">
        <v>10</v>
      </c>
      <c r="K1764">
        <v>2E-3</v>
      </c>
      <c r="L1764">
        <v>98</v>
      </c>
      <c r="M1764" s="1">
        <v>15</v>
      </c>
      <c r="N1764">
        <v>0</v>
      </c>
      <c r="O1764">
        <v>0</v>
      </c>
      <c r="P1764">
        <v>49000</v>
      </c>
      <c r="Q1764" s="1">
        <v>49000</v>
      </c>
      <c r="R1764">
        <v>2E-3</v>
      </c>
      <c r="S1764" s="2">
        <v>45852</v>
      </c>
      <c r="T1764" s="2">
        <v>46049</v>
      </c>
      <c r="U1764">
        <v>0</v>
      </c>
      <c r="V1764">
        <v>0</v>
      </c>
      <c r="W1764">
        <v>0</v>
      </c>
      <c r="X1764">
        <v>0</v>
      </c>
      <c r="Y1764">
        <v>0</v>
      </c>
      <c r="Z1764" s="8">
        <v>0</v>
      </c>
      <c r="AA1764">
        <v>0</v>
      </c>
      <c r="AB1764" t="s">
        <v>1635</v>
      </c>
      <c r="AC1764" t="s">
        <v>1635</v>
      </c>
      <c r="AD1764" s="1" t="s">
        <v>1635</v>
      </c>
      <c r="AE1764" s="2" t="s">
        <v>1635</v>
      </c>
      <c r="AF1764" s="2" t="s">
        <v>1635</v>
      </c>
      <c r="AG1764" s="2" t="s">
        <v>1635</v>
      </c>
      <c r="AH1764">
        <v>0</v>
      </c>
      <c r="AI1764" s="3" t="s">
        <v>1635</v>
      </c>
      <c r="AJ1764" s="1" t="s">
        <v>1635</v>
      </c>
      <c r="AK1764" s="2" t="s">
        <v>1635</v>
      </c>
      <c r="AL1764" s="4" t="s">
        <v>1636</v>
      </c>
      <c r="AM1764" s="5" t="s">
        <v>1636</v>
      </c>
      <c r="AN1764" s="4">
        <v>0</v>
      </c>
      <c r="AO1764" t="s">
        <v>1635</v>
      </c>
      <c r="AP1764" s="4" t="s">
        <v>1636</v>
      </c>
      <c r="AQ1764" t="s">
        <v>1619</v>
      </c>
      <c r="AR1764" t="s">
        <v>1620</v>
      </c>
      <c r="AT1764" s="16" t="str">
        <f>_xlfn.XLOOKUP(B1764,'SWiSH Demand Forecast Sep-26'!D:D,'SWiSH Demand Forecast Sep-26'!G:G,"Not Exist")</f>
        <v>Not Exist</v>
      </c>
    </row>
    <row r="1765" spans="1:46" x14ac:dyDescent="0.3">
      <c r="A1765">
        <v>107200162</v>
      </c>
      <c r="B1765" t="s">
        <v>3628</v>
      </c>
      <c r="C1765" t="s">
        <v>10</v>
      </c>
      <c r="D1765" t="s">
        <v>1629</v>
      </c>
      <c r="E1765" t="s">
        <v>1926</v>
      </c>
      <c r="F1765" t="s">
        <v>1656</v>
      </c>
      <c r="G1765" t="e">
        <v>#N/A</v>
      </c>
      <c r="H1765" t="s">
        <v>1657</v>
      </c>
      <c r="I1765" t="s">
        <v>1634</v>
      </c>
      <c r="J1765" t="s">
        <v>10</v>
      </c>
      <c r="K1765" t="e">
        <v>#N/A</v>
      </c>
      <c r="L1765" t="e">
        <v>#N/A</v>
      </c>
      <c r="M1765" s="1">
        <v>15</v>
      </c>
      <c r="N1765">
        <v>0</v>
      </c>
      <c r="O1765">
        <v>0</v>
      </c>
      <c r="P1765">
        <v>0</v>
      </c>
      <c r="Q1765" s="1">
        <v>0</v>
      </c>
      <c r="R1765">
        <v>2.75</v>
      </c>
      <c r="S1765" s="2">
        <v>45969</v>
      </c>
      <c r="T1765" s="2">
        <v>46183</v>
      </c>
      <c r="U1765">
        <v>0</v>
      </c>
      <c r="V1765">
        <v>0</v>
      </c>
      <c r="W1765">
        <v>0</v>
      </c>
      <c r="X1765">
        <v>0</v>
      </c>
      <c r="Y1765">
        <v>0</v>
      </c>
      <c r="Z1765" s="8">
        <v>0</v>
      </c>
      <c r="AA1765">
        <v>0</v>
      </c>
      <c r="AB1765" t="s">
        <v>1635</v>
      </c>
      <c r="AC1765" t="s">
        <v>1635</v>
      </c>
      <c r="AD1765" s="1" t="s">
        <v>1635</v>
      </c>
      <c r="AE1765" s="2" t="s">
        <v>1635</v>
      </c>
      <c r="AF1765" s="2" t="s">
        <v>1635</v>
      </c>
      <c r="AG1765" s="2" t="s">
        <v>1635</v>
      </c>
      <c r="AH1765">
        <v>0</v>
      </c>
      <c r="AI1765" s="3" t="s">
        <v>1635</v>
      </c>
      <c r="AJ1765" s="1" t="s">
        <v>1635</v>
      </c>
      <c r="AK1765" s="2" t="s">
        <v>1635</v>
      </c>
      <c r="AL1765" s="4" t="s">
        <v>1636</v>
      </c>
      <c r="AM1765" s="5" t="s">
        <v>1636</v>
      </c>
      <c r="AN1765" s="4">
        <v>0</v>
      </c>
      <c r="AO1765" t="s">
        <v>1635</v>
      </c>
      <c r="AP1765" s="4" t="s">
        <v>1636</v>
      </c>
      <c r="AQ1765" t="s">
        <v>1619</v>
      </c>
      <c r="AR1765" t="s">
        <v>1620</v>
      </c>
      <c r="AT1765" s="16" t="str">
        <f>_xlfn.XLOOKUP(B1765,'SWiSH Demand Forecast Sep-26'!D:D,'SWiSH Demand Forecast Sep-26'!G:G,"Not Exist")</f>
        <v>Not Exist</v>
      </c>
    </row>
    <row r="1766" spans="1:46" x14ac:dyDescent="0.3">
      <c r="A1766">
        <v>105300043</v>
      </c>
      <c r="B1766" t="s">
        <v>3629</v>
      </c>
      <c r="C1766" t="s">
        <v>10</v>
      </c>
      <c r="D1766" t="s">
        <v>1629</v>
      </c>
      <c r="E1766" t="s">
        <v>1638</v>
      </c>
      <c r="F1766" t="s">
        <v>1664</v>
      </c>
      <c r="G1766" t="s">
        <v>1690</v>
      </c>
      <c r="H1766" t="s">
        <v>1978</v>
      </c>
      <c r="I1766" t="s">
        <v>1634</v>
      </c>
      <c r="J1766">
        <v>0</v>
      </c>
      <c r="K1766">
        <v>3.3000000000000002E-2</v>
      </c>
      <c r="L1766">
        <v>0</v>
      </c>
      <c r="M1766" s="1">
        <v>30</v>
      </c>
      <c r="N1766">
        <v>0</v>
      </c>
      <c r="O1766">
        <v>0</v>
      </c>
      <c r="P1766">
        <v>0</v>
      </c>
      <c r="Q1766" s="1">
        <v>0</v>
      </c>
      <c r="R1766">
        <v>3.3000000000000002E-2</v>
      </c>
      <c r="S1766" s="2">
        <v>45307</v>
      </c>
      <c r="T1766" s="2">
        <v>46054</v>
      </c>
      <c r="U1766">
        <v>0</v>
      </c>
      <c r="V1766">
        <v>0</v>
      </c>
      <c r="W1766">
        <v>0</v>
      </c>
      <c r="X1766">
        <v>0</v>
      </c>
      <c r="Y1766">
        <v>0</v>
      </c>
      <c r="Z1766" s="8">
        <v>0</v>
      </c>
      <c r="AA1766">
        <v>0</v>
      </c>
      <c r="AB1766" t="s">
        <v>1635</v>
      </c>
      <c r="AC1766" t="s">
        <v>1635</v>
      </c>
      <c r="AD1766" s="1" t="s">
        <v>1635</v>
      </c>
      <c r="AE1766" s="2" t="s">
        <v>1635</v>
      </c>
      <c r="AF1766" s="2" t="s">
        <v>1635</v>
      </c>
      <c r="AG1766" s="2" t="s">
        <v>1635</v>
      </c>
      <c r="AH1766">
        <v>0</v>
      </c>
      <c r="AI1766" s="3" t="s">
        <v>1635</v>
      </c>
      <c r="AJ1766" s="1" t="s">
        <v>1635</v>
      </c>
      <c r="AK1766" s="2" t="s">
        <v>1635</v>
      </c>
      <c r="AL1766" s="4" t="s">
        <v>1636</v>
      </c>
      <c r="AM1766" s="5" t="s">
        <v>1636</v>
      </c>
      <c r="AN1766" s="4">
        <v>0</v>
      </c>
      <c r="AO1766" t="s">
        <v>1635</v>
      </c>
      <c r="AP1766" s="4" t="s">
        <v>1636</v>
      </c>
      <c r="AQ1766" t="s">
        <v>1619</v>
      </c>
      <c r="AR1766" t="s">
        <v>1620</v>
      </c>
      <c r="AT1766" s="16" t="str">
        <f>_xlfn.XLOOKUP(B1766,'SWiSH Demand Forecast Sep-26'!D:D,'SWiSH Demand Forecast Sep-26'!G:G,"Not Exist")</f>
        <v>Not Exist</v>
      </c>
    </row>
    <row r="1767" spans="1:46" x14ac:dyDescent="0.3">
      <c r="A1767">
        <v>105600043</v>
      </c>
      <c r="B1767" t="s">
        <v>3630</v>
      </c>
      <c r="C1767" t="s">
        <v>136</v>
      </c>
      <c r="D1767" t="s">
        <v>1629</v>
      </c>
      <c r="E1767" t="s">
        <v>3631</v>
      </c>
      <c r="F1767" t="s">
        <v>1631</v>
      </c>
      <c r="G1767" t="e">
        <v>#N/A</v>
      </c>
      <c r="H1767" t="s">
        <v>1679</v>
      </c>
      <c r="I1767" t="s">
        <v>1634</v>
      </c>
      <c r="J1767" t="s">
        <v>136</v>
      </c>
      <c r="K1767" t="e">
        <v>#N/A</v>
      </c>
      <c r="L1767" t="e">
        <v>#N/A</v>
      </c>
      <c r="M1767" s="1">
        <v>30</v>
      </c>
      <c r="N1767">
        <v>0</v>
      </c>
      <c r="O1767">
        <v>0</v>
      </c>
      <c r="P1767">
        <v>0</v>
      </c>
      <c r="Q1767" s="1">
        <v>0</v>
      </c>
      <c r="R1767">
        <v>0.60099999999999998</v>
      </c>
      <c r="S1767" s="2">
        <v>45873</v>
      </c>
      <c r="T1767" s="2">
        <v>46052</v>
      </c>
      <c r="U1767">
        <v>0</v>
      </c>
      <c r="V1767">
        <v>0</v>
      </c>
      <c r="W1767">
        <v>0</v>
      </c>
      <c r="X1767">
        <v>0</v>
      </c>
      <c r="Y1767">
        <v>0</v>
      </c>
      <c r="Z1767" s="8">
        <v>0</v>
      </c>
      <c r="AA1767">
        <v>0</v>
      </c>
      <c r="AB1767" t="s">
        <v>1635</v>
      </c>
      <c r="AC1767" t="s">
        <v>1635</v>
      </c>
      <c r="AD1767" s="1" t="s">
        <v>1635</v>
      </c>
      <c r="AE1767" s="2" t="s">
        <v>1635</v>
      </c>
      <c r="AF1767" s="2" t="s">
        <v>1635</v>
      </c>
      <c r="AG1767" s="2" t="s">
        <v>1635</v>
      </c>
      <c r="AH1767">
        <v>0</v>
      </c>
      <c r="AI1767" s="3" t="s">
        <v>1635</v>
      </c>
      <c r="AJ1767" s="1" t="s">
        <v>1635</v>
      </c>
      <c r="AK1767" s="2" t="s">
        <v>1635</v>
      </c>
      <c r="AL1767" s="4" t="s">
        <v>1636</v>
      </c>
      <c r="AM1767" s="5" t="s">
        <v>1636</v>
      </c>
      <c r="AN1767" s="4">
        <v>0</v>
      </c>
      <c r="AO1767" t="s">
        <v>1635</v>
      </c>
      <c r="AP1767" s="4" t="s">
        <v>1636</v>
      </c>
      <c r="AQ1767" t="s">
        <v>1619</v>
      </c>
      <c r="AR1767" t="s">
        <v>1620</v>
      </c>
      <c r="AT1767" s="16" t="str">
        <f>_xlfn.XLOOKUP(B1767,'SWiSH Demand Forecast Sep-26'!D:D,'SWiSH Demand Forecast Sep-26'!G:G,"Not Exist")</f>
        <v>Not Exist</v>
      </c>
    </row>
    <row r="1768" spans="1:46" x14ac:dyDescent="0.3">
      <c r="A1768">
        <v>107200100</v>
      </c>
      <c r="B1768" t="s">
        <v>3632</v>
      </c>
      <c r="C1768" t="s">
        <v>10</v>
      </c>
      <c r="D1768" t="s">
        <v>1675</v>
      </c>
      <c r="E1768" t="s">
        <v>1775</v>
      </c>
      <c r="F1768" t="s">
        <v>1656</v>
      </c>
      <c r="G1768" t="s">
        <v>1704</v>
      </c>
      <c r="H1768" t="s">
        <v>1657</v>
      </c>
      <c r="I1768" t="s">
        <v>1634</v>
      </c>
      <c r="J1768" t="s">
        <v>10</v>
      </c>
      <c r="K1768">
        <v>7.5</v>
      </c>
      <c r="L1768">
        <v>0</v>
      </c>
      <c r="M1768" s="1">
        <v>15</v>
      </c>
      <c r="N1768">
        <v>0</v>
      </c>
      <c r="O1768">
        <v>0</v>
      </c>
      <c r="P1768">
        <v>0</v>
      </c>
      <c r="Q1768" s="1">
        <v>0</v>
      </c>
      <c r="R1768">
        <v>7.5</v>
      </c>
      <c r="S1768" s="2">
        <v>46011</v>
      </c>
      <c r="T1768" s="2">
        <v>46152</v>
      </c>
      <c r="U1768">
        <v>0</v>
      </c>
      <c r="V1768">
        <v>0</v>
      </c>
      <c r="W1768">
        <v>0</v>
      </c>
      <c r="X1768">
        <v>0</v>
      </c>
      <c r="Y1768">
        <v>0</v>
      </c>
      <c r="Z1768" s="8">
        <v>0</v>
      </c>
      <c r="AA1768">
        <v>0</v>
      </c>
      <c r="AB1768" t="s">
        <v>1635</v>
      </c>
      <c r="AC1768" t="s">
        <v>1635</v>
      </c>
      <c r="AD1768" s="1" t="s">
        <v>1635</v>
      </c>
      <c r="AE1768" s="2" t="s">
        <v>1635</v>
      </c>
      <c r="AF1768" s="2" t="s">
        <v>1635</v>
      </c>
      <c r="AG1768" s="2" t="s">
        <v>1635</v>
      </c>
      <c r="AH1768">
        <v>0</v>
      </c>
      <c r="AI1768" s="3" t="s">
        <v>1635</v>
      </c>
      <c r="AJ1768" s="1" t="s">
        <v>1635</v>
      </c>
      <c r="AK1768" s="2" t="s">
        <v>1635</v>
      </c>
      <c r="AL1768" s="4" t="s">
        <v>1658</v>
      </c>
      <c r="AM1768" s="5" t="s">
        <v>1658</v>
      </c>
      <c r="AN1768" s="4">
        <v>0</v>
      </c>
      <c r="AO1768" t="s">
        <v>1635</v>
      </c>
      <c r="AP1768" s="4" t="s">
        <v>1658</v>
      </c>
      <c r="AQ1768" t="s">
        <v>1619</v>
      </c>
      <c r="AR1768" t="s">
        <v>1620</v>
      </c>
      <c r="AT1768" s="16" t="str">
        <f>_xlfn.XLOOKUP(B1768,'SWiSH Demand Forecast Sep-26'!D:D,'SWiSH Demand Forecast Sep-26'!G:G,"Not Exist")</f>
        <v>Not Exist</v>
      </c>
    </row>
    <row r="1769" spans="1:46" x14ac:dyDescent="0.3">
      <c r="A1769">
        <v>107200031</v>
      </c>
      <c r="B1769" t="s">
        <v>3633</v>
      </c>
      <c r="C1769" t="s">
        <v>10</v>
      </c>
      <c r="D1769" t="s">
        <v>1629</v>
      </c>
      <c r="E1769" t="s">
        <v>1775</v>
      </c>
      <c r="F1769" t="s">
        <v>1656</v>
      </c>
      <c r="G1769" t="e">
        <v>#N/A</v>
      </c>
      <c r="H1769" t="s">
        <v>1657</v>
      </c>
      <c r="I1769" t="s">
        <v>1634</v>
      </c>
      <c r="J1769" t="s">
        <v>10</v>
      </c>
      <c r="K1769" t="e">
        <v>#N/A</v>
      </c>
      <c r="L1769" t="e">
        <v>#N/A</v>
      </c>
      <c r="M1769" s="1">
        <v>15</v>
      </c>
      <c r="N1769">
        <v>0</v>
      </c>
      <c r="O1769">
        <v>0</v>
      </c>
      <c r="P1769">
        <v>0</v>
      </c>
      <c r="Q1769" s="1">
        <v>0</v>
      </c>
      <c r="R1769">
        <v>4.75</v>
      </c>
      <c r="S1769" s="2">
        <v>46011</v>
      </c>
      <c r="T1769" s="2">
        <v>46245</v>
      </c>
      <c r="U1769">
        <v>0</v>
      </c>
      <c r="V1769">
        <v>0</v>
      </c>
      <c r="W1769">
        <v>0</v>
      </c>
      <c r="X1769">
        <v>0</v>
      </c>
      <c r="Y1769">
        <v>0</v>
      </c>
      <c r="Z1769" s="8">
        <v>0</v>
      </c>
      <c r="AA1769">
        <v>0</v>
      </c>
      <c r="AB1769" t="s">
        <v>1635</v>
      </c>
      <c r="AC1769" t="s">
        <v>1635</v>
      </c>
      <c r="AD1769" s="1" t="s">
        <v>1635</v>
      </c>
      <c r="AE1769" s="2" t="s">
        <v>1635</v>
      </c>
      <c r="AF1769" s="2" t="s">
        <v>1635</v>
      </c>
      <c r="AG1769" s="2" t="s">
        <v>1635</v>
      </c>
      <c r="AH1769">
        <v>0</v>
      </c>
      <c r="AI1769" s="3" t="s">
        <v>1635</v>
      </c>
      <c r="AJ1769" s="1" t="s">
        <v>1635</v>
      </c>
      <c r="AK1769" s="2" t="s">
        <v>1635</v>
      </c>
      <c r="AL1769" s="4" t="s">
        <v>1636</v>
      </c>
      <c r="AM1769" s="5" t="s">
        <v>1636</v>
      </c>
      <c r="AN1769" s="4">
        <v>0</v>
      </c>
      <c r="AO1769" t="s">
        <v>1635</v>
      </c>
      <c r="AP1769" s="4" t="s">
        <v>1636</v>
      </c>
      <c r="AQ1769" t="s">
        <v>1619</v>
      </c>
      <c r="AR1769" t="s">
        <v>1620</v>
      </c>
      <c r="AT1769" s="16" t="str">
        <f>_xlfn.XLOOKUP(B1769,'SWiSH Demand Forecast Sep-26'!D:D,'SWiSH Demand Forecast Sep-26'!G:G,"Not Exist")</f>
        <v>Not Exist</v>
      </c>
    </row>
    <row r="1770" spans="1:46" x14ac:dyDescent="0.3">
      <c r="A1770">
        <v>105200066</v>
      </c>
      <c r="B1770" t="s">
        <v>3634</v>
      </c>
      <c r="C1770" t="s">
        <v>10</v>
      </c>
      <c r="D1770" t="s">
        <v>1629</v>
      </c>
      <c r="E1770" t="s">
        <v>1685</v>
      </c>
      <c r="F1770" t="s">
        <v>1664</v>
      </c>
      <c r="G1770" t="s">
        <v>1624</v>
      </c>
      <c r="H1770" t="s">
        <v>1779</v>
      </c>
      <c r="I1770" t="s">
        <v>1634</v>
      </c>
      <c r="J1770" t="s">
        <v>10</v>
      </c>
      <c r="K1770">
        <v>2.0250000000000001E-2</v>
      </c>
      <c r="L1770">
        <v>0</v>
      </c>
      <c r="M1770" s="1">
        <v>30</v>
      </c>
      <c r="N1770">
        <v>0</v>
      </c>
      <c r="O1770">
        <v>0</v>
      </c>
      <c r="P1770">
        <v>0</v>
      </c>
      <c r="Q1770" s="1">
        <v>0</v>
      </c>
      <c r="R1770">
        <v>2.7E-2</v>
      </c>
      <c r="S1770" s="2">
        <v>45853</v>
      </c>
      <c r="T1770" s="2">
        <v>46054</v>
      </c>
      <c r="U1770">
        <v>0</v>
      </c>
      <c r="V1770">
        <v>0</v>
      </c>
      <c r="W1770">
        <v>0</v>
      </c>
      <c r="X1770">
        <v>0</v>
      </c>
      <c r="Y1770">
        <v>0</v>
      </c>
      <c r="Z1770" s="8">
        <v>0</v>
      </c>
      <c r="AA1770">
        <v>0</v>
      </c>
      <c r="AB1770" t="s">
        <v>1635</v>
      </c>
      <c r="AC1770" t="s">
        <v>1635</v>
      </c>
      <c r="AD1770" s="1" t="s">
        <v>1635</v>
      </c>
      <c r="AE1770" s="2" t="s">
        <v>1635</v>
      </c>
      <c r="AF1770" s="2" t="s">
        <v>1635</v>
      </c>
      <c r="AG1770" s="2" t="s">
        <v>1635</v>
      </c>
      <c r="AH1770">
        <v>0</v>
      </c>
      <c r="AI1770" s="3" t="s">
        <v>1635</v>
      </c>
      <c r="AJ1770" s="1" t="s">
        <v>1635</v>
      </c>
      <c r="AK1770" s="2" t="s">
        <v>1635</v>
      </c>
      <c r="AL1770" s="4" t="s">
        <v>1636</v>
      </c>
      <c r="AM1770" s="5" t="s">
        <v>1636</v>
      </c>
      <c r="AN1770" s="4">
        <v>0</v>
      </c>
      <c r="AO1770" t="s">
        <v>1635</v>
      </c>
      <c r="AP1770" s="4" t="s">
        <v>1636</v>
      </c>
      <c r="AQ1770" t="s">
        <v>1619</v>
      </c>
      <c r="AR1770" t="s">
        <v>1620</v>
      </c>
      <c r="AT1770" s="16" t="str">
        <f>_xlfn.XLOOKUP(B1770,'SWiSH Demand Forecast Sep-26'!D:D,'SWiSH Demand Forecast Sep-26'!G:G,"Not Exist")</f>
        <v>Not Exist</v>
      </c>
    </row>
    <row r="1771" spans="1:46" x14ac:dyDescent="0.3">
      <c r="A1771">
        <v>105300010</v>
      </c>
      <c r="B1771" t="s">
        <v>3635</v>
      </c>
      <c r="C1771" t="s">
        <v>10</v>
      </c>
      <c r="D1771" t="s">
        <v>1629</v>
      </c>
      <c r="E1771" t="s">
        <v>1638</v>
      </c>
      <c r="F1771" t="s">
        <v>1664</v>
      </c>
      <c r="G1771" t="s">
        <v>1704</v>
      </c>
      <c r="H1771" t="s">
        <v>1978</v>
      </c>
      <c r="I1771" t="s">
        <v>1634</v>
      </c>
      <c r="J1771" t="s">
        <v>10</v>
      </c>
      <c r="K1771">
        <v>3.2000000000000001E-2</v>
      </c>
      <c r="L1771">
        <v>0</v>
      </c>
      <c r="M1771" s="1">
        <v>15</v>
      </c>
      <c r="N1771">
        <v>0</v>
      </c>
      <c r="O1771">
        <v>0</v>
      </c>
      <c r="P1771">
        <v>0</v>
      </c>
      <c r="Q1771" s="1">
        <v>0</v>
      </c>
      <c r="R1771">
        <v>3.2000000000000001E-2</v>
      </c>
      <c r="S1771" s="2">
        <v>45796</v>
      </c>
      <c r="T1771" s="2">
        <v>45943</v>
      </c>
      <c r="U1771">
        <v>0</v>
      </c>
      <c r="V1771">
        <v>0</v>
      </c>
      <c r="W1771">
        <v>0</v>
      </c>
      <c r="X1771">
        <v>0</v>
      </c>
      <c r="Y1771">
        <v>0</v>
      </c>
      <c r="Z1771" s="8">
        <v>0</v>
      </c>
      <c r="AA1771">
        <v>0</v>
      </c>
      <c r="AB1771" t="s">
        <v>1635</v>
      </c>
      <c r="AC1771" t="s">
        <v>1635</v>
      </c>
      <c r="AD1771" s="1" t="s">
        <v>1635</v>
      </c>
      <c r="AE1771" s="2" t="s">
        <v>1635</v>
      </c>
      <c r="AF1771" s="2" t="s">
        <v>1635</v>
      </c>
      <c r="AG1771" s="2" t="s">
        <v>1635</v>
      </c>
      <c r="AH1771">
        <v>0</v>
      </c>
      <c r="AI1771" s="3" t="s">
        <v>1635</v>
      </c>
      <c r="AJ1771" s="1" t="s">
        <v>1635</v>
      </c>
      <c r="AK1771" s="2" t="s">
        <v>1635</v>
      </c>
      <c r="AL1771" s="4" t="s">
        <v>1636</v>
      </c>
      <c r="AM1771" s="5" t="s">
        <v>1636</v>
      </c>
      <c r="AN1771" s="4">
        <v>0</v>
      </c>
      <c r="AO1771" t="s">
        <v>1635</v>
      </c>
      <c r="AP1771" s="4" t="s">
        <v>1636</v>
      </c>
      <c r="AQ1771" t="s">
        <v>1619</v>
      </c>
      <c r="AR1771" t="s">
        <v>1620</v>
      </c>
      <c r="AT1771" s="16" t="str">
        <f>_xlfn.XLOOKUP(B1771,'SWiSH Demand Forecast Sep-26'!D:D,'SWiSH Demand Forecast Sep-26'!G:G,"Not Exist")</f>
        <v>Not Exist</v>
      </c>
    </row>
    <row r="1772" spans="1:46" x14ac:dyDescent="0.3">
      <c r="A1772">
        <v>107200135</v>
      </c>
      <c r="B1772" t="s">
        <v>3636</v>
      </c>
      <c r="C1772" t="s">
        <v>10</v>
      </c>
      <c r="D1772" t="s">
        <v>1629</v>
      </c>
      <c r="E1772" t="s">
        <v>2483</v>
      </c>
      <c r="F1772" t="s">
        <v>1656</v>
      </c>
      <c r="G1772" t="s">
        <v>1704</v>
      </c>
      <c r="H1772" t="s">
        <v>1657</v>
      </c>
      <c r="I1772" t="s">
        <v>1634</v>
      </c>
      <c r="J1772" t="s">
        <v>10</v>
      </c>
      <c r="K1772">
        <v>2.75</v>
      </c>
      <c r="L1772">
        <v>0</v>
      </c>
      <c r="M1772" s="1">
        <v>15</v>
      </c>
      <c r="N1772">
        <v>0</v>
      </c>
      <c r="O1772">
        <v>0</v>
      </c>
      <c r="P1772">
        <v>0</v>
      </c>
      <c r="Q1772" s="1">
        <v>0</v>
      </c>
      <c r="R1772">
        <v>2.75</v>
      </c>
      <c r="S1772" s="2">
        <v>45784</v>
      </c>
      <c r="T1772" s="2">
        <v>45804</v>
      </c>
      <c r="U1772">
        <v>0</v>
      </c>
      <c r="V1772">
        <v>0</v>
      </c>
      <c r="W1772">
        <v>0</v>
      </c>
      <c r="X1772">
        <v>0</v>
      </c>
      <c r="Y1772">
        <v>0</v>
      </c>
      <c r="Z1772" s="8">
        <v>0</v>
      </c>
      <c r="AA1772">
        <v>0</v>
      </c>
      <c r="AB1772" t="s">
        <v>1635</v>
      </c>
      <c r="AC1772" t="s">
        <v>1635</v>
      </c>
      <c r="AD1772" s="1" t="s">
        <v>1635</v>
      </c>
      <c r="AE1772" s="2" t="s">
        <v>1635</v>
      </c>
      <c r="AF1772" s="2" t="s">
        <v>1635</v>
      </c>
      <c r="AG1772" s="2" t="s">
        <v>1635</v>
      </c>
      <c r="AH1772">
        <v>0</v>
      </c>
      <c r="AI1772" s="3" t="s">
        <v>1635</v>
      </c>
      <c r="AJ1772" s="1" t="s">
        <v>1635</v>
      </c>
      <c r="AK1772" s="2" t="s">
        <v>1635</v>
      </c>
      <c r="AL1772" s="4" t="s">
        <v>1636</v>
      </c>
      <c r="AM1772" s="5" t="s">
        <v>1636</v>
      </c>
      <c r="AN1772" s="4">
        <v>0</v>
      </c>
      <c r="AO1772" t="s">
        <v>1635</v>
      </c>
      <c r="AP1772" s="4" t="s">
        <v>1636</v>
      </c>
      <c r="AQ1772" t="s">
        <v>1619</v>
      </c>
      <c r="AR1772" t="s">
        <v>1620</v>
      </c>
      <c r="AT1772" s="16" t="str">
        <f>_xlfn.XLOOKUP(B1772,'SWiSH Demand Forecast Sep-26'!D:D,'SWiSH Demand Forecast Sep-26'!G:G,"Not Exist")</f>
        <v>Not Exist</v>
      </c>
    </row>
    <row r="1773" spans="1:46" x14ac:dyDescent="0.3">
      <c r="A1773" t="s">
        <v>3321</v>
      </c>
      <c r="B1773" t="s">
        <v>3637</v>
      </c>
      <c r="C1773" t="s">
        <v>10</v>
      </c>
      <c r="D1773" t="s">
        <v>1629</v>
      </c>
      <c r="E1773" t="s">
        <v>2483</v>
      </c>
      <c r="F1773" t="s">
        <v>1664</v>
      </c>
      <c r="G1773" t="e">
        <v>#N/A</v>
      </c>
      <c r="H1773" t="s">
        <v>1723</v>
      </c>
      <c r="I1773" t="s">
        <v>1634</v>
      </c>
      <c r="J1773" t="s">
        <v>10</v>
      </c>
      <c r="K1773" t="e">
        <v>#N/A</v>
      </c>
      <c r="L1773" t="e">
        <v>#N/A</v>
      </c>
      <c r="M1773" s="1">
        <v>15</v>
      </c>
      <c r="N1773">
        <v>0</v>
      </c>
      <c r="O1773">
        <v>0</v>
      </c>
      <c r="P1773">
        <v>0</v>
      </c>
      <c r="Q1773" s="1">
        <v>0</v>
      </c>
      <c r="R1773" t="e">
        <v>#N/A</v>
      </c>
      <c r="S1773" s="2" t="e">
        <v>#N/A</v>
      </c>
      <c r="T1773" s="2" t="e">
        <v>#N/A</v>
      </c>
      <c r="U1773">
        <v>0</v>
      </c>
      <c r="V1773">
        <v>0</v>
      </c>
      <c r="W1773">
        <v>0</v>
      </c>
      <c r="X1773">
        <v>0</v>
      </c>
      <c r="Y1773">
        <v>0</v>
      </c>
      <c r="Z1773" s="8">
        <v>0</v>
      </c>
      <c r="AA1773">
        <v>0</v>
      </c>
      <c r="AB1773" t="s">
        <v>1635</v>
      </c>
      <c r="AC1773" t="s">
        <v>1635</v>
      </c>
      <c r="AD1773" s="1" t="s">
        <v>1635</v>
      </c>
      <c r="AE1773" s="2" t="s">
        <v>1635</v>
      </c>
      <c r="AF1773" s="2" t="s">
        <v>1635</v>
      </c>
      <c r="AG1773" s="2" t="s">
        <v>1635</v>
      </c>
      <c r="AH1773">
        <v>0</v>
      </c>
      <c r="AI1773" s="3" t="s">
        <v>1635</v>
      </c>
      <c r="AJ1773" s="1" t="s">
        <v>1635</v>
      </c>
      <c r="AK1773" s="2" t="s">
        <v>1635</v>
      </c>
      <c r="AL1773" s="4" t="s">
        <v>1636</v>
      </c>
      <c r="AM1773" s="5" t="s">
        <v>1636</v>
      </c>
      <c r="AN1773" s="4">
        <v>0</v>
      </c>
      <c r="AO1773" t="s">
        <v>1635</v>
      </c>
      <c r="AP1773" s="4" t="s">
        <v>1636</v>
      </c>
      <c r="AQ1773" t="s">
        <v>1619</v>
      </c>
      <c r="AR1773" t="s">
        <v>1620</v>
      </c>
      <c r="AT1773" s="16" t="str">
        <f>_xlfn.XLOOKUP(B1773,'SWiSH Demand Forecast Sep-26'!D:D,'SWiSH Demand Forecast Sep-26'!G:G,"Not Exist")</f>
        <v>Not Exist</v>
      </c>
    </row>
    <row r="1774" spans="1:46" x14ac:dyDescent="0.3">
      <c r="A1774">
        <v>106800195</v>
      </c>
      <c r="B1774" t="s">
        <v>3638</v>
      </c>
      <c r="C1774" t="s">
        <v>10</v>
      </c>
      <c r="D1774" t="s">
        <v>1629</v>
      </c>
      <c r="E1774" t="s">
        <v>2483</v>
      </c>
      <c r="F1774" t="s">
        <v>1664</v>
      </c>
      <c r="G1774" t="s">
        <v>1704</v>
      </c>
      <c r="H1774" t="s">
        <v>1665</v>
      </c>
      <c r="I1774" t="s">
        <v>1634</v>
      </c>
      <c r="J1774" t="s">
        <v>10</v>
      </c>
      <c r="K1774">
        <v>2.9016300000000001E-3</v>
      </c>
      <c r="L1774">
        <v>0</v>
      </c>
      <c r="M1774" s="1">
        <v>7</v>
      </c>
      <c r="N1774">
        <v>0</v>
      </c>
      <c r="O1774">
        <v>0</v>
      </c>
      <c r="P1774">
        <v>0</v>
      </c>
      <c r="Q1774" s="1">
        <v>0</v>
      </c>
      <c r="R1774">
        <v>2.8999999999999998E-3</v>
      </c>
      <c r="S1774" s="2">
        <v>45368</v>
      </c>
      <c r="T1774" s="2">
        <v>45930</v>
      </c>
      <c r="U1774">
        <v>0</v>
      </c>
      <c r="V1774">
        <v>0</v>
      </c>
      <c r="W1774">
        <v>0</v>
      </c>
      <c r="X1774">
        <v>0</v>
      </c>
      <c r="Y1774">
        <v>0</v>
      </c>
      <c r="Z1774" s="8">
        <v>0</v>
      </c>
      <c r="AA1774">
        <v>0</v>
      </c>
      <c r="AB1774" t="s">
        <v>1635</v>
      </c>
      <c r="AC1774" t="s">
        <v>1635</v>
      </c>
      <c r="AD1774" s="1" t="s">
        <v>1635</v>
      </c>
      <c r="AE1774" s="2" t="s">
        <v>1635</v>
      </c>
      <c r="AF1774" s="2" t="s">
        <v>1635</v>
      </c>
      <c r="AG1774" s="2" t="s">
        <v>1635</v>
      </c>
      <c r="AH1774">
        <v>0</v>
      </c>
      <c r="AI1774" s="3" t="s">
        <v>1635</v>
      </c>
      <c r="AJ1774" s="1" t="s">
        <v>1635</v>
      </c>
      <c r="AK1774" s="2" t="s">
        <v>1635</v>
      </c>
      <c r="AL1774" s="4" t="s">
        <v>1636</v>
      </c>
      <c r="AM1774" s="5" t="s">
        <v>1636</v>
      </c>
      <c r="AN1774" s="4">
        <v>0</v>
      </c>
      <c r="AO1774" t="s">
        <v>1635</v>
      </c>
      <c r="AP1774" s="4" t="s">
        <v>1636</v>
      </c>
      <c r="AQ1774" t="s">
        <v>1619</v>
      </c>
      <c r="AR1774" t="s">
        <v>1620</v>
      </c>
      <c r="AT1774" s="16" t="str">
        <f>_xlfn.XLOOKUP(B1774,'SWiSH Demand Forecast Sep-26'!D:D,'SWiSH Demand Forecast Sep-26'!G:G,"Not Exist")</f>
        <v>Not Exist</v>
      </c>
    </row>
    <row r="1775" spans="1:46" x14ac:dyDescent="0.3">
      <c r="A1775">
        <v>107200157</v>
      </c>
      <c r="B1775" t="s">
        <v>3639</v>
      </c>
      <c r="C1775" t="s">
        <v>10</v>
      </c>
      <c r="D1775" t="s">
        <v>1675</v>
      </c>
      <c r="E1775" t="s">
        <v>1775</v>
      </c>
      <c r="F1775" t="s">
        <v>1656</v>
      </c>
      <c r="G1775" t="s">
        <v>1704</v>
      </c>
      <c r="H1775" t="s">
        <v>1657</v>
      </c>
      <c r="I1775" t="s">
        <v>1634</v>
      </c>
      <c r="J1775" t="s">
        <v>10</v>
      </c>
      <c r="K1775">
        <v>3.75</v>
      </c>
      <c r="L1775">
        <v>0</v>
      </c>
      <c r="M1775" s="1">
        <v>7</v>
      </c>
      <c r="N1775">
        <v>0</v>
      </c>
      <c r="O1775">
        <v>0</v>
      </c>
      <c r="P1775">
        <v>0</v>
      </c>
      <c r="Q1775" s="1">
        <v>0</v>
      </c>
      <c r="R1775">
        <v>4.5</v>
      </c>
      <c r="S1775" s="2">
        <v>46002</v>
      </c>
      <c r="T1775" s="2">
        <v>46064</v>
      </c>
      <c r="U1775">
        <v>0</v>
      </c>
      <c r="V1775">
        <v>0</v>
      </c>
      <c r="W1775">
        <v>0</v>
      </c>
      <c r="X1775">
        <v>0</v>
      </c>
      <c r="Y1775">
        <v>0</v>
      </c>
      <c r="Z1775" s="8">
        <v>0</v>
      </c>
      <c r="AA1775">
        <v>0</v>
      </c>
      <c r="AB1775" t="s">
        <v>1635</v>
      </c>
      <c r="AC1775" t="s">
        <v>1635</v>
      </c>
      <c r="AD1775" s="1" t="s">
        <v>1635</v>
      </c>
      <c r="AE1775" s="2" t="s">
        <v>1635</v>
      </c>
      <c r="AF1775" s="2" t="s">
        <v>1635</v>
      </c>
      <c r="AG1775" s="2" t="s">
        <v>1635</v>
      </c>
      <c r="AH1775">
        <v>0</v>
      </c>
      <c r="AI1775" s="3" t="s">
        <v>1635</v>
      </c>
      <c r="AJ1775" s="1" t="s">
        <v>1635</v>
      </c>
      <c r="AK1775" s="2" t="s">
        <v>1635</v>
      </c>
      <c r="AL1775" s="4" t="s">
        <v>1658</v>
      </c>
      <c r="AM1775" s="5" t="s">
        <v>1658</v>
      </c>
      <c r="AN1775" s="4">
        <v>0</v>
      </c>
      <c r="AO1775" t="s">
        <v>1635</v>
      </c>
      <c r="AP1775" s="4" t="s">
        <v>1658</v>
      </c>
      <c r="AQ1775" t="s">
        <v>1619</v>
      </c>
      <c r="AR1775" t="s">
        <v>1620</v>
      </c>
      <c r="AT1775" s="16" t="str">
        <f>_xlfn.XLOOKUP(B1775,'SWiSH Demand Forecast Sep-26'!D:D,'SWiSH Demand Forecast Sep-26'!G:G,"Not Exist")</f>
        <v>Not Exist</v>
      </c>
    </row>
    <row r="1776" spans="1:46" x14ac:dyDescent="0.3">
      <c r="A1776">
        <v>107200156</v>
      </c>
      <c r="B1776" t="s">
        <v>3640</v>
      </c>
      <c r="C1776" t="s">
        <v>10</v>
      </c>
      <c r="D1776" t="s">
        <v>1675</v>
      </c>
      <c r="E1776" t="s">
        <v>1949</v>
      </c>
      <c r="F1776" t="s">
        <v>1656</v>
      </c>
      <c r="G1776" t="s">
        <v>1704</v>
      </c>
      <c r="H1776" t="s">
        <v>1657</v>
      </c>
      <c r="I1776" t="s">
        <v>1634</v>
      </c>
      <c r="J1776" t="s">
        <v>10</v>
      </c>
      <c r="K1776">
        <v>3.75</v>
      </c>
      <c r="L1776">
        <v>0</v>
      </c>
      <c r="M1776" s="1">
        <v>7</v>
      </c>
      <c r="N1776">
        <v>0</v>
      </c>
      <c r="O1776">
        <v>0</v>
      </c>
      <c r="P1776">
        <v>0</v>
      </c>
      <c r="Q1776" s="1">
        <v>0</v>
      </c>
      <c r="R1776">
        <v>3.75</v>
      </c>
      <c r="S1776" s="2">
        <v>46002</v>
      </c>
      <c r="T1776" s="2">
        <v>46064</v>
      </c>
      <c r="U1776">
        <v>0</v>
      </c>
      <c r="V1776">
        <v>0</v>
      </c>
      <c r="W1776">
        <v>0</v>
      </c>
      <c r="X1776">
        <v>0</v>
      </c>
      <c r="Y1776">
        <v>0</v>
      </c>
      <c r="Z1776" s="8">
        <v>0</v>
      </c>
      <c r="AA1776">
        <v>0</v>
      </c>
      <c r="AB1776" t="s">
        <v>1635</v>
      </c>
      <c r="AC1776" t="s">
        <v>1635</v>
      </c>
      <c r="AD1776" s="1" t="s">
        <v>1635</v>
      </c>
      <c r="AE1776" s="2" t="s">
        <v>1635</v>
      </c>
      <c r="AF1776" s="2" t="s">
        <v>1635</v>
      </c>
      <c r="AG1776" s="2" t="s">
        <v>1635</v>
      </c>
      <c r="AH1776">
        <v>0</v>
      </c>
      <c r="AI1776" s="3" t="s">
        <v>1635</v>
      </c>
      <c r="AJ1776" s="1" t="s">
        <v>1635</v>
      </c>
      <c r="AK1776" s="2" t="s">
        <v>1635</v>
      </c>
      <c r="AL1776" s="4" t="s">
        <v>1658</v>
      </c>
      <c r="AM1776" s="5" t="s">
        <v>1658</v>
      </c>
      <c r="AN1776" s="4">
        <v>0</v>
      </c>
      <c r="AO1776" t="s">
        <v>1635</v>
      </c>
      <c r="AP1776" s="4" t="s">
        <v>1658</v>
      </c>
      <c r="AQ1776" t="s">
        <v>1619</v>
      </c>
      <c r="AR1776" t="s">
        <v>1620</v>
      </c>
      <c r="AT1776" s="16" t="str">
        <f>_xlfn.XLOOKUP(B1776,'SWiSH Demand Forecast Sep-26'!D:D,'SWiSH Demand Forecast Sep-26'!G:G,"Not Exist")</f>
        <v>Not Exist</v>
      </c>
    </row>
    <row r="1777" spans="1:46" x14ac:dyDescent="0.3">
      <c r="A1777">
        <v>107200109</v>
      </c>
      <c r="B1777" t="s">
        <v>3641</v>
      </c>
      <c r="C1777" t="s">
        <v>10</v>
      </c>
      <c r="D1777" t="s">
        <v>1629</v>
      </c>
      <c r="E1777" t="s">
        <v>1949</v>
      </c>
      <c r="F1777" t="s">
        <v>1656</v>
      </c>
      <c r="G1777" t="e">
        <v>#N/A</v>
      </c>
      <c r="H1777" t="s">
        <v>1657</v>
      </c>
      <c r="I1777" t="s">
        <v>1634</v>
      </c>
      <c r="J1777" t="s">
        <v>10</v>
      </c>
      <c r="K1777" t="e">
        <v>#N/A</v>
      </c>
      <c r="L1777" t="e">
        <v>#N/A</v>
      </c>
      <c r="M1777" s="1">
        <v>7</v>
      </c>
      <c r="N1777">
        <v>0</v>
      </c>
      <c r="O1777">
        <v>0</v>
      </c>
      <c r="P1777">
        <v>0</v>
      </c>
      <c r="Q1777" s="1">
        <v>0</v>
      </c>
      <c r="R1777">
        <v>9</v>
      </c>
      <c r="S1777" s="2">
        <v>46011</v>
      </c>
      <c r="T1777" s="2">
        <v>46064</v>
      </c>
      <c r="U1777">
        <v>0</v>
      </c>
      <c r="V1777">
        <v>0</v>
      </c>
      <c r="W1777">
        <v>0</v>
      </c>
      <c r="X1777">
        <v>0</v>
      </c>
      <c r="Y1777">
        <v>0</v>
      </c>
      <c r="Z1777" s="8">
        <v>0</v>
      </c>
      <c r="AA1777">
        <v>0</v>
      </c>
      <c r="AB1777" t="s">
        <v>1635</v>
      </c>
      <c r="AC1777" t="s">
        <v>1635</v>
      </c>
      <c r="AD1777" s="1" t="s">
        <v>1635</v>
      </c>
      <c r="AE1777" s="2" t="s">
        <v>1635</v>
      </c>
      <c r="AF1777" s="2" t="s">
        <v>1635</v>
      </c>
      <c r="AG1777" s="2" t="s">
        <v>1635</v>
      </c>
      <c r="AH1777">
        <v>0</v>
      </c>
      <c r="AI1777" s="3" t="s">
        <v>1635</v>
      </c>
      <c r="AJ1777" s="1" t="s">
        <v>1635</v>
      </c>
      <c r="AK1777" s="2" t="s">
        <v>1635</v>
      </c>
      <c r="AL1777" s="4" t="s">
        <v>1636</v>
      </c>
      <c r="AM1777" s="5" t="s">
        <v>1636</v>
      </c>
      <c r="AN1777" s="4">
        <v>0</v>
      </c>
      <c r="AO1777" t="s">
        <v>1635</v>
      </c>
      <c r="AP1777" s="4" t="s">
        <v>1636</v>
      </c>
      <c r="AQ1777" t="s">
        <v>1619</v>
      </c>
      <c r="AR1777" t="s">
        <v>1620</v>
      </c>
      <c r="AT1777" s="16" t="str">
        <f>_xlfn.XLOOKUP(B1777,'SWiSH Demand Forecast Sep-26'!D:D,'SWiSH Demand Forecast Sep-26'!G:G,"Not Exist")</f>
        <v>Not Exist</v>
      </c>
    </row>
    <row r="1778" spans="1:46" x14ac:dyDescent="0.3">
      <c r="A1778">
        <v>100400131</v>
      </c>
      <c r="B1778" t="s">
        <v>3642</v>
      </c>
      <c r="C1778" t="s">
        <v>10</v>
      </c>
      <c r="D1778" t="s">
        <v>1955</v>
      </c>
      <c r="E1778" t="s">
        <v>1655</v>
      </c>
      <c r="F1778" t="s">
        <v>1664</v>
      </c>
      <c r="G1778" t="s">
        <v>1616</v>
      </c>
      <c r="H1778" t="s">
        <v>1810</v>
      </c>
      <c r="I1778" t="s">
        <v>1634</v>
      </c>
      <c r="J1778" t="s">
        <v>10</v>
      </c>
      <c r="K1778">
        <v>8.8461540000000005E-2</v>
      </c>
      <c r="L1778">
        <v>141.538464</v>
      </c>
      <c r="M1778" s="1">
        <v>30</v>
      </c>
      <c r="N1778">
        <v>0</v>
      </c>
      <c r="O1778">
        <v>0</v>
      </c>
      <c r="P1778">
        <v>1600</v>
      </c>
      <c r="Q1778" s="1">
        <v>1600</v>
      </c>
      <c r="R1778">
        <v>0.10199999999999999</v>
      </c>
      <c r="S1778" s="2">
        <v>45873</v>
      </c>
      <c r="T1778" s="2">
        <v>46096</v>
      </c>
      <c r="U1778">
        <v>0</v>
      </c>
      <c r="V1778">
        <v>0</v>
      </c>
      <c r="W1778">
        <v>0</v>
      </c>
      <c r="X1778">
        <v>0</v>
      </c>
      <c r="Y1778">
        <v>0</v>
      </c>
      <c r="Z1778" s="8">
        <v>0</v>
      </c>
      <c r="AA1778">
        <v>0</v>
      </c>
      <c r="AB1778" t="s">
        <v>1635</v>
      </c>
      <c r="AC1778" t="s">
        <v>1635</v>
      </c>
      <c r="AD1778" s="1" t="s">
        <v>1635</v>
      </c>
      <c r="AE1778" s="2" t="s">
        <v>1635</v>
      </c>
      <c r="AF1778" s="2" t="s">
        <v>1635</v>
      </c>
      <c r="AG1778" s="2" t="s">
        <v>1635</v>
      </c>
      <c r="AH1778">
        <v>0</v>
      </c>
      <c r="AI1778" s="3" t="s">
        <v>1635</v>
      </c>
      <c r="AJ1778" s="1" t="s">
        <v>1635</v>
      </c>
      <c r="AK1778" s="2" t="s">
        <v>1635</v>
      </c>
      <c r="AL1778" s="4" t="s">
        <v>1658</v>
      </c>
      <c r="AM1778" s="5" t="s">
        <v>1658</v>
      </c>
      <c r="AN1778" s="4">
        <v>0</v>
      </c>
      <c r="AO1778" t="s">
        <v>1635</v>
      </c>
      <c r="AP1778" s="4" t="s">
        <v>1658</v>
      </c>
      <c r="AQ1778" t="s">
        <v>1619</v>
      </c>
      <c r="AR1778" t="s">
        <v>1620</v>
      </c>
      <c r="AT1778" s="16" t="str">
        <f>_xlfn.XLOOKUP(B1778,'SWiSH Demand Forecast Sep-26'!D:D,'SWiSH Demand Forecast Sep-26'!G:G,"Not Exist")</f>
        <v>Not Exist</v>
      </c>
    </row>
    <row r="1779" spans="1:46" x14ac:dyDescent="0.3">
      <c r="A1779">
        <v>104200025</v>
      </c>
      <c r="B1779" t="s">
        <v>3643</v>
      </c>
      <c r="C1779" t="s">
        <v>10</v>
      </c>
      <c r="D1779" t="s">
        <v>1629</v>
      </c>
      <c r="E1779" t="e">
        <v>#N/A</v>
      </c>
      <c r="F1779" t="s">
        <v>1631</v>
      </c>
      <c r="G1779" t="s">
        <v>1632</v>
      </c>
      <c r="H1779" t="s">
        <v>1633</v>
      </c>
      <c r="I1779" t="s">
        <v>1634</v>
      </c>
      <c r="J1779" t="e">
        <v>#N/A</v>
      </c>
      <c r="K1779">
        <v>0.3</v>
      </c>
      <c r="L1779">
        <v>0</v>
      </c>
      <c r="M1779" s="1">
        <v>3</v>
      </c>
      <c r="N1779">
        <v>0</v>
      </c>
      <c r="O1779">
        <v>0</v>
      </c>
      <c r="P1779">
        <v>0</v>
      </c>
      <c r="Q1779" s="1">
        <v>0</v>
      </c>
      <c r="R1779">
        <v>0.3</v>
      </c>
      <c r="S1779" s="2">
        <v>44077</v>
      </c>
      <c r="T1779" s="2">
        <v>45783</v>
      </c>
      <c r="U1779">
        <v>0</v>
      </c>
      <c r="V1779">
        <v>0</v>
      </c>
      <c r="W1779">
        <v>0</v>
      </c>
      <c r="X1779">
        <v>0</v>
      </c>
      <c r="Y1779">
        <v>0</v>
      </c>
      <c r="Z1779" s="8">
        <v>0</v>
      </c>
      <c r="AA1779">
        <v>0</v>
      </c>
      <c r="AB1779" t="s">
        <v>1635</v>
      </c>
      <c r="AC1779" t="s">
        <v>1635</v>
      </c>
      <c r="AD1779" s="1" t="s">
        <v>1635</v>
      </c>
      <c r="AE1779" s="2" t="s">
        <v>1635</v>
      </c>
      <c r="AF1779" s="2" t="s">
        <v>1635</v>
      </c>
      <c r="AG1779" s="2" t="s">
        <v>1635</v>
      </c>
      <c r="AH1779">
        <v>0</v>
      </c>
      <c r="AI1779" s="3" t="s">
        <v>1635</v>
      </c>
      <c r="AJ1779" s="1" t="s">
        <v>1635</v>
      </c>
      <c r="AK1779" s="2" t="s">
        <v>1635</v>
      </c>
      <c r="AL1779" s="4" t="s">
        <v>1636</v>
      </c>
      <c r="AM1779" s="5" t="s">
        <v>1636</v>
      </c>
      <c r="AN1779" s="4">
        <v>0</v>
      </c>
      <c r="AO1779" t="s">
        <v>1635</v>
      </c>
      <c r="AP1779" s="4" t="s">
        <v>1636</v>
      </c>
      <c r="AQ1779" t="s">
        <v>1619</v>
      </c>
      <c r="AR1779" t="s">
        <v>1620</v>
      </c>
      <c r="AT1779" s="16" t="str">
        <f>_xlfn.XLOOKUP(B1779,'SWiSH Demand Forecast Sep-26'!D:D,'SWiSH Demand Forecast Sep-26'!G:G,"Not Exist")</f>
        <v>Not Exist</v>
      </c>
    </row>
    <row r="1780" spans="1:46" x14ac:dyDescent="0.3">
      <c r="A1780">
        <v>104200043</v>
      </c>
      <c r="B1780" t="s">
        <v>3644</v>
      </c>
      <c r="C1780" t="s">
        <v>10</v>
      </c>
      <c r="D1780" t="s">
        <v>1629</v>
      </c>
      <c r="E1780" t="e">
        <v>#N/A</v>
      </c>
      <c r="F1780" t="s">
        <v>1631</v>
      </c>
      <c r="G1780" t="s">
        <v>1704</v>
      </c>
      <c r="H1780" t="s">
        <v>1633</v>
      </c>
      <c r="I1780" t="s">
        <v>1634</v>
      </c>
      <c r="J1780" t="e">
        <v>#N/A</v>
      </c>
      <c r="K1780">
        <v>2</v>
      </c>
      <c r="L1780">
        <v>24</v>
      </c>
      <c r="M1780" s="1">
        <v>3</v>
      </c>
      <c r="N1780">
        <v>0</v>
      </c>
      <c r="O1780">
        <v>0</v>
      </c>
      <c r="P1780">
        <v>12</v>
      </c>
      <c r="Q1780" s="1">
        <v>12</v>
      </c>
      <c r="R1780">
        <v>12</v>
      </c>
      <c r="S1780" s="2">
        <v>45025</v>
      </c>
      <c r="T1780" s="2">
        <v>45783</v>
      </c>
      <c r="U1780">
        <v>0</v>
      </c>
      <c r="V1780">
        <v>0</v>
      </c>
      <c r="W1780">
        <v>0</v>
      </c>
      <c r="X1780">
        <v>0</v>
      </c>
      <c r="Y1780">
        <v>0</v>
      </c>
      <c r="Z1780" s="8">
        <v>0</v>
      </c>
      <c r="AA1780">
        <v>0</v>
      </c>
      <c r="AB1780" t="s">
        <v>1635</v>
      </c>
      <c r="AC1780" t="s">
        <v>1635</v>
      </c>
      <c r="AD1780" s="1" t="s">
        <v>1635</v>
      </c>
      <c r="AE1780" s="2" t="s">
        <v>1635</v>
      </c>
      <c r="AF1780" s="2" t="s">
        <v>1635</v>
      </c>
      <c r="AG1780" s="2" t="s">
        <v>1635</v>
      </c>
      <c r="AH1780">
        <v>0</v>
      </c>
      <c r="AI1780" s="3" t="s">
        <v>1635</v>
      </c>
      <c r="AJ1780" s="1" t="s">
        <v>1635</v>
      </c>
      <c r="AK1780" s="2" t="s">
        <v>1635</v>
      </c>
      <c r="AL1780" s="4" t="s">
        <v>1636</v>
      </c>
      <c r="AM1780" s="5" t="s">
        <v>1636</v>
      </c>
      <c r="AN1780" s="4">
        <v>0</v>
      </c>
      <c r="AO1780" t="s">
        <v>1635</v>
      </c>
      <c r="AP1780" s="4" t="s">
        <v>1636</v>
      </c>
      <c r="AQ1780" t="s">
        <v>1619</v>
      </c>
      <c r="AR1780" t="s">
        <v>1620</v>
      </c>
      <c r="AT1780" s="16" t="str">
        <f>_xlfn.XLOOKUP(B1780,'SWiSH Demand Forecast Sep-26'!D:D,'SWiSH Demand Forecast Sep-26'!G:G,"Not Exist")</f>
        <v>Not Exist</v>
      </c>
    </row>
    <row r="1781" spans="1:46" x14ac:dyDescent="0.3">
      <c r="A1781">
        <v>107200144</v>
      </c>
      <c r="B1781" t="s">
        <v>3645</v>
      </c>
      <c r="C1781" t="s">
        <v>10</v>
      </c>
      <c r="D1781" t="s">
        <v>1675</v>
      </c>
      <c r="E1781" t="s">
        <v>1638</v>
      </c>
      <c r="F1781" t="s">
        <v>1656</v>
      </c>
      <c r="G1781" t="s">
        <v>1690</v>
      </c>
      <c r="H1781" t="s">
        <v>1657</v>
      </c>
      <c r="I1781" t="s">
        <v>1634</v>
      </c>
      <c r="J1781" t="s">
        <v>10</v>
      </c>
      <c r="K1781">
        <v>3.4919181099999999</v>
      </c>
      <c r="L1781">
        <v>0</v>
      </c>
      <c r="M1781" s="1">
        <v>15</v>
      </c>
      <c r="N1781">
        <v>0</v>
      </c>
      <c r="O1781">
        <v>0</v>
      </c>
      <c r="P1781">
        <v>0</v>
      </c>
      <c r="Q1781" s="1">
        <v>0</v>
      </c>
      <c r="R1781">
        <v>3.5</v>
      </c>
      <c r="S1781" s="2">
        <v>44660</v>
      </c>
      <c r="T1781" s="2">
        <v>46187</v>
      </c>
      <c r="U1781">
        <v>0</v>
      </c>
      <c r="V1781">
        <v>0</v>
      </c>
      <c r="W1781">
        <v>0</v>
      </c>
      <c r="X1781">
        <v>0</v>
      </c>
      <c r="Y1781">
        <v>0</v>
      </c>
      <c r="Z1781" s="8">
        <v>0</v>
      </c>
      <c r="AA1781">
        <v>0</v>
      </c>
      <c r="AB1781" t="s">
        <v>1635</v>
      </c>
      <c r="AC1781" t="s">
        <v>1635</v>
      </c>
      <c r="AD1781" s="1" t="s">
        <v>1635</v>
      </c>
      <c r="AE1781" s="2" t="s">
        <v>1635</v>
      </c>
      <c r="AF1781" s="2" t="s">
        <v>1635</v>
      </c>
      <c r="AG1781" s="2" t="s">
        <v>1635</v>
      </c>
      <c r="AH1781">
        <v>0</v>
      </c>
      <c r="AI1781" s="3" t="s">
        <v>1635</v>
      </c>
      <c r="AJ1781" s="1" t="s">
        <v>1635</v>
      </c>
      <c r="AK1781" s="2" t="s">
        <v>1635</v>
      </c>
      <c r="AL1781" s="4" t="s">
        <v>1658</v>
      </c>
      <c r="AM1781" s="5" t="s">
        <v>1658</v>
      </c>
      <c r="AN1781" s="4">
        <v>0</v>
      </c>
      <c r="AO1781" t="s">
        <v>1635</v>
      </c>
      <c r="AP1781" s="4" t="s">
        <v>1658</v>
      </c>
      <c r="AQ1781" t="s">
        <v>1619</v>
      </c>
      <c r="AR1781" t="s">
        <v>1620</v>
      </c>
      <c r="AT1781" s="16" t="str">
        <f>_xlfn.XLOOKUP(B1781,'SWiSH Demand Forecast Sep-26'!D:D,'SWiSH Demand Forecast Sep-26'!G:G,"Not Exist")</f>
        <v>Not Exist</v>
      </c>
    </row>
    <row r="1782" spans="1:46" x14ac:dyDescent="0.3">
      <c r="A1782">
        <v>101200002</v>
      </c>
      <c r="B1782" t="s">
        <v>3646</v>
      </c>
      <c r="C1782" t="s">
        <v>136</v>
      </c>
      <c r="D1782" t="s">
        <v>1675</v>
      </c>
      <c r="E1782" t="s">
        <v>1732</v>
      </c>
      <c r="F1782" t="s">
        <v>1833</v>
      </c>
      <c r="G1782" t="s">
        <v>1616</v>
      </c>
      <c r="H1782" t="s">
        <v>1625</v>
      </c>
      <c r="I1782" t="s">
        <v>1626</v>
      </c>
      <c r="J1782" t="s">
        <v>3647</v>
      </c>
      <c r="K1782">
        <v>2.1764705900000001</v>
      </c>
      <c r="L1782">
        <v>11.970588245</v>
      </c>
      <c r="M1782" s="1">
        <v>3</v>
      </c>
      <c r="N1782">
        <v>0</v>
      </c>
      <c r="O1782">
        <v>0</v>
      </c>
      <c r="P1782">
        <v>5.5</v>
      </c>
      <c r="Q1782" s="1">
        <v>5.5</v>
      </c>
      <c r="R1782">
        <v>2.83</v>
      </c>
      <c r="S1782" s="2">
        <v>46258</v>
      </c>
      <c r="T1782" s="2">
        <v>46054</v>
      </c>
      <c r="U1782">
        <v>0</v>
      </c>
      <c r="V1782">
        <v>0</v>
      </c>
      <c r="W1782">
        <v>0</v>
      </c>
      <c r="X1782">
        <v>0</v>
      </c>
      <c r="Y1782">
        <v>0</v>
      </c>
      <c r="Z1782" s="8">
        <v>0</v>
      </c>
      <c r="AA1782">
        <v>0</v>
      </c>
      <c r="AB1782" t="s">
        <v>1635</v>
      </c>
      <c r="AC1782" t="s">
        <v>1635</v>
      </c>
      <c r="AD1782" s="1" t="s">
        <v>1635</v>
      </c>
      <c r="AE1782" s="2" t="s">
        <v>1635</v>
      </c>
      <c r="AF1782" s="2" t="s">
        <v>1635</v>
      </c>
      <c r="AG1782" s="2" t="s">
        <v>1635</v>
      </c>
      <c r="AH1782">
        <v>0</v>
      </c>
      <c r="AI1782" s="3" t="s">
        <v>1635</v>
      </c>
      <c r="AJ1782" s="1" t="s">
        <v>1635</v>
      </c>
      <c r="AK1782" s="2" t="s">
        <v>1635</v>
      </c>
      <c r="AL1782" s="4" t="s">
        <v>1658</v>
      </c>
      <c r="AM1782" s="5" t="s">
        <v>1658</v>
      </c>
      <c r="AN1782" s="4">
        <v>0</v>
      </c>
      <c r="AO1782" t="s">
        <v>1635</v>
      </c>
      <c r="AP1782" s="4" t="s">
        <v>1658</v>
      </c>
      <c r="AQ1782" t="s">
        <v>1619</v>
      </c>
      <c r="AR1782" t="s">
        <v>1620</v>
      </c>
      <c r="AT1782" s="16" t="str">
        <f>_xlfn.XLOOKUP(B1782,'SWiSH Demand Forecast Sep-26'!D:D,'SWiSH Demand Forecast Sep-26'!G:G,"Not Exist")</f>
        <v>Not Exist</v>
      </c>
    </row>
    <row r="1783" spans="1:46" x14ac:dyDescent="0.3">
      <c r="A1783">
        <v>106700024</v>
      </c>
      <c r="B1783" t="s">
        <v>3648</v>
      </c>
      <c r="C1783" t="s">
        <v>10</v>
      </c>
      <c r="D1783" t="s">
        <v>1675</v>
      </c>
      <c r="E1783" t="s">
        <v>3649</v>
      </c>
      <c r="F1783" t="s">
        <v>1650</v>
      </c>
      <c r="G1783" t="s">
        <v>1686</v>
      </c>
      <c r="H1783" t="s">
        <v>1651</v>
      </c>
      <c r="I1783" t="s">
        <v>1634</v>
      </c>
      <c r="J1783" t="s">
        <v>10</v>
      </c>
      <c r="K1783">
        <v>0.35</v>
      </c>
      <c r="L1783">
        <v>0</v>
      </c>
      <c r="M1783" s="1">
        <v>3</v>
      </c>
      <c r="N1783">
        <v>0</v>
      </c>
      <c r="O1783">
        <v>0</v>
      </c>
      <c r="P1783">
        <v>0</v>
      </c>
      <c r="Q1783" s="1">
        <v>0</v>
      </c>
      <c r="R1783">
        <v>22.5</v>
      </c>
      <c r="S1783" s="2">
        <v>45995</v>
      </c>
      <c r="T1783" s="2">
        <v>46065</v>
      </c>
      <c r="U1783">
        <v>0</v>
      </c>
      <c r="V1783">
        <v>0</v>
      </c>
      <c r="W1783">
        <v>0</v>
      </c>
      <c r="X1783">
        <v>0</v>
      </c>
      <c r="Y1783">
        <v>0</v>
      </c>
      <c r="Z1783" s="8">
        <v>0</v>
      </c>
      <c r="AA1783">
        <v>0</v>
      </c>
      <c r="AB1783" t="s">
        <v>1635</v>
      </c>
      <c r="AC1783" t="s">
        <v>1635</v>
      </c>
      <c r="AD1783" s="1" t="s">
        <v>1635</v>
      </c>
      <c r="AE1783" s="2" t="s">
        <v>1635</v>
      </c>
      <c r="AF1783" s="2" t="s">
        <v>1635</v>
      </c>
      <c r="AG1783" s="2" t="s">
        <v>1635</v>
      </c>
      <c r="AH1783">
        <v>0</v>
      </c>
      <c r="AI1783" s="3" t="s">
        <v>1635</v>
      </c>
      <c r="AJ1783" s="1" t="s">
        <v>1635</v>
      </c>
      <c r="AK1783" s="2" t="s">
        <v>1635</v>
      </c>
      <c r="AL1783" s="4" t="s">
        <v>1658</v>
      </c>
      <c r="AM1783" s="5" t="s">
        <v>1658</v>
      </c>
      <c r="AN1783" s="4">
        <v>0</v>
      </c>
      <c r="AO1783" t="s">
        <v>1635</v>
      </c>
      <c r="AP1783" s="4" t="s">
        <v>1658</v>
      </c>
      <c r="AQ1783" t="s">
        <v>1619</v>
      </c>
      <c r="AR1783" t="s">
        <v>1620</v>
      </c>
      <c r="AT1783" s="16" t="str">
        <f>_xlfn.XLOOKUP(B1783,'SWiSH Demand Forecast Sep-26'!D:D,'SWiSH Demand Forecast Sep-26'!G:G,"Not Exist")</f>
        <v>Not Exist</v>
      </c>
    </row>
    <row r="1784" spans="1:46" x14ac:dyDescent="0.3">
      <c r="A1784">
        <v>100300022</v>
      </c>
      <c r="B1784" t="s">
        <v>3650</v>
      </c>
      <c r="C1784" t="s">
        <v>10</v>
      </c>
      <c r="D1784" t="s">
        <v>1613</v>
      </c>
      <c r="E1784" t="s">
        <v>3651</v>
      </c>
      <c r="F1784" t="s">
        <v>1752</v>
      </c>
      <c r="G1784" t="s">
        <v>1681</v>
      </c>
      <c r="H1784" t="s">
        <v>2018</v>
      </c>
      <c r="I1784" t="s">
        <v>1754</v>
      </c>
      <c r="J1784" t="s">
        <v>10</v>
      </c>
      <c r="K1784">
        <v>3.9359999999999999</v>
      </c>
      <c r="L1784">
        <v>0</v>
      </c>
      <c r="M1784" s="1">
        <v>3</v>
      </c>
      <c r="N1784">
        <v>0</v>
      </c>
      <c r="O1784">
        <v>0</v>
      </c>
      <c r="P1784">
        <v>0</v>
      </c>
      <c r="Q1784" s="1">
        <v>0</v>
      </c>
      <c r="R1784">
        <v>4.5350000000000001</v>
      </c>
      <c r="S1784" s="2">
        <v>46110</v>
      </c>
      <c r="T1784" s="2">
        <v>46054</v>
      </c>
      <c r="U1784">
        <v>0</v>
      </c>
      <c r="V1784">
        <v>0</v>
      </c>
      <c r="W1784">
        <v>0</v>
      </c>
      <c r="X1784">
        <v>0</v>
      </c>
      <c r="Y1784">
        <v>0</v>
      </c>
      <c r="Z1784" s="8">
        <v>0</v>
      </c>
      <c r="AA1784">
        <v>0</v>
      </c>
      <c r="AB1784" t="s">
        <v>1635</v>
      </c>
      <c r="AC1784" t="s">
        <v>1635</v>
      </c>
      <c r="AD1784" s="1" t="s">
        <v>1635</v>
      </c>
      <c r="AE1784" s="2" t="s">
        <v>1635</v>
      </c>
      <c r="AF1784" s="2" t="s">
        <v>1635</v>
      </c>
      <c r="AG1784" s="2" t="s">
        <v>1635</v>
      </c>
      <c r="AH1784">
        <v>0</v>
      </c>
      <c r="AI1784" s="3" t="s">
        <v>1635</v>
      </c>
      <c r="AJ1784" s="1" t="s">
        <v>1635</v>
      </c>
      <c r="AK1784" s="2" t="s">
        <v>1635</v>
      </c>
      <c r="AL1784" s="4" t="s">
        <v>1658</v>
      </c>
      <c r="AM1784" s="5" t="s">
        <v>1658</v>
      </c>
      <c r="AN1784" s="4">
        <v>0</v>
      </c>
      <c r="AO1784" t="s">
        <v>1635</v>
      </c>
      <c r="AP1784" s="4" t="s">
        <v>1658</v>
      </c>
      <c r="AQ1784" t="s">
        <v>1619</v>
      </c>
      <c r="AR1784" t="s">
        <v>1620</v>
      </c>
      <c r="AT1784" s="16" t="str">
        <f>_xlfn.XLOOKUP(B1784,'SWiSH Demand Forecast Sep-26'!D:D,'SWiSH Demand Forecast Sep-26'!G:G,"Not Exist")</f>
        <v>Not Exist</v>
      </c>
    </row>
    <row r="1785" spans="1:46" x14ac:dyDescent="0.3">
      <c r="A1785">
        <v>105200029</v>
      </c>
      <c r="B1785" t="s">
        <v>3652</v>
      </c>
      <c r="C1785" t="s">
        <v>10</v>
      </c>
      <c r="D1785" t="s">
        <v>1629</v>
      </c>
      <c r="E1785" t="s">
        <v>2483</v>
      </c>
      <c r="F1785" t="s">
        <v>1664</v>
      </c>
      <c r="G1785" t="s">
        <v>1704</v>
      </c>
      <c r="H1785" t="s">
        <v>1779</v>
      </c>
      <c r="I1785" t="s">
        <v>1634</v>
      </c>
      <c r="J1785" t="s">
        <v>10</v>
      </c>
      <c r="K1785">
        <v>1.7999999999999999E-2</v>
      </c>
      <c r="L1785">
        <v>5.3999999999999995</v>
      </c>
      <c r="M1785" s="1">
        <v>30</v>
      </c>
      <c r="N1785">
        <v>0</v>
      </c>
      <c r="O1785">
        <v>0</v>
      </c>
      <c r="P1785">
        <v>300</v>
      </c>
      <c r="Q1785" s="1">
        <v>300</v>
      </c>
      <c r="R1785">
        <v>3.3000000000000002E-2</v>
      </c>
      <c r="S1785" s="2">
        <v>44746</v>
      </c>
      <c r="T1785" s="2">
        <v>46049</v>
      </c>
      <c r="U1785">
        <v>0</v>
      </c>
      <c r="V1785">
        <v>0</v>
      </c>
      <c r="W1785">
        <v>0</v>
      </c>
      <c r="X1785">
        <v>0</v>
      </c>
      <c r="Y1785">
        <v>0</v>
      </c>
      <c r="Z1785" s="8">
        <v>0</v>
      </c>
      <c r="AA1785">
        <v>0</v>
      </c>
      <c r="AB1785" t="s">
        <v>1635</v>
      </c>
      <c r="AC1785" t="s">
        <v>1635</v>
      </c>
      <c r="AD1785" s="1" t="s">
        <v>1635</v>
      </c>
      <c r="AE1785" s="2" t="s">
        <v>1635</v>
      </c>
      <c r="AF1785" s="2" t="s">
        <v>1635</v>
      </c>
      <c r="AG1785" s="2" t="s">
        <v>1635</v>
      </c>
      <c r="AH1785">
        <v>0</v>
      </c>
      <c r="AI1785" s="3" t="s">
        <v>1635</v>
      </c>
      <c r="AJ1785" s="1" t="s">
        <v>1635</v>
      </c>
      <c r="AK1785" s="2" t="s">
        <v>1635</v>
      </c>
      <c r="AL1785" s="4" t="s">
        <v>1636</v>
      </c>
      <c r="AM1785" s="5" t="s">
        <v>1636</v>
      </c>
      <c r="AN1785" s="4">
        <v>0</v>
      </c>
      <c r="AO1785" t="s">
        <v>1635</v>
      </c>
      <c r="AP1785" s="4" t="s">
        <v>1636</v>
      </c>
      <c r="AQ1785" t="s">
        <v>1619</v>
      </c>
      <c r="AR1785" t="s">
        <v>1620</v>
      </c>
      <c r="AT1785" s="16" t="str">
        <f>_xlfn.XLOOKUP(B1785,'SWiSH Demand Forecast Sep-26'!D:D,'SWiSH Demand Forecast Sep-26'!G:G,"Not Exist")</f>
        <v>Not Exist</v>
      </c>
    </row>
    <row r="1786" spans="1:46" x14ac:dyDescent="0.3">
      <c r="A1786">
        <v>101800023</v>
      </c>
      <c r="B1786" t="s">
        <v>3653</v>
      </c>
      <c r="C1786" t="s">
        <v>10</v>
      </c>
      <c r="D1786" t="s">
        <v>1629</v>
      </c>
      <c r="E1786" t="s">
        <v>1663</v>
      </c>
      <c r="F1786" t="s">
        <v>1631</v>
      </c>
      <c r="G1786" t="s">
        <v>1690</v>
      </c>
      <c r="H1786" t="s">
        <v>2144</v>
      </c>
      <c r="I1786" t="s">
        <v>1634</v>
      </c>
      <c r="J1786" t="s">
        <v>3654</v>
      </c>
      <c r="K1786">
        <v>5.1500000000000001E-3</v>
      </c>
      <c r="L1786">
        <v>0</v>
      </c>
      <c r="M1786" s="1">
        <v>7</v>
      </c>
      <c r="N1786">
        <v>0</v>
      </c>
      <c r="O1786">
        <v>0</v>
      </c>
      <c r="P1786">
        <v>0</v>
      </c>
      <c r="Q1786" s="1">
        <v>0</v>
      </c>
      <c r="R1786">
        <v>5.15</v>
      </c>
      <c r="S1786" s="2">
        <v>45788</v>
      </c>
      <c r="T1786" s="2">
        <v>45888</v>
      </c>
      <c r="U1786">
        <v>0</v>
      </c>
      <c r="V1786">
        <v>0</v>
      </c>
      <c r="W1786">
        <v>0</v>
      </c>
      <c r="X1786">
        <v>0</v>
      </c>
      <c r="Y1786">
        <v>0</v>
      </c>
      <c r="Z1786" s="8">
        <v>0</v>
      </c>
      <c r="AA1786">
        <v>0</v>
      </c>
      <c r="AB1786" t="s">
        <v>1635</v>
      </c>
      <c r="AC1786" t="s">
        <v>1635</v>
      </c>
      <c r="AD1786" s="1" t="s">
        <v>1635</v>
      </c>
      <c r="AE1786" s="2" t="s">
        <v>1635</v>
      </c>
      <c r="AF1786" s="2" t="s">
        <v>1635</v>
      </c>
      <c r="AG1786" s="2" t="s">
        <v>1635</v>
      </c>
      <c r="AH1786">
        <v>0</v>
      </c>
      <c r="AI1786" s="3" t="s">
        <v>1635</v>
      </c>
      <c r="AJ1786" s="1" t="s">
        <v>1635</v>
      </c>
      <c r="AK1786" s="2" t="s">
        <v>1635</v>
      </c>
      <c r="AL1786" s="4" t="s">
        <v>1636</v>
      </c>
      <c r="AM1786" s="5" t="s">
        <v>1636</v>
      </c>
      <c r="AN1786" s="4">
        <v>0</v>
      </c>
      <c r="AO1786" t="s">
        <v>1635</v>
      </c>
      <c r="AP1786" s="4" t="s">
        <v>1636</v>
      </c>
      <c r="AQ1786" t="s">
        <v>1619</v>
      </c>
      <c r="AR1786" t="s">
        <v>1620</v>
      </c>
      <c r="AT1786" s="16" t="str">
        <f>_xlfn.XLOOKUP(B1786,'SWiSH Demand Forecast Sep-26'!D:D,'SWiSH Demand Forecast Sep-26'!G:G,"Not Exist")</f>
        <v>Not Exist</v>
      </c>
    </row>
    <row r="1787" spans="1:46" x14ac:dyDescent="0.3">
      <c r="A1787" t="s">
        <v>3321</v>
      </c>
      <c r="B1787" t="s">
        <v>3655</v>
      </c>
      <c r="C1787" t="s">
        <v>136</v>
      </c>
      <c r="D1787" t="s">
        <v>1629</v>
      </c>
      <c r="E1787" t="s">
        <v>3656</v>
      </c>
      <c r="F1787" t="s">
        <v>1615</v>
      </c>
      <c r="G1787" t="e">
        <v>#N/A</v>
      </c>
      <c r="H1787" t="s">
        <v>1617</v>
      </c>
      <c r="I1787" t="s">
        <v>1618</v>
      </c>
      <c r="J1787" t="s">
        <v>136</v>
      </c>
      <c r="K1787" t="e">
        <v>#N/A</v>
      </c>
      <c r="L1787" t="e">
        <v>#N/A</v>
      </c>
      <c r="M1787" s="1">
        <v>3</v>
      </c>
      <c r="N1787">
        <v>0</v>
      </c>
      <c r="O1787">
        <v>0</v>
      </c>
      <c r="P1787">
        <v>0</v>
      </c>
      <c r="Q1787" s="1">
        <v>0</v>
      </c>
      <c r="R1787" t="e">
        <v>#N/A</v>
      </c>
      <c r="S1787" s="2" t="e">
        <v>#N/A</v>
      </c>
      <c r="T1787" s="2" t="e">
        <v>#N/A</v>
      </c>
      <c r="U1787">
        <v>0</v>
      </c>
      <c r="V1787">
        <v>0</v>
      </c>
      <c r="W1787">
        <v>0</v>
      </c>
      <c r="X1787">
        <v>0</v>
      </c>
      <c r="Y1787">
        <v>0</v>
      </c>
      <c r="Z1787" s="8">
        <v>0</v>
      </c>
      <c r="AA1787">
        <v>0</v>
      </c>
      <c r="AB1787" t="s">
        <v>1635</v>
      </c>
      <c r="AC1787" t="s">
        <v>1635</v>
      </c>
      <c r="AD1787" s="1" t="s">
        <v>1635</v>
      </c>
      <c r="AE1787" s="2" t="s">
        <v>1635</v>
      </c>
      <c r="AF1787" s="2" t="s">
        <v>1635</v>
      </c>
      <c r="AG1787" s="2" t="s">
        <v>1635</v>
      </c>
      <c r="AH1787">
        <v>0</v>
      </c>
      <c r="AI1787" s="3" t="s">
        <v>1635</v>
      </c>
      <c r="AJ1787" s="1" t="s">
        <v>1635</v>
      </c>
      <c r="AK1787" s="2" t="s">
        <v>1635</v>
      </c>
      <c r="AL1787" s="4" t="s">
        <v>1636</v>
      </c>
      <c r="AM1787" s="5" t="s">
        <v>1636</v>
      </c>
      <c r="AN1787" s="4">
        <v>0</v>
      </c>
      <c r="AO1787" t="s">
        <v>1635</v>
      </c>
      <c r="AP1787" s="4" t="s">
        <v>1636</v>
      </c>
      <c r="AQ1787" t="s">
        <v>1619</v>
      </c>
      <c r="AR1787" t="s">
        <v>1620</v>
      </c>
      <c r="AT1787" s="16" t="str">
        <f>_xlfn.XLOOKUP(B1787,'SWiSH Demand Forecast Sep-26'!D:D,'SWiSH Demand Forecast Sep-26'!G:G,"Not Exist")</f>
        <v>Not Exist</v>
      </c>
    </row>
    <row r="1788" spans="1:46" x14ac:dyDescent="0.3">
      <c r="A1788">
        <v>101400026</v>
      </c>
      <c r="B1788" t="s">
        <v>3657</v>
      </c>
      <c r="C1788" t="s">
        <v>10</v>
      </c>
      <c r="D1788" t="s">
        <v>1629</v>
      </c>
      <c r="E1788" t="s">
        <v>1732</v>
      </c>
      <c r="F1788" t="s">
        <v>1631</v>
      </c>
      <c r="G1788" t="s">
        <v>1632</v>
      </c>
      <c r="H1788" t="s">
        <v>1693</v>
      </c>
      <c r="I1788" t="s">
        <v>1634</v>
      </c>
      <c r="J1788" t="s">
        <v>2761</v>
      </c>
      <c r="K1788">
        <v>1.6666700000000001</v>
      </c>
      <c r="L1788">
        <v>0</v>
      </c>
      <c r="M1788" s="1">
        <v>3</v>
      </c>
      <c r="N1788">
        <v>0</v>
      </c>
      <c r="O1788">
        <v>0</v>
      </c>
      <c r="P1788">
        <v>0</v>
      </c>
      <c r="Q1788" s="1">
        <v>0</v>
      </c>
      <c r="R1788">
        <v>10</v>
      </c>
      <c r="S1788" s="2">
        <v>45783</v>
      </c>
      <c r="T1788" s="2">
        <v>45828</v>
      </c>
      <c r="U1788">
        <v>0</v>
      </c>
      <c r="V1788">
        <v>0</v>
      </c>
      <c r="W1788">
        <v>0</v>
      </c>
      <c r="X1788">
        <v>0</v>
      </c>
      <c r="Y1788">
        <v>0</v>
      </c>
      <c r="Z1788" s="8">
        <v>0</v>
      </c>
      <c r="AA1788">
        <v>0</v>
      </c>
      <c r="AB1788" t="s">
        <v>1635</v>
      </c>
      <c r="AC1788" t="s">
        <v>1635</v>
      </c>
      <c r="AD1788" s="1" t="s">
        <v>1635</v>
      </c>
      <c r="AE1788" s="2" t="s">
        <v>1635</v>
      </c>
      <c r="AF1788" s="2" t="s">
        <v>1635</v>
      </c>
      <c r="AG1788" s="2" t="s">
        <v>1635</v>
      </c>
      <c r="AH1788">
        <v>0</v>
      </c>
      <c r="AI1788" s="3" t="s">
        <v>1635</v>
      </c>
      <c r="AJ1788" s="1" t="s">
        <v>1635</v>
      </c>
      <c r="AK1788" s="2" t="s">
        <v>1635</v>
      </c>
      <c r="AL1788" s="4" t="s">
        <v>1636</v>
      </c>
      <c r="AM1788" s="5" t="s">
        <v>1636</v>
      </c>
      <c r="AN1788" s="4">
        <v>0</v>
      </c>
      <c r="AO1788" t="s">
        <v>1635</v>
      </c>
      <c r="AP1788" s="4" t="s">
        <v>1636</v>
      </c>
      <c r="AQ1788" t="s">
        <v>1619</v>
      </c>
      <c r="AR1788" t="s">
        <v>1620</v>
      </c>
      <c r="AT1788" s="16" t="str">
        <f>_xlfn.XLOOKUP(B1788,'SWiSH Demand Forecast Sep-26'!D:D,'SWiSH Demand Forecast Sep-26'!G:G,"Not Exist")</f>
        <v>Not Exist</v>
      </c>
    </row>
    <row r="1789" spans="1:46" x14ac:dyDescent="0.3">
      <c r="A1789">
        <v>106300014</v>
      </c>
      <c r="B1789" t="s">
        <v>3658</v>
      </c>
      <c r="C1789" t="s">
        <v>136</v>
      </c>
      <c r="D1789" t="s">
        <v>1675</v>
      </c>
      <c r="E1789" t="s">
        <v>2111</v>
      </c>
      <c r="F1789" t="s">
        <v>1615</v>
      </c>
      <c r="G1789" t="s">
        <v>1686</v>
      </c>
      <c r="H1789" t="s">
        <v>1860</v>
      </c>
      <c r="I1789" t="s">
        <v>1618</v>
      </c>
      <c r="J1789" t="s">
        <v>136</v>
      </c>
      <c r="K1789">
        <v>0.4</v>
      </c>
      <c r="L1789">
        <v>0</v>
      </c>
      <c r="M1789" s="1">
        <v>3</v>
      </c>
      <c r="N1789">
        <v>0</v>
      </c>
      <c r="O1789">
        <v>0</v>
      </c>
      <c r="P1789">
        <v>0</v>
      </c>
      <c r="Q1789" s="1">
        <v>0</v>
      </c>
      <c r="R1789">
        <v>6</v>
      </c>
      <c r="S1789" s="2">
        <v>46016</v>
      </c>
      <c r="T1789" s="2">
        <v>46054</v>
      </c>
      <c r="U1789">
        <v>0</v>
      </c>
      <c r="V1789">
        <v>0</v>
      </c>
      <c r="W1789">
        <v>0</v>
      </c>
      <c r="X1789">
        <v>0</v>
      </c>
      <c r="Y1789">
        <v>0</v>
      </c>
      <c r="Z1789" s="8">
        <v>0</v>
      </c>
      <c r="AA1789">
        <v>0</v>
      </c>
      <c r="AB1789" t="s">
        <v>1635</v>
      </c>
      <c r="AC1789" t="s">
        <v>1635</v>
      </c>
      <c r="AD1789" s="1" t="s">
        <v>1635</v>
      </c>
      <c r="AE1789" s="2" t="s">
        <v>1635</v>
      </c>
      <c r="AF1789" s="2" t="s">
        <v>1635</v>
      </c>
      <c r="AG1789" s="2" t="s">
        <v>1635</v>
      </c>
      <c r="AH1789">
        <v>0</v>
      </c>
      <c r="AI1789" s="3" t="s">
        <v>1635</v>
      </c>
      <c r="AJ1789" s="1" t="s">
        <v>1635</v>
      </c>
      <c r="AK1789" s="2" t="s">
        <v>1635</v>
      </c>
      <c r="AL1789" s="4" t="s">
        <v>1658</v>
      </c>
      <c r="AM1789" s="5" t="s">
        <v>1658</v>
      </c>
      <c r="AN1789" s="4">
        <v>0</v>
      </c>
      <c r="AO1789" t="s">
        <v>1635</v>
      </c>
      <c r="AP1789" s="4" t="s">
        <v>1658</v>
      </c>
      <c r="AQ1789" t="s">
        <v>1619</v>
      </c>
      <c r="AR1789" t="s">
        <v>1620</v>
      </c>
      <c r="AT1789" s="16" t="str">
        <f>_xlfn.XLOOKUP(B1789,'SWiSH Demand Forecast Sep-26'!D:D,'SWiSH Demand Forecast Sep-26'!G:G,"Not Exist")</f>
        <v>Not Exist</v>
      </c>
    </row>
    <row r="1790" spans="1:46" x14ac:dyDescent="0.3">
      <c r="A1790" t="s">
        <v>3321</v>
      </c>
      <c r="B1790" t="s">
        <v>3659</v>
      </c>
      <c r="C1790" t="s">
        <v>136</v>
      </c>
      <c r="D1790" t="s">
        <v>1629</v>
      </c>
      <c r="E1790" t="s">
        <v>1732</v>
      </c>
      <c r="F1790" t="s">
        <v>1615</v>
      </c>
      <c r="G1790" t="e">
        <v>#N/A</v>
      </c>
      <c r="H1790" t="s">
        <v>1860</v>
      </c>
      <c r="I1790" t="s">
        <v>1618</v>
      </c>
      <c r="J1790" t="s">
        <v>1878</v>
      </c>
      <c r="K1790" t="e">
        <v>#N/A</v>
      </c>
      <c r="L1790" t="e">
        <v>#N/A</v>
      </c>
      <c r="M1790" s="1">
        <v>3</v>
      </c>
      <c r="N1790">
        <v>0</v>
      </c>
      <c r="O1790">
        <v>0</v>
      </c>
      <c r="P1790">
        <v>0</v>
      </c>
      <c r="Q1790" s="1">
        <v>0</v>
      </c>
      <c r="R1790" t="e">
        <v>#N/A</v>
      </c>
      <c r="S1790" s="2" t="e">
        <v>#N/A</v>
      </c>
      <c r="T1790" s="2" t="e">
        <v>#N/A</v>
      </c>
      <c r="U1790">
        <v>0</v>
      </c>
      <c r="V1790">
        <v>0</v>
      </c>
      <c r="W1790">
        <v>0</v>
      </c>
      <c r="X1790">
        <v>0</v>
      </c>
      <c r="Y1790">
        <v>0</v>
      </c>
      <c r="Z1790" s="8">
        <v>0</v>
      </c>
      <c r="AA1790">
        <v>0</v>
      </c>
      <c r="AB1790" t="s">
        <v>1635</v>
      </c>
      <c r="AC1790" t="s">
        <v>1635</v>
      </c>
      <c r="AD1790" s="1" t="s">
        <v>1635</v>
      </c>
      <c r="AE1790" s="2" t="s">
        <v>1635</v>
      </c>
      <c r="AF1790" s="2" t="s">
        <v>1635</v>
      </c>
      <c r="AG1790" s="2" t="s">
        <v>1635</v>
      </c>
      <c r="AH1790">
        <v>0</v>
      </c>
      <c r="AI1790" s="3" t="s">
        <v>1635</v>
      </c>
      <c r="AJ1790" s="1" t="s">
        <v>1635</v>
      </c>
      <c r="AK1790" s="2" t="s">
        <v>1635</v>
      </c>
      <c r="AL1790" s="4" t="s">
        <v>1636</v>
      </c>
      <c r="AM1790" s="5" t="s">
        <v>1636</v>
      </c>
      <c r="AN1790" s="4">
        <v>0</v>
      </c>
      <c r="AO1790" t="s">
        <v>1635</v>
      </c>
      <c r="AP1790" s="4" t="s">
        <v>1636</v>
      </c>
      <c r="AQ1790" t="s">
        <v>1619</v>
      </c>
      <c r="AR1790" t="s">
        <v>1620</v>
      </c>
      <c r="AT1790" s="16" t="str">
        <f>_xlfn.XLOOKUP(B1790,'SWiSH Demand Forecast Sep-26'!D:D,'SWiSH Demand Forecast Sep-26'!G:G,"Not Exist")</f>
        <v>Not Exist</v>
      </c>
    </row>
    <row r="1791" spans="1:46" x14ac:dyDescent="0.3">
      <c r="A1791">
        <v>107400063</v>
      </c>
      <c r="B1791" t="s">
        <v>3660</v>
      </c>
      <c r="C1791" t="s">
        <v>136</v>
      </c>
      <c r="D1791" t="s">
        <v>1629</v>
      </c>
      <c r="E1791" t="e">
        <v>#N/A</v>
      </c>
      <c r="F1791" t="s">
        <v>1631</v>
      </c>
      <c r="G1791" t="s">
        <v>1704</v>
      </c>
      <c r="H1791" t="s">
        <v>2016</v>
      </c>
      <c r="I1791" t="s">
        <v>1634</v>
      </c>
      <c r="J1791" t="s">
        <v>136</v>
      </c>
      <c r="K1791">
        <v>1.7</v>
      </c>
      <c r="L1791">
        <v>442</v>
      </c>
      <c r="M1791" s="1">
        <v>15</v>
      </c>
      <c r="N1791">
        <v>0</v>
      </c>
      <c r="O1791">
        <v>0</v>
      </c>
      <c r="P1791">
        <v>260</v>
      </c>
      <c r="Q1791" s="1">
        <v>260</v>
      </c>
      <c r="R1791">
        <v>1.7</v>
      </c>
      <c r="S1791" s="2">
        <v>45773</v>
      </c>
      <c r="T1791" s="2">
        <v>45376</v>
      </c>
      <c r="U1791">
        <v>0</v>
      </c>
      <c r="V1791">
        <v>0</v>
      </c>
      <c r="W1791">
        <v>0</v>
      </c>
      <c r="X1791">
        <v>0</v>
      </c>
      <c r="Y1791">
        <v>0</v>
      </c>
      <c r="Z1791" s="8">
        <v>0</v>
      </c>
      <c r="AA1791">
        <v>0</v>
      </c>
      <c r="AB1791" t="s">
        <v>1635</v>
      </c>
      <c r="AC1791" t="s">
        <v>1635</v>
      </c>
      <c r="AD1791" s="1" t="s">
        <v>1635</v>
      </c>
      <c r="AE1791" s="2" t="s">
        <v>1635</v>
      </c>
      <c r="AF1791" s="2" t="s">
        <v>1635</v>
      </c>
      <c r="AG1791" s="2" t="s">
        <v>1635</v>
      </c>
      <c r="AH1791">
        <v>0</v>
      </c>
      <c r="AI1791" s="3" t="s">
        <v>1635</v>
      </c>
      <c r="AJ1791" s="1" t="s">
        <v>1635</v>
      </c>
      <c r="AK1791" s="2" t="s">
        <v>1635</v>
      </c>
      <c r="AL1791" s="4" t="s">
        <v>1636</v>
      </c>
      <c r="AM1791" s="5" t="s">
        <v>1636</v>
      </c>
      <c r="AN1791" s="4">
        <v>0</v>
      </c>
      <c r="AO1791" t="s">
        <v>1635</v>
      </c>
      <c r="AP1791" s="4" t="s">
        <v>1636</v>
      </c>
      <c r="AQ1791" t="s">
        <v>1619</v>
      </c>
      <c r="AR1791" t="s">
        <v>1620</v>
      </c>
      <c r="AT1791" s="16" t="str">
        <f>_xlfn.XLOOKUP(B1791,'SWiSH Demand Forecast Sep-26'!D:D,'SWiSH Demand Forecast Sep-26'!G:G,"Not Exist")</f>
        <v>Not Exist</v>
      </c>
    </row>
    <row r="1792" spans="1:46" x14ac:dyDescent="0.3">
      <c r="A1792">
        <v>101600018</v>
      </c>
      <c r="B1792" t="s">
        <v>3661</v>
      </c>
      <c r="C1792" t="s">
        <v>10</v>
      </c>
      <c r="D1792" t="s">
        <v>1629</v>
      </c>
      <c r="E1792" t="e">
        <v>#N/A</v>
      </c>
      <c r="F1792" t="s">
        <v>1631</v>
      </c>
      <c r="G1792" t="s">
        <v>1690</v>
      </c>
      <c r="H1792" t="s">
        <v>1768</v>
      </c>
      <c r="I1792" t="s">
        <v>1634</v>
      </c>
      <c r="J1792" t="s">
        <v>2226</v>
      </c>
      <c r="K1792">
        <v>1.9333329999999999E-2</v>
      </c>
      <c r="L1792">
        <v>0</v>
      </c>
      <c r="M1792" s="1">
        <v>3</v>
      </c>
      <c r="N1792">
        <v>0</v>
      </c>
      <c r="O1792">
        <v>0</v>
      </c>
      <c r="P1792">
        <v>0</v>
      </c>
      <c r="Q1792" s="1">
        <v>0</v>
      </c>
      <c r="R1792">
        <v>5.4989999999999997</v>
      </c>
      <c r="S1792" s="2">
        <v>45777</v>
      </c>
      <c r="T1792" s="2">
        <v>46053</v>
      </c>
      <c r="U1792">
        <v>0</v>
      </c>
      <c r="V1792">
        <v>0</v>
      </c>
      <c r="W1792">
        <v>0</v>
      </c>
      <c r="X1792">
        <v>0</v>
      </c>
      <c r="Y1792">
        <v>0</v>
      </c>
      <c r="Z1792" s="8">
        <v>0</v>
      </c>
      <c r="AA1792">
        <v>0</v>
      </c>
      <c r="AB1792" t="s">
        <v>1635</v>
      </c>
      <c r="AC1792" t="s">
        <v>1635</v>
      </c>
      <c r="AD1792" s="1" t="s">
        <v>1635</v>
      </c>
      <c r="AE1792" s="2" t="s">
        <v>1635</v>
      </c>
      <c r="AF1792" s="2" t="s">
        <v>1635</v>
      </c>
      <c r="AG1792" s="2" t="s">
        <v>1635</v>
      </c>
      <c r="AH1792">
        <v>0</v>
      </c>
      <c r="AI1792" s="3" t="s">
        <v>1635</v>
      </c>
      <c r="AJ1792" s="1" t="s">
        <v>1635</v>
      </c>
      <c r="AK1792" s="2" t="s">
        <v>1635</v>
      </c>
      <c r="AL1792" s="4" t="s">
        <v>1636</v>
      </c>
      <c r="AM1792" s="5" t="s">
        <v>1636</v>
      </c>
      <c r="AN1792" s="4">
        <v>0</v>
      </c>
      <c r="AO1792" t="s">
        <v>1635</v>
      </c>
      <c r="AP1792" s="4" t="s">
        <v>1636</v>
      </c>
      <c r="AQ1792" t="s">
        <v>1619</v>
      </c>
      <c r="AR1792" t="s">
        <v>1620</v>
      </c>
      <c r="AT1792" s="16" t="str">
        <f>_xlfn.XLOOKUP(B1792,'SWiSH Demand Forecast Sep-26'!D:D,'SWiSH Demand Forecast Sep-26'!G:G,"Not Exist")</f>
        <v>Not Exist</v>
      </c>
    </row>
    <row r="1793" spans="1:46" x14ac:dyDescent="0.3">
      <c r="A1793">
        <v>101600017</v>
      </c>
      <c r="B1793" t="s">
        <v>3662</v>
      </c>
      <c r="C1793" t="s">
        <v>10</v>
      </c>
      <c r="D1793" t="s">
        <v>1629</v>
      </c>
      <c r="E1793" t="e">
        <v>#N/A</v>
      </c>
      <c r="F1793" t="s">
        <v>1631</v>
      </c>
      <c r="G1793" t="s">
        <v>1704</v>
      </c>
      <c r="H1793" t="s">
        <v>1768</v>
      </c>
      <c r="I1793" t="s">
        <v>1634</v>
      </c>
      <c r="J1793" t="e">
        <v>#N/A</v>
      </c>
      <c r="K1793">
        <v>1.4E-2</v>
      </c>
      <c r="L1793">
        <v>0</v>
      </c>
      <c r="M1793" s="1">
        <v>3</v>
      </c>
      <c r="N1793">
        <v>0</v>
      </c>
      <c r="O1793">
        <v>0</v>
      </c>
      <c r="P1793">
        <v>0</v>
      </c>
      <c r="Q1793" s="1">
        <v>0</v>
      </c>
      <c r="R1793">
        <v>14</v>
      </c>
      <c r="S1793" s="2">
        <v>43942</v>
      </c>
      <c r="T1793" s="2">
        <v>45777</v>
      </c>
      <c r="U1793">
        <v>0</v>
      </c>
      <c r="V1793">
        <v>0</v>
      </c>
      <c r="W1793">
        <v>0</v>
      </c>
      <c r="X1793">
        <v>0</v>
      </c>
      <c r="Y1793">
        <v>0</v>
      </c>
      <c r="Z1793" s="8">
        <v>0</v>
      </c>
      <c r="AA1793">
        <v>0</v>
      </c>
      <c r="AB1793" t="s">
        <v>1635</v>
      </c>
      <c r="AC1793" t="s">
        <v>1635</v>
      </c>
      <c r="AD1793" s="1" t="s">
        <v>1635</v>
      </c>
      <c r="AE1793" s="2" t="s">
        <v>1635</v>
      </c>
      <c r="AF1793" s="2" t="s">
        <v>1635</v>
      </c>
      <c r="AG1793" s="2" t="s">
        <v>1635</v>
      </c>
      <c r="AH1793">
        <v>0</v>
      </c>
      <c r="AI1793" s="3" t="s">
        <v>1635</v>
      </c>
      <c r="AJ1793" s="1" t="s">
        <v>1635</v>
      </c>
      <c r="AK1793" s="2" t="s">
        <v>1635</v>
      </c>
      <c r="AL1793" s="4" t="s">
        <v>1636</v>
      </c>
      <c r="AM1793" s="5" t="s">
        <v>1636</v>
      </c>
      <c r="AN1793" s="4">
        <v>0</v>
      </c>
      <c r="AO1793" t="s">
        <v>1635</v>
      </c>
      <c r="AP1793" s="4" t="s">
        <v>1636</v>
      </c>
      <c r="AQ1793" t="s">
        <v>1619</v>
      </c>
      <c r="AR1793" t="s">
        <v>1620</v>
      </c>
      <c r="AT1793" s="16" t="str">
        <f>_xlfn.XLOOKUP(B1793,'SWiSH Demand Forecast Sep-26'!D:D,'SWiSH Demand Forecast Sep-26'!G:G,"Not Exist")</f>
        <v>Not Exist</v>
      </c>
    </row>
    <row r="1794" spans="1:46" x14ac:dyDescent="0.3">
      <c r="A1794">
        <v>105700006</v>
      </c>
      <c r="B1794" t="s">
        <v>3663</v>
      </c>
      <c r="C1794" t="s">
        <v>10</v>
      </c>
      <c r="D1794" t="s">
        <v>1629</v>
      </c>
      <c r="E1794" t="e">
        <v>#N/A</v>
      </c>
      <c r="F1794" t="s">
        <v>1631</v>
      </c>
      <c r="G1794" t="s">
        <v>1704</v>
      </c>
      <c r="H1794" t="s">
        <v>2574</v>
      </c>
      <c r="I1794" t="s">
        <v>1634</v>
      </c>
      <c r="J1794" t="e">
        <v>#N/A</v>
      </c>
      <c r="K1794">
        <v>7.0000000000000001E-3</v>
      </c>
      <c r="L1794">
        <v>0</v>
      </c>
      <c r="M1794" s="1">
        <v>7</v>
      </c>
      <c r="N1794">
        <v>0</v>
      </c>
      <c r="O1794">
        <v>0</v>
      </c>
      <c r="P1794">
        <v>0</v>
      </c>
      <c r="Q1794" s="1">
        <v>0</v>
      </c>
      <c r="R1794">
        <v>0</v>
      </c>
      <c r="S1794" s="2">
        <v>0</v>
      </c>
      <c r="T1794" s="2">
        <v>45777</v>
      </c>
      <c r="U1794">
        <v>0</v>
      </c>
      <c r="V1794">
        <v>0</v>
      </c>
      <c r="W1794">
        <v>0</v>
      </c>
      <c r="X1794">
        <v>0</v>
      </c>
      <c r="Y1794">
        <v>0</v>
      </c>
      <c r="Z1794" s="8">
        <v>0</v>
      </c>
      <c r="AA1794">
        <v>0</v>
      </c>
      <c r="AB1794" t="s">
        <v>1635</v>
      </c>
      <c r="AC1794" t="s">
        <v>1635</v>
      </c>
      <c r="AD1794" s="1" t="s">
        <v>1635</v>
      </c>
      <c r="AE1794" s="2" t="s">
        <v>1635</v>
      </c>
      <c r="AF1794" s="2" t="s">
        <v>1635</v>
      </c>
      <c r="AG1794" s="2" t="s">
        <v>1635</v>
      </c>
      <c r="AH1794">
        <v>0</v>
      </c>
      <c r="AI1794" s="3" t="s">
        <v>1635</v>
      </c>
      <c r="AJ1794" s="1" t="s">
        <v>1635</v>
      </c>
      <c r="AK1794" s="2" t="s">
        <v>1635</v>
      </c>
      <c r="AL1794" s="4" t="s">
        <v>1636</v>
      </c>
      <c r="AM1794" s="5" t="s">
        <v>1636</v>
      </c>
      <c r="AN1794" s="4">
        <v>0</v>
      </c>
      <c r="AO1794" t="s">
        <v>1635</v>
      </c>
      <c r="AP1794" s="4" t="s">
        <v>1636</v>
      </c>
      <c r="AQ1794" t="s">
        <v>1619</v>
      </c>
      <c r="AR1794" t="s">
        <v>1620</v>
      </c>
      <c r="AT1794" s="16" t="str">
        <f>_xlfn.XLOOKUP(B1794,'SWiSH Demand Forecast Sep-26'!D:D,'SWiSH Demand Forecast Sep-26'!G:G,"Not Exist")</f>
        <v>Not Exist</v>
      </c>
    </row>
    <row r="1795" spans="1:46" x14ac:dyDescent="0.3">
      <c r="A1795">
        <v>101600020</v>
      </c>
      <c r="B1795" t="s">
        <v>3664</v>
      </c>
      <c r="C1795" t="s">
        <v>10</v>
      </c>
      <c r="D1795" t="s">
        <v>1629</v>
      </c>
      <c r="E1795" t="e">
        <v>#N/A</v>
      </c>
      <c r="F1795" t="s">
        <v>1631</v>
      </c>
      <c r="G1795" t="s">
        <v>1704</v>
      </c>
      <c r="H1795" t="s">
        <v>1768</v>
      </c>
      <c r="I1795" t="s">
        <v>1634</v>
      </c>
      <c r="J1795" t="e">
        <v>#N/A</v>
      </c>
      <c r="K1795">
        <v>1.4999999999999999E-2</v>
      </c>
      <c r="L1795">
        <v>0</v>
      </c>
      <c r="M1795" s="1">
        <v>3</v>
      </c>
      <c r="N1795">
        <v>0</v>
      </c>
      <c r="O1795">
        <v>0</v>
      </c>
      <c r="P1795">
        <v>0</v>
      </c>
      <c r="Q1795" s="1">
        <v>0</v>
      </c>
      <c r="R1795">
        <v>1.4999999999999999E-2</v>
      </c>
      <c r="S1795" s="2">
        <v>43908</v>
      </c>
      <c r="T1795" s="2">
        <v>45911</v>
      </c>
      <c r="U1795">
        <v>0</v>
      </c>
      <c r="V1795">
        <v>0</v>
      </c>
      <c r="W1795">
        <v>0</v>
      </c>
      <c r="X1795">
        <v>0</v>
      </c>
      <c r="Y1795">
        <v>0</v>
      </c>
      <c r="Z1795" s="8">
        <v>0</v>
      </c>
      <c r="AA1795">
        <v>0</v>
      </c>
      <c r="AB1795" t="s">
        <v>1635</v>
      </c>
      <c r="AC1795" t="s">
        <v>1635</v>
      </c>
      <c r="AD1795" s="1" t="s">
        <v>1635</v>
      </c>
      <c r="AE1795" s="2" t="s">
        <v>1635</v>
      </c>
      <c r="AF1795" s="2" t="s">
        <v>1635</v>
      </c>
      <c r="AG1795" s="2" t="s">
        <v>1635</v>
      </c>
      <c r="AH1795">
        <v>0</v>
      </c>
      <c r="AI1795" s="3" t="s">
        <v>1635</v>
      </c>
      <c r="AJ1795" s="1" t="s">
        <v>1635</v>
      </c>
      <c r="AK1795" s="2" t="s">
        <v>1635</v>
      </c>
      <c r="AL1795" s="4" t="s">
        <v>1636</v>
      </c>
      <c r="AM1795" s="5" t="s">
        <v>1636</v>
      </c>
      <c r="AN1795" s="4">
        <v>0</v>
      </c>
      <c r="AO1795" t="s">
        <v>1635</v>
      </c>
      <c r="AP1795" s="4" t="s">
        <v>1636</v>
      </c>
      <c r="AQ1795" t="s">
        <v>1619</v>
      </c>
      <c r="AR1795" t="s">
        <v>1620</v>
      </c>
      <c r="AT1795" s="16" t="str">
        <f>_xlfn.XLOOKUP(B1795,'SWiSH Demand Forecast Sep-26'!D:D,'SWiSH Demand Forecast Sep-26'!G:G,"Not Exist")</f>
        <v>Not Exist</v>
      </c>
    </row>
    <row r="1796" spans="1:46" x14ac:dyDescent="0.3">
      <c r="A1796" t="s">
        <v>3321</v>
      </c>
      <c r="B1796" t="s">
        <v>3665</v>
      </c>
      <c r="C1796" t="s">
        <v>10</v>
      </c>
      <c r="D1796" t="s">
        <v>1629</v>
      </c>
      <c r="E1796" t="s">
        <v>3666</v>
      </c>
      <c r="F1796" t="s">
        <v>1644</v>
      </c>
      <c r="G1796" t="e">
        <v>#N/A</v>
      </c>
      <c r="H1796" t="s">
        <v>1985</v>
      </c>
      <c r="I1796" t="s">
        <v>1634</v>
      </c>
      <c r="J1796" t="e">
        <v>#N/A</v>
      </c>
      <c r="K1796" t="e">
        <v>#N/A</v>
      </c>
      <c r="L1796" t="e">
        <v>#N/A</v>
      </c>
      <c r="M1796" s="1">
        <v>3</v>
      </c>
      <c r="N1796">
        <v>0</v>
      </c>
      <c r="O1796">
        <v>0</v>
      </c>
      <c r="P1796">
        <v>0</v>
      </c>
      <c r="Q1796" s="1">
        <v>0</v>
      </c>
      <c r="R1796" t="e">
        <v>#N/A</v>
      </c>
      <c r="S1796" s="2" t="e">
        <v>#N/A</v>
      </c>
      <c r="T1796" s="2" t="e">
        <v>#N/A</v>
      </c>
      <c r="U1796">
        <v>0</v>
      </c>
      <c r="V1796">
        <v>0</v>
      </c>
      <c r="W1796">
        <v>0</v>
      </c>
      <c r="X1796">
        <v>0</v>
      </c>
      <c r="Y1796">
        <v>0</v>
      </c>
      <c r="Z1796" s="8">
        <v>0</v>
      </c>
      <c r="AA1796">
        <v>0</v>
      </c>
      <c r="AB1796" t="s">
        <v>1635</v>
      </c>
      <c r="AC1796" t="s">
        <v>1635</v>
      </c>
      <c r="AD1796" s="1" t="s">
        <v>1635</v>
      </c>
      <c r="AE1796" s="2" t="s">
        <v>1635</v>
      </c>
      <c r="AF1796" s="2" t="s">
        <v>1635</v>
      </c>
      <c r="AG1796" s="2" t="s">
        <v>1635</v>
      </c>
      <c r="AH1796">
        <v>0</v>
      </c>
      <c r="AI1796" s="3" t="s">
        <v>1635</v>
      </c>
      <c r="AJ1796" s="1" t="s">
        <v>1635</v>
      </c>
      <c r="AK1796" s="2" t="s">
        <v>1635</v>
      </c>
      <c r="AL1796" s="4" t="s">
        <v>1636</v>
      </c>
      <c r="AM1796" s="5" t="s">
        <v>1636</v>
      </c>
      <c r="AN1796" s="4">
        <v>0</v>
      </c>
      <c r="AO1796" t="s">
        <v>1635</v>
      </c>
      <c r="AP1796" s="4" t="s">
        <v>1636</v>
      </c>
      <c r="AQ1796" t="s">
        <v>1619</v>
      </c>
      <c r="AR1796" t="s">
        <v>1620</v>
      </c>
      <c r="AT1796" s="16" t="str">
        <f>_xlfn.XLOOKUP(B1796,'SWiSH Demand Forecast Sep-26'!D:D,'SWiSH Demand Forecast Sep-26'!G:G,"Not Exist")</f>
        <v>Not Exist</v>
      </c>
    </row>
    <row r="1797" spans="1:46" x14ac:dyDescent="0.3">
      <c r="A1797">
        <v>104200022</v>
      </c>
      <c r="B1797" t="s">
        <v>3667</v>
      </c>
      <c r="C1797" t="s">
        <v>10</v>
      </c>
      <c r="D1797" t="s">
        <v>1629</v>
      </c>
      <c r="E1797" t="s">
        <v>1663</v>
      </c>
      <c r="F1797" t="s">
        <v>1840</v>
      </c>
      <c r="G1797" t="e">
        <v>#N/A</v>
      </c>
      <c r="H1797" t="s">
        <v>1633</v>
      </c>
      <c r="I1797" t="s">
        <v>1618</v>
      </c>
      <c r="J1797" t="e">
        <v>#N/A</v>
      </c>
      <c r="K1797" t="e">
        <v>#N/A</v>
      </c>
      <c r="L1797" t="e">
        <v>#N/A</v>
      </c>
      <c r="M1797" s="1">
        <v>3</v>
      </c>
      <c r="N1797">
        <v>0</v>
      </c>
      <c r="O1797">
        <v>0</v>
      </c>
      <c r="P1797">
        <v>0</v>
      </c>
      <c r="Q1797" s="1">
        <v>0</v>
      </c>
      <c r="R1797">
        <v>1.5</v>
      </c>
      <c r="S1797" s="2">
        <v>45623</v>
      </c>
      <c r="T1797" s="2">
        <v>45917</v>
      </c>
      <c r="U1797">
        <v>0</v>
      </c>
      <c r="V1797">
        <v>0</v>
      </c>
      <c r="W1797">
        <v>0</v>
      </c>
      <c r="X1797">
        <v>0</v>
      </c>
      <c r="Y1797">
        <v>0</v>
      </c>
      <c r="Z1797" s="8">
        <v>0</v>
      </c>
      <c r="AA1797">
        <v>0</v>
      </c>
      <c r="AB1797" t="s">
        <v>1635</v>
      </c>
      <c r="AC1797" t="s">
        <v>1635</v>
      </c>
      <c r="AD1797" s="1" t="s">
        <v>1635</v>
      </c>
      <c r="AE1797" s="2" t="s">
        <v>1635</v>
      </c>
      <c r="AF1797" s="2" t="s">
        <v>1635</v>
      </c>
      <c r="AG1797" s="2" t="s">
        <v>1635</v>
      </c>
      <c r="AH1797">
        <v>0</v>
      </c>
      <c r="AI1797" s="3" t="s">
        <v>1635</v>
      </c>
      <c r="AJ1797" s="1" t="s">
        <v>1635</v>
      </c>
      <c r="AK1797" s="2" t="s">
        <v>1635</v>
      </c>
      <c r="AL1797" s="4" t="s">
        <v>1636</v>
      </c>
      <c r="AM1797" s="5" t="s">
        <v>1636</v>
      </c>
      <c r="AN1797" s="4">
        <v>0</v>
      </c>
      <c r="AO1797" t="s">
        <v>1635</v>
      </c>
      <c r="AP1797" s="4" t="s">
        <v>1636</v>
      </c>
      <c r="AQ1797" t="s">
        <v>1619</v>
      </c>
      <c r="AR1797" t="s">
        <v>1620</v>
      </c>
      <c r="AT1797" s="16" t="str">
        <f>_xlfn.XLOOKUP(B1797,'SWiSH Demand Forecast Sep-26'!D:D,'SWiSH Demand Forecast Sep-26'!G:G,"Not Exist")</f>
        <v>Not Exist</v>
      </c>
    </row>
    <row r="1798" spans="1:46" x14ac:dyDescent="0.3">
      <c r="A1798">
        <v>106300057</v>
      </c>
      <c r="B1798" t="s">
        <v>3668</v>
      </c>
      <c r="C1798" t="s">
        <v>10</v>
      </c>
      <c r="D1798" t="s">
        <v>1675</v>
      </c>
      <c r="E1798" t="s">
        <v>1685</v>
      </c>
      <c r="F1798" t="s">
        <v>1999</v>
      </c>
      <c r="G1798" t="s">
        <v>1632</v>
      </c>
      <c r="H1798" t="s">
        <v>1860</v>
      </c>
      <c r="I1798" t="s">
        <v>1618</v>
      </c>
      <c r="J1798" t="s">
        <v>10</v>
      </c>
      <c r="K1798">
        <v>0.62</v>
      </c>
      <c r="L1798">
        <v>0</v>
      </c>
      <c r="M1798" s="1">
        <v>3</v>
      </c>
      <c r="N1798">
        <v>0</v>
      </c>
      <c r="O1798">
        <v>0</v>
      </c>
      <c r="P1798">
        <v>0</v>
      </c>
      <c r="Q1798" s="1">
        <v>0</v>
      </c>
      <c r="R1798">
        <v>12.4</v>
      </c>
      <c r="S1798" s="2">
        <v>45551</v>
      </c>
      <c r="T1798" s="2">
        <v>46054</v>
      </c>
      <c r="U1798">
        <v>0</v>
      </c>
      <c r="V1798">
        <v>0</v>
      </c>
      <c r="W1798">
        <v>0</v>
      </c>
      <c r="X1798">
        <v>0</v>
      </c>
      <c r="Y1798">
        <v>0</v>
      </c>
      <c r="Z1798" s="8">
        <v>0</v>
      </c>
      <c r="AA1798">
        <v>0</v>
      </c>
      <c r="AB1798" t="s">
        <v>1635</v>
      </c>
      <c r="AC1798" t="s">
        <v>1635</v>
      </c>
      <c r="AD1798" s="1" t="s">
        <v>1635</v>
      </c>
      <c r="AE1798" s="2" t="s">
        <v>1635</v>
      </c>
      <c r="AF1798" s="2" t="s">
        <v>1635</v>
      </c>
      <c r="AG1798" s="2" t="s">
        <v>1635</v>
      </c>
      <c r="AH1798">
        <v>0</v>
      </c>
      <c r="AI1798" s="3" t="s">
        <v>1635</v>
      </c>
      <c r="AJ1798" s="1" t="s">
        <v>1635</v>
      </c>
      <c r="AK1798" s="2" t="s">
        <v>1635</v>
      </c>
      <c r="AL1798" s="4" t="s">
        <v>1658</v>
      </c>
      <c r="AM1798" s="5" t="s">
        <v>1658</v>
      </c>
      <c r="AN1798" s="4">
        <v>0</v>
      </c>
      <c r="AO1798" t="s">
        <v>1635</v>
      </c>
      <c r="AP1798" s="4" t="s">
        <v>1658</v>
      </c>
      <c r="AQ1798" t="s">
        <v>1619</v>
      </c>
      <c r="AR1798" t="s">
        <v>1620</v>
      </c>
      <c r="AS1798" t="s">
        <v>1666</v>
      </c>
      <c r="AT1798" s="16" t="str">
        <f>_xlfn.XLOOKUP(B1798,'SWiSH Demand Forecast Sep-26'!D:D,'SWiSH Demand Forecast Sep-26'!G:G,"Not Exist")</f>
        <v>Not Exist</v>
      </c>
    </row>
    <row r="1799" spans="1:46" x14ac:dyDescent="0.3">
      <c r="A1799">
        <v>100400042</v>
      </c>
      <c r="B1799" t="s">
        <v>3669</v>
      </c>
      <c r="C1799" t="s">
        <v>10</v>
      </c>
      <c r="D1799" t="s">
        <v>1675</v>
      </c>
      <c r="E1799" t="s">
        <v>1638</v>
      </c>
      <c r="F1799" t="s">
        <v>1664</v>
      </c>
      <c r="G1799" t="s">
        <v>1704</v>
      </c>
      <c r="H1799" t="s">
        <v>1810</v>
      </c>
      <c r="I1799" t="s">
        <v>1634</v>
      </c>
      <c r="J1799" t="s">
        <v>10</v>
      </c>
      <c r="K1799">
        <v>0.32</v>
      </c>
      <c r="L1799">
        <v>0</v>
      </c>
      <c r="M1799" s="1">
        <v>30</v>
      </c>
      <c r="N1799">
        <v>0</v>
      </c>
      <c r="O1799">
        <v>0</v>
      </c>
      <c r="P1799">
        <v>0</v>
      </c>
      <c r="Q1799" s="1">
        <v>0</v>
      </c>
      <c r="R1799">
        <v>0.32</v>
      </c>
      <c r="S1799" s="2">
        <v>45725</v>
      </c>
      <c r="T1799" s="2">
        <v>45777</v>
      </c>
      <c r="U1799">
        <v>0</v>
      </c>
      <c r="V1799">
        <v>0</v>
      </c>
      <c r="W1799">
        <v>0</v>
      </c>
      <c r="X1799">
        <v>0</v>
      </c>
      <c r="Y1799">
        <v>0</v>
      </c>
      <c r="Z1799" s="8">
        <v>0</v>
      </c>
      <c r="AA1799">
        <v>0</v>
      </c>
      <c r="AB1799" t="s">
        <v>1635</v>
      </c>
      <c r="AC1799" t="s">
        <v>1635</v>
      </c>
      <c r="AD1799" s="1" t="s">
        <v>1635</v>
      </c>
      <c r="AE1799" s="2" t="s">
        <v>1635</v>
      </c>
      <c r="AF1799" s="2" t="s">
        <v>1635</v>
      </c>
      <c r="AG1799" s="2" t="s">
        <v>1635</v>
      </c>
      <c r="AH1799">
        <v>0</v>
      </c>
      <c r="AI1799" s="3" t="s">
        <v>1635</v>
      </c>
      <c r="AJ1799" s="1" t="s">
        <v>1635</v>
      </c>
      <c r="AK1799" s="2" t="s">
        <v>1635</v>
      </c>
      <c r="AL1799" s="4" t="s">
        <v>1658</v>
      </c>
      <c r="AM1799" s="5" t="s">
        <v>1658</v>
      </c>
      <c r="AN1799" s="4">
        <v>0</v>
      </c>
      <c r="AO1799" t="s">
        <v>1635</v>
      </c>
      <c r="AP1799" s="4" t="s">
        <v>1658</v>
      </c>
      <c r="AQ1799" t="s">
        <v>1619</v>
      </c>
      <c r="AR1799" t="s">
        <v>1620</v>
      </c>
      <c r="AT1799" s="16" t="str">
        <f>_xlfn.XLOOKUP(B1799,'SWiSH Demand Forecast Sep-26'!D:D,'SWiSH Demand Forecast Sep-26'!G:G,"Not Exist")</f>
        <v>Not Exist</v>
      </c>
    </row>
    <row r="1800" spans="1:46" x14ac:dyDescent="0.3">
      <c r="A1800">
        <v>101500009</v>
      </c>
      <c r="B1800" t="s">
        <v>3670</v>
      </c>
      <c r="C1800" t="s">
        <v>10</v>
      </c>
      <c r="D1800" t="s">
        <v>1629</v>
      </c>
      <c r="E1800" t="e">
        <v>#N/A</v>
      </c>
      <c r="F1800" t="s">
        <v>1631</v>
      </c>
      <c r="G1800" t="s">
        <v>1678</v>
      </c>
      <c r="H1800" t="s">
        <v>1647</v>
      </c>
      <c r="I1800" t="s">
        <v>1634</v>
      </c>
      <c r="J1800" t="s">
        <v>10</v>
      </c>
      <c r="K1800">
        <v>10.313000000000001</v>
      </c>
      <c r="L1800">
        <v>0</v>
      </c>
      <c r="M1800" s="1">
        <v>3</v>
      </c>
      <c r="N1800">
        <v>0</v>
      </c>
      <c r="O1800">
        <v>0</v>
      </c>
      <c r="P1800">
        <v>0</v>
      </c>
      <c r="Q1800" s="1">
        <v>0</v>
      </c>
      <c r="R1800">
        <v>2.714</v>
      </c>
      <c r="S1800" s="2">
        <v>45873</v>
      </c>
      <c r="T1800" s="2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 s="8">
        <v>0</v>
      </c>
      <c r="AA1800">
        <v>0</v>
      </c>
      <c r="AB1800" t="s">
        <v>1635</v>
      </c>
      <c r="AC1800" t="s">
        <v>1635</v>
      </c>
      <c r="AD1800" s="1" t="s">
        <v>1635</v>
      </c>
      <c r="AE1800" s="2" t="s">
        <v>1635</v>
      </c>
      <c r="AF1800" s="2" t="s">
        <v>1635</v>
      </c>
      <c r="AG1800" s="2" t="s">
        <v>1635</v>
      </c>
      <c r="AH1800">
        <v>0</v>
      </c>
      <c r="AI1800" s="3" t="s">
        <v>1635</v>
      </c>
      <c r="AJ1800" s="1" t="s">
        <v>1635</v>
      </c>
      <c r="AK1800" s="2" t="s">
        <v>1635</v>
      </c>
      <c r="AL1800" s="4" t="s">
        <v>1636</v>
      </c>
      <c r="AM1800" s="5" t="s">
        <v>1636</v>
      </c>
      <c r="AN1800" s="4">
        <v>0</v>
      </c>
      <c r="AO1800" t="s">
        <v>1635</v>
      </c>
      <c r="AP1800" s="4" t="s">
        <v>1636</v>
      </c>
      <c r="AQ1800" t="s">
        <v>1619</v>
      </c>
      <c r="AR1800" t="s">
        <v>1620</v>
      </c>
      <c r="AT1800" s="16" t="str">
        <f>_xlfn.XLOOKUP(B1800,'SWiSH Demand Forecast Sep-26'!D:D,'SWiSH Demand Forecast Sep-26'!G:G,"Not Exist")</f>
        <v>Not Exist</v>
      </c>
    </row>
    <row r="1801" spans="1:46" x14ac:dyDescent="0.3">
      <c r="A1801">
        <v>100400224</v>
      </c>
      <c r="B1801" t="s">
        <v>3671</v>
      </c>
      <c r="C1801" t="s">
        <v>10</v>
      </c>
      <c r="D1801" t="s">
        <v>1629</v>
      </c>
      <c r="E1801" t="s">
        <v>1796</v>
      </c>
      <c r="F1801" t="s">
        <v>1664</v>
      </c>
      <c r="G1801" t="s">
        <v>1885</v>
      </c>
      <c r="H1801" t="s">
        <v>1810</v>
      </c>
      <c r="I1801" t="s">
        <v>1634</v>
      </c>
      <c r="J1801" t="s">
        <v>10</v>
      </c>
      <c r="K1801">
        <v>3.6999999999999998E-2</v>
      </c>
      <c r="L1801">
        <v>0</v>
      </c>
      <c r="M1801" s="1">
        <v>15</v>
      </c>
      <c r="N1801">
        <v>0</v>
      </c>
      <c r="O1801">
        <v>0</v>
      </c>
      <c r="P1801">
        <v>0</v>
      </c>
      <c r="Q1801" s="1">
        <v>0</v>
      </c>
      <c r="R1801">
        <v>2.7E-2</v>
      </c>
      <c r="S1801" s="2">
        <v>45796</v>
      </c>
      <c r="T1801" s="2">
        <v>45740</v>
      </c>
      <c r="U1801">
        <v>0</v>
      </c>
      <c r="V1801">
        <v>0</v>
      </c>
      <c r="W1801">
        <v>0</v>
      </c>
      <c r="X1801">
        <v>0</v>
      </c>
      <c r="Y1801">
        <v>0</v>
      </c>
      <c r="Z1801" s="8">
        <v>0</v>
      </c>
      <c r="AA1801">
        <v>0</v>
      </c>
      <c r="AB1801" t="s">
        <v>1635</v>
      </c>
      <c r="AC1801" t="s">
        <v>1635</v>
      </c>
      <c r="AD1801" s="1" t="s">
        <v>1635</v>
      </c>
      <c r="AE1801" s="2" t="s">
        <v>1635</v>
      </c>
      <c r="AF1801" s="2" t="s">
        <v>1635</v>
      </c>
      <c r="AG1801" s="2" t="s">
        <v>1635</v>
      </c>
      <c r="AH1801">
        <v>0</v>
      </c>
      <c r="AI1801" s="3" t="s">
        <v>1635</v>
      </c>
      <c r="AJ1801" s="1" t="s">
        <v>1635</v>
      </c>
      <c r="AK1801" s="2" t="s">
        <v>1635</v>
      </c>
      <c r="AL1801" s="4" t="s">
        <v>1636</v>
      </c>
      <c r="AM1801" s="5" t="s">
        <v>1636</v>
      </c>
      <c r="AN1801" s="4">
        <v>0</v>
      </c>
      <c r="AO1801" t="s">
        <v>1635</v>
      </c>
      <c r="AP1801" s="4" t="s">
        <v>1636</v>
      </c>
      <c r="AQ1801" t="s">
        <v>1619</v>
      </c>
      <c r="AR1801" t="s">
        <v>1620</v>
      </c>
      <c r="AT1801" s="16" t="str">
        <f>_xlfn.XLOOKUP(B1801,'SWiSH Demand Forecast Sep-26'!D:D,'SWiSH Demand Forecast Sep-26'!G:G,"Not Exist")</f>
        <v>Not Exist</v>
      </c>
    </row>
    <row r="1802" spans="1:46" x14ac:dyDescent="0.3">
      <c r="A1802">
        <v>103400032</v>
      </c>
      <c r="B1802" t="s">
        <v>3672</v>
      </c>
      <c r="C1802" t="s">
        <v>10</v>
      </c>
      <c r="D1802" t="s">
        <v>1613</v>
      </c>
      <c r="E1802" t="s">
        <v>3651</v>
      </c>
      <c r="F1802" t="s">
        <v>1752</v>
      </c>
      <c r="G1802" t="s">
        <v>1616</v>
      </c>
      <c r="H1802" t="s">
        <v>1931</v>
      </c>
      <c r="I1802" t="s">
        <v>1754</v>
      </c>
      <c r="J1802" t="s">
        <v>10</v>
      </c>
      <c r="K1802">
        <v>0.25</v>
      </c>
      <c r="L1802">
        <v>66.25</v>
      </c>
      <c r="M1802" s="1">
        <v>3</v>
      </c>
      <c r="N1802">
        <v>0</v>
      </c>
      <c r="O1802">
        <v>0</v>
      </c>
      <c r="P1802">
        <v>265</v>
      </c>
      <c r="Q1802" s="1">
        <v>265</v>
      </c>
      <c r="R1802">
        <v>1.3</v>
      </c>
      <c r="S1802" s="2">
        <v>46260</v>
      </c>
      <c r="T1802" s="2">
        <v>46054</v>
      </c>
      <c r="U1802">
        <v>0</v>
      </c>
      <c r="V1802">
        <v>0</v>
      </c>
      <c r="W1802">
        <v>0</v>
      </c>
      <c r="X1802">
        <v>0</v>
      </c>
      <c r="Y1802">
        <v>0</v>
      </c>
      <c r="Z1802" s="8">
        <v>0</v>
      </c>
      <c r="AA1802">
        <v>0</v>
      </c>
      <c r="AB1802" t="s">
        <v>1635</v>
      </c>
      <c r="AC1802" t="s">
        <v>1635</v>
      </c>
      <c r="AD1802" s="1" t="s">
        <v>1635</v>
      </c>
      <c r="AE1802" s="2" t="s">
        <v>1635</v>
      </c>
      <c r="AF1802" s="2" t="s">
        <v>1635</v>
      </c>
      <c r="AG1802" s="2" t="s">
        <v>1635</v>
      </c>
      <c r="AH1802">
        <v>0</v>
      </c>
      <c r="AI1802" s="3" t="s">
        <v>1635</v>
      </c>
      <c r="AJ1802" s="1" t="s">
        <v>1635</v>
      </c>
      <c r="AK1802" s="2" t="s">
        <v>1635</v>
      </c>
      <c r="AL1802" s="4" t="s">
        <v>1658</v>
      </c>
      <c r="AM1802" s="5" t="s">
        <v>1658</v>
      </c>
      <c r="AN1802" s="4">
        <v>0</v>
      </c>
      <c r="AO1802" t="s">
        <v>1635</v>
      </c>
      <c r="AP1802" s="4" t="s">
        <v>1658</v>
      </c>
      <c r="AQ1802" t="s">
        <v>1619</v>
      </c>
      <c r="AR1802" t="s">
        <v>1620</v>
      </c>
      <c r="AT1802" s="16" t="str">
        <f>_xlfn.XLOOKUP(B1802,'SWiSH Demand Forecast Sep-26'!D:D,'SWiSH Demand Forecast Sep-26'!G:G,"Not Exist")</f>
        <v>Not Exist</v>
      </c>
    </row>
    <row r="1803" spans="1:46" x14ac:dyDescent="0.3">
      <c r="A1803">
        <v>103100027</v>
      </c>
      <c r="B1803" t="s">
        <v>3673</v>
      </c>
      <c r="C1803" t="s">
        <v>10</v>
      </c>
      <c r="D1803" t="s">
        <v>1629</v>
      </c>
      <c r="E1803" t="s">
        <v>3674</v>
      </c>
      <c r="F1803" t="s">
        <v>1752</v>
      </c>
      <c r="G1803" t="s">
        <v>1616</v>
      </c>
      <c r="H1803" t="s">
        <v>1869</v>
      </c>
      <c r="I1803" t="s">
        <v>1754</v>
      </c>
      <c r="J1803" t="s">
        <v>3675</v>
      </c>
      <c r="K1803">
        <v>9.0666670000000005E-2</v>
      </c>
      <c r="L1803">
        <v>0</v>
      </c>
      <c r="M1803" s="1">
        <v>3</v>
      </c>
      <c r="N1803">
        <v>0</v>
      </c>
      <c r="O1803">
        <v>0</v>
      </c>
      <c r="P1803">
        <v>0</v>
      </c>
      <c r="Q1803" s="1">
        <v>0</v>
      </c>
      <c r="R1803">
        <v>5.44</v>
      </c>
      <c r="S1803" s="2">
        <v>46104</v>
      </c>
      <c r="T1803" s="2">
        <v>46107</v>
      </c>
      <c r="U1803">
        <v>0</v>
      </c>
      <c r="V1803">
        <v>0</v>
      </c>
      <c r="W1803">
        <v>0</v>
      </c>
      <c r="X1803">
        <v>0</v>
      </c>
      <c r="Y1803">
        <v>0</v>
      </c>
      <c r="Z1803" s="8">
        <v>0</v>
      </c>
      <c r="AA1803">
        <v>0</v>
      </c>
      <c r="AB1803" t="s">
        <v>1635</v>
      </c>
      <c r="AC1803" t="s">
        <v>1635</v>
      </c>
      <c r="AD1803" s="1" t="s">
        <v>1635</v>
      </c>
      <c r="AE1803" s="2" t="s">
        <v>1635</v>
      </c>
      <c r="AF1803" s="2" t="s">
        <v>1635</v>
      </c>
      <c r="AG1803" s="2" t="s">
        <v>1635</v>
      </c>
      <c r="AH1803">
        <v>0</v>
      </c>
      <c r="AI1803" s="3" t="s">
        <v>1635</v>
      </c>
      <c r="AJ1803" s="1" t="s">
        <v>1635</v>
      </c>
      <c r="AK1803" s="2" t="s">
        <v>1635</v>
      </c>
      <c r="AL1803" s="4" t="s">
        <v>1636</v>
      </c>
      <c r="AM1803" s="5" t="s">
        <v>1636</v>
      </c>
      <c r="AN1803" s="4">
        <v>0</v>
      </c>
      <c r="AO1803" t="s">
        <v>1635</v>
      </c>
      <c r="AP1803" s="4" t="s">
        <v>1636</v>
      </c>
      <c r="AQ1803" t="s">
        <v>1619</v>
      </c>
      <c r="AR1803" t="s">
        <v>1620</v>
      </c>
      <c r="AT1803" s="16" t="str">
        <f>_xlfn.XLOOKUP(B1803,'SWiSH Demand Forecast Sep-26'!D:D,'SWiSH Demand Forecast Sep-26'!G:G,"Not Exist")</f>
        <v>Not Exist</v>
      </c>
    </row>
    <row r="1804" spans="1:46" x14ac:dyDescent="0.3">
      <c r="A1804">
        <v>103400034</v>
      </c>
      <c r="B1804" t="s">
        <v>3676</v>
      </c>
      <c r="C1804" t="s">
        <v>10</v>
      </c>
      <c r="D1804" t="s">
        <v>1613</v>
      </c>
      <c r="E1804" t="s">
        <v>3651</v>
      </c>
      <c r="F1804" t="s">
        <v>1752</v>
      </c>
      <c r="G1804" t="s">
        <v>1616</v>
      </c>
      <c r="H1804" t="s">
        <v>1931</v>
      </c>
      <c r="I1804" t="s">
        <v>1754</v>
      </c>
      <c r="J1804" t="s">
        <v>10</v>
      </c>
      <c r="K1804">
        <v>2</v>
      </c>
      <c r="L1804">
        <v>0</v>
      </c>
      <c r="M1804" s="1">
        <v>3</v>
      </c>
      <c r="N1804">
        <v>0</v>
      </c>
      <c r="O1804">
        <v>0</v>
      </c>
      <c r="P1804">
        <v>0</v>
      </c>
      <c r="Q1804" s="1">
        <v>0</v>
      </c>
      <c r="R1804">
        <v>6.84</v>
      </c>
      <c r="S1804" s="2">
        <v>46141</v>
      </c>
      <c r="T1804" s="2">
        <v>46054</v>
      </c>
      <c r="U1804">
        <v>0</v>
      </c>
      <c r="V1804">
        <v>0</v>
      </c>
      <c r="W1804">
        <v>0</v>
      </c>
      <c r="X1804">
        <v>0</v>
      </c>
      <c r="Y1804">
        <v>0</v>
      </c>
      <c r="Z1804" s="8">
        <v>0</v>
      </c>
      <c r="AA1804">
        <v>0</v>
      </c>
      <c r="AB1804" t="s">
        <v>1635</v>
      </c>
      <c r="AC1804" t="s">
        <v>1635</v>
      </c>
      <c r="AD1804" s="1" t="s">
        <v>1635</v>
      </c>
      <c r="AE1804" s="2" t="s">
        <v>1635</v>
      </c>
      <c r="AF1804" s="2" t="s">
        <v>1635</v>
      </c>
      <c r="AG1804" s="2" t="s">
        <v>1635</v>
      </c>
      <c r="AH1804">
        <v>0</v>
      </c>
      <c r="AI1804" s="3" t="s">
        <v>1635</v>
      </c>
      <c r="AJ1804" s="1" t="s">
        <v>1635</v>
      </c>
      <c r="AK1804" s="2" t="s">
        <v>1635</v>
      </c>
      <c r="AL1804" s="4" t="s">
        <v>1658</v>
      </c>
      <c r="AM1804" s="5" t="s">
        <v>1658</v>
      </c>
      <c r="AN1804" s="4">
        <v>0</v>
      </c>
      <c r="AO1804" t="s">
        <v>1635</v>
      </c>
      <c r="AP1804" s="4" t="s">
        <v>1658</v>
      </c>
      <c r="AQ1804" t="s">
        <v>1619</v>
      </c>
      <c r="AR1804" t="s">
        <v>1620</v>
      </c>
      <c r="AT1804" s="16" t="str">
        <f>_xlfn.XLOOKUP(B1804,'SWiSH Demand Forecast Sep-26'!D:D,'SWiSH Demand Forecast Sep-26'!G:G,"Not Exist")</f>
        <v>Not Exist</v>
      </c>
    </row>
    <row r="1805" spans="1:46" hidden="1" x14ac:dyDescent="0.3">
      <c r="A1805">
        <v>100400083</v>
      </c>
      <c r="B1805" t="s">
        <v>823</v>
      </c>
      <c r="C1805" t="s">
        <v>10</v>
      </c>
      <c r="D1805" t="s">
        <v>1629</v>
      </c>
      <c r="E1805" t="s">
        <v>1926</v>
      </c>
      <c r="F1805" t="s">
        <v>1664</v>
      </c>
      <c r="G1805" t="e">
        <v>#N/A</v>
      </c>
      <c r="H1805" t="s">
        <v>1810</v>
      </c>
      <c r="I1805" t="s">
        <v>1634</v>
      </c>
      <c r="J1805" t="s">
        <v>10</v>
      </c>
      <c r="K1805" t="e">
        <v>#N/A</v>
      </c>
      <c r="L1805" t="e">
        <v>#N/A</v>
      </c>
      <c r="M1805" s="1">
        <v>30</v>
      </c>
      <c r="N1805">
        <v>0</v>
      </c>
      <c r="O1805">
        <v>0</v>
      </c>
      <c r="P1805">
        <v>0</v>
      </c>
      <c r="Q1805" s="1">
        <v>0</v>
      </c>
      <c r="R1805">
        <v>0.08</v>
      </c>
      <c r="S1805" s="2">
        <v>45777</v>
      </c>
      <c r="T1805" s="2">
        <v>46047</v>
      </c>
      <c r="U1805">
        <v>0</v>
      </c>
      <c r="V1805">
        <v>0</v>
      </c>
      <c r="W1805">
        <v>0</v>
      </c>
      <c r="X1805">
        <v>0</v>
      </c>
      <c r="Y1805">
        <v>0</v>
      </c>
      <c r="Z1805" s="8">
        <v>0</v>
      </c>
      <c r="AA1805">
        <v>0</v>
      </c>
      <c r="AB1805" t="s">
        <v>1635</v>
      </c>
      <c r="AC1805" t="s">
        <v>1635</v>
      </c>
      <c r="AD1805" s="1" t="s">
        <v>1635</v>
      </c>
      <c r="AE1805" s="2" t="s">
        <v>1635</v>
      </c>
      <c r="AF1805" s="2" t="s">
        <v>1635</v>
      </c>
      <c r="AG1805" s="2" t="s">
        <v>1635</v>
      </c>
      <c r="AH1805">
        <v>0</v>
      </c>
      <c r="AI1805" s="3" t="s">
        <v>1635</v>
      </c>
      <c r="AJ1805" s="1" t="s">
        <v>1635</v>
      </c>
      <c r="AK1805" s="2" t="s">
        <v>1635</v>
      </c>
      <c r="AL1805" s="4" t="s">
        <v>1636</v>
      </c>
      <c r="AM1805" s="5" t="s">
        <v>1636</v>
      </c>
      <c r="AN1805" s="4">
        <v>0</v>
      </c>
      <c r="AO1805" t="s">
        <v>1635</v>
      </c>
      <c r="AP1805" s="4" t="s">
        <v>1636</v>
      </c>
      <c r="AQ1805" t="s">
        <v>1619</v>
      </c>
      <c r="AR1805" t="s">
        <v>1620</v>
      </c>
      <c r="AT1805" s="16">
        <f>_xlfn.XLOOKUP(B1805,'SWiSH Demand Forecast Sep-26'!D:D,'SWiSH Demand Forecast Sep-26'!G:G,"Not Exist")</f>
        <v>363</v>
      </c>
    </row>
    <row r="1806" spans="1:46" x14ac:dyDescent="0.3">
      <c r="A1806">
        <v>104200059</v>
      </c>
      <c r="B1806" t="s">
        <v>3677</v>
      </c>
      <c r="C1806" t="s">
        <v>10</v>
      </c>
      <c r="D1806" t="s">
        <v>1629</v>
      </c>
      <c r="E1806" t="s">
        <v>1732</v>
      </c>
      <c r="F1806" t="s">
        <v>1631</v>
      </c>
      <c r="G1806" t="s">
        <v>1632</v>
      </c>
      <c r="H1806" t="s">
        <v>1633</v>
      </c>
      <c r="I1806" t="s">
        <v>1634</v>
      </c>
      <c r="J1806" t="e">
        <v>#N/A</v>
      </c>
      <c r="K1806">
        <v>0.04</v>
      </c>
      <c r="L1806">
        <v>0</v>
      </c>
      <c r="M1806" s="1">
        <v>3</v>
      </c>
      <c r="N1806">
        <v>0</v>
      </c>
      <c r="O1806">
        <v>0</v>
      </c>
      <c r="P1806">
        <v>0</v>
      </c>
      <c r="Q1806" s="1">
        <v>0</v>
      </c>
      <c r="R1806">
        <v>0</v>
      </c>
      <c r="S1806" s="2">
        <v>0</v>
      </c>
      <c r="T1806" s="2">
        <v>45803</v>
      </c>
      <c r="U1806">
        <v>0</v>
      </c>
      <c r="V1806">
        <v>0</v>
      </c>
      <c r="W1806">
        <v>0</v>
      </c>
      <c r="X1806">
        <v>0</v>
      </c>
      <c r="Y1806">
        <v>0</v>
      </c>
      <c r="Z1806" s="8">
        <v>0</v>
      </c>
      <c r="AA1806">
        <v>0</v>
      </c>
      <c r="AB1806" t="s">
        <v>1635</v>
      </c>
      <c r="AC1806" t="s">
        <v>1635</v>
      </c>
      <c r="AD1806" s="1" t="s">
        <v>1635</v>
      </c>
      <c r="AE1806" s="2" t="s">
        <v>1635</v>
      </c>
      <c r="AF1806" s="2" t="s">
        <v>1635</v>
      </c>
      <c r="AG1806" s="2" t="s">
        <v>1635</v>
      </c>
      <c r="AH1806">
        <v>0</v>
      </c>
      <c r="AI1806" s="3" t="s">
        <v>1635</v>
      </c>
      <c r="AJ1806" s="1" t="s">
        <v>1635</v>
      </c>
      <c r="AK1806" s="2" t="s">
        <v>1635</v>
      </c>
      <c r="AL1806" s="4" t="s">
        <v>1636</v>
      </c>
      <c r="AM1806" s="5" t="s">
        <v>1636</v>
      </c>
      <c r="AN1806" s="4">
        <v>0</v>
      </c>
      <c r="AO1806" t="s">
        <v>1635</v>
      </c>
      <c r="AP1806" s="4" t="s">
        <v>1636</v>
      </c>
      <c r="AQ1806" t="s">
        <v>1619</v>
      </c>
      <c r="AR1806" t="s">
        <v>1620</v>
      </c>
      <c r="AT1806" s="16" t="str">
        <f>_xlfn.XLOOKUP(B1806,'SWiSH Demand Forecast Sep-26'!D:D,'SWiSH Demand Forecast Sep-26'!G:G,"Not Exist")</f>
        <v>Not Exist</v>
      </c>
    </row>
    <row r="1807" spans="1:46" x14ac:dyDescent="0.3">
      <c r="A1807">
        <v>104900014</v>
      </c>
      <c r="B1807" t="s">
        <v>3678</v>
      </c>
      <c r="C1807" t="s">
        <v>10</v>
      </c>
      <c r="D1807" t="s">
        <v>1629</v>
      </c>
      <c r="E1807" t="s">
        <v>2483</v>
      </c>
      <c r="F1807" t="s">
        <v>1664</v>
      </c>
      <c r="G1807" t="s">
        <v>1704</v>
      </c>
      <c r="H1807" t="s">
        <v>1759</v>
      </c>
      <c r="I1807" t="s">
        <v>1634</v>
      </c>
      <c r="J1807" t="s">
        <v>2027</v>
      </c>
      <c r="K1807">
        <v>1.87499E-3</v>
      </c>
      <c r="L1807">
        <v>0</v>
      </c>
      <c r="M1807" s="1">
        <v>15</v>
      </c>
      <c r="N1807">
        <v>0</v>
      </c>
      <c r="O1807">
        <v>0</v>
      </c>
      <c r="P1807">
        <v>0</v>
      </c>
      <c r="Q1807" s="1">
        <v>0</v>
      </c>
      <c r="R1807">
        <v>7.5</v>
      </c>
      <c r="S1807" s="2">
        <v>45661</v>
      </c>
      <c r="T1807" s="2">
        <v>46054</v>
      </c>
      <c r="U1807">
        <v>0</v>
      </c>
      <c r="V1807">
        <v>0</v>
      </c>
      <c r="W1807">
        <v>0</v>
      </c>
      <c r="X1807">
        <v>0</v>
      </c>
      <c r="Y1807">
        <v>0</v>
      </c>
      <c r="Z1807" s="8">
        <v>0</v>
      </c>
      <c r="AA1807">
        <v>0</v>
      </c>
      <c r="AB1807" t="s">
        <v>1635</v>
      </c>
      <c r="AC1807" t="s">
        <v>1635</v>
      </c>
      <c r="AD1807" s="1" t="s">
        <v>1635</v>
      </c>
      <c r="AE1807" s="2" t="s">
        <v>1635</v>
      </c>
      <c r="AF1807" s="2" t="s">
        <v>1635</v>
      </c>
      <c r="AG1807" s="2" t="s">
        <v>1635</v>
      </c>
      <c r="AH1807">
        <v>0</v>
      </c>
      <c r="AI1807" s="3" t="s">
        <v>1635</v>
      </c>
      <c r="AJ1807" s="1" t="s">
        <v>1635</v>
      </c>
      <c r="AK1807" s="2" t="s">
        <v>1635</v>
      </c>
      <c r="AL1807" s="4" t="s">
        <v>1636</v>
      </c>
      <c r="AM1807" s="5" t="s">
        <v>1636</v>
      </c>
      <c r="AN1807" s="4">
        <v>0</v>
      </c>
      <c r="AO1807" t="s">
        <v>1635</v>
      </c>
      <c r="AP1807" s="4" t="s">
        <v>1636</v>
      </c>
      <c r="AQ1807" t="s">
        <v>1619</v>
      </c>
      <c r="AR1807" t="s">
        <v>1620</v>
      </c>
      <c r="AT1807" s="16" t="str">
        <f>_xlfn.XLOOKUP(B1807,'SWiSH Demand Forecast Sep-26'!D:D,'SWiSH Demand Forecast Sep-26'!G:G,"Not Exist")</f>
        <v>Not Exist</v>
      </c>
    </row>
    <row r="1808" spans="1:46" x14ac:dyDescent="0.3">
      <c r="A1808">
        <v>103400013</v>
      </c>
      <c r="B1808" t="s">
        <v>3679</v>
      </c>
      <c r="C1808" t="s">
        <v>136</v>
      </c>
      <c r="D1808" t="s">
        <v>1629</v>
      </c>
      <c r="E1808" t="s">
        <v>3680</v>
      </c>
      <c r="F1808" t="s">
        <v>1752</v>
      </c>
      <c r="G1808" t="s">
        <v>1616</v>
      </c>
      <c r="H1808" t="s">
        <v>1931</v>
      </c>
      <c r="I1808" t="s">
        <v>1754</v>
      </c>
      <c r="J1808" t="s">
        <v>136</v>
      </c>
      <c r="K1808">
        <v>2.2026450299999998</v>
      </c>
      <c r="L1808">
        <v>0</v>
      </c>
      <c r="M1808" s="1">
        <v>3</v>
      </c>
      <c r="N1808">
        <v>0</v>
      </c>
      <c r="O1808">
        <v>0</v>
      </c>
      <c r="P1808">
        <v>0</v>
      </c>
      <c r="Q1808" s="1">
        <v>0</v>
      </c>
      <c r="R1808">
        <v>5</v>
      </c>
      <c r="S1808" s="2">
        <v>46079</v>
      </c>
      <c r="T1808" s="2">
        <v>46203</v>
      </c>
      <c r="U1808">
        <v>0</v>
      </c>
      <c r="V1808">
        <v>0</v>
      </c>
      <c r="W1808">
        <v>0</v>
      </c>
      <c r="X1808">
        <v>0</v>
      </c>
      <c r="Y1808">
        <v>0</v>
      </c>
      <c r="Z1808" s="8">
        <v>0</v>
      </c>
      <c r="AA1808">
        <v>0</v>
      </c>
      <c r="AB1808" t="s">
        <v>1635</v>
      </c>
      <c r="AC1808" t="s">
        <v>1635</v>
      </c>
      <c r="AD1808" s="1" t="s">
        <v>1635</v>
      </c>
      <c r="AE1808" s="2" t="s">
        <v>1635</v>
      </c>
      <c r="AF1808" s="2" t="s">
        <v>1635</v>
      </c>
      <c r="AG1808" s="2" t="s">
        <v>1635</v>
      </c>
      <c r="AH1808">
        <v>0</v>
      </c>
      <c r="AI1808" s="3" t="s">
        <v>1635</v>
      </c>
      <c r="AJ1808" s="1" t="s">
        <v>1635</v>
      </c>
      <c r="AK1808" s="2" t="s">
        <v>1635</v>
      </c>
      <c r="AL1808" s="4" t="s">
        <v>1636</v>
      </c>
      <c r="AM1808" s="5" t="s">
        <v>1636</v>
      </c>
      <c r="AN1808" s="4">
        <v>0</v>
      </c>
      <c r="AO1808" t="s">
        <v>1635</v>
      </c>
      <c r="AP1808" s="4" t="s">
        <v>1636</v>
      </c>
      <c r="AQ1808" t="s">
        <v>1619</v>
      </c>
      <c r="AR1808" t="s">
        <v>1620</v>
      </c>
      <c r="AS1808" t="s">
        <v>1666</v>
      </c>
      <c r="AT1808" s="16" t="str">
        <f>_xlfn.XLOOKUP(B1808,'SWiSH Demand Forecast Sep-26'!D:D,'SWiSH Demand Forecast Sep-26'!G:G,"Not Exist")</f>
        <v>Not Exist</v>
      </c>
    </row>
    <row r="1809" spans="1:46" x14ac:dyDescent="0.3">
      <c r="A1809">
        <v>100400139</v>
      </c>
      <c r="B1809" t="s">
        <v>3681</v>
      </c>
      <c r="C1809" t="s">
        <v>10</v>
      </c>
      <c r="D1809" t="s">
        <v>1675</v>
      </c>
      <c r="E1809" t="s">
        <v>2483</v>
      </c>
      <c r="F1809" t="s">
        <v>1664</v>
      </c>
      <c r="G1809" t="s">
        <v>1704</v>
      </c>
      <c r="H1809" t="s">
        <v>1810</v>
      </c>
      <c r="I1809" t="s">
        <v>1634</v>
      </c>
      <c r="J1809" t="s">
        <v>10</v>
      </c>
      <c r="K1809">
        <v>1.7000000000000001E-2</v>
      </c>
      <c r="L1809">
        <v>0</v>
      </c>
      <c r="M1809" s="1">
        <v>30</v>
      </c>
      <c r="N1809">
        <v>0</v>
      </c>
      <c r="O1809">
        <v>0</v>
      </c>
      <c r="P1809">
        <v>0</v>
      </c>
      <c r="Q1809" s="1">
        <v>0</v>
      </c>
      <c r="R1809">
        <v>1.7000000000000001E-2</v>
      </c>
      <c r="S1809" s="2">
        <v>45896</v>
      </c>
      <c r="T1809" s="2">
        <v>46077</v>
      </c>
      <c r="U1809">
        <v>0</v>
      </c>
      <c r="V1809">
        <v>0</v>
      </c>
      <c r="W1809">
        <v>0</v>
      </c>
      <c r="X1809">
        <v>0</v>
      </c>
      <c r="Y1809">
        <v>0</v>
      </c>
      <c r="Z1809" s="8">
        <v>0</v>
      </c>
      <c r="AA1809">
        <v>0</v>
      </c>
      <c r="AB1809" t="s">
        <v>1635</v>
      </c>
      <c r="AC1809" t="s">
        <v>1635</v>
      </c>
      <c r="AD1809" s="1" t="s">
        <v>1635</v>
      </c>
      <c r="AE1809" s="2" t="s">
        <v>1635</v>
      </c>
      <c r="AF1809" s="2" t="s">
        <v>1635</v>
      </c>
      <c r="AG1809" s="2" t="s">
        <v>1635</v>
      </c>
      <c r="AH1809">
        <v>0</v>
      </c>
      <c r="AI1809" s="3" t="s">
        <v>1635</v>
      </c>
      <c r="AJ1809" s="1" t="s">
        <v>1635</v>
      </c>
      <c r="AK1809" s="2" t="s">
        <v>1635</v>
      </c>
      <c r="AL1809" s="4" t="s">
        <v>1658</v>
      </c>
      <c r="AM1809" s="5" t="s">
        <v>1658</v>
      </c>
      <c r="AN1809" s="4">
        <v>0</v>
      </c>
      <c r="AO1809" t="s">
        <v>1635</v>
      </c>
      <c r="AP1809" s="4" t="s">
        <v>1658</v>
      </c>
      <c r="AQ1809" t="s">
        <v>1619</v>
      </c>
      <c r="AR1809" t="s">
        <v>1620</v>
      </c>
      <c r="AT1809" s="16" t="str">
        <f>_xlfn.XLOOKUP(B1809,'SWiSH Demand Forecast Sep-26'!D:D,'SWiSH Demand Forecast Sep-26'!G:G,"Not Exist")</f>
        <v>Not Exist</v>
      </c>
    </row>
    <row r="1810" spans="1:46" x14ac:dyDescent="0.3">
      <c r="A1810">
        <v>103100016</v>
      </c>
      <c r="B1810" t="s">
        <v>3682</v>
      </c>
      <c r="C1810" t="s">
        <v>10</v>
      </c>
      <c r="D1810" t="s">
        <v>1629</v>
      </c>
      <c r="E1810" t="s">
        <v>3683</v>
      </c>
      <c r="F1810" t="s">
        <v>1752</v>
      </c>
      <c r="G1810" t="s">
        <v>1616</v>
      </c>
      <c r="H1810" t="s">
        <v>1869</v>
      </c>
      <c r="I1810" t="s">
        <v>1754</v>
      </c>
      <c r="J1810" t="s">
        <v>3684</v>
      </c>
      <c r="K1810">
        <v>9.2666670000000007E-2</v>
      </c>
      <c r="L1810">
        <v>0</v>
      </c>
      <c r="M1810" s="1">
        <v>3</v>
      </c>
      <c r="N1810">
        <v>0</v>
      </c>
      <c r="O1810">
        <v>0</v>
      </c>
      <c r="P1810">
        <v>0</v>
      </c>
      <c r="Q1810" s="1">
        <v>0</v>
      </c>
      <c r="R1810">
        <v>5.56</v>
      </c>
      <c r="S1810" s="2">
        <v>46058</v>
      </c>
      <c r="T1810" s="2">
        <v>46107</v>
      </c>
      <c r="U1810">
        <v>0</v>
      </c>
      <c r="V1810">
        <v>0</v>
      </c>
      <c r="W1810">
        <v>0</v>
      </c>
      <c r="X1810">
        <v>0</v>
      </c>
      <c r="Y1810">
        <v>0</v>
      </c>
      <c r="Z1810" s="8">
        <v>0</v>
      </c>
      <c r="AA1810">
        <v>0</v>
      </c>
      <c r="AB1810" t="s">
        <v>1635</v>
      </c>
      <c r="AC1810" t="s">
        <v>1635</v>
      </c>
      <c r="AD1810" s="1" t="s">
        <v>1635</v>
      </c>
      <c r="AE1810" s="2" t="s">
        <v>1635</v>
      </c>
      <c r="AF1810" s="2" t="s">
        <v>1635</v>
      </c>
      <c r="AG1810" s="2" t="s">
        <v>1635</v>
      </c>
      <c r="AH1810">
        <v>0</v>
      </c>
      <c r="AI1810" s="3" t="s">
        <v>1635</v>
      </c>
      <c r="AJ1810" s="1" t="s">
        <v>1635</v>
      </c>
      <c r="AK1810" s="2" t="s">
        <v>1635</v>
      </c>
      <c r="AL1810" s="4" t="s">
        <v>1636</v>
      </c>
      <c r="AM1810" s="5" t="s">
        <v>1636</v>
      </c>
      <c r="AN1810" s="4">
        <v>0</v>
      </c>
      <c r="AO1810" t="s">
        <v>1635</v>
      </c>
      <c r="AP1810" s="4" t="s">
        <v>1636</v>
      </c>
      <c r="AQ1810" t="s">
        <v>1619</v>
      </c>
      <c r="AR1810" t="s">
        <v>1620</v>
      </c>
      <c r="AT1810" s="16" t="str">
        <f>_xlfn.XLOOKUP(B1810,'SWiSH Demand Forecast Sep-26'!D:D,'SWiSH Demand Forecast Sep-26'!G:G,"Not Exist")</f>
        <v>Not Exist</v>
      </c>
    </row>
    <row r="1811" spans="1:46" x14ac:dyDescent="0.3">
      <c r="A1811">
        <v>102200000</v>
      </c>
      <c r="B1811" t="s">
        <v>3685</v>
      </c>
      <c r="C1811" t="s">
        <v>10</v>
      </c>
      <c r="D1811" t="s">
        <v>1629</v>
      </c>
      <c r="E1811" t="e">
        <v>#N/A</v>
      </c>
      <c r="F1811" t="s">
        <v>1631</v>
      </c>
      <c r="G1811" t="s">
        <v>1632</v>
      </c>
      <c r="H1811" t="s">
        <v>2329</v>
      </c>
      <c r="I1811" t="s">
        <v>1634</v>
      </c>
      <c r="J1811" t="e">
        <v>#N/A</v>
      </c>
      <c r="K1811">
        <v>1.25</v>
      </c>
      <c r="L1811">
        <v>0</v>
      </c>
      <c r="M1811" s="1">
        <v>7</v>
      </c>
      <c r="N1811">
        <v>0</v>
      </c>
      <c r="O1811">
        <v>0</v>
      </c>
      <c r="P1811">
        <v>0</v>
      </c>
      <c r="Q1811" s="1">
        <v>0</v>
      </c>
      <c r="R1811">
        <v>0</v>
      </c>
      <c r="S1811" s="2">
        <v>43647</v>
      </c>
      <c r="T1811" s="2">
        <v>45783</v>
      </c>
      <c r="U1811">
        <v>0</v>
      </c>
      <c r="V1811">
        <v>0</v>
      </c>
      <c r="W1811">
        <v>0</v>
      </c>
      <c r="X1811">
        <v>0</v>
      </c>
      <c r="Y1811">
        <v>0</v>
      </c>
      <c r="Z1811" s="8">
        <v>0</v>
      </c>
      <c r="AA1811">
        <v>0</v>
      </c>
      <c r="AB1811" t="s">
        <v>1635</v>
      </c>
      <c r="AC1811" t="s">
        <v>1635</v>
      </c>
      <c r="AD1811" s="1" t="s">
        <v>1635</v>
      </c>
      <c r="AE1811" s="2" t="s">
        <v>1635</v>
      </c>
      <c r="AF1811" s="2" t="s">
        <v>1635</v>
      </c>
      <c r="AG1811" s="2" t="s">
        <v>1635</v>
      </c>
      <c r="AH1811">
        <v>0</v>
      </c>
      <c r="AI1811" s="3" t="s">
        <v>1635</v>
      </c>
      <c r="AJ1811" s="1" t="s">
        <v>1635</v>
      </c>
      <c r="AK1811" s="2" t="s">
        <v>1635</v>
      </c>
      <c r="AL1811" s="4" t="s">
        <v>1636</v>
      </c>
      <c r="AM1811" s="5" t="s">
        <v>1636</v>
      </c>
      <c r="AN1811" s="4">
        <v>0</v>
      </c>
      <c r="AO1811" t="s">
        <v>1635</v>
      </c>
      <c r="AP1811" s="4" t="s">
        <v>1636</v>
      </c>
      <c r="AQ1811" t="s">
        <v>1619</v>
      </c>
      <c r="AR1811" t="s">
        <v>1620</v>
      </c>
      <c r="AT1811" s="16" t="str">
        <f>_xlfn.XLOOKUP(B1811,'SWiSH Demand Forecast Sep-26'!D:D,'SWiSH Demand Forecast Sep-26'!G:G,"Not Exist")</f>
        <v>Not Exist</v>
      </c>
    </row>
    <row r="1812" spans="1:46" x14ac:dyDescent="0.3">
      <c r="A1812">
        <v>102200020</v>
      </c>
      <c r="B1812" t="s">
        <v>3686</v>
      </c>
      <c r="C1812" t="s">
        <v>10</v>
      </c>
      <c r="D1812" t="s">
        <v>1629</v>
      </c>
      <c r="E1812" t="e">
        <v>#N/A</v>
      </c>
      <c r="F1812" t="s">
        <v>1631</v>
      </c>
      <c r="G1812" t="s">
        <v>1632</v>
      </c>
      <c r="H1812" t="s">
        <v>2329</v>
      </c>
      <c r="I1812" t="s">
        <v>1634</v>
      </c>
      <c r="J1812" t="e">
        <v>#N/A</v>
      </c>
      <c r="K1812">
        <v>3.49</v>
      </c>
      <c r="L1812">
        <v>0</v>
      </c>
      <c r="M1812" s="1">
        <v>7</v>
      </c>
      <c r="N1812">
        <v>0</v>
      </c>
      <c r="O1812">
        <v>0</v>
      </c>
      <c r="P1812">
        <v>0</v>
      </c>
      <c r="Q1812" s="1">
        <v>0</v>
      </c>
      <c r="R1812">
        <v>0</v>
      </c>
      <c r="S1812" s="2">
        <v>43647</v>
      </c>
      <c r="T1812" s="2">
        <v>45783</v>
      </c>
      <c r="U1812">
        <v>0</v>
      </c>
      <c r="V1812">
        <v>0</v>
      </c>
      <c r="W1812">
        <v>0</v>
      </c>
      <c r="X1812">
        <v>0</v>
      </c>
      <c r="Y1812">
        <v>0</v>
      </c>
      <c r="Z1812" s="8">
        <v>0</v>
      </c>
      <c r="AA1812">
        <v>0</v>
      </c>
      <c r="AB1812" t="s">
        <v>1635</v>
      </c>
      <c r="AC1812" t="s">
        <v>1635</v>
      </c>
      <c r="AD1812" s="1" t="s">
        <v>1635</v>
      </c>
      <c r="AE1812" s="2" t="s">
        <v>1635</v>
      </c>
      <c r="AF1812" s="2" t="s">
        <v>1635</v>
      </c>
      <c r="AG1812" s="2" t="s">
        <v>1635</v>
      </c>
      <c r="AH1812">
        <v>0</v>
      </c>
      <c r="AI1812" s="3" t="s">
        <v>1635</v>
      </c>
      <c r="AJ1812" s="1" t="s">
        <v>1635</v>
      </c>
      <c r="AK1812" s="2" t="s">
        <v>1635</v>
      </c>
      <c r="AL1812" s="4" t="s">
        <v>1636</v>
      </c>
      <c r="AM1812" s="5" t="s">
        <v>1636</v>
      </c>
      <c r="AN1812" s="4">
        <v>0</v>
      </c>
      <c r="AO1812" t="s">
        <v>1635</v>
      </c>
      <c r="AP1812" s="4" t="s">
        <v>1636</v>
      </c>
      <c r="AQ1812" t="s">
        <v>1619</v>
      </c>
      <c r="AR1812" t="s">
        <v>1620</v>
      </c>
      <c r="AT1812" s="16" t="str">
        <f>_xlfn.XLOOKUP(B1812,'SWiSH Demand Forecast Sep-26'!D:D,'SWiSH Demand Forecast Sep-26'!G:G,"Not Exist")</f>
        <v>Not Exist</v>
      </c>
    </row>
    <row r="1813" spans="1:46" x14ac:dyDescent="0.3">
      <c r="A1813">
        <v>104400011</v>
      </c>
      <c r="B1813" t="s">
        <v>3687</v>
      </c>
      <c r="C1813" t="s">
        <v>10</v>
      </c>
      <c r="D1813" t="s">
        <v>1629</v>
      </c>
      <c r="E1813" t="e">
        <v>#N/A</v>
      </c>
      <c r="F1813" t="s">
        <v>1631</v>
      </c>
      <c r="G1813" t="s">
        <v>1632</v>
      </c>
      <c r="H1813" t="s">
        <v>3688</v>
      </c>
      <c r="I1813" t="s">
        <v>1634</v>
      </c>
      <c r="J1813" t="e">
        <v>#N/A</v>
      </c>
      <c r="K1813">
        <v>0.9</v>
      </c>
      <c r="L1813">
        <v>0</v>
      </c>
      <c r="M1813" s="1">
        <v>7</v>
      </c>
      <c r="N1813">
        <v>0</v>
      </c>
      <c r="O1813">
        <v>0</v>
      </c>
      <c r="P1813">
        <v>0</v>
      </c>
      <c r="Q1813" s="1">
        <v>0</v>
      </c>
      <c r="R1813">
        <v>0</v>
      </c>
      <c r="S1813" s="2">
        <v>43647</v>
      </c>
      <c r="T1813" s="2">
        <v>45783</v>
      </c>
      <c r="U1813">
        <v>0</v>
      </c>
      <c r="V1813">
        <v>0</v>
      </c>
      <c r="W1813">
        <v>0</v>
      </c>
      <c r="X1813">
        <v>0</v>
      </c>
      <c r="Y1813">
        <v>0</v>
      </c>
      <c r="Z1813" s="8">
        <v>0</v>
      </c>
      <c r="AA1813">
        <v>0</v>
      </c>
      <c r="AB1813" t="s">
        <v>1635</v>
      </c>
      <c r="AC1813" t="s">
        <v>1635</v>
      </c>
      <c r="AD1813" s="1" t="s">
        <v>1635</v>
      </c>
      <c r="AE1813" s="2" t="s">
        <v>1635</v>
      </c>
      <c r="AF1813" s="2" t="s">
        <v>1635</v>
      </c>
      <c r="AG1813" s="2" t="s">
        <v>1635</v>
      </c>
      <c r="AH1813">
        <v>0</v>
      </c>
      <c r="AI1813" s="3" t="s">
        <v>1635</v>
      </c>
      <c r="AJ1813" s="1" t="s">
        <v>1635</v>
      </c>
      <c r="AK1813" s="2" t="s">
        <v>1635</v>
      </c>
      <c r="AL1813" s="4" t="s">
        <v>1636</v>
      </c>
      <c r="AM1813" s="5" t="s">
        <v>1636</v>
      </c>
      <c r="AN1813" s="4">
        <v>0</v>
      </c>
      <c r="AO1813" t="s">
        <v>1635</v>
      </c>
      <c r="AP1813" s="4" t="s">
        <v>1636</v>
      </c>
      <c r="AQ1813" t="s">
        <v>1619</v>
      </c>
      <c r="AR1813" t="s">
        <v>1620</v>
      </c>
      <c r="AT1813" s="16" t="str">
        <f>_xlfn.XLOOKUP(B1813,'SWiSH Demand Forecast Sep-26'!D:D,'SWiSH Demand Forecast Sep-26'!G:G,"Not Exist")</f>
        <v>Not Exist</v>
      </c>
    </row>
    <row r="1814" spans="1:46" x14ac:dyDescent="0.3">
      <c r="A1814">
        <v>104400012</v>
      </c>
      <c r="B1814" t="s">
        <v>3689</v>
      </c>
      <c r="C1814" t="s">
        <v>10</v>
      </c>
      <c r="D1814" t="s">
        <v>1629</v>
      </c>
      <c r="E1814" t="e">
        <v>#N/A</v>
      </c>
      <c r="F1814" t="s">
        <v>1631</v>
      </c>
      <c r="G1814" t="s">
        <v>1632</v>
      </c>
      <c r="H1814" t="s">
        <v>3688</v>
      </c>
      <c r="I1814" t="s">
        <v>1634</v>
      </c>
      <c r="J1814" t="e">
        <v>#N/A</v>
      </c>
      <c r="K1814">
        <v>0.8</v>
      </c>
      <c r="L1814">
        <v>0</v>
      </c>
      <c r="M1814" s="1">
        <v>7</v>
      </c>
      <c r="N1814">
        <v>0</v>
      </c>
      <c r="O1814">
        <v>0</v>
      </c>
      <c r="P1814">
        <v>0</v>
      </c>
      <c r="Q1814" s="1">
        <v>0</v>
      </c>
      <c r="R1814">
        <v>0</v>
      </c>
      <c r="S1814" s="2">
        <v>43653</v>
      </c>
      <c r="T1814" s="2">
        <v>45783</v>
      </c>
      <c r="U1814">
        <v>0</v>
      </c>
      <c r="V1814">
        <v>0</v>
      </c>
      <c r="W1814">
        <v>0</v>
      </c>
      <c r="X1814">
        <v>0</v>
      </c>
      <c r="Y1814">
        <v>0</v>
      </c>
      <c r="Z1814" s="8">
        <v>0</v>
      </c>
      <c r="AA1814">
        <v>0</v>
      </c>
      <c r="AB1814" t="s">
        <v>1635</v>
      </c>
      <c r="AC1814" t="s">
        <v>1635</v>
      </c>
      <c r="AD1814" s="1" t="s">
        <v>1635</v>
      </c>
      <c r="AE1814" s="2" t="s">
        <v>1635</v>
      </c>
      <c r="AF1814" s="2" t="s">
        <v>1635</v>
      </c>
      <c r="AG1814" s="2" t="s">
        <v>1635</v>
      </c>
      <c r="AH1814">
        <v>0</v>
      </c>
      <c r="AI1814" s="3" t="s">
        <v>1635</v>
      </c>
      <c r="AJ1814" s="1" t="s">
        <v>1635</v>
      </c>
      <c r="AK1814" s="2" t="s">
        <v>1635</v>
      </c>
      <c r="AL1814" s="4" t="s">
        <v>1636</v>
      </c>
      <c r="AM1814" s="5" t="s">
        <v>1636</v>
      </c>
      <c r="AN1814" s="4">
        <v>0</v>
      </c>
      <c r="AO1814" t="s">
        <v>1635</v>
      </c>
      <c r="AP1814" s="4" t="s">
        <v>1636</v>
      </c>
      <c r="AQ1814" t="s">
        <v>1619</v>
      </c>
      <c r="AR1814" t="s">
        <v>1620</v>
      </c>
      <c r="AT1814" s="16" t="str">
        <f>_xlfn.XLOOKUP(B1814,'SWiSH Demand Forecast Sep-26'!D:D,'SWiSH Demand Forecast Sep-26'!G:G,"Not Exist")</f>
        <v>Not Exist</v>
      </c>
    </row>
    <row r="1815" spans="1:46" hidden="1" x14ac:dyDescent="0.3">
      <c r="A1815">
        <v>103000003</v>
      </c>
      <c r="B1815" t="s">
        <v>1082</v>
      </c>
      <c r="C1815" t="s">
        <v>136</v>
      </c>
      <c r="D1815" t="s">
        <v>1629</v>
      </c>
      <c r="E1815" t="s">
        <v>1732</v>
      </c>
      <c r="F1815" t="s">
        <v>1752</v>
      </c>
      <c r="G1815" t="s">
        <v>1616</v>
      </c>
      <c r="H1815" t="s">
        <v>3516</v>
      </c>
      <c r="I1815" t="s">
        <v>1754</v>
      </c>
      <c r="J1815" t="s">
        <v>136</v>
      </c>
      <c r="K1815">
        <v>2.9</v>
      </c>
      <c r="L1815">
        <v>0</v>
      </c>
      <c r="M1815" s="1">
        <v>3</v>
      </c>
      <c r="N1815">
        <v>0</v>
      </c>
      <c r="O1815">
        <v>0</v>
      </c>
      <c r="P1815">
        <v>0</v>
      </c>
      <c r="Q1815" s="1">
        <v>0</v>
      </c>
      <c r="R1815">
        <v>29</v>
      </c>
      <c r="S1815" s="2">
        <v>46097</v>
      </c>
      <c r="T1815" s="2">
        <v>46263</v>
      </c>
      <c r="U1815">
        <v>0</v>
      </c>
      <c r="V1815">
        <v>0</v>
      </c>
      <c r="W1815">
        <v>0</v>
      </c>
      <c r="X1815">
        <v>0</v>
      </c>
      <c r="Y1815">
        <v>0</v>
      </c>
      <c r="Z1815" s="8">
        <v>0</v>
      </c>
      <c r="AA1815">
        <v>0</v>
      </c>
      <c r="AB1815" t="s">
        <v>1635</v>
      </c>
      <c r="AC1815" t="s">
        <v>1635</v>
      </c>
      <c r="AD1815" s="1" t="s">
        <v>1635</v>
      </c>
      <c r="AE1815" s="2" t="s">
        <v>1635</v>
      </c>
      <c r="AF1815" s="2" t="s">
        <v>1635</v>
      </c>
      <c r="AG1815" s="2" t="s">
        <v>1635</v>
      </c>
      <c r="AH1815">
        <v>0</v>
      </c>
      <c r="AI1815" s="3" t="s">
        <v>1635</v>
      </c>
      <c r="AJ1815" s="1" t="s">
        <v>1635</v>
      </c>
      <c r="AK1815" s="2" t="s">
        <v>1635</v>
      </c>
      <c r="AL1815" s="4" t="s">
        <v>1636</v>
      </c>
      <c r="AM1815" s="5" t="s">
        <v>1636</v>
      </c>
      <c r="AN1815" s="4">
        <v>0</v>
      </c>
      <c r="AO1815" t="s">
        <v>1635</v>
      </c>
      <c r="AP1815" s="4" t="s">
        <v>1636</v>
      </c>
      <c r="AQ1815" t="s">
        <v>1619</v>
      </c>
      <c r="AR1815" t="s">
        <v>1620</v>
      </c>
      <c r="AS1815" t="s">
        <v>1666</v>
      </c>
      <c r="AT1815" s="16">
        <f>_xlfn.XLOOKUP(B1815,'SWiSH Demand Forecast Sep-26'!D:D,'SWiSH Demand Forecast Sep-26'!G:G,"Not Exist")</f>
        <v>112.77010050251199</v>
      </c>
    </row>
    <row r="1816" spans="1:46" x14ac:dyDescent="0.3">
      <c r="A1816">
        <v>102200026</v>
      </c>
      <c r="B1816" t="s">
        <v>3690</v>
      </c>
      <c r="C1816" t="s">
        <v>10</v>
      </c>
      <c r="D1816" t="s">
        <v>1629</v>
      </c>
      <c r="E1816" t="e">
        <v>#N/A</v>
      </c>
      <c r="F1816" t="s">
        <v>1631</v>
      </c>
      <c r="G1816" t="s">
        <v>1632</v>
      </c>
      <c r="H1816" t="s">
        <v>2329</v>
      </c>
      <c r="I1816" t="s">
        <v>1634</v>
      </c>
      <c r="J1816" t="e">
        <v>#N/A</v>
      </c>
      <c r="K1816">
        <v>1.75</v>
      </c>
      <c r="L1816">
        <v>0</v>
      </c>
      <c r="M1816" s="1">
        <v>7</v>
      </c>
      <c r="N1816">
        <v>0</v>
      </c>
      <c r="O1816">
        <v>0</v>
      </c>
      <c r="P1816">
        <v>0</v>
      </c>
      <c r="Q1816" s="1">
        <v>0</v>
      </c>
      <c r="R1816">
        <v>0</v>
      </c>
      <c r="S1816" s="2">
        <v>43647</v>
      </c>
      <c r="T1816" s="2">
        <v>45783</v>
      </c>
      <c r="U1816">
        <v>0</v>
      </c>
      <c r="V1816">
        <v>0</v>
      </c>
      <c r="W1816">
        <v>0</v>
      </c>
      <c r="X1816">
        <v>0</v>
      </c>
      <c r="Y1816">
        <v>0</v>
      </c>
      <c r="Z1816" s="8">
        <v>0</v>
      </c>
      <c r="AA1816">
        <v>0</v>
      </c>
      <c r="AB1816" t="s">
        <v>1635</v>
      </c>
      <c r="AC1816" t="s">
        <v>1635</v>
      </c>
      <c r="AD1816" s="1" t="s">
        <v>1635</v>
      </c>
      <c r="AE1816" s="2" t="s">
        <v>1635</v>
      </c>
      <c r="AF1816" s="2" t="s">
        <v>1635</v>
      </c>
      <c r="AG1816" s="2" t="s">
        <v>1635</v>
      </c>
      <c r="AH1816">
        <v>0</v>
      </c>
      <c r="AI1816" s="3" t="s">
        <v>1635</v>
      </c>
      <c r="AJ1816" s="1" t="s">
        <v>1635</v>
      </c>
      <c r="AK1816" s="2" t="s">
        <v>1635</v>
      </c>
      <c r="AL1816" s="4" t="s">
        <v>1636</v>
      </c>
      <c r="AM1816" s="5" t="s">
        <v>1636</v>
      </c>
      <c r="AN1816" s="4">
        <v>0</v>
      </c>
      <c r="AO1816" t="s">
        <v>1635</v>
      </c>
      <c r="AP1816" s="4" t="s">
        <v>1636</v>
      </c>
      <c r="AQ1816" t="s">
        <v>1619</v>
      </c>
      <c r="AR1816" t="s">
        <v>1620</v>
      </c>
      <c r="AT1816" s="16" t="str">
        <f>_xlfn.XLOOKUP(B1816,'SWiSH Demand Forecast Sep-26'!D:D,'SWiSH Demand Forecast Sep-26'!G:G,"Not Exist")</f>
        <v>Not Exist</v>
      </c>
    </row>
    <row r="1817" spans="1:46" x14ac:dyDescent="0.3">
      <c r="A1817">
        <v>104900026</v>
      </c>
      <c r="B1817" t="s">
        <v>3691</v>
      </c>
      <c r="C1817" t="s">
        <v>10</v>
      </c>
      <c r="D1817" t="s">
        <v>1629</v>
      </c>
      <c r="E1817" t="s">
        <v>2483</v>
      </c>
      <c r="F1817" t="s">
        <v>1664</v>
      </c>
      <c r="G1817" t="s">
        <v>1704</v>
      </c>
      <c r="H1817" t="s">
        <v>1759</v>
      </c>
      <c r="I1817" t="s">
        <v>1634</v>
      </c>
      <c r="J1817" t="s">
        <v>2113</v>
      </c>
      <c r="K1817">
        <v>7.4999999999999997E-3</v>
      </c>
      <c r="L1817">
        <v>0</v>
      </c>
      <c r="M1817" s="1">
        <v>15</v>
      </c>
      <c r="N1817">
        <v>0</v>
      </c>
      <c r="O1817">
        <v>0</v>
      </c>
      <c r="P1817">
        <v>0</v>
      </c>
      <c r="Q1817" s="1">
        <v>0</v>
      </c>
      <c r="R1817">
        <v>7.5</v>
      </c>
      <c r="S1817" s="2">
        <v>45906</v>
      </c>
      <c r="T1817" s="2">
        <v>46054</v>
      </c>
      <c r="U1817">
        <v>0</v>
      </c>
      <c r="V1817">
        <v>0</v>
      </c>
      <c r="W1817">
        <v>0</v>
      </c>
      <c r="X1817">
        <v>0</v>
      </c>
      <c r="Y1817">
        <v>0</v>
      </c>
      <c r="Z1817" s="8">
        <v>0</v>
      </c>
      <c r="AA1817">
        <v>0</v>
      </c>
      <c r="AB1817" t="s">
        <v>1635</v>
      </c>
      <c r="AC1817" t="s">
        <v>1635</v>
      </c>
      <c r="AD1817" s="1" t="s">
        <v>1635</v>
      </c>
      <c r="AE1817" s="2" t="s">
        <v>1635</v>
      </c>
      <c r="AF1817" s="2" t="s">
        <v>1635</v>
      </c>
      <c r="AG1817" s="2" t="s">
        <v>1635</v>
      </c>
      <c r="AH1817">
        <v>0</v>
      </c>
      <c r="AI1817" s="3" t="s">
        <v>1635</v>
      </c>
      <c r="AJ1817" s="1" t="s">
        <v>1635</v>
      </c>
      <c r="AK1817" s="2" t="s">
        <v>1635</v>
      </c>
      <c r="AL1817" s="4" t="s">
        <v>1636</v>
      </c>
      <c r="AM1817" s="5" t="s">
        <v>1636</v>
      </c>
      <c r="AN1817" s="4">
        <v>0</v>
      </c>
      <c r="AO1817" t="s">
        <v>1635</v>
      </c>
      <c r="AP1817" s="4" t="s">
        <v>1636</v>
      </c>
      <c r="AQ1817" t="s">
        <v>1619</v>
      </c>
      <c r="AR1817" t="s">
        <v>3692</v>
      </c>
      <c r="AT1817" s="16" t="str">
        <f>_xlfn.XLOOKUP(B1817,'SWiSH Demand Forecast Sep-26'!D:D,'SWiSH Demand Forecast Sep-26'!G:G,"Not Exist")</f>
        <v>Not Exist</v>
      </c>
    </row>
    <row r="1818" spans="1:46" x14ac:dyDescent="0.3">
      <c r="A1818">
        <v>101400051</v>
      </c>
      <c r="B1818" t="s">
        <v>3693</v>
      </c>
      <c r="C1818" t="s">
        <v>10</v>
      </c>
      <c r="D1818" t="s">
        <v>1629</v>
      </c>
      <c r="E1818" t="s">
        <v>3232</v>
      </c>
      <c r="F1818" t="s">
        <v>1650</v>
      </c>
      <c r="G1818" t="s">
        <v>1632</v>
      </c>
      <c r="H1818" t="s">
        <v>1693</v>
      </c>
      <c r="I1818" t="s">
        <v>1634</v>
      </c>
      <c r="J1818" t="e">
        <v>#N/A</v>
      </c>
      <c r="K1818">
        <v>6</v>
      </c>
      <c r="L1818">
        <v>0</v>
      </c>
      <c r="M1818" s="1">
        <v>3</v>
      </c>
      <c r="N1818">
        <v>0</v>
      </c>
      <c r="O1818">
        <v>0</v>
      </c>
      <c r="P1818">
        <v>0</v>
      </c>
      <c r="Q1818" s="1">
        <v>0</v>
      </c>
      <c r="R1818">
        <v>6</v>
      </c>
      <c r="S1818" s="2">
        <v>45235</v>
      </c>
      <c r="T1818" s="2">
        <v>45258</v>
      </c>
      <c r="U1818">
        <v>0</v>
      </c>
      <c r="V1818">
        <v>0</v>
      </c>
      <c r="W1818">
        <v>0</v>
      </c>
      <c r="X1818">
        <v>0</v>
      </c>
      <c r="Y1818">
        <v>0</v>
      </c>
      <c r="Z1818" s="8">
        <v>0</v>
      </c>
      <c r="AA1818">
        <v>0</v>
      </c>
      <c r="AB1818" t="s">
        <v>1635</v>
      </c>
      <c r="AC1818" t="s">
        <v>1635</v>
      </c>
      <c r="AD1818" s="1" t="s">
        <v>1635</v>
      </c>
      <c r="AE1818" s="2" t="s">
        <v>1635</v>
      </c>
      <c r="AF1818" s="2" t="s">
        <v>1635</v>
      </c>
      <c r="AG1818" s="2" t="s">
        <v>1635</v>
      </c>
      <c r="AH1818">
        <v>0</v>
      </c>
      <c r="AI1818" s="3" t="s">
        <v>1635</v>
      </c>
      <c r="AJ1818" s="1" t="s">
        <v>1635</v>
      </c>
      <c r="AK1818" s="2" t="s">
        <v>1635</v>
      </c>
      <c r="AL1818" s="4" t="s">
        <v>1636</v>
      </c>
      <c r="AM1818" s="5" t="s">
        <v>1636</v>
      </c>
      <c r="AN1818" s="4">
        <v>0</v>
      </c>
      <c r="AO1818" t="s">
        <v>1635</v>
      </c>
      <c r="AP1818" s="4" t="s">
        <v>1636</v>
      </c>
      <c r="AQ1818" t="s">
        <v>1619</v>
      </c>
      <c r="AR1818" t="s">
        <v>1620</v>
      </c>
      <c r="AT1818" s="16" t="str">
        <f>_xlfn.XLOOKUP(B1818,'SWiSH Demand Forecast Sep-26'!D:D,'SWiSH Demand Forecast Sep-26'!G:G,"Not Exist")</f>
        <v>Not Exist</v>
      </c>
    </row>
    <row r="1819" spans="1:46" x14ac:dyDescent="0.3">
      <c r="A1819">
        <v>101100049</v>
      </c>
      <c r="B1819" t="s">
        <v>3694</v>
      </c>
      <c r="C1819" t="s">
        <v>10</v>
      </c>
      <c r="D1819" t="s">
        <v>1629</v>
      </c>
      <c r="E1819" t="s">
        <v>3232</v>
      </c>
      <c r="F1819" t="s">
        <v>1650</v>
      </c>
      <c r="G1819" t="s">
        <v>1632</v>
      </c>
      <c r="H1819" t="s">
        <v>1953</v>
      </c>
      <c r="I1819" t="s">
        <v>1634</v>
      </c>
      <c r="J1819" t="s">
        <v>10</v>
      </c>
      <c r="K1819">
        <v>12</v>
      </c>
      <c r="L1819">
        <v>0</v>
      </c>
      <c r="M1819" s="1">
        <v>3</v>
      </c>
      <c r="N1819">
        <v>0</v>
      </c>
      <c r="O1819">
        <v>0</v>
      </c>
      <c r="P1819">
        <v>0</v>
      </c>
      <c r="Q1819" s="1">
        <v>0</v>
      </c>
      <c r="R1819">
        <v>12</v>
      </c>
      <c r="S1819" s="2">
        <v>45666</v>
      </c>
      <c r="T1819" s="2">
        <v>46049</v>
      </c>
      <c r="U1819">
        <v>0</v>
      </c>
      <c r="V1819">
        <v>0</v>
      </c>
      <c r="W1819">
        <v>0</v>
      </c>
      <c r="X1819">
        <v>0</v>
      </c>
      <c r="Y1819">
        <v>0</v>
      </c>
      <c r="Z1819" s="8">
        <v>0</v>
      </c>
      <c r="AA1819">
        <v>0</v>
      </c>
      <c r="AB1819" t="s">
        <v>1635</v>
      </c>
      <c r="AC1819" t="s">
        <v>1635</v>
      </c>
      <c r="AD1819" s="1" t="s">
        <v>1635</v>
      </c>
      <c r="AE1819" s="2" t="s">
        <v>1635</v>
      </c>
      <c r="AF1819" s="2" t="s">
        <v>1635</v>
      </c>
      <c r="AG1819" s="2" t="s">
        <v>1635</v>
      </c>
      <c r="AH1819">
        <v>0</v>
      </c>
      <c r="AI1819" s="3" t="s">
        <v>1635</v>
      </c>
      <c r="AJ1819" s="1" t="s">
        <v>1635</v>
      </c>
      <c r="AK1819" s="2" t="s">
        <v>1635</v>
      </c>
      <c r="AL1819" s="4" t="s">
        <v>1636</v>
      </c>
      <c r="AM1819" s="5" t="s">
        <v>1636</v>
      </c>
      <c r="AN1819" s="4">
        <v>0</v>
      </c>
      <c r="AO1819" t="s">
        <v>1635</v>
      </c>
      <c r="AP1819" s="4" t="s">
        <v>1636</v>
      </c>
      <c r="AQ1819" t="s">
        <v>1619</v>
      </c>
      <c r="AR1819" t="s">
        <v>1620</v>
      </c>
      <c r="AT1819" s="16" t="str">
        <f>_xlfn.XLOOKUP(B1819,'SWiSH Demand Forecast Sep-26'!D:D,'SWiSH Demand Forecast Sep-26'!G:G,"Not Exist")</f>
        <v>Not Exist</v>
      </c>
    </row>
    <row r="1820" spans="1:46" x14ac:dyDescent="0.3">
      <c r="A1820">
        <v>105900030</v>
      </c>
      <c r="B1820" t="s">
        <v>3695</v>
      </c>
      <c r="C1820" t="s">
        <v>10</v>
      </c>
      <c r="D1820" t="s">
        <v>1629</v>
      </c>
      <c r="E1820" t="s">
        <v>1732</v>
      </c>
      <c r="F1820" t="s">
        <v>1664</v>
      </c>
      <c r="G1820" t="s">
        <v>1704</v>
      </c>
      <c r="H1820" t="s">
        <v>1729</v>
      </c>
      <c r="I1820" t="s">
        <v>1634</v>
      </c>
      <c r="J1820" t="s">
        <v>10</v>
      </c>
      <c r="K1820">
        <v>3.6262600000000001E-3</v>
      </c>
      <c r="L1820">
        <v>192.19177999999999</v>
      </c>
      <c r="M1820" s="1">
        <v>90</v>
      </c>
      <c r="N1820">
        <v>0</v>
      </c>
      <c r="O1820">
        <v>0</v>
      </c>
      <c r="P1820">
        <v>53000</v>
      </c>
      <c r="Q1820" s="1">
        <v>53000</v>
      </c>
      <c r="R1820">
        <v>3.5708799999999998</v>
      </c>
      <c r="S1820" s="2">
        <v>45375</v>
      </c>
      <c r="T1820" s="2">
        <v>46054</v>
      </c>
      <c r="U1820">
        <v>0</v>
      </c>
      <c r="V1820">
        <v>0</v>
      </c>
      <c r="W1820">
        <v>0</v>
      </c>
      <c r="X1820">
        <v>0</v>
      </c>
      <c r="Y1820">
        <v>0</v>
      </c>
      <c r="Z1820" s="8">
        <v>0</v>
      </c>
      <c r="AA1820">
        <v>0</v>
      </c>
      <c r="AB1820" t="s">
        <v>1635</v>
      </c>
      <c r="AC1820" t="s">
        <v>1635</v>
      </c>
      <c r="AD1820" s="1" t="s">
        <v>1635</v>
      </c>
      <c r="AE1820" s="2" t="s">
        <v>1635</v>
      </c>
      <c r="AF1820" s="2" t="s">
        <v>1635</v>
      </c>
      <c r="AG1820" s="2" t="s">
        <v>1635</v>
      </c>
      <c r="AH1820">
        <v>0</v>
      </c>
      <c r="AI1820" s="3" t="s">
        <v>1635</v>
      </c>
      <c r="AJ1820" s="1" t="s">
        <v>1635</v>
      </c>
      <c r="AK1820" s="2" t="s">
        <v>1635</v>
      </c>
      <c r="AL1820" s="4" t="s">
        <v>1636</v>
      </c>
      <c r="AM1820" s="5" t="s">
        <v>1636</v>
      </c>
      <c r="AN1820" s="4">
        <v>0</v>
      </c>
      <c r="AO1820" t="s">
        <v>1635</v>
      </c>
      <c r="AP1820" s="4" t="s">
        <v>1636</v>
      </c>
      <c r="AQ1820" t="s">
        <v>1619</v>
      </c>
      <c r="AR1820" t="s">
        <v>1620</v>
      </c>
      <c r="AT1820" s="16" t="str">
        <f>_xlfn.XLOOKUP(B1820,'SWiSH Demand Forecast Sep-26'!D:D,'SWiSH Demand Forecast Sep-26'!G:G,"Not Exist")</f>
        <v>Not Exist</v>
      </c>
    </row>
    <row r="1821" spans="1:46" x14ac:dyDescent="0.3">
      <c r="A1821">
        <v>106800203</v>
      </c>
      <c r="B1821" t="s">
        <v>3696</v>
      </c>
      <c r="C1821" t="s">
        <v>10</v>
      </c>
      <c r="D1821" t="s">
        <v>1629</v>
      </c>
      <c r="E1821" t="s">
        <v>2483</v>
      </c>
      <c r="F1821" t="s">
        <v>1664</v>
      </c>
      <c r="G1821" t="s">
        <v>1704</v>
      </c>
      <c r="H1821" t="s">
        <v>1665</v>
      </c>
      <c r="I1821" t="s">
        <v>1634</v>
      </c>
      <c r="J1821" t="s">
        <v>10</v>
      </c>
      <c r="K1821">
        <v>2.8999999999999998E-3</v>
      </c>
      <c r="L1821">
        <v>0</v>
      </c>
      <c r="M1821" s="1">
        <v>7</v>
      </c>
      <c r="N1821">
        <v>0</v>
      </c>
      <c r="O1821">
        <v>0</v>
      </c>
      <c r="P1821">
        <v>0</v>
      </c>
      <c r="Q1821" s="1">
        <v>0</v>
      </c>
      <c r="R1821">
        <v>2.8999999999999998E-3</v>
      </c>
      <c r="S1821" s="2">
        <v>45073</v>
      </c>
      <c r="T1821" s="2">
        <v>46054</v>
      </c>
      <c r="U1821">
        <v>0</v>
      </c>
      <c r="V1821">
        <v>0</v>
      </c>
      <c r="W1821">
        <v>0</v>
      </c>
      <c r="X1821">
        <v>0</v>
      </c>
      <c r="Y1821">
        <v>0</v>
      </c>
      <c r="Z1821" s="8">
        <v>0</v>
      </c>
      <c r="AA1821">
        <v>0</v>
      </c>
      <c r="AB1821" t="s">
        <v>1635</v>
      </c>
      <c r="AC1821" t="s">
        <v>1635</v>
      </c>
      <c r="AD1821" s="1" t="s">
        <v>1635</v>
      </c>
      <c r="AE1821" s="2" t="s">
        <v>1635</v>
      </c>
      <c r="AF1821" s="2" t="s">
        <v>1635</v>
      </c>
      <c r="AG1821" s="2" t="s">
        <v>1635</v>
      </c>
      <c r="AH1821">
        <v>0</v>
      </c>
      <c r="AI1821" s="3" t="s">
        <v>1635</v>
      </c>
      <c r="AJ1821" s="1" t="s">
        <v>1635</v>
      </c>
      <c r="AK1821" s="2" t="s">
        <v>1635</v>
      </c>
      <c r="AL1821" s="4" t="s">
        <v>1636</v>
      </c>
      <c r="AM1821" s="5" t="s">
        <v>1636</v>
      </c>
      <c r="AN1821" s="4">
        <v>0</v>
      </c>
      <c r="AO1821" t="s">
        <v>1635</v>
      </c>
      <c r="AP1821" s="4" t="s">
        <v>1636</v>
      </c>
      <c r="AQ1821" t="s">
        <v>1619</v>
      </c>
      <c r="AR1821" t="s">
        <v>1620</v>
      </c>
      <c r="AT1821" s="16" t="str">
        <f>_xlfn.XLOOKUP(B1821,'SWiSH Demand Forecast Sep-26'!D:D,'SWiSH Demand Forecast Sep-26'!G:G,"Not Exist")</f>
        <v>Not Exist</v>
      </c>
    </row>
    <row r="1822" spans="1:46" x14ac:dyDescent="0.3">
      <c r="A1822">
        <v>103400028</v>
      </c>
      <c r="B1822" t="s">
        <v>3697</v>
      </c>
      <c r="C1822" t="s">
        <v>10</v>
      </c>
      <c r="D1822" t="s">
        <v>1613</v>
      </c>
      <c r="E1822" t="s">
        <v>3651</v>
      </c>
      <c r="F1822" t="s">
        <v>1752</v>
      </c>
      <c r="G1822" t="s">
        <v>1616</v>
      </c>
      <c r="H1822" t="s">
        <v>1931</v>
      </c>
      <c r="I1822" t="s">
        <v>1754</v>
      </c>
      <c r="J1822" t="s">
        <v>10</v>
      </c>
      <c r="K1822">
        <v>0.51</v>
      </c>
      <c r="L1822">
        <v>51</v>
      </c>
      <c r="M1822" s="1">
        <v>3</v>
      </c>
      <c r="N1822">
        <v>0</v>
      </c>
      <c r="O1822">
        <v>0</v>
      </c>
      <c r="P1822">
        <v>100</v>
      </c>
      <c r="Q1822" s="1">
        <v>100</v>
      </c>
      <c r="R1822">
        <v>0.51</v>
      </c>
      <c r="S1822" s="2">
        <v>46259</v>
      </c>
      <c r="T1822" s="2">
        <v>46054</v>
      </c>
      <c r="U1822">
        <v>0</v>
      </c>
      <c r="V1822">
        <v>0</v>
      </c>
      <c r="W1822">
        <v>0</v>
      </c>
      <c r="X1822">
        <v>0</v>
      </c>
      <c r="Y1822">
        <v>0</v>
      </c>
      <c r="Z1822" s="8">
        <v>0</v>
      </c>
      <c r="AA1822">
        <v>0</v>
      </c>
      <c r="AB1822" t="s">
        <v>1635</v>
      </c>
      <c r="AC1822" t="s">
        <v>1635</v>
      </c>
      <c r="AD1822" s="1" t="s">
        <v>1635</v>
      </c>
      <c r="AE1822" s="2" t="s">
        <v>1635</v>
      </c>
      <c r="AF1822" s="2" t="s">
        <v>1635</v>
      </c>
      <c r="AG1822" s="2" t="s">
        <v>1635</v>
      </c>
      <c r="AH1822">
        <v>0</v>
      </c>
      <c r="AI1822" s="3" t="s">
        <v>1635</v>
      </c>
      <c r="AJ1822" s="1" t="s">
        <v>1635</v>
      </c>
      <c r="AK1822" s="2" t="s">
        <v>1635</v>
      </c>
      <c r="AL1822" s="4" t="s">
        <v>1658</v>
      </c>
      <c r="AM1822" s="5" t="s">
        <v>1658</v>
      </c>
      <c r="AN1822" s="4">
        <v>0</v>
      </c>
      <c r="AO1822" t="s">
        <v>1635</v>
      </c>
      <c r="AP1822" s="4" t="s">
        <v>1658</v>
      </c>
      <c r="AQ1822" t="s">
        <v>1619</v>
      </c>
      <c r="AR1822" t="s">
        <v>1620</v>
      </c>
      <c r="AT1822" s="16" t="str">
        <f>_xlfn.XLOOKUP(B1822,'SWiSH Demand Forecast Sep-26'!D:D,'SWiSH Demand Forecast Sep-26'!G:G,"Not Exist")</f>
        <v>Not Exist</v>
      </c>
    </row>
    <row r="1823" spans="1:46" x14ac:dyDescent="0.3">
      <c r="A1823">
        <v>104400008</v>
      </c>
      <c r="B1823" t="s">
        <v>3698</v>
      </c>
      <c r="C1823" t="s">
        <v>10</v>
      </c>
      <c r="D1823" t="s">
        <v>1629</v>
      </c>
      <c r="E1823" t="e">
        <v>#N/A</v>
      </c>
      <c r="F1823" t="s">
        <v>1631</v>
      </c>
      <c r="G1823" t="s">
        <v>1632</v>
      </c>
      <c r="H1823" t="s">
        <v>3688</v>
      </c>
      <c r="I1823" t="s">
        <v>1634</v>
      </c>
      <c r="J1823" t="e">
        <v>#N/A</v>
      </c>
      <c r="K1823">
        <v>1</v>
      </c>
      <c r="L1823">
        <v>0</v>
      </c>
      <c r="M1823" s="1">
        <v>7</v>
      </c>
      <c r="N1823">
        <v>0</v>
      </c>
      <c r="O1823">
        <v>0</v>
      </c>
      <c r="P1823">
        <v>0</v>
      </c>
      <c r="Q1823" s="1">
        <v>0</v>
      </c>
      <c r="R1823">
        <v>0</v>
      </c>
      <c r="S1823" s="2">
        <v>43647</v>
      </c>
      <c r="T1823" s="2">
        <v>45783</v>
      </c>
      <c r="U1823">
        <v>0</v>
      </c>
      <c r="V1823">
        <v>0</v>
      </c>
      <c r="W1823">
        <v>0</v>
      </c>
      <c r="X1823">
        <v>0</v>
      </c>
      <c r="Y1823">
        <v>0</v>
      </c>
      <c r="Z1823" s="8">
        <v>0</v>
      </c>
      <c r="AA1823">
        <v>0</v>
      </c>
      <c r="AB1823" t="s">
        <v>1635</v>
      </c>
      <c r="AC1823" t="s">
        <v>1635</v>
      </c>
      <c r="AD1823" s="1" t="s">
        <v>1635</v>
      </c>
      <c r="AE1823" s="2" t="s">
        <v>1635</v>
      </c>
      <c r="AF1823" s="2" t="s">
        <v>1635</v>
      </c>
      <c r="AG1823" s="2" t="s">
        <v>1635</v>
      </c>
      <c r="AH1823">
        <v>0</v>
      </c>
      <c r="AI1823" s="3" t="s">
        <v>1635</v>
      </c>
      <c r="AJ1823" s="1" t="s">
        <v>1635</v>
      </c>
      <c r="AK1823" s="2" t="s">
        <v>1635</v>
      </c>
      <c r="AL1823" s="4" t="s">
        <v>1636</v>
      </c>
      <c r="AM1823" s="5" t="s">
        <v>1636</v>
      </c>
      <c r="AN1823" s="4">
        <v>0</v>
      </c>
      <c r="AO1823" t="s">
        <v>1635</v>
      </c>
      <c r="AP1823" s="4" t="s">
        <v>1636</v>
      </c>
      <c r="AQ1823" t="s">
        <v>1619</v>
      </c>
      <c r="AR1823" t="s">
        <v>1620</v>
      </c>
      <c r="AT1823" s="16" t="str">
        <f>_xlfn.XLOOKUP(B1823,'SWiSH Demand Forecast Sep-26'!D:D,'SWiSH Demand Forecast Sep-26'!G:G,"Not Exist")</f>
        <v>Not Exist</v>
      </c>
    </row>
    <row r="1824" spans="1:46" x14ac:dyDescent="0.3">
      <c r="A1824">
        <v>105300033</v>
      </c>
      <c r="B1824" t="s">
        <v>3699</v>
      </c>
      <c r="C1824" t="s">
        <v>10</v>
      </c>
      <c r="D1824" t="s">
        <v>1629</v>
      </c>
      <c r="E1824" t="s">
        <v>1732</v>
      </c>
      <c r="F1824" t="s">
        <v>1664</v>
      </c>
      <c r="G1824" t="s">
        <v>1704</v>
      </c>
      <c r="H1824" t="s">
        <v>1978</v>
      </c>
      <c r="I1824" t="s">
        <v>1634</v>
      </c>
      <c r="J1824" t="s">
        <v>2113</v>
      </c>
      <c r="K1824">
        <v>1.6E-2</v>
      </c>
      <c r="L1824">
        <v>0</v>
      </c>
      <c r="M1824" s="1">
        <v>30</v>
      </c>
      <c r="N1824">
        <v>0</v>
      </c>
      <c r="O1824">
        <v>0</v>
      </c>
      <c r="P1824">
        <v>0</v>
      </c>
      <c r="Q1824" s="1">
        <v>0</v>
      </c>
      <c r="R1824">
        <v>16</v>
      </c>
      <c r="S1824" s="2">
        <v>45917</v>
      </c>
      <c r="T1824" s="2">
        <v>46049</v>
      </c>
      <c r="U1824">
        <v>0</v>
      </c>
      <c r="V1824">
        <v>0</v>
      </c>
      <c r="W1824">
        <v>0</v>
      </c>
      <c r="X1824">
        <v>0</v>
      </c>
      <c r="Y1824">
        <v>0</v>
      </c>
      <c r="Z1824" s="8">
        <v>0</v>
      </c>
      <c r="AA1824">
        <v>0</v>
      </c>
      <c r="AB1824" t="s">
        <v>1635</v>
      </c>
      <c r="AC1824" t="s">
        <v>1635</v>
      </c>
      <c r="AD1824" s="1" t="s">
        <v>1635</v>
      </c>
      <c r="AE1824" s="2" t="s">
        <v>1635</v>
      </c>
      <c r="AF1824" s="2" t="s">
        <v>1635</v>
      </c>
      <c r="AG1824" s="2" t="s">
        <v>1635</v>
      </c>
      <c r="AH1824">
        <v>0</v>
      </c>
      <c r="AI1824" s="3" t="s">
        <v>1635</v>
      </c>
      <c r="AJ1824" s="1" t="s">
        <v>1635</v>
      </c>
      <c r="AK1824" s="2" t="s">
        <v>1635</v>
      </c>
      <c r="AL1824" s="4" t="s">
        <v>1636</v>
      </c>
      <c r="AM1824" s="5" t="s">
        <v>1636</v>
      </c>
      <c r="AN1824" s="4">
        <v>0</v>
      </c>
      <c r="AO1824" t="s">
        <v>1635</v>
      </c>
      <c r="AP1824" s="4" t="s">
        <v>1636</v>
      </c>
      <c r="AQ1824" t="s">
        <v>1619</v>
      </c>
      <c r="AR1824" t="s">
        <v>1620</v>
      </c>
      <c r="AT1824" s="16" t="str">
        <f>_xlfn.XLOOKUP(B1824,'SWiSH Demand Forecast Sep-26'!D:D,'SWiSH Demand Forecast Sep-26'!G:G,"Not Exist")</f>
        <v>Not Exist</v>
      </c>
    </row>
    <row r="1825" spans="1:46" x14ac:dyDescent="0.3">
      <c r="A1825">
        <v>107200053</v>
      </c>
      <c r="B1825" t="s">
        <v>3700</v>
      </c>
      <c r="C1825" t="s">
        <v>10</v>
      </c>
      <c r="D1825" t="s">
        <v>1629</v>
      </c>
      <c r="E1825" t="s">
        <v>2483</v>
      </c>
      <c r="F1825" t="s">
        <v>1656</v>
      </c>
      <c r="G1825" t="s">
        <v>1690</v>
      </c>
      <c r="H1825" t="s">
        <v>1657</v>
      </c>
      <c r="I1825" t="s">
        <v>1634</v>
      </c>
      <c r="J1825" t="s">
        <v>10</v>
      </c>
      <c r="K1825">
        <v>11.4046</v>
      </c>
      <c r="L1825">
        <v>0</v>
      </c>
      <c r="M1825" s="1">
        <v>15</v>
      </c>
      <c r="N1825">
        <v>0</v>
      </c>
      <c r="O1825">
        <v>0</v>
      </c>
      <c r="P1825">
        <v>0</v>
      </c>
      <c r="Q1825" s="1">
        <v>0</v>
      </c>
      <c r="R1825">
        <v>9.5</v>
      </c>
      <c r="S1825" s="2">
        <v>45784</v>
      </c>
      <c r="T1825" s="2">
        <v>45804</v>
      </c>
      <c r="U1825">
        <v>0</v>
      </c>
      <c r="V1825">
        <v>0</v>
      </c>
      <c r="W1825">
        <v>0</v>
      </c>
      <c r="X1825">
        <v>0</v>
      </c>
      <c r="Y1825">
        <v>0</v>
      </c>
      <c r="Z1825" s="8">
        <v>0</v>
      </c>
      <c r="AA1825">
        <v>0</v>
      </c>
      <c r="AB1825" t="s">
        <v>1635</v>
      </c>
      <c r="AC1825" t="s">
        <v>1635</v>
      </c>
      <c r="AD1825" s="1" t="s">
        <v>1635</v>
      </c>
      <c r="AE1825" s="2" t="s">
        <v>1635</v>
      </c>
      <c r="AF1825" s="2" t="s">
        <v>1635</v>
      </c>
      <c r="AG1825" s="2" t="s">
        <v>1635</v>
      </c>
      <c r="AH1825">
        <v>0</v>
      </c>
      <c r="AI1825" s="3" t="s">
        <v>1635</v>
      </c>
      <c r="AJ1825" s="1" t="s">
        <v>1635</v>
      </c>
      <c r="AK1825" s="2" t="s">
        <v>1635</v>
      </c>
      <c r="AL1825" s="4" t="s">
        <v>1636</v>
      </c>
      <c r="AM1825" s="5" t="s">
        <v>1636</v>
      </c>
      <c r="AN1825" s="4">
        <v>0</v>
      </c>
      <c r="AO1825" t="s">
        <v>1635</v>
      </c>
      <c r="AP1825" s="4" t="s">
        <v>1636</v>
      </c>
      <c r="AQ1825" t="s">
        <v>1619</v>
      </c>
      <c r="AR1825" t="s">
        <v>1620</v>
      </c>
      <c r="AT1825" s="16" t="str">
        <f>_xlfn.XLOOKUP(B1825,'SWiSH Demand Forecast Sep-26'!D:D,'SWiSH Demand Forecast Sep-26'!G:G,"Not Exist")</f>
        <v>Not Exist</v>
      </c>
    </row>
    <row r="1826" spans="1:46" x14ac:dyDescent="0.3">
      <c r="A1826">
        <v>106600000</v>
      </c>
      <c r="B1826" t="s">
        <v>3701</v>
      </c>
      <c r="C1826" t="s">
        <v>10</v>
      </c>
      <c r="D1826" t="s">
        <v>1629</v>
      </c>
      <c r="E1826" t="s">
        <v>2483</v>
      </c>
      <c r="F1826" t="s">
        <v>1664</v>
      </c>
      <c r="G1826" t="s">
        <v>1704</v>
      </c>
      <c r="H1826" t="s">
        <v>1723</v>
      </c>
      <c r="I1826" t="s">
        <v>1634</v>
      </c>
      <c r="J1826" t="s">
        <v>10</v>
      </c>
      <c r="K1826">
        <v>7.75393E-3</v>
      </c>
      <c r="L1826">
        <v>0</v>
      </c>
      <c r="M1826" s="1">
        <v>15</v>
      </c>
      <c r="N1826">
        <v>0</v>
      </c>
      <c r="O1826">
        <v>0</v>
      </c>
      <c r="P1826">
        <v>0</v>
      </c>
      <c r="Q1826" s="1">
        <v>0</v>
      </c>
      <c r="R1826">
        <v>1.4E-2</v>
      </c>
      <c r="S1826" s="2">
        <v>44018</v>
      </c>
      <c r="T1826" s="2">
        <v>45959</v>
      </c>
      <c r="U1826">
        <v>0</v>
      </c>
      <c r="V1826">
        <v>0</v>
      </c>
      <c r="W1826">
        <v>0</v>
      </c>
      <c r="X1826">
        <v>0</v>
      </c>
      <c r="Y1826">
        <v>0</v>
      </c>
      <c r="Z1826" s="8">
        <v>0</v>
      </c>
      <c r="AA1826">
        <v>0</v>
      </c>
      <c r="AB1826" t="s">
        <v>1635</v>
      </c>
      <c r="AC1826" t="s">
        <v>1635</v>
      </c>
      <c r="AD1826" s="1" t="s">
        <v>1635</v>
      </c>
      <c r="AE1826" s="2" t="s">
        <v>1635</v>
      </c>
      <c r="AF1826" s="2" t="s">
        <v>1635</v>
      </c>
      <c r="AG1826" s="2" t="s">
        <v>1635</v>
      </c>
      <c r="AH1826">
        <v>0</v>
      </c>
      <c r="AI1826" s="3" t="s">
        <v>1635</v>
      </c>
      <c r="AJ1826" s="1" t="s">
        <v>1635</v>
      </c>
      <c r="AK1826" s="2" t="s">
        <v>1635</v>
      </c>
      <c r="AL1826" s="4" t="s">
        <v>1636</v>
      </c>
      <c r="AM1826" s="5" t="s">
        <v>1636</v>
      </c>
      <c r="AN1826" s="4">
        <v>0</v>
      </c>
      <c r="AO1826" t="s">
        <v>1635</v>
      </c>
      <c r="AP1826" s="4" t="s">
        <v>1636</v>
      </c>
      <c r="AQ1826" t="s">
        <v>1619</v>
      </c>
      <c r="AR1826" t="s">
        <v>1620</v>
      </c>
      <c r="AT1826" s="16" t="str">
        <f>_xlfn.XLOOKUP(B1826,'SWiSH Demand Forecast Sep-26'!D:D,'SWiSH Demand Forecast Sep-26'!G:G,"Not Exist")</f>
        <v>Not Exist</v>
      </c>
    </row>
    <row r="1827" spans="1:46" x14ac:dyDescent="0.3">
      <c r="A1827">
        <v>102200028</v>
      </c>
      <c r="B1827" t="s">
        <v>3702</v>
      </c>
      <c r="C1827" t="s">
        <v>10</v>
      </c>
      <c r="D1827" t="s">
        <v>1629</v>
      </c>
      <c r="E1827" t="e">
        <v>#N/A</v>
      </c>
      <c r="F1827" t="s">
        <v>1631</v>
      </c>
      <c r="G1827" t="s">
        <v>1632</v>
      </c>
      <c r="H1827" t="s">
        <v>2329</v>
      </c>
      <c r="I1827" t="s">
        <v>1634</v>
      </c>
      <c r="J1827" t="e">
        <v>#N/A</v>
      </c>
      <c r="K1827">
        <v>0.5</v>
      </c>
      <c r="L1827">
        <v>0</v>
      </c>
      <c r="M1827" s="1">
        <v>7</v>
      </c>
      <c r="N1827">
        <v>0</v>
      </c>
      <c r="O1827">
        <v>0</v>
      </c>
      <c r="P1827">
        <v>0</v>
      </c>
      <c r="Q1827" s="1">
        <v>0</v>
      </c>
      <c r="R1827">
        <v>0</v>
      </c>
      <c r="S1827" s="2">
        <v>43647</v>
      </c>
      <c r="T1827" s="2">
        <v>45783</v>
      </c>
      <c r="U1827">
        <v>0</v>
      </c>
      <c r="V1827">
        <v>0</v>
      </c>
      <c r="W1827">
        <v>0</v>
      </c>
      <c r="X1827">
        <v>0</v>
      </c>
      <c r="Y1827">
        <v>0</v>
      </c>
      <c r="Z1827" s="8">
        <v>0</v>
      </c>
      <c r="AA1827">
        <v>0</v>
      </c>
      <c r="AB1827" t="s">
        <v>1635</v>
      </c>
      <c r="AC1827" t="s">
        <v>1635</v>
      </c>
      <c r="AD1827" s="1" t="s">
        <v>1635</v>
      </c>
      <c r="AE1827" s="2" t="s">
        <v>1635</v>
      </c>
      <c r="AF1827" s="2" t="s">
        <v>1635</v>
      </c>
      <c r="AG1827" s="2" t="s">
        <v>1635</v>
      </c>
      <c r="AH1827">
        <v>0</v>
      </c>
      <c r="AI1827" s="3" t="s">
        <v>1635</v>
      </c>
      <c r="AJ1827" s="1" t="s">
        <v>1635</v>
      </c>
      <c r="AK1827" s="2" t="s">
        <v>1635</v>
      </c>
      <c r="AL1827" s="4" t="s">
        <v>1636</v>
      </c>
      <c r="AM1827" s="5" t="s">
        <v>1636</v>
      </c>
      <c r="AN1827" s="4">
        <v>0</v>
      </c>
      <c r="AO1827" t="s">
        <v>1635</v>
      </c>
      <c r="AP1827" s="4" t="s">
        <v>1636</v>
      </c>
      <c r="AQ1827" t="s">
        <v>1619</v>
      </c>
      <c r="AR1827" t="s">
        <v>1620</v>
      </c>
      <c r="AT1827" s="16" t="str">
        <f>_xlfn.XLOOKUP(B1827,'SWiSH Demand Forecast Sep-26'!D:D,'SWiSH Demand Forecast Sep-26'!G:G,"Not Exist")</f>
        <v>Not Exist</v>
      </c>
    </row>
    <row r="1828" spans="1:46" x14ac:dyDescent="0.3">
      <c r="A1828">
        <v>102200025</v>
      </c>
      <c r="B1828" t="s">
        <v>3703</v>
      </c>
      <c r="C1828" t="s">
        <v>10</v>
      </c>
      <c r="D1828" t="s">
        <v>1629</v>
      </c>
      <c r="E1828" t="e">
        <v>#N/A</v>
      </c>
      <c r="F1828" t="s">
        <v>1631</v>
      </c>
      <c r="G1828" t="s">
        <v>1632</v>
      </c>
      <c r="H1828" t="s">
        <v>2329</v>
      </c>
      <c r="I1828" t="s">
        <v>1634</v>
      </c>
      <c r="J1828" t="e">
        <v>#N/A</v>
      </c>
      <c r="K1828">
        <v>1.232</v>
      </c>
      <c r="L1828">
        <v>0</v>
      </c>
      <c r="M1828" s="1">
        <v>7</v>
      </c>
      <c r="N1828">
        <v>0</v>
      </c>
      <c r="O1828">
        <v>0</v>
      </c>
      <c r="P1828">
        <v>0</v>
      </c>
      <c r="Q1828" s="1">
        <v>0</v>
      </c>
      <c r="R1828">
        <v>0</v>
      </c>
      <c r="S1828" s="2">
        <v>43647</v>
      </c>
      <c r="T1828" s="2">
        <v>45783</v>
      </c>
      <c r="U1828">
        <v>0</v>
      </c>
      <c r="V1828">
        <v>0</v>
      </c>
      <c r="W1828">
        <v>0</v>
      </c>
      <c r="X1828">
        <v>0</v>
      </c>
      <c r="Y1828">
        <v>0</v>
      </c>
      <c r="Z1828" s="8">
        <v>0</v>
      </c>
      <c r="AA1828">
        <v>0</v>
      </c>
      <c r="AB1828" t="s">
        <v>1635</v>
      </c>
      <c r="AC1828" t="s">
        <v>1635</v>
      </c>
      <c r="AD1828" s="1" t="s">
        <v>1635</v>
      </c>
      <c r="AE1828" s="2" t="s">
        <v>1635</v>
      </c>
      <c r="AF1828" s="2" t="s">
        <v>1635</v>
      </c>
      <c r="AG1828" s="2" t="s">
        <v>1635</v>
      </c>
      <c r="AH1828">
        <v>0</v>
      </c>
      <c r="AI1828" s="3" t="s">
        <v>1635</v>
      </c>
      <c r="AJ1828" s="1" t="s">
        <v>1635</v>
      </c>
      <c r="AK1828" s="2" t="s">
        <v>1635</v>
      </c>
      <c r="AL1828" s="4" t="s">
        <v>1636</v>
      </c>
      <c r="AM1828" s="5" t="s">
        <v>1636</v>
      </c>
      <c r="AN1828" s="4">
        <v>0</v>
      </c>
      <c r="AO1828" t="s">
        <v>1635</v>
      </c>
      <c r="AP1828" s="4" t="s">
        <v>1636</v>
      </c>
      <c r="AQ1828" t="s">
        <v>1619</v>
      </c>
      <c r="AR1828" t="s">
        <v>1620</v>
      </c>
      <c r="AT1828" s="16" t="str">
        <f>_xlfn.XLOOKUP(B1828,'SWiSH Demand Forecast Sep-26'!D:D,'SWiSH Demand Forecast Sep-26'!G:G,"Not Exist")</f>
        <v>Not Exist</v>
      </c>
    </row>
    <row r="1829" spans="1:46" x14ac:dyDescent="0.3">
      <c r="A1829">
        <v>105900023</v>
      </c>
      <c r="B1829" t="s">
        <v>3704</v>
      </c>
      <c r="C1829" t="s">
        <v>10</v>
      </c>
      <c r="D1829" t="s">
        <v>1629</v>
      </c>
      <c r="E1829" t="s">
        <v>1732</v>
      </c>
      <c r="F1829" t="s">
        <v>1664</v>
      </c>
      <c r="G1829" t="s">
        <v>1704</v>
      </c>
      <c r="H1829" t="s">
        <v>1729</v>
      </c>
      <c r="I1829" t="s">
        <v>1634</v>
      </c>
      <c r="J1829" t="s">
        <v>10</v>
      </c>
      <c r="K1829">
        <v>3.7844799999999998E-3</v>
      </c>
      <c r="L1829">
        <v>230.85327999999998</v>
      </c>
      <c r="M1829" s="1">
        <v>90</v>
      </c>
      <c r="N1829">
        <v>0</v>
      </c>
      <c r="O1829">
        <v>0</v>
      </c>
      <c r="P1829">
        <v>61000</v>
      </c>
      <c r="Q1829" s="1">
        <v>61000</v>
      </c>
      <c r="R1829">
        <v>3.7844799999999998</v>
      </c>
      <c r="S1829" s="2">
        <v>45003</v>
      </c>
      <c r="T1829" s="2">
        <v>46054</v>
      </c>
      <c r="U1829">
        <v>0</v>
      </c>
      <c r="V1829">
        <v>0</v>
      </c>
      <c r="W1829">
        <v>0</v>
      </c>
      <c r="X1829">
        <v>0</v>
      </c>
      <c r="Y1829">
        <v>0</v>
      </c>
      <c r="Z1829" s="8">
        <v>0</v>
      </c>
      <c r="AA1829">
        <v>0</v>
      </c>
      <c r="AB1829" t="s">
        <v>1635</v>
      </c>
      <c r="AC1829" t="s">
        <v>1635</v>
      </c>
      <c r="AD1829" s="1" t="s">
        <v>1635</v>
      </c>
      <c r="AE1829" s="2" t="s">
        <v>1635</v>
      </c>
      <c r="AF1829" s="2" t="s">
        <v>1635</v>
      </c>
      <c r="AG1829" s="2" t="s">
        <v>1635</v>
      </c>
      <c r="AH1829">
        <v>0</v>
      </c>
      <c r="AI1829" s="3" t="s">
        <v>1635</v>
      </c>
      <c r="AJ1829" s="1" t="s">
        <v>1635</v>
      </c>
      <c r="AK1829" s="2" t="s">
        <v>1635</v>
      </c>
      <c r="AL1829" s="4" t="s">
        <v>1636</v>
      </c>
      <c r="AM1829" s="5" t="s">
        <v>1636</v>
      </c>
      <c r="AN1829" s="4">
        <v>0</v>
      </c>
      <c r="AO1829" t="s">
        <v>1635</v>
      </c>
      <c r="AP1829" s="4" t="s">
        <v>1636</v>
      </c>
      <c r="AQ1829" t="s">
        <v>1619</v>
      </c>
      <c r="AR1829" t="s">
        <v>1620</v>
      </c>
      <c r="AT1829" s="16" t="str">
        <f>_xlfn.XLOOKUP(B1829,'SWiSH Demand Forecast Sep-26'!D:D,'SWiSH Demand Forecast Sep-26'!G:G,"Not Exist")</f>
        <v>Not Exist</v>
      </c>
    </row>
    <row r="1830" spans="1:46" x14ac:dyDescent="0.3">
      <c r="A1830">
        <v>103700100</v>
      </c>
      <c r="B1830" t="s">
        <v>3705</v>
      </c>
      <c r="C1830" t="s">
        <v>240</v>
      </c>
      <c r="D1830" t="s">
        <v>1675</v>
      </c>
      <c r="E1830" t="s">
        <v>1732</v>
      </c>
      <c r="F1830" t="s">
        <v>1615</v>
      </c>
      <c r="G1830" t="s">
        <v>1616</v>
      </c>
      <c r="H1830" t="s">
        <v>1617</v>
      </c>
      <c r="I1830" t="s">
        <v>1618</v>
      </c>
      <c r="J1830" t="s">
        <v>240</v>
      </c>
      <c r="K1830">
        <v>3.2465590899999999</v>
      </c>
      <c r="L1830">
        <v>20.726033230559999</v>
      </c>
      <c r="M1830" s="1">
        <v>3</v>
      </c>
      <c r="N1830">
        <v>0</v>
      </c>
      <c r="O1830">
        <v>0</v>
      </c>
      <c r="P1830">
        <v>6.3840000000000003</v>
      </c>
      <c r="Q1830" s="1">
        <v>6.3840000000000003</v>
      </c>
      <c r="R1830">
        <v>0.16667000000000001</v>
      </c>
      <c r="S1830" s="2">
        <v>45903</v>
      </c>
      <c r="T1830" s="2">
        <v>46064</v>
      </c>
      <c r="U1830">
        <v>0</v>
      </c>
      <c r="V1830">
        <v>0</v>
      </c>
      <c r="W1830">
        <v>0</v>
      </c>
      <c r="X1830">
        <v>0</v>
      </c>
      <c r="Y1830">
        <v>0</v>
      </c>
      <c r="Z1830" s="8">
        <v>0</v>
      </c>
      <c r="AA1830">
        <v>0</v>
      </c>
      <c r="AB1830" t="s">
        <v>1635</v>
      </c>
      <c r="AC1830" t="s">
        <v>1635</v>
      </c>
      <c r="AD1830" s="1" t="s">
        <v>1635</v>
      </c>
      <c r="AE1830" s="2" t="s">
        <v>1635</v>
      </c>
      <c r="AF1830" s="2" t="s">
        <v>1635</v>
      </c>
      <c r="AG1830" s="2" t="s">
        <v>1635</v>
      </c>
      <c r="AH1830">
        <v>0</v>
      </c>
      <c r="AI1830" s="3" t="s">
        <v>1635</v>
      </c>
      <c r="AJ1830" s="1" t="s">
        <v>1635</v>
      </c>
      <c r="AK1830" s="2" t="s">
        <v>1635</v>
      </c>
      <c r="AL1830" s="4" t="s">
        <v>1658</v>
      </c>
      <c r="AM1830" s="5" t="s">
        <v>1658</v>
      </c>
      <c r="AN1830" s="4">
        <v>0</v>
      </c>
      <c r="AO1830" t="s">
        <v>1635</v>
      </c>
      <c r="AP1830" s="4" t="s">
        <v>1658</v>
      </c>
      <c r="AQ1830" t="s">
        <v>1619</v>
      </c>
      <c r="AR1830" t="s">
        <v>1620</v>
      </c>
      <c r="AT1830" s="16" t="str">
        <f>_xlfn.XLOOKUP(B1830,'SWiSH Demand Forecast Sep-26'!D:D,'SWiSH Demand Forecast Sep-26'!G:G,"Not Exist")</f>
        <v>Not Exist</v>
      </c>
    </row>
    <row r="1831" spans="1:46" x14ac:dyDescent="0.3">
      <c r="A1831">
        <v>103700118</v>
      </c>
      <c r="B1831" t="s">
        <v>3706</v>
      </c>
      <c r="C1831" t="s">
        <v>136</v>
      </c>
      <c r="D1831" t="s">
        <v>1675</v>
      </c>
      <c r="E1831" t="s">
        <v>1732</v>
      </c>
      <c r="F1831" t="s">
        <v>1615</v>
      </c>
      <c r="G1831" t="s">
        <v>1616</v>
      </c>
      <c r="H1831" t="s">
        <v>3707</v>
      </c>
      <c r="I1831" t="s">
        <v>1618</v>
      </c>
      <c r="J1831" t="s">
        <v>136</v>
      </c>
      <c r="K1831">
        <v>13</v>
      </c>
      <c r="L1831">
        <v>22.099999999999998</v>
      </c>
      <c r="M1831" s="1">
        <v>3</v>
      </c>
      <c r="N1831">
        <v>0</v>
      </c>
      <c r="O1831">
        <v>0</v>
      </c>
      <c r="P1831">
        <v>1.7</v>
      </c>
      <c r="Q1831" s="1">
        <v>1.7</v>
      </c>
      <c r="R1831">
        <v>0.71250000000000002</v>
      </c>
      <c r="S1831" s="2">
        <v>46121</v>
      </c>
      <c r="T1831" s="2">
        <v>46066</v>
      </c>
      <c r="U1831">
        <v>0</v>
      </c>
      <c r="V1831">
        <v>0</v>
      </c>
      <c r="W1831">
        <v>0</v>
      </c>
      <c r="X1831">
        <v>0</v>
      </c>
      <c r="Y1831">
        <v>0</v>
      </c>
      <c r="Z1831" s="8">
        <v>0</v>
      </c>
      <c r="AA1831">
        <v>0</v>
      </c>
      <c r="AB1831" t="s">
        <v>1635</v>
      </c>
      <c r="AC1831" t="s">
        <v>1635</v>
      </c>
      <c r="AD1831" s="1" t="s">
        <v>1635</v>
      </c>
      <c r="AE1831" s="2" t="s">
        <v>1635</v>
      </c>
      <c r="AF1831" s="2" t="s">
        <v>1635</v>
      </c>
      <c r="AG1831" s="2" t="s">
        <v>1635</v>
      </c>
      <c r="AH1831">
        <v>0</v>
      </c>
      <c r="AI1831" s="3" t="s">
        <v>1635</v>
      </c>
      <c r="AJ1831" s="1" t="s">
        <v>1635</v>
      </c>
      <c r="AK1831" s="2" t="s">
        <v>1635</v>
      </c>
      <c r="AL1831" s="4" t="s">
        <v>1658</v>
      </c>
      <c r="AM1831" s="5" t="s">
        <v>1658</v>
      </c>
      <c r="AN1831" s="4">
        <v>0</v>
      </c>
      <c r="AO1831" t="s">
        <v>1635</v>
      </c>
      <c r="AP1831" s="4" t="s">
        <v>1658</v>
      </c>
      <c r="AQ1831" t="s">
        <v>1619</v>
      </c>
      <c r="AR1831" t="s">
        <v>1620</v>
      </c>
      <c r="AT1831" s="16" t="str">
        <f>_xlfn.XLOOKUP(B1831,'SWiSH Demand Forecast Sep-26'!D:D,'SWiSH Demand Forecast Sep-26'!G:G,"Not Exist")</f>
        <v>Not Exist</v>
      </c>
    </row>
    <row r="1832" spans="1:46" x14ac:dyDescent="0.3">
      <c r="A1832">
        <v>100100107</v>
      </c>
      <c r="B1832" t="s">
        <v>3708</v>
      </c>
      <c r="C1832" t="s">
        <v>136</v>
      </c>
      <c r="D1832" t="s">
        <v>1675</v>
      </c>
      <c r="E1832" t="s">
        <v>1643</v>
      </c>
      <c r="F1832" t="s">
        <v>1840</v>
      </c>
      <c r="G1832" t="s">
        <v>1616</v>
      </c>
      <c r="H1832" t="s">
        <v>1877</v>
      </c>
      <c r="I1832" t="s">
        <v>1618</v>
      </c>
      <c r="J1832" t="s">
        <v>1858</v>
      </c>
      <c r="K1832">
        <v>6</v>
      </c>
      <c r="L1832">
        <v>60</v>
      </c>
      <c r="M1832" s="1">
        <v>3</v>
      </c>
      <c r="N1832">
        <v>0</v>
      </c>
      <c r="O1832">
        <v>0</v>
      </c>
      <c r="P1832">
        <v>10</v>
      </c>
      <c r="Q1832" s="1">
        <v>10</v>
      </c>
      <c r="R1832">
        <v>6</v>
      </c>
      <c r="S1832" s="2">
        <v>46061</v>
      </c>
      <c r="T1832" s="2">
        <v>46054</v>
      </c>
      <c r="U1832">
        <v>0</v>
      </c>
      <c r="V1832">
        <v>0</v>
      </c>
      <c r="W1832">
        <v>0</v>
      </c>
      <c r="X1832">
        <v>0</v>
      </c>
      <c r="Y1832">
        <v>0</v>
      </c>
      <c r="Z1832" s="8">
        <v>0</v>
      </c>
      <c r="AA1832">
        <v>0</v>
      </c>
      <c r="AB1832" t="s">
        <v>1635</v>
      </c>
      <c r="AC1832" t="s">
        <v>1635</v>
      </c>
      <c r="AD1832" s="1" t="s">
        <v>1635</v>
      </c>
      <c r="AE1832" s="2" t="s">
        <v>1635</v>
      </c>
      <c r="AF1832" s="2" t="s">
        <v>1635</v>
      </c>
      <c r="AG1832" s="2" t="s">
        <v>1635</v>
      </c>
      <c r="AH1832">
        <v>0</v>
      </c>
      <c r="AI1832" s="3" t="s">
        <v>1635</v>
      </c>
      <c r="AJ1832" s="1" t="s">
        <v>1635</v>
      </c>
      <c r="AK1832" s="2" t="s">
        <v>1635</v>
      </c>
      <c r="AL1832" s="4" t="s">
        <v>1658</v>
      </c>
      <c r="AM1832" s="5" t="s">
        <v>1658</v>
      </c>
      <c r="AN1832" s="4">
        <v>0</v>
      </c>
      <c r="AO1832" t="s">
        <v>1635</v>
      </c>
      <c r="AP1832" s="4" t="s">
        <v>1658</v>
      </c>
      <c r="AQ1832" t="s">
        <v>1619</v>
      </c>
      <c r="AR1832" t="s">
        <v>1620</v>
      </c>
      <c r="AT1832" s="16" t="str">
        <f>_xlfn.XLOOKUP(B1832,'SWiSH Demand Forecast Sep-26'!D:D,'SWiSH Demand Forecast Sep-26'!G:G,"Not Exist")</f>
        <v>Not Exist</v>
      </c>
    </row>
    <row r="1833" spans="1:46" x14ac:dyDescent="0.3">
      <c r="A1833">
        <v>107000010</v>
      </c>
      <c r="B1833" t="s">
        <v>3709</v>
      </c>
      <c r="C1833" t="s">
        <v>10</v>
      </c>
      <c r="D1833" t="s">
        <v>1629</v>
      </c>
      <c r="E1833" t="s">
        <v>2483</v>
      </c>
      <c r="F1833" t="s">
        <v>1631</v>
      </c>
      <c r="G1833" t="s">
        <v>1704</v>
      </c>
      <c r="H1833" t="s">
        <v>2305</v>
      </c>
      <c r="I1833" t="s">
        <v>1634</v>
      </c>
      <c r="J1833" t="s">
        <v>2306</v>
      </c>
      <c r="K1833">
        <v>3.2000000000000002E-3</v>
      </c>
      <c r="L1833">
        <v>7.2</v>
      </c>
      <c r="M1833" s="1">
        <v>7</v>
      </c>
      <c r="N1833">
        <v>0</v>
      </c>
      <c r="O1833">
        <v>0</v>
      </c>
      <c r="P1833">
        <v>2250</v>
      </c>
      <c r="Q1833" s="1">
        <v>2250</v>
      </c>
      <c r="R1833">
        <v>16</v>
      </c>
      <c r="S1833" s="2">
        <v>45630</v>
      </c>
      <c r="T1833" s="2">
        <v>46049</v>
      </c>
      <c r="U1833">
        <v>0</v>
      </c>
      <c r="V1833">
        <v>0</v>
      </c>
      <c r="W1833">
        <v>0</v>
      </c>
      <c r="X1833">
        <v>0</v>
      </c>
      <c r="Y1833">
        <v>0</v>
      </c>
      <c r="Z1833" s="8">
        <v>0</v>
      </c>
      <c r="AA1833">
        <v>0</v>
      </c>
      <c r="AB1833" t="s">
        <v>1635</v>
      </c>
      <c r="AC1833" t="s">
        <v>1635</v>
      </c>
      <c r="AD1833" s="1" t="s">
        <v>1635</v>
      </c>
      <c r="AE1833" s="2" t="s">
        <v>1635</v>
      </c>
      <c r="AF1833" s="2" t="s">
        <v>1635</v>
      </c>
      <c r="AG1833" s="2" t="s">
        <v>1635</v>
      </c>
      <c r="AH1833">
        <v>0</v>
      </c>
      <c r="AI1833" s="3" t="s">
        <v>1635</v>
      </c>
      <c r="AJ1833" s="1" t="s">
        <v>1635</v>
      </c>
      <c r="AK1833" s="2" t="s">
        <v>1635</v>
      </c>
      <c r="AL1833" s="4" t="s">
        <v>1636</v>
      </c>
      <c r="AM1833" s="5" t="s">
        <v>1636</v>
      </c>
      <c r="AN1833" s="4">
        <v>0</v>
      </c>
      <c r="AO1833" t="s">
        <v>1635</v>
      </c>
      <c r="AP1833" s="4" t="s">
        <v>1636</v>
      </c>
      <c r="AQ1833" t="s">
        <v>1619</v>
      </c>
      <c r="AR1833" t="s">
        <v>1620</v>
      </c>
      <c r="AT1833" s="16" t="str">
        <f>_xlfn.XLOOKUP(B1833,'SWiSH Demand Forecast Sep-26'!D:D,'SWiSH Demand Forecast Sep-26'!G:G,"Not Exist")</f>
        <v>Not Exist</v>
      </c>
    </row>
    <row r="1834" spans="1:46" x14ac:dyDescent="0.3">
      <c r="A1834">
        <v>106800207</v>
      </c>
      <c r="B1834" t="s">
        <v>3710</v>
      </c>
      <c r="C1834" t="s">
        <v>10</v>
      </c>
      <c r="D1834" t="s">
        <v>1629</v>
      </c>
      <c r="E1834" t="s">
        <v>2483</v>
      </c>
      <c r="F1834" t="s">
        <v>1664</v>
      </c>
      <c r="G1834" t="s">
        <v>1704</v>
      </c>
      <c r="H1834" t="s">
        <v>1665</v>
      </c>
      <c r="I1834" t="s">
        <v>1634</v>
      </c>
      <c r="J1834" t="s">
        <v>10</v>
      </c>
      <c r="K1834">
        <v>1.4999999999999999E-2</v>
      </c>
      <c r="L1834">
        <v>0</v>
      </c>
      <c r="M1834" s="1">
        <v>7</v>
      </c>
      <c r="N1834">
        <v>0</v>
      </c>
      <c r="O1834">
        <v>0</v>
      </c>
      <c r="P1834">
        <v>0</v>
      </c>
      <c r="Q1834" s="1">
        <v>0</v>
      </c>
      <c r="R1834">
        <v>1.4999999999999999E-2</v>
      </c>
      <c r="S1834" s="2">
        <v>44055</v>
      </c>
      <c r="T1834" s="2">
        <v>45777</v>
      </c>
      <c r="U1834">
        <v>0</v>
      </c>
      <c r="V1834">
        <v>0</v>
      </c>
      <c r="W1834">
        <v>0</v>
      </c>
      <c r="X1834">
        <v>0</v>
      </c>
      <c r="Y1834">
        <v>0</v>
      </c>
      <c r="Z1834" s="8">
        <v>0</v>
      </c>
      <c r="AA1834">
        <v>0</v>
      </c>
      <c r="AB1834" t="s">
        <v>1635</v>
      </c>
      <c r="AC1834" t="s">
        <v>1635</v>
      </c>
      <c r="AD1834" s="1" t="s">
        <v>1635</v>
      </c>
      <c r="AE1834" s="2" t="s">
        <v>1635</v>
      </c>
      <c r="AF1834" s="2" t="s">
        <v>1635</v>
      </c>
      <c r="AG1834" s="2" t="s">
        <v>1635</v>
      </c>
      <c r="AH1834">
        <v>0</v>
      </c>
      <c r="AI1834" s="3" t="s">
        <v>1635</v>
      </c>
      <c r="AJ1834" s="1" t="s">
        <v>1635</v>
      </c>
      <c r="AK1834" s="2" t="s">
        <v>1635</v>
      </c>
      <c r="AL1834" s="4" t="s">
        <v>1636</v>
      </c>
      <c r="AM1834" s="5" t="s">
        <v>1636</v>
      </c>
      <c r="AN1834" s="4">
        <v>0</v>
      </c>
      <c r="AO1834" t="s">
        <v>1635</v>
      </c>
      <c r="AP1834" s="4" t="s">
        <v>1636</v>
      </c>
      <c r="AQ1834" t="s">
        <v>1619</v>
      </c>
      <c r="AR1834" t="s">
        <v>1620</v>
      </c>
      <c r="AT1834" s="16" t="str">
        <f>_xlfn.XLOOKUP(B1834,'SWiSH Demand Forecast Sep-26'!D:D,'SWiSH Demand Forecast Sep-26'!G:G,"Not Exist")</f>
        <v>Not Exist</v>
      </c>
    </row>
    <row r="1835" spans="1:46" x14ac:dyDescent="0.3">
      <c r="A1835">
        <v>101400016</v>
      </c>
      <c r="B1835" t="s">
        <v>3711</v>
      </c>
      <c r="C1835" t="s">
        <v>136</v>
      </c>
      <c r="D1835" t="s">
        <v>1629</v>
      </c>
      <c r="E1835" t="s">
        <v>3232</v>
      </c>
      <c r="F1835" t="s">
        <v>1650</v>
      </c>
      <c r="G1835" t="s">
        <v>1632</v>
      </c>
      <c r="H1835" t="s">
        <v>1693</v>
      </c>
      <c r="I1835" t="s">
        <v>1634</v>
      </c>
      <c r="J1835" t="e">
        <v>#N/A</v>
      </c>
      <c r="K1835">
        <v>1.4</v>
      </c>
      <c r="L1835">
        <v>0</v>
      </c>
      <c r="M1835" s="1">
        <v>3</v>
      </c>
      <c r="N1835">
        <v>0</v>
      </c>
      <c r="O1835">
        <v>0</v>
      </c>
      <c r="P1835">
        <v>0</v>
      </c>
      <c r="Q1835" s="1">
        <v>0</v>
      </c>
      <c r="R1835">
        <v>28</v>
      </c>
      <c r="S1835" s="2">
        <v>45235</v>
      </c>
      <c r="T1835" s="2">
        <v>45258</v>
      </c>
      <c r="U1835">
        <v>0</v>
      </c>
      <c r="V1835">
        <v>0</v>
      </c>
      <c r="W1835">
        <v>0</v>
      </c>
      <c r="X1835">
        <v>0</v>
      </c>
      <c r="Y1835">
        <v>0</v>
      </c>
      <c r="Z1835" s="8">
        <v>0</v>
      </c>
      <c r="AA1835">
        <v>0</v>
      </c>
      <c r="AB1835" t="s">
        <v>1635</v>
      </c>
      <c r="AC1835" t="s">
        <v>1635</v>
      </c>
      <c r="AD1835" s="1" t="s">
        <v>1635</v>
      </c>
      <c r="AE1835" s="2" t="s">
        <v>1635</v>
      </c>
      <c r="AF1835" s="2" t="s">
        <v>1635</v>
      </c>
      <c r="AG1835" s="2" t="s">
        <v>1635</v>
      </c>
      <c r="AH1835">
        <v>0</v>
      </c>
      <c r="AI1835" s="3" t="s">
        <v>1635</v>
      </c>
      <c r="AJ1835" s="1" t="s">
        <v>1635</v>
      </c>
      <c r="AK1835" s="2" t="s">
        <v>1635</v>
      </c>
      <c r="AL1835" s="4" t="s">
        <v>1636</v>
      </c>
      <c r="AM1835" s="5" t="s">
        <v>1636</v>
      </c>
      <c r="AN1835" s="4">
        <v>0</v>
      </c>
      <c r="AO1835" t="s">
        <v>1635</v>
      </c>
      <c r="AP1835" s="4" t="s">
        <v>1636</v>
      </c>
      <c r="AQ1835" t="s">
        <v>1619</v>
      </c>
      <c r="AR1835" t="s">
        <v>1620</v>
      </c>
      <c r="AT1835" s="16" t="str">
        <f>_xlfn.XLOOKUP(B1835,'SWiSH Demand Forecast Sep-26'!D:D,'SWiSH Demand Forecast Sep-26'!G:G,"Not Exist")</f>
        <v>Not Exist</v>
      </c>
    </row>
    <row r="1836" spans="1:46" x14ac:dyDescent="0.3">
      <c r="A1836">
        <v>106800197</v>
      </c>
      <c r="B1836" t="s">
        <v>3712</v>
      </c>
      <c r="C1836" t="s">
        <v>10</v>
      </c>
      <c r="D1836" t="s">
        <v>1629</v>
      </c>
      <c r="E1836" t="s">
        <v>2483</v>
      </c>
      <c r="F1836" t="s">
        <v>1664</v>
      </c>
      <c r="G1836" t="s">
        <v>1704</v>
      </c>
      <c r="H1836" t="s">
        <v>1665</v>
      </c>
      <c r="I1836" t="s">
        <v>1634</v>
      </c>
      <c r="J1836" t="s">
        <v>10</v>
      </c>
      <c r="K1836">
        <v>4.3299999999999996E-3</v>
      </c>
      <c r="L1836">
        <v>0</v>
      </c>
      <c r="M1836" s="1">
        <v>7</v>
      </c>
      <c r="N1836">
        <v>0</v>
      </c>
      <c r="O1836">
        <v>0</v>
      </c>
      <c r="P1836">
        <v>0</v>
      </c>
      <c r="Q1836" s="1">
        <v>0</v>
      </c>
      <c r="R1836">
        <v>4.3299999999999996E-3</v>
      </c>
      <c r="S1836" s="2">
        <v>44076</v>
      </c>
      <c r="T1836" s="2">
        <v>45777</v>
      </c>
      <c r="U1836">
        <v>0</v>
      </c>
      <c r="V1836">
        <v>0</v>
      </c>
      <c r="W1836">
        <v>0</v>
      </c>
      <c r="X1836">
        <v>0</v>
      </c>
      <c r="Y1836">
        <v>0</v>
      </c>
      <c r="Z1836" s="8">
        <v>0</v>
      </c>
      <c r="AA1836">
        <v>0</v>
      </c>
      <c r="AB1836" t="s">
        <v>1635</v>
      </c>
      <c r="AC1836" t="s">
        <v>1635</v>
      </c>
      <c r="AD1836" s="1" t="s">
        <v>1635</v>
      </c>
      <c r="AE1836" s="2" t="s">
        <v>1635</v>
      </c>
      <c r="AF1836" s="2" t="s">
        <v>1635</v>
      </c>
      <c r="AG1836" s="2" t="s">
        <v>1635</v>
      </c>
      <c r="AH1836">
        <v>0</v>
      </c>
      <c r="AI1836" s="3" t="s">
        <v>1635</v>
      </c>
      <c r="AJ1836" s="1" t="s">
        <v>1635</v>
      </c>
      <c r="AK1836" s="2" t="s">
        <v>1635</v>
      </c>
      <c r="AL1836" s="4" t="s">
        <v>1636</v>
      </c>
      <c r="AM1836" s="5" t="s">
        <v>1636</v>
      </c>
      <c r="AN1836" s="4">
        <v>0</v>
      </c>
      <c r="AO1836" t="s">
        <v>1635</v>
      </c>
      <c r="AP1836" s="4" t="s">
        <v>1636</v>
      </c>
      <c r="AQ1836" t="s">
        <v>1619</v>
      </c>
      <c r="AR1836" t="s">
        <v>1620</v>
      </c>
      <c r="AT1836" s="16" t="str">
        <f>_xlfn.XLOOKUP(B1836,'SWiSH Demand Forecast Sep-26'!D:D,'SWiSH Demand Forecast Sep-26'!G:G,"Not Exist")</f>
        <v>Not Exist</v>
      </c>
    </row>
    <row r="1837" spans="1:46" x14ac:dyDescent="0.3">
      <c r="A1837">
        <v>106300015</v>
      </c>
      <c r="B1837" t="s">
        <v>3713</v>
      </c>
      <c r="C1837" t="s">
        <v>136</v>
      </c>
      <c r="D1837" t="s">
        <v>1675</v>
      </c>
      <c r="E1837" t="s">
        <v>1832</v>
      </c>
      <c r="F1837" t="s">
        <v>1927</v>
      </c>
      <c r="G1837" t="s">
        <v>1616</v>
      </c>
      <c r="H1837" t="s">
        <v>1860</v>
      </c>
      <c r="I1837" t="s">
        <v>1618</v>
      </c>
      <c r="J1837" t="s">
        <v>136</v>
      </c>
      <c r="K1837">
        <v>0.73519999999999996</v>
      </c>
      <c r="L1837">
        <v>1.4703999999999999</v>
      </c>
      <c r="M1837" s="1">
        <v>3</v>
      </c>
      <c r="N1837">
        <v>0</v>
      </c>
      <c r="O1837">
        <v>0</v>
      </c>
      <c r="P1837">
        <v>2</v>
      </c>
      <c r="Q1837" s="1">
        <v>2</v>
      </c>
      <c r="R1837">
        <v>0.73519999999999996</v>
      </c>
      <c r="S1837" s="2">
        <v>45774</v>
      </c>
      <c r="T1837" s="2">
        <v>46081</v>
      </c>
      <c r="U1837">
        <v>0</v>
      </c>
      <c r="V1837">
        <v>0</v>
      </c>
      <c r="W1837">
        <v>0</v>
      </c>
      <c r="X1837">
        <v>0</v>
      </c>
      <c r="Y1837">
        <v>0</v>
      </c>
      <c r="Z1837" s="8">
        <v>0</v>
      </c>
      <c r="AA1837">
        <v>0</v>
      </c>
      <c r="AB1837" t="s">
        <v>1635</v>
      </c>
      <c r="AC1837" t="s">
        <v>1635</v>
      </c>
      <c r="AD1837" s="1" t="s">
        <v>1635</v>
      </c>
      <c r="AE1837" s="2" t="s">
        <v>1635</v>
      </c>
      <c r="AF1837" s="2" t="s">
        <v>1635</v>
      </c>
      <c r="AG1837" s="2" t="s">
        <v>1635</v>
      </c>
      <c r="AH1837">
        <v>0</v>
      </c>
      <c r="AI1837" s="3" t="s">
        <v>1635</v>
      </c>
      <c r="AJ1837" s="1" t="s">
        <v>1635</v>
      </c>
      <c r="AK1837" s="2" t="s">
        <v>1635</v>
      </c>
      <c r="AL1837" s="4" t="s">
        <v>1658</v>
      </c>
      <c r="AM1837" s="5" t="s">
        <v>1658</v>
      </c>
      <c r="AN1837" s="4">
        <v>0</v>
      </c>
      <c r="AO1837" t="s">
        <v>1635</v>
      </c>
      <c r="AP1837" s="4" t="s">
        <v>1658</v>
      </c>
      <c r="AQ1837" t="s">
        <v>1619</v>
      </c>
      <c r="AR1837" t="s">
        <v>1620</v>
      </c>
      <c r="AT1837" s="16" t="str">
        <f>_xlfn.XLOOKUP(B1837,'SWiSH Demand Forecast Sep-26'!D:D,'SWiSH Demand Forecast Sep-26'!G:G,"Not Exist")</f>
        <v>Not Exist</v>
      </c>
    </row>
    <row r="1838" spans="1:46" x14ac:dyDescent="0.3">
      <c r="A1838">
        <v>105700008</v>
      </c>
      <c r="B1838" t="s">
        <v>3714</v>
      </c>
      <c r="C1838" t="s">
        <v>10</v>
      </c>
      <c r="D1838" t="s">
        <v>1629</v>
      </c>
      <c r="E1838" t="s">
        <v>2483</v>
      </c>
      <c r="F1838" t="s">
        <v>1664</v>
      </c>
      <c r="G1838" t="s">
        <v>1704</v>
      </c>
      <c r="H1838" t="s">
        <v>2574</v>
      </c>
      <c r="I1838" t="s">
        <v>1634</v>
      </c>
      <c r="J1838" t="s">
        <v>10</v>
      </c>
      <c r="K1838">
        <v>0.14488000000000001</v>
      </c>
      <c r="L1838">
        <v>0</v>
      </c>
      <c r="M1838" s="1">
        <v>15</v>
      </c>
      <c r="N1838">
        <v>0</v>
      </c>
      <c r="O1838">
        <v>0</v>
      </c>
      <c r="P1838">
        <v>0</v>
      </c>
      <c r="Q1838" s="1">
        <v>0</v>
      </c>
      <c r="R1838">
        <v>0</v>
      </c>
      <c r="S1838" s="2">
        <v>44896</v>
      </c>
      <c r="T1838" s="2">
        <v>45777</v>
      </c>
      <c r="U1838">
        <v>0</v>
      </c>
      <c r="V1838">
        <v>0</v>
      </c>
      <c r="W1838">
        <v>0</v>
      </c>
      <c r="X1838">
        <v>0</v>
      </c>
      <c r="Y1838">
        <v>0</v>
      </c>
      <c r="Z1838" s="8">
        <v>0</v>
      </c>
      <c r="AA1838">
        <v>0</v>
      </c>
      <c r="AB1838" t="s">
        <v>1635</v>
      </c>
      <c r="AC1838" t="s">
        <v>1635</v>
      </c>
      <c r="AD1838" s="1" t="s">
        <v>1635</v>
      </c>
      <c r="AE1838" s="2" t="s">
        <v>1635</v>
      </c>
      <c r="AF1838" s="2" t="s">
        <v>1635</v>
      </c>
      <c r="AG1838" s="2" t="s">
        <v>1635</v>
      </c>
      <c r="AH1838">
        <v>0</v>
      </c>
      <c r="AI1838" s="3" t="s">
        <v>1635</v>
      </c>
      <c r="AJ1838" s="1" t="s">
        <v>1635</v>
      </c>
      <c r="AK1838" s="2" t="s">
        <v>1635</v>
      </c>
      <c r="AL1838" s="4" t="s">
        <v>1636</v>
      </c>
      <c r="AM1838" s="5" t="s">
        <v>1636</v>
      </c>
      <c r="AN1838" s="4">
        <v>0</v>
      </c>
      <c r="AO1838" t="s">
        <v>1635</v>
      </c>
      <c r="AP1838" s="4" t="s">
        <v>1636</v>
      </c>
      <c r="AQ1838" t="s">
        <v>1619</v>
      </c>
      <c r="AR1838" t="s">
        <v>1620</v>
      </c>
      <c r="AT1838" s="16" t="str">
        <f>_xlfn.XLOOKUP(B1838,'SWiSH Demand Forecast Sep-26'!D:D,'SWiSH Demand Forecast Sep-26'!G:G,"Not Exist")</f>
        <v>Not Exist</v>
      </c>
    </row>
    <row r="1839" spans="1:46" x14ac:dyDescent="0.3">
      <c r="A1839">
        <v>105900013</v>
      </c>
      <c r="B1839" t="s">
        <v>3715</v>
      </c>
      <c r="C1839" t="s">
        <v>10</v>
      </c>
      <c r="D1839" t="s">
        <v>1629</v>
      </c>
      <c r="E1839" t="s">
        <v>2483</v>
      </c>
      <c r="F1839" t="s">
        <v>1664</v>
      </c>
      <c r="G1839" t="s">
        <v>1704</v>
      </c>
      <c r="H1839" t="s">
        <v>1729</v>
      </c>
      <c r="I1839" t="s">
        <v>1634</v>
      </c>
      <c r="J1839" t="s">
        <v>10</v>
      </c>
      <c r="K1839">
        <v>6.8816700000000003E-3</v>
      </c>
      <c r="L1839">
        <v>0</v>
      </c>
      <c r="M1839" s="1">
        <v>90</v>
      </c>
      <c r="N1839">
        <v>0</v>
      </c>
      <c r="O1839">
        <v>0</v>
      </c>
      <c r="P1839">
        <v>0</v>
      </c>
      <c r="Q1839" s="1">
        <v>0</v>
      </c>
      <c r="R1839">
        <v>6.8816699999999997</v>
      </c>
      <c r="S1839" s="2">
        <v>45258</v>
      </c>
      <c r="T1839" s="2">
        <v>45777</v>
      </c>
      <c r="U1839">
        <v>0</v>
      </c>
      <c r="V1839">
        <v>0</v>
      </c>
      <c r="W1839">
        <v>0</v>
      </c>
      <c r="X1839">
        <v>0</v>
      </c>
      <c r="Y1839">
        <v>0</v>
      </c>
      <c r="Z1839" s="8">
        <v>0</v>
      </c>
      <c r="AA1839">
        <v>0</v>
      </c>
      <c r="AB1839" t="s">
        <v>1635</v>
      </c>
      <c r="AC1839" t="s">
        <v>1635</v>
      </c>
      <c r="AD1839" s="1" t="s">
        <v>1635</v>
      </c>
      <c r="AE1839" s="2" t="s">
        <v>1635</v>
      </c>
      <c r="AF1839" s="2" t="s">
        <v>1635</v>
      </c>
      <c r="AG1839" s="2" t="s">
        <v>1635</v>
      </c>
      <c r="AH1839">
        <v>0</v>
      </c>
      <c r="AI1839" s="3" t="s">
        <v>1635</v>
      </c>
      <c r="AJ1839" s="1" t="s">
        <v>1635</v>
      </c>
      <c r="AK1839" s="2" t="s">
        <v>1635</v>
      </c>
      <c r="AL1839" s="4" t="s">
        <v>1636</v>
      </c>
      <c r="AM1839" s="5" t="s">
        <v>1636</v>
      </c>
      <c r="AN1839" s="4">
        <v>0</v>
      </c>
      <c r="AO1839" t="s">
        <v>1635</v>
      </c>
      <c r="AP1839" s="4" t="s">
        <v>1636</v>
      </c>
      <c r="AQ1839" t="s">
        <v>1619</v>
      </c>
      <c r="AR1839" t="s">
        <v>1620</v>
      </c>
      <c r="AT1839" s="16" t="str">
        <f>_xlfn.XLOOKUP(B1839,'SWiSH Demand Forecast Sep-26'!D:D,'SWiSH Demand Forecast Sep-26'!G:G,"Not Exist")</f>
        <v>Not Exist</v>
      </c>
    </row>
    <row r="1840" spans="1:46" x14ac:dyDescent="0.3">
      <c r="A1840">
        <v>105900024</v>
      </c>
      <c r="B1840" t="s">
        <v>3716</v>
      </c>
      <c r="C1840" t="s">
        <v>10</v>
      </c>
      <c r="D1840" t="s">
        <v>1629</v>
      </c>
      <c r="E1840" t="s">
        <v>2483</v>
      </c>
      <c r="F1840" t="s">
        <v>1664</v>
      </c>
      <c r="G1840" t="s">
        <v>1704</v>
      </c>
      <c r="H1840" t="s">
        <v>1729</v>
      </c>
      <c r="I1840" t="s">
        <v>1634</v>
      </c>
      <c r="J1840" t="s">
        <v>10</v>
      </c>
      <c r="K1840">
        <v>6.4852299999999998E-3</v>
      </c>
      <c r="L1840">
        <v>0</v>
      </c>
      <c r="M1840" s="1">
        <v>90</v>
      </c>
      <c r="N1840">
        <v>0</v>
      </c>
      <c r="O1840">
        <v>0</v>
      </c>
      <c r="P1840">
        <v>0</v>
      </c>
      <c r="Q1840" s="1">
        <v>0</v>
      </c>
      <c r="R1840">
        <v>6.4852299999999996</v>
      </c>
      <c r="S1840" s="2">
        <v>45258</v>
      </c>
      <c r="T1840" s="2">
        <v>45777</v>
      </c>
      <c r="U1840">
        <v>0</v>
      </c>
      <c r="V1840">
        <v>0</v>
      </c>
      <c r="W1840">
        <v>0</v>
      </c>
      <c r="X1840">
        <v>0</v>
      </c>
      <c r="Y1840">
        <v>0</v>
      </c>
      <c r="Z1840" s="8">
        <v>0</v>
      </c>
      <c r="AA1840">
        <v>0</v>
      </c>
      <c r="AB1840" t="s">
        <v>1635</v>
      </c>
      <c r="AC1840" t="s">
        <v>1635</v>
      </c>
      <c r="AD1840" s="1" t="s">
        <v>1635</v>
      </c>
      <c r="AE1840" s="2" t="s">
        <v>1635</v>
      </c>
      <c r="AF1840" s="2" t="s">
        <v>1635</v>
      </c>
      <c r="AG1840" s="2" t="s">
        <v>1635</v>
      </c>
      <c r="AH1840">
        <v>0</v>
      </c>
      <c r="AI1840" s="3" t="s">
        <v>1635</v>
      </c>
      <c r="AJ1840" s="1" t="s">
        <v>1635</v>
      </c>
      <c r="AK1840" s="2" t="s">
        <v>1635</v>
      </c>
      <c r="AL1840" s="4" t="s">
        <v>1636</v>
      </c>
      <c r="AM1840" s="5" t="s">
        <v>1636</v>
      </c>
      <c r="AN1840" s="4">
        <v>0</v>
      </c>
      <c r="AO1840" t="s">
        <v>1635</v>
      </c>
      <c r="AP1840" s="4" t="s">
        <v>1636</v>
      </c>
      <c r="AQ1840" t="s">
        <v>1619</v>
      </c>
      <c r="AR1840" t="s">
        <v>1620</v>
      </c>
      <c r="AT1840" s="16" t="str">
        <f>_xlfn.XLOOKUP(B1840,'SWiSH Demand Forecast Sep-26'!D:D,'SWiSH Demand Forecast Sep-26'!G:G,"Not Exist")</f>
        <v>Not Exist</v>
      </c>
    </row>
    <row r="1841" spans="1:46" x14ac:dyDescent="0.3">
      <c r="A1841">
        <v>100100106</v>
      </c>
      <c r="B1841" t="s">
        <v>3717</v>
      </c>
      <c r="C1841" t="s">
        <v>136</v>
      </c>
      <c r="D1841" t="s">
        <v>1675</v>
      </c>
      <c r="E1841" t="s">
        <v>1643</v>
      </c>
      <c r="F1841" t="s">
        <v>1840</v>
      </c>
      <c r="G1841" t="s">
        <v>1616</v>
      </c>
      <c r="H1841" t="s">
        <v>1877</v>
      </c>
      <c r="I1841" t="s">
        <v>1618</v>
      </c>
      <c r="J1841" t="s">
        <v>1858</v>
      </c>
      <c r="K1841">
        <v>6</v>
      </c>
      <c r="L1841">
        <v>60</v>
      </c>
      <c r="M1841" s="1">
        <v>3</v>
      </c>
      <c r="N1841">
        <v>0</v>
      </c>
      <c r="O1841">
        <v>0</v>
      </c>
      <c r="P1841">
        <v>10</v>
      </c>
      <c r="Q1841" s="1">
        <v>10</v>
      </c>
      <c r="R1841">
        <v>6</v>
      </c>
      <c r="S1841" s="2">
        <v>46061</v>
      </c>
      <c r="T1841" s="2">
        <v>46054</v>
      </c>
      <c r="U1841">
        <v>0</v>
      </c>
      <c r="V1841">
        <v>0</v>
      </c>
      <c r="W1841">
        <v>0</v>
      </c>
      <c r="X1841">
        <v>0</v>
      </c>
      <c r="Y1841">
        <v>0</v>
      </c>
      <c r="Z1841" s="8">
        <v>0</v>
      </c>
      <c r="AA1841">
        <v>0</v>
      </c>
      <c r="AB1841" t="s">
        <v>1635</v>
      </c>
      <c r="AC1841" t="s">
        <v>1635</v>
      </c>
      <c r="AD1841" s="1" t="s">
        <v>1635</v>
      </c>
      <c r="AE1841" s="2" t="s">
        <v>1635</v>
      </c>
      <c r="AF1841" s="2" t="s">
        <v>1635</v>
      </c>
      <c r="AG1841" s="2" t="s">
        <v>1635</v>
      </c>
      <c r="AH1841">
        <v>0</v>
      </c>
      <c r="AI1841" s="3" t="s">
        <v>1635</v>
      </c>
      <c r="AJ1841" s="1" t="s">
        <v>1635</v>
      </c>
      <c r="AK1841" s="2" t="s">
        <v>1635</v>
      </c>
      <c r="AL1841" s="4" t="s">
        <v>1658</v>
      </c>
      <c r="AM1841" s="5" t="s">
        <v>1658</v>
      </c>
      <c r="AN1841" s="4">
        <v>0</v>
      </c>
      <c r="AO1841" t="s">
        <v>1635</v>
      </c>
      <c r="AP1841" s="4" t="s">
        <v>1658</v>
      </c>
      <c r="AQ1841" t="s">
        <v>1619</v>
      </c>
      <c r="AR1841" t="s">
        <v>1620</v>
      </c>
      <c r="AT1841" s="16" t="str">
        <f>_xlfn.XLOOKUP(B1841,'SWiSH Demand Forecast Sep-26'!D:D,'SWiSH Demand Forecast Sep-26'!G:G,"Not Exist")</f>
        <v>Not Exist</v>
      </c>
    </row>
    <row r="1842" spans="1:46" x14ac:dyDescent="0.3">
      <c r="A1842">
        <v>106800198</v>
      </c>
      <c r="B1842" t="s">
        <v>3718</v>
      </c>
      <c r="C1842" t="s">
        <v>10</v>
      </c>
      <c r="D1842" t="s">
        <v>1629</v>
      </c>
      <c r="E1842" t="s">
        <v>2483</v>
      </c>
      <c r="F1842" t="s">
        <v>1664</v>
      </c>
      <c r="G1842" t="s">
        <v>1704</v>
      </c>
      <c r="H1842" t="s">
        <v>1665</v>
      </c>
      <c r="I1842" t="s">
        <v>1634</v>
      </c>
      <c r="J1842" t="s">
        <v>10</v>
      </c>
      <c r="K1842">
        <v>4.3299999999999996E-3</v>
      </c>
      <c r="L1842">
        <v>0</v>
      </c>
      <c r="M1842" s="1">
        <v>7</v>
      </c>
      <c r="N1842">
        <v>0</v>
      </c>
      <c r="O1842">
        <v>0</v>
      </c>
      <c r="P1842">
        <v>0</v>
      </c>
      <c r="Q1842" s="1">
        <v>0</v>
      </c>
      <c r="R1842">
        <v>4.3299999999999996E-3</v>
      </c>
      <c r="S1842" s="2">
        <v>44076</v>
      </c>
      <c r="T1842" s="2">
        <v>45777</v>
      </c>
      <c r="U1842">
        <v>0</v>
      </c>
      <c r="V1842">
        <v>0</v>
      </c>
      <c r="W1842">
        <v>0</v>
      </c>
      <c r="X1842">
        <v>0</v>
      </c>
      <c r="Y1842">
        <v>0</v>
      </c>
      <c r="Z1842" s="8">
        <v>0</v>
      </c>
      <c r="AA1842">
        <v>0</v>
      </c>
      <c r="AB1842" t="s">
        <v>1635</v>
      </c>
      <c r="AC1842" t="s">
        <v>1635</v>
      </c>
      <c r="AD1842" s="1" t="s">
        <v>1635</v>
      </c>
      <c r="AE1842" s="2" t="s">
        <v>1635</v>
      </c>
      <c r="AF1842" s="2" t="s">
        <v>1635</v>
      </c>
      <c r="AG1842" s="2" t="s">
        <v>1635</v>
      </c>
      <c r="AH1842">
        <v>0</v>
      </c>
      <c r="AI1842" s="3" t="s">
        <v>1635</v>
      </c>
      <c r="AJ1842" s="1" t="s">
        <v>1635</v>
      </c>
      <c r="AK1842" s="2" t="s">
        <v>1635</v>
      </c>
      <c r="AL1842" s="4" t="s">
        <v>1636</v>
      </c>
      <c r="AM1842" s="5" t="s">
        <v>1636</v>
      </c>
      <c r="AN1842" s="4">
        <v>0</v>
      </c>
      <c r="AO1842" t="s">
        <v>1635</v>
      </c>
      <c r="AP1842" s="4" t="s">
        <v>1636</v>
      </c>
      <c r="AQ1842" t="s">
        <v>1619</v>
      </c>
      <c r="AR1842" t="s">
        <v>1620</v>
      </c>
      <c r="AT1842" s="16" t="str">
        <f>_xlfn.XLOOKUP(B1842,'SWiSH Demand Forecast Sep-26'!D:D,'SWiSH Demand Forecast Sep-26'!G:G,"Not Exist")</f>
        <v>Not Exist</v>
      </c>
    </row>
    <row r="1843" spans="1:46" x14ac:dyDescent="0.3">
      <c r="A1843">
        <v>106700012</v>
      </c>
      <c r="B1843" t="s">
        <v>3719</v>
      </c>
      <c r="C1843" t="s">
        <v>10</v>
      </c>
      <c r="D1843" t="s">
        <v>1675</v>
      </c>
      <c r="E1843" t="s">
        <v>1655</v>
      </c>
      <c r="F1843" t="s">
        <v>1650</v>
      </c>
      <c r="G1843" t="s">
        <v>1678</v>
      </c>
      <c r="H1843" t="s">
        <v>1651</v>
      </c>
      <c r="I1843" t="s">
        <v>1634</v>
      </c>
      <c r="J1843" t="e">
        <v>#N/A</v>
      </c>
      <c r="K1843">
        <v>3.25</v>
      </c>
      <c r="L1843">
        <v>0</v>
      </c>
      <c r="M1843" s="1">
        <v>3</v>
      </c>
      <c r="N1843">
        <v>0</v>
      </c>
      <c r="O1843">
        <v>0</v>
      </c>
      <c r="P1843">
        <v>0</v>
      </c>
      <c r="Q1843" s="1">
        <v>0</v>
      </c>
      <c r="R1843">
        <v>3.25</v>
      </c>
      <c r="S1843" s="2">
        <v>45228</v>
      </c>
      <c r="T1843" s="2">
        <v>45882</v>
      </c>
      <c r="U1843">
        <v>0</v>
      </c>
      <c r="V1843">
        <v>0</v>
      </c>
      <c r="W1843">
        <v>0</v>
      </c>
      <c r="X1843">
        <v>0</v>
      </c>
      <c r="Y1843">
        <v>0</v>
      </c>
      <c r="Z1843" s="8">
        <v>0</v>
      </c>
      <c r="AA1843">
        <v>0</v>
      </c>
      <c r="AB1843" t="s">
        <v>1635</v>
      </c>
      <c r="AC1843" t="s">
        <v>1635</v>
      </c>
      <c r="AD1843" s="1" t="s">
        <v>1635</v>
      </c>
      <c r="AE1843" s="2" t="s">
        <v>1635</v>
      </c>
      <c r="AF1843" s="2" t="s">
        <v>1635</v>
      </c>
      <c r="AG1843" s="2" t="s">
        <v>1635</v>
      </c>
      <c r="AH1843">
        <v>0</v>
      </c>
      <c r="AI1843" s="3" t="s">
        <v>1635</v>
      </c>
      <c r="AJ1843" s="1" t="s">
        <v>1635</v>
      </c>
      <c r="AK1843" s="2" t="s">
        <v>1635</v>
      </c>
      <c r="AL1843" s="4" t="s">
        <v>1658</v>
      </c>
      <c r="AM1843" s="5" t="s">
        <v>1658</v>
      </c>
      <c r="AN1843" s="4">
        <v>0</v>
      </c>
      <c r="AO1843" t="s">
        <v>1635</v>
      </c>
      <c r="AP1843" s="4" t="s">
        <v>1658</v>
      </c>
      <c r="AQ1843" t="s">
        <v>1619</v>
      </c>
      <c r="AR1843" t="s">
        <v>1620</v>
      </c>
      <c r="AT1843" s="16" t="str">
        <f>_xlfn.XLOOKUP(B1843,'SWiSH Demand Forecast Sep-26'!D:D,'SWiSH Demand Forecast Sep-26'!G:G,"Not Exist")</f>
        <v>Not Exist</v>
      </c>
    </row>
    <row r="1844" spans="1:46" x14ac:dyDescent="0.3">
      <c r="A1844">
        <v>106900014</v>
      </c>
      <c r="B1844" t="s">
        <v>3720</v>
      </c>
      <c r="C1844" t="s">
        <v>10</v>
      </c>
      <c r="D1844" t="s">
        <v>1629</v>
      </c>
      <c r="E1844" t="s">
        <v>1732</v>
      </c>
      <c r="F1844" t="s">
        <v>1664</v>
      </c>
      <c r="G1844" t="s">
        <v>1690</v>
      </c>
      <c r="H1844" t="s">
        <v>3721</v>
      </c>
      <c r="I1844" t="s">
        <v>1634</v>
      </c>
      <c r="J1844" t="s">
        <v>10</v>
      </c>
      <c r="K1844">
        <v>6.0000000000000001E-3</v>
      </c>
      <c r="L1844">
        <v>0</v>
      </c>
      <c r="M1844" s="1">
        <v>15</v>
      </c>
      <c r="N1844">
        <v>0</v>
      </c>
      <c r="O1844">
        <v>0</v>
      </c>
      <c r="P1844">
        <v>0</v>
      </c>
      <c r="Q1844" s="1">
        <v>0</v>
      </c>
      <c r="R1844">
        <v>6.0000000000000001E-3</v>
      </c>
      <c r="S1844" s="2">
        <v>45442</v>
      </c>
      <c r="T1844" s="2">
        <v>46111</v>
      </c>
      <c r="U1844">
        <v>0</v>
      </c>
      <c r="V1844">
        <v>0</v>
      </c>
      <c r="W1844">
        <v>0</v>
      </c>
      <c r="X1844">
        <v>0</v>
      </c>
      <c r="Y1844">
        <v>0</v>
      </c>
      <c r="Z1844" s="8">
        <v>0</v>
      </c>
      <c r="AA1844">
        <v>0</v>
      </c>
      <c r="AB1844" t="s">
        <v>1635</v>
      </c>
      <c r="AC1844" t="s">
        <v>1635</v>
      </c>
      <c r="AD1844" s="1" t="s">
        <v>1635</v>
      </c>
      <c r="AE1844" s="2" t="s">
        <v>1635</v>
      </c>
      <c r="AF1844" s="2" t="s">
        <v>1635</v>
      </c>
      <c r="AG1844" s="2" t="s">
        <v>1635</v>
      </c>
      <c r="AH1844">
        <v>0</v>
      </c>
      <c r="AI1844" s="3" t="s">
        <v>1635</v>
      </c>
      <c r="AJ1844" s="1" t="s">
        <v>1635</v>
      </c>
      <c r="AK1844" s="2" t="s">
        <v>1635</v>
      </c>
      <c r="AL1844" s="4" t="s">
        <v>1636</v>
      </c>
      <c r="AM1844" s="5" t="s">
        <v>1636</v>
      </c>
      <c r="AN1844" s="4">
        <v>0</v>
      </c>
      <c r="AO1844" t="s">
        <v>1635</v>
      </c>
      <c r="AP1844" s="4" t="s">
        <v>1636</v>
      </c>
      <c r="AQ1844" t="s">
        <v>1619</v>
      </c>
      <c r="AR1844" t="s">
        <v>1620</v>
      </c>
      <c r="AT1844" s="16" t="str">
        <f>_xlfn.XLOOKUP(B1844,'SWiSH Demand Forecast Sep-26'!D:D,'SWiSH Demand Forecast Sep-26'!G:G,"Not Exist")</f>
        <v>Not Exist</v>
      </c>
    </row>
    <row r="1845" spans="1:46" x14ac:dyDescent="0.3">
      <c r="A1845">
        <v>106800201</v>
      </c>
      <c r="B1845" t="s">
        <v>3722</v>
      </c>
      <c r="C1845" t="s">
        <v>10</v>
      </c>
      <c r="D1845" t="s">
        <v>1629</v>
      </c>
      <c r="E1845" t="s">
        <v>2483</v>
      </c>
      <c r="F1845" t="s">
        <v>1664</v>
      </c>
      <c r="G1845" t="s">
        <v>1704</v>
      </c>
      <c r="H1845" t="s">
        <v>1665</v>
      </c>
      <c r="I1845" t="s">
        <v>1634</v>
      </c>
      <c r="J1845" t="s">
        <v>10</v>
      </c>
      <c r="K1845">
        <v>4.3299999999999996E-3</v>
      </c>
      <c r="L1845">
        <v>0</v>
      </c>
      <c r="M1845" s="1">
        <v>7</v>
      </c>
      <c r="N1845">
        <v>0</v>
      </c>
      <c r="O1845">
        <v>0</v>
      </c>
      <c r="P1845">
        <v>0</v>
      </c>
      <c r="Q1845" s="1">
        <v>0</v>
      </c>
      <c r="R1845">
        <v>4.3299999999999996E-3</v>
      </c>
      <c r="S1845" s="2">
        <v>44076</v>
      </c>
      <c r="T1845" s="2">
        <v>45777</v>
      </c>
      <c r="U1845">
        <v>0</v>
      </c>
      <c r="V1845">
        <v>0</v>
      </c>
      <c r="W1845">
        <v>0</v>
      </c>
      <c r="X1845">
        <v>0</v>
      </c>
      <c r="Y1845">
        <v>0</v>
      </c>
      <c r="Z1845" s="8">
        <v>0</v>
      </c>
      <c r="AA1845">
        <v>0</v>
      </c>
      <c r="AB1845" t="s">
        <v>1635</v>
      </c>
      <c r="AC1845" t="s">
        <v>1635</v>
      </c>
      <c r="AD1845" s="1" t="s">
        <v>1635</v>
      </c>
      <c r="AE1845" s="2" t="s">
        <v>1635</v>
      </c>
      <c r="AF1845" s="2" t="s">
        <v>1635</v>
      </c>
      <c r="AG1845" s="2" t="s">
        <v>1635</v>
      </c>
      <c r="AH1845">
        <v>0</v>
      </c>
      <c r="AI1845" s="3" t="s">
        <v>1635</v>
      </c>
      <c r="AJ1845" s="1" t="s">
        <v>1635</v>
      </c>
      <c r="AK1845" s="2" t="s">
        <v>1635</v>
      </c>
      <c r="AL1845" s="4" t="s">
        <v>1636</v>
      </c>
      <c r="AM1845" s="5" t="s">
        <v>1636</v>
      </c>
      <c r="AN1845" s="4">
        <v>0</v>
      </c>
      <c r="AO1845" t="s">
        <v>1635</v>
      </c>
      <c r="AP1845" s="4" t="s">
        <v>1636</v>
      </c>
      <c r="AQ1845" t="s">
        <v>1619</v>
      </c>
      <c r="AR1845" t="s">
        <v>1620</v>
      </c>
      <c r="AT1845" s="16" t="str">
        <f>_xlfn.XLOOKUP(B1845,'SWiSH Demand Forecast Sep-26'!D:D,'SWiSH Demand Forecast Sep-26'!G:G,"Not Exist")</f>
        <v>Not Exist</v>
      </c>
    </row>
    <row r="1846" spans="1:46" x14ac:dyDescent="0.3">
      <c r="A1846">
        <v>105300035</v>
      </c>
      <c r="B1846" t="s">
        <v>3723</v>
      </c>
      <c r="C1846" t="s">
        <v>10</v>
      </c>
      <c r="D1846" t="s">
        <v>1613</v>
      </c>
      <c r="E1846" t="s">
        <v>1643</v>
      </c>
      <c r="F1846" t="s">
        <v>1631</v>
      </c>
      <c r="G1846" t="s">
        <v>1616</v>
      </c>
      <c r="H1846" t="s">
        <v>1978</v>
      </c>
      <c r="I1846" t="s">
        <v>1634</v>
      </c>
      <c r="J1846" t="s">
        <v>2113</v>
      </c>
      <c r="K1846">
        <v>0.01</v>
      </c>
      <c r="L1846">
        <v>100</v>
      </c>
      <c r="M1846" s="1">
        <v>30</v>
      </c>
      <c r="N1846">
        <v>0</v>
      </c>
      <c r="O1846">
        <v>0</v>
      </c>
      <c r="P1846">
        <v>10000</v>
      </c>
      <c r="Q1846" s="1">
        <v>10000</v>
      </c>
      <c r="R1846">
        <v>5</v>
      </c>
      <c r="S1846" s="2">
        <v>46229</v>
      </c>
      <c r="T1846" s="2">
        <v>46229</v>
      </c>
      <c r="U1846">
        <v>0</v>
      </c>
      <c r="V1846">
        <v>0</v>
      </c>
      <c r="W1846">
        <v>0</v>
      </c>
      <c r="X1846">
        <v>0</v>
      </c>
      <c r="Y1846">
        <v>0</v>
      </c>
      <c r="Z1846" s="8">
        <v>0</v>
      </c>
      <c r="AA1846">
        <v>0</v>
      </c>
      <c r="AB1846" t="s">
        <v>1635</v>
      </c>
      <c r="AC1846" t="s">
        <v>1635</v>
      </c>
      <c r="AD1846" s="1" t="s">
        <v>1635</v>
      </c>
      <c r="AE1846" s="2" t="s">
        <v>1635</v>
      </c>
      <c r="AF1846" s="2" t="s">
        <v>1635</v>
      </c>
      <c r="AG1846" s="2" t="s">
        <v>1635</v>
      </c>
      <c r="AH1846">
        <v>0</v>
      </c>
      <c r="AI1846" s="3" t="s">
        <v>1635</v>
      </c>
      <c r="AJ1846" s="1" t="s">
        <v>1635</v>
      </c>
      <c r="AK1846" s="2" t="s">
        <v>1635</v>
      </c>
      <c r="AL1846" s="4">
        <v>30</v>
      </c>
      <c r="AM1846" s="5">
        <v>15</v>
      </c>
      <c r="AN1846" s="4">
        <v>0</v>
      </c>
      <c r="AO1846" t="s">
        <v>1635</v>
      </c>
      <c r="AP1846" s="4">
        <v>1</v>
      </c>
      <c r="AQ1846" t="s">
        <v>1619</v>
      </c>
      <c r="AR1846" t="s">
        <v>1620</v>
      </c>
      <c r="AT1846" s="16" t="str">
        <f>_xlfn.XLOOKUP(B1846,'SWiSH Demand Forecast Sep-26'!D:D,'SWiSH Demand Forecast Sep-26'!G:G,"Not Exist")</f>
        <v>Not Exist</v>
      </c>
    </row>
    <row r="1847" spans="1:46" x14ac:dyDescent="0.3">
      <c r="A1847">
        <v>101900001</v>
      </c>
      <c r="B1847" t="s">
        <v>3724</v>
      </c>
      <c r="C1847" t="s">
        <v>136</v>
      </c>
      <c r="D1847" t="s">
        <v>1675</v>
      </c>
      <c r="E1847" t="s">
        <v>1832</v>
      </c>
      <c r="F1847" t="s">
        <v>1840</v>
      </c>
      <c r="G1847" t="s">
        <v>1616</v>
      </c>
      <c r="H1847" t="s">
        <v>3376</v>
      </c>
      <c r="I1847" t="s">
        <v>1618</v>
      </c>
      <c r="J1847" t="s">
        <v>136</v>
      </c>
      <c r="K1847">
        <v>4.99</v>
      </c>
      <c r="L1847">
        <v>17.465</v>
      </c>
      <c r="M1847" s="1">
        <v>3</v>
      </c>
      <c r="N1847">
        <v>0</v>
      </c>
      <c r="O1847">
        <v>0</v>
      </c>
      <c r="P1847">
        <v>3.5</v>
      </c>
      <c r="Q1847" s="1">
        <v>3.5</v>
      </c>
      <c r="R1847">
        <v>5.3966700000000003</v>
      </c>
      <c r="S1847" s="2">
        <v>46027</v>
      </c>
      <c r="T1847" s="2">
        <v>46054</v>
      </c>
      <c r="U1847">
        <v>0</v>
      </c>
      <c r="V1847">
        <v>0</v>
      </c>
      <c r="W1847">
        <v>0</v>
      </c>
      <c r="X1847">
        <v>0</v>
      </c>
      <c r="Y1847">
        <v>0</v>
      </c>
      <c r="Z1847" s="8">
        <v>0</v>
      </c>
      <c r="AA1847">
        <v>0</v>
      </c>
      <c r="AB1847" t="s">
        <v>1635</v>
      </c>
      <c r="AC1847" t="s">
        <v>1635</v>
      </c>
      <c r="AD1847" s="1" t="s">
        <v>1635</v>
      </c>
      <c r="AE1847" s="2" t="s">
        <v>1635</v>
      </c>
      <c r="AF1847" s="2" t="s">
        <v>1635</v>
      </c>
      <c r="AG1847" s="2" t="s">
        <v>1635</v>
      </c>
      <c r="AH1847">
        <v>0</v>
      </c>
      <c r="AI1847" s="3" t="s">
        <v>1635</v>
      </c>
      <c r="AJ1847" s="1" t="s">
        <v>1635</v>
      </c>
      <c r="AK1847" s="2" t="s">
        <v>1635</v>
      </c>
      <c r="AL1847" s="4" t="s">
        <v>1658</v>
      </c>
      <c r="AM1847" s="5" t="s">
        <v>1658</v>
      </c>
      <c r="AN1847" s="4">
        <v>0</v>
      </c>
      <c r="AO1847" t="s">
        <v>1635</v>
      </c>
      <c r="AP1847" s="4" t="s">
        <v>1658</v>
      </c>
      <c r="AQ1847" t="s">
        <v>1619</v>
      </c>
      <c r="AR1847" t="s">
        <v>1859</v>
      </c>
      <c r="AT1847" s="16" t="str">
        <f>_xlfn.XLOOKUP(B1847,'SWiSH Demand Forecast Sep-26'!D:D,'SWiSH Demand Forecast Sep-26'!G:G,"Not Exist")</f>
        <v>Not Exist</v>
      </c>
    </row>
    <row r="1848" spans="1:46" x14ac:dyDescent="0.3">
      <c r="A1848">
        <v>103700082</v>
      </c>
      <c r="B1848" t="s">
        <v>3725</v>
      </c>
      <c r="C1848" t="s">
        <v>136</v>
      </c>
      <c r="D1848" t="s">
        <v>1675</v>
      </c>
      <c r="E1848" t="s">
        <v>2161</v>
      </c>
      <c r="F1848" t="s">
        <v>1615</v>
      </c>
      <c r="G1848" t="s">
        <v>1616</v>
      </c>
      <c r="H1848" t="s">
        <v>1617</v>
      </c>
      <c r="I1848" t="s">
        <v>1618</v>
      </c>
      <c r="J1848" t="s">
        <v>2807</v>
      </c>
      <c r="K1848">
        <v>5.3333333300000003</v>
      </c>
      <c r="L1848">
        <v>21.333333320000001</v>
      </c>
      <c r="M1848" s="1">
        <v>3</v>
      </c>
      <c r="N1848">
        <v>0</v>
      </c>
      <c r="O1848">
        <v>0</v>
      </c>
      <c r="P1848">
        <v>4</v>
      </c>
      <c r="Q1848" s="1">
        <v>4</v>
      </c>
      <c r="R1848">
        <v>0.16</v>
      </c>
      <c r="S1848" s="2">
        <v>45980</v>
      </c>
      <c r="T1848" s="2">
        <v>46054</v>
      </c>
      <c r="U1848">
        <v>0</v>
      </c>
      <c r="V1848">
        <v>0</v>
      </c>
      <c r="W1848">
        <v>0</v>
      </c>
      <c r="X1848">
        <v>0</v>
      </c>
      <c r="Y1848">
        <v>0</v>
      </c>
      <c r="Z1848" s="8">
        <v>0</v>
      </c>
      <c r="AA1848">
        <v>0</v>
      </c>
      <c r="AB1848" t="s">
        <v>1635</v>
      </c>
      <c r="AC1848" t="s">
        <v>1635</v>
      </c>
      <c r="AD1848" s="1" t="s">
        <v>1635</v>
      </c>
      <c r="AE1848" s="2" t="s">
        <v>1635</v>
      </c>
      <c r="AF1848" s="2" t="s">
        <v>1635</v>
      </c>
      <c r="AG1848" s="2" t="s">
        <v>1635</v>
      </c>
      <c r="AH1848">
        <v>0</v>
      </c>
      <c r="AI1848" s="3" t="s">
        <v>1635</v>
      </c>
      <c r="AJ1848" s="1" t="s">
        <v>1635</v>
      </c>
      <c r="AK1848" s="2" t="s">
        <v>1635</v>
      </c>
      <c r="AL1848" s="4" t="s">
        <v>1658</v>
      </c>
      <c r="AM1848" s="5" t="s">
        <v>1658</v>
      </c>
      <c r="AN1848" s="4">
        <v>0</v>
      </c>
      <c r="AO1848" t="s">
        <v>1635</v>
      </c>
      <c r="AP1848" s="4" t="s">
        <v>1658</v>
      </c>
      <c r="AQ1848" t="s">
        <v>1619</v>
      </c>
      <c r="AR1848" t="s">
        <v>1620</v>
      </c>
      <c r="AT1848" s="16" t="str">
        <f>_xlfn.XLOOKUP(B1848,'SWiSH Demand Forecast Sep-26'!D:D,'SWiSH Demand Forecast Sep-26'!G:G,"Not Exist")</f>
        <v>Not Exist</v>
      </c>
    </row>
    <row r="1849" spans="1:46" x14ac:dyDescent="0.3">
      <c r="A1849">
        <v>105900033</v>
      </c>
      <c r="B1849" t="s">
        <v>3726</v>
      </c>
      <c r="C1849" t="s">
        <v>10</v>
      </c>
      <c r="D1849" t="s">
        <v>1629</v>
      </c>
      <c r="E1849" t="s">
        <v>2483</v>
      </c>
      <c r="F1849" t="s">
        <v>1664</v>
      </c>
      <c r="G1849" t="s">
        <v>1704</v>
      </c>
      <c r="H1849" t="s">
        <v>1729</v>
      </c>
      <c r="I1849" t="s">
        <v>1634</v>
      </c>
      <c r="J1849" t="s">
        <v>10</v>
      </c>
      <c r="K1849">
        <v>6.8016099999999996E-3</v>
      </c>
      <c r="L1849">
        <v>0</v>
      </c>
      <c r="M1849" s="1">
        <v>90</v>
      </c>
      <c r="N1849">
        <v>0</v>
      </c>
      <c r="O1849">
        <v>0</v>
      </c>
      <c r="P1849">
        <v>0</v>
      </c>
      <c r="Q1849" s="1">
        <v>0</v>
      </c>
      <c r="R1849">
        <v>6.8016100000000002</v>
      </c>
      <c r="S1849" s="2">
        <v>45258</v>
      </c>
      <c r="T1849" s="2">
        <v>45777</v>
      </c>
      <c r="U1849">
        <v>0</v>
      </c>
      <c r="V1849">
        <v>0</v>
      </c>
      <c r="W1849">
        <v>0</v>
      </c>
      <c r="X1849">
        <v>0</v>
      </c>
      <c r="Y1849">
        <v>0</v>
      </c>
      <c r="Z1849" s="8">
        <v>0</v>
      </c>
      <c r="AA1849">
        <v>0</v>
      </c>
      <c r="AB1849" t="s">
        <v>1635</v>
      </c>
      <c r="AC1849" t="s">
        <v>1635</v>
      </c>
      <c r="AD1849" s="1" t="s">
        <v>1635</v>
      </c>
      <c r="AE1849" s="2" t="s">
        <v>1635</v>
      </c>
      <c r="AF1849" s="2" t="s">
        <v>1635</v>
      </c>
      <c r="AG1849" s="2" t="s">
        <v>1635</v>
      </c>
      <c r="AH1849">
        <v>0</v>
      </c>
      <c r="AI1849" s="3" t="s">
        <v>1635</v>
      </c>
      <c r="AJ1849" s="1" t="s">
        <v>1635</v>
      </c>
      <c r="AK1849" s="2" t="s">
        <v>1635</v>
      </c>
      <c r="AL1849" s="4" t="s">
        <v>1636</v>
      </c>
      <c r="AM1849" s="5" t="s">
        <v>1636</v>
      </c>
      <c r="AN1849" s="4">
        <v>0</v>
      </c>
      <c r="AO1849" t="s">
        <v>1635</v>
      </c>
      <c r="AP1849" s="4" t="s">
        <v>1636</v>
      </c>
      <c r="AQ1849" t="s">
        <v>1619</v>
      </c>
      <c r="AR1849" t="s">
        <v>1620</v>
      </c>
      <c r="AT1849" s="16" t="str">
        <f>_xlfn.XLOOKUP(B1849,'SWiSH Demand Forecast Sep-26'!D:D,'SWiSH Demand Forecast Sep-26'!G:G,"Not Exist")</f>
        <v>Not Exist</v>
      </c>
    </row>
    <row r="1850" spans="1:46" x14ac:dyDescent="0.3">
      <c r="A1850">
        <v>100400014</v>
      </c>
      <c r="B1850" t="s">
        <v>3727</v>
      </c>
      <c r="C1850" t="s">
        <v>10</v>
      </c>
      <c r="D1850" t="s">
        <v>1675</v>
      </c>
      <c r="E1850" t="s">
        <v>3728</v>
      </c>
      <c r="F1850" t="s">
        <v>1664</v>
      </c>
      <c r="G1850" t="s">
        <v>1704</v>
      </c>
      <c r="H1850" t="s">
        <v>1810</v>
      </c>
      <c r="I1850" t="s">
        <v>1634</v>
      </c>
      <c r="J1850" t="s">
        <v>10</v>
      </c>
      <c r="K1850">
        <v>0.09</v>
      </c>
      <c r="L1850">
        <v>0</v>
      </c>
      <c r="M1850" s="1">
        <v>15</v>
      </c>
      <c r="N1850">
        <v>0</v>
      </c>
      <c r="O1850">
        <v>0</v>
      </c>
      <c r="P1850">
        <v>0</v>
      </c>
      <c r="Q1850" s="1">
        <v>0</v>
      </c>
      <c r="R1850">
        <v>0.09</v>
      </c>
      <c r="S1850" s="2">
        <v>44970</v>
      </c>
      <c r="T1850" s="2">
        <v>45804</v>
      </c>
      <c r="U1850">
        <v>0</v>
      </c>
      <c r="V1850">
        <v>0</v>
      </c>
      <c r="W1850">
        <v>0</v>
      </c>
      <c r="X1850">
        <v>0</v>
      </c>
      <c r="Y1850">
        <v>0</v>
      </c>
      <c r="Z1850" s="8">
        <v>0</v>
      </c>
      <c r="AA1850">
        <v>0</v>
      </c>
      <c r="AB1850" t="s">
        <v>1635</v>
      </c>
      <c r="AC1850" t="s">
        <v>1635</v>
      </c>
      <c r="AD1850" s="1" t="s">
        <v>1635</v>
      </c>
      <c r="AE1850" s="2" t="s">
        <v>1635</v>
      </c>
      <c r="AF1850" s="2" t="s">
        <v>1635</v>
      </c>
      <c r="AG1850" s="2" t="s">
        <v>1635</v>
      </c>
      <c r="AH1850">
        <v>0</v>
      </c>
      <c r="AI1850" s="3" t="s">
        <v>1635</v>
      </c>
      <c r="AJ1850" s="1" t="s">
        <v>1635</v>
      </c>
      <c r="AK1850" s="2" t="s">
        <v>1635</v>
      </c>
      <c r="AL1850" s="4" t="s">
        <v>1658</v>
      </c>
      <c r="AM1850" s="5" t="s">
        <v>1658</v>
      </c>
      <c r="AN1850" s="4">
        <v>0</v>
      </c>
      <c r="AO1850" t="s">
        <v>1635</v>
      </c>
      <c r="AP1850" s="4" t="s">
        <v>1658</v>
      </c>
      <c r="AQ1850" t="s">
        <v>1619</v>
      </c>
      <c r="AR1850" t="s">
        <v>1620</v>
      </c>
      <c r="AT1850" s="16" t="str">
        <f>_xlfn.XLOOKUP(B1850,'SWiSH Demand Forecast Sep-26'!D:D,'SWiSH Demand Forecast Sep-26'!G:G,"Not Exist")</f>
        <v>Not Exist</v>
      </c>
    </row>
    <row r="1851" spans="1:46" x14ac:dyDescent="0.3">
      <c r="A1851">
        <v>100400206</v>
      </c>
      <c r="B1851" t="s">
        <v>3729</v>
      </c>
      <c r="C1851" t="s">
        <v>10</v>
      </c>
      <c r="D1851" t="s">
        <v>1675</v>
      </c>
      <c r="E1851" t="s">
        <v>1638</v>
      </c>
      <c r="F1851" t="s">
        <v>1664</v>
      </c>
      <c r="G1851" t="s">
        <v>1704</v>
      </c>
      <c r="H1851" t="s">
        <v>1810</v>
      </c>
      <c r="I1851" t="s">
        <v>1634</v>
      </c>
      <c r="J1851" t="s">
        <v>10</v>
      </c>
      <c r="K1851">
        <v>6.1670000000000003E-2</v>
      </c>
      <c r="L1851">
        <v>0</v>
      </c>
      <c r="M1851" s="1">
        <v>30</v>
      </c>
      <c r="N1851">
        <v>0</v>
      </c>
      <c r="O1851">
        <v>0</v>
      </c>
      <c r="P1851">
        <v>0</v>
      </c>
      <c r="Q1851" s="1">
        <v>0</v>
      </c>
      <c r="R1851">
        <v>6.1670000000000003E-2</v>
      </c>
      <c r="S1851" s="2">
        <v>45720</v>
      </c>
      <c r="T1851" s="2">
        <v>45777</v>
      </c>
      <c r="U1851">
        <v>0</v>
      </c>
      <c r="V1851">
        <v>0</v>
      </c>
      <c r="W1851">
        <v>0</v>
      </c>
      <c r="X1851">
        <v>0</v>
      </c>
      <c r="Y1851">
        <v>0</v>
      </c>
      <c r="Z1851" s="8">
        <v>0</v>
      </c>
      <c r="AA1851">
        <v>0</v>
      </c>
      <c r="AB1851" t="s">
        <v>1635</v>
      </c>
      <c r="AC1851" t="s">
        <v>1635</v>
      </c>
      <c r="AD1851" s="1" t="s">
        <v>1635</v>
      </c>
      <c r="AE1851" s="2" t="s">
        <v>1635</v>
      </c>
      <c r="AF1851" s="2" t="s">
        <v>1635</v>
      </c>
      <c r="AG1851" s="2" t="s">
        <v>1635</v>
      </c>
      <c r="AH1851">
        <v>0</v>
      </c>
      <c r="AI1851" s="3" t="s">
        <v>1635</v>
      </c>
      <c r="AJ1851" s="1" t="s">
        <v>1635</v>
      </c>
      <c r="AK1851" s="2" t="s">
        <v>1635</v>
      </c>
      <c r="AL1851" s="4" t="s">
        <v>1658</v>
      </c>
      <c r="AM1851" s="5" t="s">
        <v>1658</v>
      </c>
      <c r="AN1851" s="4">
        <v>0</v>
      </c>
      <c r="AO1851" t="s">
        <v>1635</v>
      </c>
      <c r="AP1851" s="4" t="s">
        <v>1658</v>
      </c>
      <c r="AQ1851" t="s">
        <v>1619</v>
      </c>
      <c r="AR1851" t="s">
        <v>1620</v>
      </c>
      <c r="AT1851" s="16" t="str">
        <f>_xlfn.XLOOKUP(B1851,'SWiSH Demand Forecast Sep-26'!D:D,'SWiSH Demand Forecast Sep-26'!G:G,"Not Exist")</f>
        <v>Not Exist</v>
      </c>
    </row>
    <row r="1852" spans="1:46" x14ac:dyDescent="0.3">
      <c r="A1852">
        <v>100400222</v>
      </c>
      <c r="B1852" t="s">
        <v>3730</v>
      </c>
      <c r="C1852" t="s">
        <v>10</v>
      </c>
      <c r="D1852" t="s">
        <v>1675</v>
      </c>
      <c r="E1852" t="s">
        <v>3731</v>
      </c>
      <c r="F1852" t="s">
        <v>1664</v>
      </c>
      <c r="G1852" t="s">
        <v>1704</v>
      </c>
      <c r="H1852" t="s">
        <v>1810</v>
      </c>
      <c r="I1852" t="s">
        <v>1634</v>
      </c>
      <c r="J1852" t="s">
        <v>10</v>
      </c>
      <c r="K1852">
        <v>0.55000000000000004</v>
      </c>
      <c r="L1852">
        <v>0</v>
      </c>
      <c r="M1852" s="1">
        <v>30</v>
      </c>
      <c r="N1852">
        <v>0</v>
      </c>
      <c r="O1852">
        <v>0</v>
      </c>
      <c r="P1852">
        <v>0</v>
      </c>
      <c r="Q1852" s="1">
        <v>0</v>
      </c>
      <c r="R1852">
        <v>0.55000000000000004</v>
      </c>
      <c r="S1852" s="2">
        <v>45362</v>
      </c>
      <c r="T1852" s="2">
        <v>45822</v>
      </c>
      <c r="U1852">
        <v>0</v>
      </c>
      <c r="V1852">
        <v>0</v>
      </c>
      <c r="W1852">
        <v>0</v>
      </c>
      <c r="X1852">
        <v>0</v>
      </c>
      <c r="Y1852">
        <v>0</v>
      </c>
      <c r="Z1852" s="8">
        <v>0</v>
      </c>
      <c r="AA1852">
        <v>0</v>
      </c>
      <c r="AB1852" t="s">
        <v>1635</v>
      </c>
      <c r="AC1852" t="s">
        <v>1635</v>
      </c>
      <c r="AD1852" s="1" t="s">
        <v>1635</v>
      </c>
      <c r="AE1852" s="2" t="s">
        <v>1635</v>
      </c>
      <c r="AF1852" s="2" t="s">
        <v>1635</v>
      </c>
      <c r="AG1852" s="2" t="s">
        <v>1635</v>
      </c>
      <c r="AH1852">
        <v>0</v>
      </c>
      <c r="AI1852" s="3" t="s">
        <v>1635</v>
      </c>
      <c r="AJ1852" s="1" t="s">
        <v>1635</v>
      </c>
      <c r="AK1852" s="2" t="s">
        <v>1635</v>
      </c>
      <c r="AL1852" s="4" t="s">
        <v>1658</v>
      </c>
      <c r="AM1852" s="5" t="s">
        <v>1658</v>
      </c>
      <c r="AN1852" s="4">
        <v>0</v>
      </c>
      <c r="AO1852" t="s">
        <v>1635</v>
      </c>
      <c r="AP1852" s="4" t="s">
        <v>1658</v>
      </c>
      <c r="AQ1852" t="s">
        <v>1619</v>
      </c>
      <c r="AR1852" t="s">
        <v>1620</v>
      </c>
      <c r="AT1852" s="16" t="str">
        <f>_xlfn.XLOOKUP(B1852,'SWiSH Demand Forecast Sep-26'!D:D,'SWiSH Demand Forecast Sep-26'!G:G,"Not Exist")</f>
        <v>Not Exist</v>
      </c>
    </row>
    <row r="1853" spans="1:46" x14ac:dyDescent="0.3">
      <c r="A1853">
        <v>100400017</v>
      </c>
      <c r="B1853" t="s">
        <v>3732</v>
      </c>
      <c r="C1853" t="s">
        <v>10</v>
      </c>
      <c r="D1853" t="s">
        <v>1675</v>
      </c>
      <c r="E1853" t="s">
        <v>1638</v>
      </c>
      <c r="F1853" t="s">
        <v>1664</v>
      </c>
      <c r="G1853" t="s">
        <v>1704</v>
      </c>
      <c r="H1853" t="s">
        <v>1810</v>
      </c>
      <c r="I1853" t="s">
        <v>1634</v>
      </c>
      <c r="J1853" t="s">
        <v>10</v>
      </c>
      <c r="K1853">
        <v>0.17499999999999999</v>
      </c>
      <c r="L1853">
        <v>0</v>
      </c>
      <c r="M1853" s="1">
        <v>30</v>
      </c>
      <c r="N1853">
        <v>0</v>
      </c>
      <c r="O1853">
        <v>0</v>
      </c>
      <c r="P1853">
        <v>0</v>
      </c>
      <c r="Q1853" s="1">
        <v>0</v>
      </c>
      <c r="R1853">
        <v>0.17499999999999999</v>
      </c>
      <c r="S1853" s="2">
        <v>45722</v>
      </c>
      <c r="T1853" s="2">
        <v>45777</v>
      </c>
      <c r="U1853">
        <v>0</v>
      </c>
      <c r="V1853">
        <v>0</v>
      </c>
      <c r="W1853">
        <v>0</v>
      </c>
      <c r="X1853">
        <v>0</v>
      </c>
      <c r="Y1853">
        <v>0</v>
      </c>
      <c r="Z1853" s="8">
        <v>0</v>
      </c>
      <c r="AA1853">
        <v>0</v>
      </c>
      <c r="AB1853" t="s">
        <v>1635</v>
      </c>
      <c r="AC1853" t="s">
        <v>1635</v>
      </c>
      <c r="AD1853" s="1" t="s">
        <v>1635</v>
      </c>
      <c r="AE1853" s="2" t="s">
        <v>1635</v>
      </c>
      <c r="AF1853" s="2" t="s">
        <v>1635</v>
      </c>
      <c r="AG1853" s="2" t="s">
        <v>1635</v>
      </c>
      <c r="AH1853">
        <v>0</v>
      </c>
      <c r="AI1853" s="3" t="s">
        <v>1635</v>
      </c>
      <c r="AJ1853" s="1" t="s">
        <v>1635</v>
      </c>
      <c r="AK1853" s="2" t="s">
        <v>1635</v>
      </c>
      <c r="AL1853" s="4" t="s">
        <v>1658</v>
      </c>
      <c r="AM1853" s="5" t="s">
        <v>1658</v>
      </c>
      <c r="AN1853" s="4">
        <v>0</v>
      </c>
      <c r="AO1853" t="s">
        <v>1635</v>
      </c>
      <c r="AP1853" s="4" t="s">
        <v>1658</v>
      </c>
      <c r="AQ1853" t="s">
        <v>1619</v>
      </c>
      <c r="AR1853" t="s">
        <v>1620</v>
      </c>
      <c r="AT1853" s="16" t="str">
        <f>_xlfn.XLOOKUP(B1853,'SWiSH Demand Forecast Sep-26'!D:D,'SWiSH Demand Forecast Sep-26'!G:G,"Not Exist")</f>
        <v>Not Exist</v>
      </c>
    </row>
    <row r="1854" spans="1:46" x14ac:dyDescent="0.3">
      <c r="A1854">
        <v>104200011</v>
      </c>
      <c r="B1854" t="s">
        <v>3733</v>
      </c>
      <c r="C1854" t="s">
        <v>10</v>
      </c>
      <c r="D1854" t="s">
        <v>1675</v>
      </c>
      <c r="E1854" t="s">
        <v>1655</v>
      </c>
      <c r="F1854" t="s">
        <v>1631</v>
      </c>
      <c r="G1854" t="e">
        <v>#N/A</v>
      </c>
      <c r="H1854" t="s">
        <v>1633</v>
      </c>
      <c r="I1854" t="s">
        <v>1634</v>
      </c>
      <c r="J1854" t="s">
        <v>10</v>
      </c>
      <c r="K1854" t="e">
        <v>#N/A</v>
      </c>
      <c r="L1854" t="e">
        <v>#N/A</v>
      </c>
      <c r="M1854" s="1">
        <v>3</v>
      </c>
      <c r="N1854">
        <v>0</v>
      </c>
      <c r="O1854">
        <v>0</v>
      </c>
      <c r="P1854">
        <v>0</v>
      </c>
      <c r="Q1854" s="1">
        <v>0</v>
      </c>
      <c r="R1854">
        <v>4.3</v>
      </c>
      <c r="S1854" s="2">
        <v>45873</v>
      </c>
      <c r="T1854" s="2">
        <v>46057</v>
      </c>
      <c r="U1854">
        <v>0</v>
      </c>
      <c r="V1854">
        <v>0</v>
      </c>
      <c r="W1854">
        <v>0</v>
      </c>
      <c r="X1854">
        <v>0</v>
      </c>
      <c r="Y1854">
        <v>0</v>
      </c>
      <c r="Z1854" s="8">
        <v>0</v>
      </c>
      <c r="AA1854">
        <v>0</v>
      </c>
      <c r="AB1854" t="s">
        <v>1635</v>
      </c>
      <c r="AC1854" t="s">
        <v>1635</v>
      </c>
      <c r="AD1854" s="1" t="s">
        <v>1635</v>
      </c>
      <c r="AE1854" s="2" t="s">
        <v>1635</v>
      </c>
      <c r="AF1854" s="2" t="s">
        <v>1635</v>
      </c>
      <c r="AG1854" s="2" t="s">
        <v>1635</v>
      </c>
      <c r="AH1854">
        <v>0</v>
      </c>
      <c r="AI1854" s="3" t="s">
        <v>1635</v>
      </c>
      <c r="AJ1854" s="1" t="s">
        <v>1635</v>
      </c>
      <c r="AK1854" s="2" t="s">
        <v>1635</v>
      </c>
      <c r="AL1854" s="4" t="s">
        <v>1658</v>
      </c>
      <c r="AM1854" s="5" t="s">
        <v>1658</v>
      </c>
      <c r="AN1854" s="4">
        <v>0</v>
      </c>
      <c r="AO1854" t="s">
        <v>1635</v>
      </c>
      <c r="AP1854" s="4" t="s">
        <v>1658</v>
      </c>
      <c r="AQ1854" t="s">
        <v>1619</v>
      </c>
      <c r="AR1854" t="s">
        <v>1620</v>
      </c>
      <c r="AT1854" s="16" t="str">
        <f>_xlfn.XLOOKUP(B1854,'SWiSH Demand Forecast Sep-26'!D:D,'SWiSH Demand Forecast Sep-26'!G:G,"Not Exist")</f>
        <v>Not Exist</v>
      </c>
    </row>
    <row r="1855" spans="1:46" x14ac:dyDescent="0.3">
      <c r="A1855">
        <v>100400018</v>
      </c>
      <c r="B1855" t="s">
        <v>3734</v>
      </c>
      <c r="C1855" t="s">
        <v>10</v>
      </c>
      <c r="D1855" t="s">
        <v>1675</v>
      </c>
      <c r="E1855" t="s">
        <v>1638</v>
      </c>
      <c r="F1855" t="s">
        <v>1664</v>
      </c>
      <c r="G1855" t="s">
        <v>1704</v>
      </c>
      <c r="H1855" t="s">
        <v>1810</v>
      </c>
      <c r="I1855" t="s">
        <v>1634</v>
      </c>
      <c r="J1855" t="s">
        <v>10</v>
      </c>
      <c r="K1855">
        <v>0.16</v>
      </c>
      <c r="L1855">
        <v>0</v>
      </c>
      <c r="M1855" s="1">
        <v>30</v>
      </c>
      <c r="N1855">
        <v>0</v>
      </c>
      <c r="O1855">
        <v>0</v>
      </c>
      <c r="P1855">
        <v>0</v>
      </c>
      <c r="Q1855" s="1">
        <v>0</v>
      </c>
      <c r="R1855">
        <v>0.16</v>
      </c>
      <c r="S1855" s="2">
        <v>45721</v>
      </c>
      <c r="T1855" s="2">
        <v>45777</v>
      </c>
      <c r="U1855">
        <v>0</v>
      </c>
      <c r="V1855">
        <v>0</v>
      </c>
      <c r="W1855">
        <v>0</v>
      </c>
      <c r="X1855">
        <v>0</v>
      </c>
      <c r="Y1855">
        <v>0</v>
      </c>
      <c r="Z1855" s="8">
        <v>0</v>
      </c>
      <c r="AA1855">
        <v>0</v>
      </c>
      <c r="AB1855" t="s">
        <v>1635</v>
      </c>
      <c r="AC1855" t="s">
        <v>1635</v>
      </c>
      <c r="AD1855" s="1" t="s">
        <v>1635</v>
      </c>
      <c r="AE1855" s="2" t="s">
        <v>1635</v>
      </c>
      <c r="AF1855" s="2" t="s">
        <v>1635</v>
      </c>
      <c r="AG1855" s="2" t="s">
        <v>1635</v>
      </c>
      <c r="AH1855">
        <v>0</v>
      </c>
      <c r="AI1855" s="3" t="s">
        <v>1635</v>
      </c>
      <c r="AJ1855" s="1" t="s">
        <v>1635</v>
      </c>
      <c r="AK1855" s="2" t="s">
        <v>1635</v>
      </c>
      <c r="AL1855" s="4" t="s">
        <v>1658</v>
      </c>
      <c r="AM1855" s="5" t="s">
        <v>1658</v>
      </c>
      <c r="AN1855" s="4">
        <v>0</v>
      </c>
      <c r="AO1855" t="s">
        <v>1635</v>
      </c>
      <c r="AP1855" s="4" t="s">
        <v>1658</v>
      </c>
      <c r="AQ1855" t="s">
        <v>1619</v>
      </c>
      <c r="AR1855" t="s">
        <v>1620</v>
      </c>
      <c r="AT1855" s="16" t="str">
        <f>_xlfn.XLOOKUP(B1855,'SWiSH Demand Forecast Sep-26'!D:D,'SWiSH Demand Forecast Sep-26'!G:G,"Not Exist")</f>
        <v>Not Exist</v>
      </c>
    </row>
    <row r="1856" spans="1:46" x14ac:dyDescent="0.3">
      <c r="A1856">
        <v>101100039</v>
      </c>
      <c r="B1856" t="s">
        <v>3735</v>
      </c>
      <c r="C1856" t="s">
        <v>10</v>
      </c>
      <c r="D1856" t="s">
        <v>1675</v>
      </c>
      <c r="E1856" t="s">
        <v>2602</v>
      </c>
      <c r="F1856" t="s">
        <v>1650</v>
      </c>
      <c r="G1856" t="s">
        <v>1681</v>
      </c>
      <c r="H1856" t="s">
        <v>1953</v>
      </c>
      <c r="I1856" t="s">
        <v>1634</v>
      </c>
      <c r="J1856" t="s">
        <v>10</v>
      </c>
      <c r="K1856">
        <v>15.5</v>
      </c>
      <c r="L1856">
        <v>0</v>
      </c>
      <c r="M1856" s="1">
        <v>3</v>
      </c>
      <c r="N1856">
        <v>0</v>
      </c>
      <c r="O1856">
        <v>0</v>
      </c>
      <c r="P1856">
        <v>0</v>
      </c>
      <c r="Q1856" s="1">
        <v>0</v>
      </c>
      <c r="R1856">
        <v>15.5</v>
      </c>
      <c r="S1856" s="2">
        <v>45925</v>
      </c>
      <c r="T1856" s="2">
        <v>46259</v>
      </c>
      <c r="U1856">
        <v>0</v>
      </c>
      <c r="V1856">
        <v>0</v>
      </c>
      <c r="W1856">
        <v>0</v>
      </c>
      <c r="X1856">
        <v>0</v>
      </c>
      <c r="Y1856">
        <v>0</v>
      </c>
      <c r="Z1856" s="8">
        <v>0</v>
      </c>
      <c r="AA1856">
        <v>0</v>
      </c>
      <c r="AB1856" t="s">
        <v>1635</v>
      </c>
      <c r="AC1856" t="s">
        <v>1635</v>
      </c>
      <c r="AD1856" s="1" t="s">
        <v>1635</v>
      </c>
      <c r="AE1856" s="2" t="s">
        <v>1635</v>
      </c>
      <c r="AF1856" s="2" t="s">
        <v>1635</v>
      </c>
      <c r="AG1856" s="2" t="s">
        <v>1635</v>
      </c>
      <c r="AH1856">
        <v>0</v>
      </c>
      <c r="AI1856" s="3" t="s">
        <v>1635</v>
      </c>
      <c r="AJ1856" s="1" t="s">
        <v>1635</v>
      </c>
      <c r="AK1856" s="2" t="s">
        <v>1635</v>
      </c>
      <c r="AL1856" s="4" t="s">
        <v>1658</v>
      </c>
      <c r="AM1856" s="5" t="s">
        <v>1658</v>
      </c>
      <c r="AN1856" s="4">
        <v>0</v>
      </c>
      <c r="AO1856" t="s">
        <v>1635</v>
      </c>
      <c r="AP1856" s="4" t="s">
        <v>1658</v>
      </c>
      <c r="AQ1856" t="s">
        <v>1619</v>
      </c>
      <c r="AR1856" t="s">
        <v>2626</v>
      </c>
      <c r="AT1856" s="16" t="str">
        <f>_xlfn.XLOOKUP(B1856,'SWiSH Demand Forecast Sep-26'!D:D,'SWiSH Demand Forecast Sep-26'!G:G,"Not Exist")</f>
        <v>Not Exist</v>
      </c>
    </row>
    <row r="1857" spans="1:46" x14ac:dyDescent="0.3">
      <c r="A1857">
        <v>107200067</v>
      </c>
      <c r="B1857" t="s">
        <v>3736</v>
      </c>
      <c r="C1857" t="s">
        <v>10</v>
      </c>
      <c r="D1857" t="s">
        <v>1675</v>
      </c>
      <c r="E1857" t="s">
        <v>1685</v>
      </c>
      <c r="F1857" t="s">
        <v>1656</v>
      </c>
      <c r="G1857" t="s">
        <v>1690</v>
      </c>
      <c r="H1857" t="s">
        <v>1657</v>
      </c>
      <c r="I1857" t="s">
        <v>1634</v>
      </c>
      <c r="J1857" t="e">
        <v>#N/A</v>
      </c>
      <c r="K1857">
        <v>0</v>
      </c>
      <c r="L1857">
        <v>0</v>
      </c>
      <c r="M1857" s="1">
        <v>7</v>
      </c>
      <c r="N1857">
        <v>0</v>
      </c>
      <c r="O1857">
        <v>0</v>
      </c>
      <c r="P1857">
        <v>0</v>
      </c>
      <c r="Q1857" s="1">
        <v>0</v>
      </c>
      <c r="R1857">
        <v>0</v>
      </c>
      <c r="S1857" s="2">
        <v>0</v>
      </c>
      <c r="T1857" s="2">
        <v>45958</v>
      </c>
      <c r="U1857">
        <v>0</v>
      </c>
      <c r="V1857">
        <v>0</v>
      </c>
      <c r="W1857">
        <v>0</v>
      </c>
      <c r="X1857">
        <v>0</v>
      </c>
      <c r="Y1857">
        <v>0</v>
      </c>
      <c r="Z1857" s="8">
        <v>0</v>
      </c>
      <c r="AA1857">
        <v>0</v>
      </c>
      <c r="AB1857" t="s">
        <v>1635</v>
      </c>
      <c r="AC1857" t="s">
        <v>1635</v>
      </c>
      <c r="AD1857" s="1" t="s">
        <v>1635</v>
      </c>
      <c r="AE1857" s="2" t="s">
        <v>1635</v>
      </c>
      <c r="AF1857" s="2" t="s">
        <v>1635</v>
      </c>
      <c r="AG1857" s="2" t="s">
        <v>1635</v>
      </c>
      <c r="AH1857">
        <v>0</v>
      </c>
      <c r="AI1857" s="3" t="s">
        <v>1635</v>
      </c>
      <c r="AJ1857" s="1" t="s">
        <v>1635</v>
      </c>
      <c r="AK1857" s="2" t="s">
        <v>1635</v>
      </c>
      <c r="AL1857" s="4" t="s">
        <v>1658</v>
      </c>
      <c r="AM1857" s="5" t="s">
        <v>1658</v>
      </c>
      <c r="AN1857" s="4">
        <v>0</v>
      </c>
      <c r="AO1857" t="s">
        <v>1635</v>
      </c>
      <c r="AP1857" s="4" t="s">
        <v>1658</v>
      </c>
      <c r="AQ1857" t="s">
        <v>1619</v>
      </c>
      <c r="AR1857" t="s">
        <v>1620</v>
      </c>
      <c r="AT1857" s="16" t="str">
        <f>_xlfn.XLOOKUP(B1857,'SWiSH Demand Forecast Sep-26'!D:D,'SWiSH Demand Forecast Sep-26'!G:G,"Not Exist")</f>
        <v>Not Exist</v>
      </c>
    </row>
    <row r="1858" spans="1:46" x14ac:dyDescent="0.3">
      <c r="A1858">
        <v>107200069</v>
      </c>
      <c r="B1858" t="s">
        <v>3737</v>
      </c>
      <c r="C1858" t="s">
        <v>10</v>
      </c>
      <c r="D1858" t="s">
        <v>1675</v>
      </c>
      <c r="E1858" t="s">
        <v>1685</v>
      </c>
      <c r="F1858" t="s">
        <v>1656</v>
      </c>
      <c r="G1858" t="s">
        <v>1690</v>
      </c>
      <c r="H1858" t="s">
        <v>1657</v>
      </c>
      <c r="I1858" t="s">
        <v>1634</v>
      </c>
      <c r="J1858" t="e">
        <v>#N/A</v>
      </c>
      <c r="K1858">
        <v>0</v>
      </c>
      <c r="L1858">
        <v>0</v>
      </c>
      <c r="M1858" s="1">
        <v>7</v>
      </c>
      <c r="N1858">
        <v>0</v>
      </c>
      <c r="O1858">
        <v>0</v>
      </c>
      <c r="P1858">
        <v>0</v>
      </c>
      <c r="Q1858" s="1">
        <v>0</v>
      </c>
      <c r="R1858">
        <v>0</v>
      </c>
      <c r="S1858" s="2">
        <v>0</v>
      </c>
      <c r="T1858" s="2">
        <v>46183</v>
      </c>
      <c r="U1858">
        <v>0</v>
      </c>
      <c r="V1858">
        <v>0</v>
      </c>
      <c r="W1858">
        <v>0</v>
      </c>
      <c r="X1858">
        <v>0</v>
      </c>
      <c r="Y1858">
        <v>0</v>
      </c>
      <c r="Z1858" s="8">
        <v>0</v>
      </c>
      <c r="AA1858">
        <v>0</v>
      </c>
      <c r="AB1858" t="s">
        <v>1635</v>
      </c>
      <c r="AC1858" t="s">
        <v>1635</v>
      </c>
      <c r="AD1858" s="1" t="s">
        <v>1635</v>
      </c>
      <c r="AE1858" s="2" t="s">
        <v>1635</v>
      </c>
      <c r="AF1858" s="2" t="s">
        <v>1635</v>
      </c>
      <c r="AG1858" s="2" t="s">
        <v>1635</v>
      </c>
      <c r="AH1858">
        <v>0</v>
      </c>
      <c r="AI1858" s="3" t="s">
        <v>1635</v>
      </c>
      <c r="AJ1858" s="1" t="s">
        <v>1635</v>
      </c>
      <c r="AK1858" s="2" t="s">
        <v>1635</v>
      </c>
      <c r="AL1858" s="4" t="s">
        <v>1658</v>
      </c>
      <c r="AM1858" s="5" t="s">
        <v>1658</v>
      </c>
      <c r="AN1858" s="4">
        <v>0</v>
      </c>
      <c r="AO1858" t="s">
        <v>1635</v>
      </c>
      <c r="AP1858" s="4" t="s">
        <v>1658</v>
      </c>
      <c r="AQ1858" t="s">
        <v>1619</v>
      </c>
      <c r="AR1858" t="s">
        <v>1620</v>
      </c>
      <c r="AT1858" s="16" t="str">
        <f>_xlfn.XLOOKUP(B1858,'SWiSH Demand Forecast Sep-26'!D:D,'SWiSH Demand Forecast Sep-26'!G:G,"Not Exist")</f>
        <v>Not Exist</v>
      </c>
    </row>
    <row r="1859" spans="1:46" x14ac:dyDescent="0.3">
      <c r="A1859">
        <v>105900032</v>
      </c>
      <c r="B1859" t="s">
        <v>3738</v>
      </c>
      <c r="C1859" t="s">
        <v>10</v>
      </c>
      <c r="D1859" t="s">
        <v>1629</v>
      </c>
      <c r="E1859" t="s">
        <v>1732</v>
      </c>
      <c r="F1859" t="s">
        <v>1664</v>
      </c>
      <c r="G1859" t="s">
        <v>1704</v>
      </c>
      <c r="H1859" t="s">
        <v>1729</v>
      </c>
      <c r="I1859" t="s">
        <v>1634</v>
      </c>
      <c r="J1859" t="s">
        <v>10</v>
      </c>
      <c r="K1859">
        <v>3.7893100000000002E-3</v>
      </c>
      <c r="L1859">
        <v>102.31137000000001</v>
      </c>
      <c r="M1859" s="1">
        <v>90</v>
      </c>
      <c r="N1859">
        <v>0</v>
      </c>
      <c r="O1859">
        <v>0</v>
      </c>
      <c r="P1859">
        <v>27000</v>
      </c>
      <c r="Q1859" s="1">
        <v>27000</v>
      </c>
      <c r="R1859">
        <v>3.7844799999999998</v>
      </c>
      <c r="S1859" s="2">
        <v>45003</v>
      </c>
      <c r="T1859" s="2">
        <v>46049</v>
      </c>
      <c r="U1859">
        <v>0</v>
      </c>
      <c r="V1859">
        <v>0</v>
      </c>
      <c r="W1859">
        <v>0</v>
      </c>
      <c r="X1859">
        <v>0</v>
      </c>
      <c r="Y1859">
        <v>0</v>
      </c>
      <c r="Z1859" s="8">
        <v>0</v>
      </c>
      <c r="AA1859">
        <v>0</v>
      </c>
      <c r="AB1859" t="s">
        <v>1635</v>
      </c>
      <c r="AC1859" t="s">
        <v>1635</v>
      </c>
      <c r="AD1859" s="1" t="s">
        <v>1635</v>
      </c>
      <c r="AE1859" s="2" t="s">
        <v>1635</v>
      </c>
      <c r="AF1859" s="2" t="s">
        <v>1635</v>
      </c>
      <c r="AG1859" s="2" t="s">
        <v>1635</v>
      </c>
      <c r="AH1859">
        <v>0</v>
      </c>
      <c r="AI1859" s="3" t="s">
        <v>1635</v>
      </c>
      <c r="AJ1859" s="1" t="s">
        <v>1635</v>
      </c>
      <c r="AK1859" s="2" t="s">
        <v>1635</v>
      </c>
      <c r="AL1859" s="4" t="s">
        <v>1636</v>
      </c>
      <c r="AM1859" s="5" t="s">
        <v>1636</v>
      </c>
      <c r="AN1859" s="4">
        <v>0</v>
      </c>
      <c r="AO1859" t="s">
        <v>1635</v>
      </c>
      <c r="AP1859" s="4" t="s">
        <v>1636</v>
      </c>
      <c r="AQ1859" t="s">
        <v>1619</v>
      </c>
      <c r="AR1859" t="s">
        <v>1620</v>
      </c>
      <c r="AT1859" s="16" t="str">
        <f>_xlfn.XLOOKUP(B1859,'SWiSH Demand Forecast Sep-26'!D:D,'SWiSH Demand Forecast Sep-26'!G:G,"Not Exist")</f>
        <v>Not Exist</v>
      </c>
    </row>
    <row r="1860" spans="1:46" x14ac:dyDescent="0.3">
      <c r="A1860">
        <v>105900031</v>
      </c>
      <c r="B1860" t="s">
        <v>3739</v>
      </c>
      <c r="C1860" t="s">
        <v>10</v>
      </c>
      <c r="D1860" t="s">
        <v>1629</v>
      </c>
      <c r="E1860" t="s">
        <v>2483</v>
      </c>
      <c r="F1860" t="s">
        <v>1664</v>
      </c>
      <c r="G1860" t="s">
        <v>1704</v>
      </c>
      <c r="H1860" t="s">
        <v>1729</v>
      </c>
      <c r="I1860" t="s">
        <v>1634</v>
      </c>
      <c r="J1860" t="s">
        <v>10</v>
      </c>
      <c r="K1860">
        <v>7.7444899999999997E-3</v>
      </c>
      <c r="L1860">
        <v>0</v>
      </c>
      <c r="M1860" s="1">
        <v>90</v>
      </c>
      <c r="N1860">
        <v>0</v>
      </c>
      <c r="O1860">
        <v>0</v>
      </c>
      <c r="P1860">
        <v>0</v>
      </c>
      <c r="Q1860" s="1">
        <v>0</v>
      </c>
      <c r="R1860">
        <v>7.7444899999999999</v>
      </c>
      <c r="S1860" s="2">
        <v>45258</v>
      </c>
      <c r="T1860" s="2">
        <v>45777</v>
      </c>
      <c r="U1860">
        <v>0</v>
      </c>
      <c r="V1860">
        <v>0</v>
      </c>
      <c r="W1860">
        <v>0</v>
      </c>
      <c r="X1860">
        <v>0</v>
      </c>
      <c r="Y1860">
        <v>0</v>
      </c>
      <c r="Z1860" s="8">
        <v>0</v>
      </c>
      <c r="AA1860">
        <v>0</v>
      </c>
      <c r="AB1860" t="s">
        <v>1635</v>
      </c>
      <c r="AC1860" t="s">
        <v>1635</v>
      </c>
      <c r="AD1860" s="1" t="s">
        <v>1635</v>
      </c>
      <c r="AE1860" s="2" t="s">
        <v>1635</v>
      </c>
      <c r="AF1860" s="2" t="s">
        <v>1635</v>
      </c>
      <c r="AG1860" s="2" t="s">
        <v>1635</v>
      </c>
      <c r="AH1860">
        <v>0</v>
      </c>
      <c r="AI1860" s="3" t="s">
        <v>1635</v>
      </c>
      <c r="AJ1860" s="1" t="s">
        <v>1635</v>
      </c>
      <c r="AK1860" s="2" t="s">
        <v>1635</v>
      </c>
      <c r="AL1860" s="4" t="s">
        <v>1636</v>
      </c>
      <c r="AM1860" s="5" t="s">
        <v>1636</v>
      </c>
      <c r="AN1860" s="4">
        <v>0</v>
      </c>
      <c r="AO1860" t="s">
        <v>1635</v>
      </c>
      <c r="AP1860" s="4" t="s">
        <v>1636</v>
      </c>
      <c r="AQ1860" t="s">
        <v>1619</v>
      </c>
      <c r="AR1860" t="s">
        <v>1620</v>
      </c>
      <c r="AT1860" s="16" t="str">
        <f>_xlfn.XLOOKUP(B1860,'SWiSH Demand Forecast Sep-26'!D:D,'SWiSH Demand Forecast Sep-26'!G:G,"Not Exist")</f>
        <v>Not Exist</v>
      </c>
    </row>
    <row r="1861" spans="1:46" x14ac:dyDescent="0.3">
      <c r="A1861">
        <v>101500026</v>
      </c>
      <c r="B1861" t="s">
        <v>3740</v>
      </c>
      <c r="C1861" t="s">
        <v>10</v>
      </c>
      <c r="D1861" t="s">
        <v>1675</v>
      </c>
      <c r="E1861" t="s">
        <v>1677</v>
      </c>
      <c r="F1861" t="s">
        <v>1631</v>
      </c>
      <c r="G1861" t="s">
        <v>1704</v>
      </c>
      <c r="H1861" t="s">
        <v>1647</v>
      </c>
      <c r="I1861" t="s">
        <v>1634</v>
      </c>
      <c r="J1861" t="s">
        <v>2603</v>
      </c>
      <c r="K1861">
        <v>1.2E-2</v>
      </c>
      <c r="L1861">
        <v>8.4</v>
      </c>
      <c r="M1861" s="1">
        <v>3</v>
      </c>
      <c r="N1861">
        <v>0</v>
      </c>
      <c r="O1861">
        <v>0</v>
      </c>
      <c r="P1861">
        <v>700</v>
      </c>
      <c r="Q1861" s="1">
        <v>700</v>
      </c>
      <c r="R1861">
        <v>0.6</v>
      </c>
      <c r="S1861" s="2">
        <v>45927</v>
      </c>
      <c r="T1861" s="2">
        <v>46107</v>
      </c>
      <c r="U1861">
        <v>0</v>
      </c>
      <c r="V1861">
        <v>0</v>
      </c>
      <c r="W1861">
        <v>0</v>
      </c>
      <c r="X1861">
        <v>0</v>
      </c>
      <c r="Y1861">
        <v>0</v>
      </c>
      <c r="Z1861" s="8">
        <v>0</v>
      </c>
      <c r="AA1861">
        <v>0</v>
      </c>
      <c r="AB1861" t="s">
        <v>1635</v>
      </c>
      <c r="AC1861" t="s">
        <v>1635</v>
      </c>
      <c r="AD1861" s="1" t="s">
        <v>1635</v>
      </c>
      <c r="AE1861" s="2" t="s">
        <v>1635</v>
      </c>
      <c r="AF1861" s="2" t="s">
        <v>1635</v>
      </c>
      <c r="AG1861" s="2" t="s">
        <v>1635</v>
      </c>
      <c r="AH1861">
        <v>0</v>
      </c>
      <c r="AI1861" s="3" t="s">
        <v>1635</v>
      </c>
      <c r="AJ1861" s="1" t="s">
        <v>1635</v>
      </c>
      <c r="AK1861" s="2" t="s">
        <v>1635</v>
      </c>
      <c r="AL1861" s="4" t="s">
        <v>1658</v>
      </c>
      <c r="AM1861" s="5" t="s">
        <v>1658</v>
      </c>
      <c r="AN1861" s="4">
        <v>0</v>
      </c>
      <c r="AO1861" t="s">
        <v>1635</v>
      </c>
      <c r="AP1861" s="4" t="s">
        <v>1658</v>
      </c>
      <c r="AQ1861" t="s">
        <v>1619</v>
      </c>
      <c r="AR1861" t="s">
        <v>1620</v>
      </c>
      <c r="AT1861" s="16" t="str">
        <f>_xlfn.XLOOKUP(B1861,'SWiSH Demand Forecast Sep-26'!D:D,'SWiSH Demand Forecast Sep-26'!G:G,"Not Exist")</f>
        <v>Not Exist</v>
      </c>
    </row>
    <row r="1862" spans="1:46" x14ac:dyDescent="0.3">
      <c r="A1862">
        <v>106800196</v>
      </c>
      <c r="B1862" t="s">
        <v>3741</v>
      </c>
      <c r="C1862" t="s">
        <v>10</v>
      </c>
      <c r="D1862" t="s">
        <v>1629</v>
      </c>
      <c r="E1862" t="s">
        <v>2483</v>
      </c>
      <c r="F1862" t="s">
        <v>1664</v>
      </c>
      <c r="G1862" t="s">
        <v>1704</v>
      </c>
      <c r="H1862" t="s">
        <v>1665</v>
      </c>
      <c r="I1862" t="s">
        <v>1634</v>
      </c>
      <c r="J1862" t="s">
        <v>10</v>
      </c>
      <c r="K1862">
        <v>4.0000000000000001E-3</v>
      </c>
      <c r="L1862">
        <v>0</v>
      </c>
      <c r="M1862" s="1">
        <v>7</v>
      </c>
      <c r="N1862">
        <v>0</v>
      </c>
      <c r="O1862">
        <v>0</v>
      </c>
      <c r="P1862">
        <v>0</v>
      </c>
      <c r="Q1862" s="1">
        <v>0</v>
      </c>
      <c r="R1862">
        <v>4.0000000000000001E-3</v>
      </c>
      <c r="S1862" s="2">
        <v>44080</v>
      </c>
      <c r="T1862" s="2">
        <v>46054</v>
      </c>
      <c r="U1862">
        <v>0</v>
      </c>
      <c r="V1862">
        <v>0</v>
      </c>
      <c r="W1862">
        <v>0</v>
      </c>
      <c r="X1862">
        <v>0</v>
      </c>
      <c r="Y1862">
        <v>0</v>
      </c>
      <c r="Z1862" s="8">
        <v>0</v>
      </c>
      <c r="AA1862">
        <v>0</v>
      </c>
      <c r="AB1862" t="s">
        <v>1635</v>
      </c>
      <c r="AC1862" t="s">
        <v>1635</v>
      </c>
      <c r="AD1862" s="1" t="s">
        <v>1635</v>
      </c>
      <c r="AE1862" s="2" t="s">
        <v>1635</v>
      </c>
      <c r="AF1862" s="2" t="s">
        <v>1635</v>
      </c>
      <c r="AG1862" s="2" t="s">
        <v>1635</v>
      </c>
      <c r="AH1862">
        <v>0</v>
      </c>
      <c r="AI1862" s="3" t="s">
        <v>1635</v>
      </c>
      <c r="AJ1862" s="1" t="s">
        <v>1635</v>
      </c>
      <c r="AK1862" s="2" t="s">
        <v>1635</v>
      </c>
      <c r="AL1862" s="4" t="s">
        <v>1636</v>
      </c>
      <c r="AM1862" s="5" t="s">
        <v>1636</v>
      </c>
      <c r="AN1862" s="4">
        <v>0</v>
      </c>
      <c r="AO1862" t="s">
        <v>1635</v>
      </c>
      <c r="AP1862" s="4" t="s">
        <v>1636</v>
      </c>
      <c r="AQ1862" t="s">
        <v>1619</v>
      </c>
      <c r="AR1862" t="s">
        <v>1620</v>
      </c>
      <c r="AT1862" s="16" t="str">
        <f>_xlfn.XLOOKUP(B1862,'SWiSH Demand Forecast Sep-26'!D:D,'SWiSH Demand Forecast Sep-26'!G:G,"Not Exist")</f>
        <v>Not Exist</v>
      </c>
    </row>
    <row r="1863" spans="1:46" x14ac:dyDescent="0.3">
      <c r="A1863">
        <v>106800202</v>
      </c>
      <c r="B1863" t="s">
        <v>3742</v>
      </c>
      <c r="C1863" t="s">
        <v>10</v>
      </c>
      <c r="D1863" t="s">
        <v>1629</v>
      </c>
      <c r="E1863" t="s">
        <v>2483</v>
      </c>
      <c r="F1863" t="s">
        <v>1664</v>
      </c>
      <c r="G1863" t="s">
        <v>1704</v>
      </c>
      <c r="H1863" t="s">
        <v>1665</v>
      </c>
      <c r="I1863" t="s">
        <v>1634</v>
      </c>
      <c r="J1863" t="s">
        <v>10</v>
      </c>
      <c r="K1863">
        <v>4.4999999999999997E-3</v>
      </c>
      <c r="L1863">
        <v>0</v>
      </c>
      <c r="M1863" s="1">
        <v>7</v>
      </c>
      <c r="N1863">
        <v>0</v>
      </c>
      <c r="O1863">
        <v>0</v>
      </c>
      <c r="P1863">
        <v>0</v>
      </c>
      <c r="Q1863" s="1">
        <v>0</v>
      </c>
      <c r="R1863">
        <v>4.4999999999999997E-3</v>
      </c>
      <c r="S1863" s="2">
        <v>44076</v>
      </c>
      <c r="T1863" s="2">
        <v>45777</v>
      </c>
      <c r="U1863">
        <v>0</v>
      </c>
      <c r="V1863">
        <v>0</v>
      </c>
      <c r="W1863">
        <v>0</v>
      </c>
      <c r="X1863">
        <v>0</v>
      </c>
      <c r="Y1863">
        <v>0</v>
      </c>
      <c r="Z1863" s="8">
        <v>0</v>
      </c>
      <c r="AA1863">
        <v>0</v>
      </c>
      <c r="AB1863" t="s">
        <v>1635</v>
      </c>
      <c r="AC1863" t="s">
        <v>1635</v>
      </c>
      <c r="AD1863" s="1" t="s">
        <v>1635</v>
      </c>
      <c r="AE1863" s="2" t="s">
        <v>1635</v>
      </c>
      <c r="AF1863" s="2" t="s">
        <v>1635</v>
      </c>
      <c r="AG1863" s="2" t="s">
        <v>1635</v>
      </c>
      <c r="AH1863">
        <v>0</v>
      </c>
      <c r="AI1863" s="3" t="s">
        <v>1635</v>
      </c>
      <c r="AJ1863" s="1" t="s">
        <v>1635</v>
      </c>
      <c r="AK1863" s="2" t="s">
        <v>1635</v>
      </c>
      <c r="AL1863" s="4" t="s">
        <v>1636</v>
      </c>
      <c r="AM1863" s="5" t="s">
        <v>1636</v>
      </c>
      <c r="AN1863" s="4">
        <v>0</v>
      </c>
      <c r="AO1863" t="s">
        <v>1635</v>
      </c>
      <c r="AP1863" s="4" t="s">
        <v>1636</v>
      </c>
      <c r="AQ1863" t="s">
        <v>1619</v>
      </c>
      <c r="AR1863" t="s">
        <v>1620</v>
      </c>
      <c r="AT1863" s="16" t="str">
        <f>_xlfn.XLOOKUP(B1863,'SWiSH Demand Forecast Sep-26'!D:D,'SWiSH Demand Forecast Sep-26'!G:G,"Not Exist")</f>
        <v>Not Exist</v>
      </c>
    </row>
    <row r="1864" spans="1:46" x14ac:dyDescent="0.3">
      <c r="A1864" t="s">
        <v>3321</v>
      </c>
      <c r="B1864" t="s">
        <v>3743</v>
      </c>
      <c r="C1864" t="s">
        <v>10</v>
      </c>
      <c r="D1864" t="s">
        <v>1629</v>
      </c>
      <c r="E1864" t="s">
        <v>1638</v>
      </c>
      <c r="F1864" t="s">
        <v>1631</v>
      </c>
      <c r="G1864" t="e">
        <v>#N/A</v>
      </c>
      <c r="H1864" t="s">
        <v>2016</v>
      </c>
      <c r="I1864" t="s">
        <v>1634</v>
      </c>
      <c r="J1864" t="e">
        <v>#N/A</v>
      </c>
      <c r="K1864" t="e">
        <v>#N/A</v>
      </c>
      <c r="L1864" t="e">
        <v>#N/A</v>
      </c>
      <c r="M1864" s="1">
        <v>15</v>
      </c>
      <c r="N1864">
        <v>0</v>
      </c>
      <c r="O1864">
        <v>0</v>
      </c>
      <c r="P1864">
        <v>0</v>
      </c>
      <c r="Q1864" s="1">
        <v>0</v>
      </c>
      <c r="R1864" t="e">
        <v>#N/A</v>
      </c>
      <c r="S1864" s="2" t="e">
        <v>#N/A</v>
      </c>
      <c r="T1864" s="2" t="e">
        <v>#N/A</v>
      </c>
      <c r="U1864">
        <v>0</v>
      </c>
      <c r="V1864">
        <v>0</v>
      </c>
      <c r="W1864">
        <v>0</v>
      </c>
      <c r="X1864">
        <v>0</v>
      </c>
      <c r="Y1864">
        <v>0</v>
      </c>
      <c r="Z1864" s="8">
        <v>0</v>
      </c>
      <c r="AA1864">
        <v>0</v>
      </c>
      <c r="AB1864" t="s">
        <v>1635</v>
      </c>
      <c r="AC1864" t="s">
        <v>1635</v>
      </c>
      <c r="AD1864" s="1" t="s">
        <v>1635</v>
      </c>
      <c r="AE1864" s="2" t="s">
        <v>1635</v>
      </c>
      <c r="AF1864" s="2" t="s">
        <v>1635</v>
      </c>
      <c r="AG1864" s="2" t="s">
        <v>1635</v>
      </c>
      <c r="AH1864">
        <v>0</v>
      </c>
      <c r="AI1864" s="3" t="s">
        <v>1635</v>
      </c>
      <c r="AJ1864" s="1" t="s">
        <v>1635</v>
      </c>
      <c r="AK1864" s="2" t="s">
        <v>1635</v>
      </c>
      <c r="AL1864" s="4" t="s">
        <v>1636</v>
      </c>
      <c r="AM1864" s="5" t="s">
        <v>1636</v>
      </c>
      <c r="AN1864" s="4">
        <v>0</v>
      </c>
      <c r="AO1864" t="s">
        <v>1635</v>
      </c>
      <c r="AP1864" s="4" t="s">
        <v>1636</v>
      </c>
      <c r="AQ1864" t="s">
        <v>1619</v>
      </c>
      <c r="AR1864" t="s">
        <v>1620</v>
      </c>
      <c r="AT1864" s="16" t="str">
        <f>_xlfn.XLOOKUP(B1864,'SWiSH Demand Forecast Sep-26'!D:D,'SWiSH Demand Forecast Sep-26'!G:G,"Not Exist")</f>
        <v>Not Exist</v>
      </c>
    </row>
    <row r="1865" spans="1:46" x14ac:dyDescent="0.3">
      <c r="A1865">
        <v>106800200</v>
      </c>
      <c r="B1865" t="s">
        <v>3744</v>
      </c>
      <c r="C1865" t="s">
        <v>10</v>
      </c>
      <c r="D1865" t="s">
        <v>1629</v>
      </c>
      <c r="E1865" t="s">
        <v>2483</v>
      </c>
      <c r="F1865" t="s">
        <v>1664</v>
      </c>
      <c r="G1865" t="s">
        <v>1704</v>
      </c>
      <c r="H1865" t="s">
        <v>1665</v>
      </c>
      <c r="I1865" t="s">
        <v>1634</v>
      </c>
      <c r="J1865" t="s">
        <v>10</v>
      </c>
      <c r="K1865">
        <v>3.1022799999999998E-3</v>
      </c>
      <c r="L1865">
        <v>0</v>
      </c>
      <c r="M1865" s="1">
        <v>7</v>
      </c>
      <c r="N1865">
        <v>0</v>
      </c>
      <c r="O1865">
        <v>0</v>
      </c>
      <c r="P1865">
        <v>0</v>
      </c>
      <c r="Q1865" s="1">
        <v>0</v>
      </c>
      <c r="R1865">
        <v>3.0000000000000001E-3</v>
      </c>
      <c r="S1865" s="2">
        <v>44602</v>
      </c>
      <c r="T1865" s="2">
        <v>45777</v>
      </c>
      <c r="U1865">
        <v>0</v>
      </c>
      <c r="V1865">
        <v>0</v>
      </c>
      <c r="W1865">
        <v>0</v>
      </c>
      <c r="X1865">
        <v>0</v>
      </c>
      <c r="Y1865">
        <v>0</v>
      </c>
      <c r="Z1865" s="8">
        <v>0</v>
      </c>
      <c r="AA1865">
        <v>0</v>
      </c>
      <c r="AB1865" t="s">
        <v>1635</v>
      </c>
      <c r="AC1865" t="s">
        <v>1635</v>
      </c>
      <c r="AD1865" s="1" t="s">
        <v>1635</v>
      </c>
      <c r="AE1865" s="2" t="s">
        <v>1635</v>
      </c>
      <c r="AF1865" s="2" t="s">
        <v>1635</v>
      </c>
      <c r="AG1865" s="2" t="s">
        <v>1635</v>
      </c>
      <c r="AH1865">
        <v>0</v>
      </c>
      <c r="AI1865" s="3" t="s">
        <v>1635</v>
      </c>
      <c r="AJ1865" s="1" t="s">
        <v>1635</v>
      </c>
      <c r="AK1865" s="2" t="s">
        <v>1635</v>
      </c>
      <c r="AL1865" s="4" t="s">
        <v>1636</v>
      </c>
      <c r="AM1865" s="5" t="s">
        <v>1636</v>
      </c>
      <c r="AN1865" s="4">
        <v>0</v>
      </c>
      <c r="AO1865" t="s">
        <v>1635</v>
      </c>
      <c r="AP1865" s="4" t="s">
        <v>1636</v>
      </c>
      <c r="AQ1865" t="s">
        <v>1619</v>
      </c>
      <c r="AR1865" t="s">
        <v>1620</v>
      </c>
      <c r="AT1865" s="16" t="str">
        <f>_xlfn.XLOOKUP(B1865,'SWiSH Demand Forecast Sep-26'!D:D,'SWiSH Demand Forecast Sep-26'!G:G,"Not Exist")</f>
        <v>Not Exist</v>
      </c>
    </row>
    <row r="1866" spans="1:46" x14ac:dyDescent="0.3">
      <c r="A1866">
        <v>105600049</v>
      </c>
      <c r="B1866" t="s">
        <v>3745</v>
      </c>
      <c r="C1866" t="s">
        <v>136</v>
      </c>
      <c r="D1866" t="s">
        <v>1629</v>
      </c>
      <c r="E1866" t="s">
        <v>1732</v>
      </c>
      <c r="F1866" t="s">
        <v>1664</v>
      </c>
      <c r="G1866" t="s">
        <v>1632</v>
      </c>
      <c r="H1866" t="s">
        <v>1679</v>
      </c>
      <c r="I1866" t="s">
        <v>1634</v>
      </c>
      <c r="J1866" t="s">
        <v>136</v>
      </c>
      <c r="K1866">
        <v>0.7</v>
      </c>
      <c r="L1866">
        <v>0</v>
      </c>
      <c r="M1866" s="1">
        <v>15</v>
      </c>
      <c r="N1866">
        <v>0</v>
      </c>
      <c r="O1866">
        <v>0</v>
      </c>
      <c r="P1866">
        <v>0</v>
      </c>
      <c r="Q1866" s="1">
        <v>0</v>
      </c>
      <c r="R1866">
        <v>0</v>
      </c>
      <c r="S1866" s="2">
        <v>0</v>
      </c>
      <c r="T1866" s="2">
        <v>45928</v>
      </c>
      <c r="U1866">
        <v>0</v>
      </c>
      <c r="V1866">
        <v>0</v>
      </c>
      <c r="W1866">
        <v>0</v>
      </c>
      <c r="X1866">
        <v>0</v>
      </c>
      <c r="Y1866">
        <v>0</v>
      </c>
      <c r="Z1866" s="8">
        <v>0</v>
      </c>
      <c r="AA1866">
        <v>0</v>
      </c>
      <c r="AB1866" t="s">
        <v>1635</v>
      </c>
      <c r="AC1866" t="s">
        <v>1635</v>
      </c>
      <c r="AD1866" s="1" t="s">
        <v>1635</v>
      </c>
      <c r="AE1866" s="2" t="s">
        <v>1635</v>
      </c>
      <c r="AF1866" s="2" t="s">
        <v>1635</v>
      </c>
      <c r="AG1866" s="2" t="s">
        <v>1635</v>
      </c>
      <c r="AH1866">
        <v>0</v>
      </c>
      <c r="AI1866" s="3" t="s">
        <v>1635</v>
      </c>
      <c r="AJ1866" s="1" t="s">
        <v>1635</v>
      </c>
      <c r="AK1866" s="2" t="s">
        <v>1635</v>
      </c>
      <c r="AL1866" s="4" t="s">
        <v>1636</v>
      </c>
      <c r="AM1866" s="5" t="s">
        <v>1636</v>
      </c>
      <c r="AN1866" s="4">
        <v>0</v>
      </c>
      <c r="AO1866" t="s">
        <v>1635</v>
      </c>
      <c r="AP1866" s="4" t="s">
        <v>1636</v>
      </c>
      <c r="AQ1866" t="s">
        <v>1619</v>
      </c>
      <c r="AR1866" t="s">
        <v>1620</v>
      </c>
      <c r="AT1866" s="16" t="str">
        <f>_xlfn.XLOOKUP(B1866,'SWiSH Demand Forecast Sep-26'!D:D,'SWiSH Demand Forecast Sep-26'!G:G,"Not Exist")</f>
        <v>Not Exist</v>
      </c>
    </row>
    <row r="1867" spans="1:46" x14ac:dyDescent="0.3">
      <c r="A1867">
        <v>106600099</v>
      </c>
      <c r="B1867" t="s">
        <v>3746</v>
      </c>
      <c r="C1867" t="s">
        <v>10</v>
      </c>
      <c r="D1867" t="s">
        <v>1629</v>
      </c>
      <c r="E1867" t="s">
        <v>1926</v>
      </c>
      <c r="F1867" t="s">
        <v>1664</v>
      </c>
      <c r="G1867" t="s">
        <v>1690</v>
      </c>
      <c r="H1867" t="s">
        <v>1723</v>
      </c>
      <c r="I1867" t="s">
        <v>1634</v>
      </c>
      <c r="J1867" t="s">
        <v>10</v>
      </c>
      <c r="K1867">
        <v>0.01</v>
      </c>
      <c r="L1867">
        <v>0</v>
      </c>
      <c r="M1867" s="1">
        <v>15</v>
      </c>
      <c r="N1867">
        <v>0</v>
      </c>
      <c r="O1867">
        <v>0</v>
      </c>
      <c r="P1867">
        <v>0</v>
      </c>
      <c r="Q1867" s="1">
        <v>0</v>
      </c>
      <c r="R1867">
        <v>7.0000000000000001E-3</v>
      </c>
      <c r="S1867" s="2">
        <v>45777</v>
      </c>
      <c r="T1867" s="2">
        <v>45922</v>
      </c>
      <c r="U1867">
        <v>0</v>
      </c>
      <c r="V1867">
        <v>0</v>
      </c>
      <c r="W1867">
        <v>0</v>
      </c>
      <c r="X1867">
        <v>0</v>
      </c>
      <c r="Y1867">
        <v>0</v>
      </c>
      <c r="Z1867" s="8">
        <v>0</v>
      </c>
      <c r="AA1867">
        <v>0</v>
      </c>
      <c r="AB1867" t="s">
        <v>1635</v>
      </c>
      <c r="AC1867" t="s">
        <v>1635</v>
      </c>
      <c r="AD1867" s="1" t="s">
        <v>1635</v>
      </c>
      <c r="AE1867" s="2" t="s">
        <v>1635</v>
      </c>
      <c r="AF1867" s="2" t="s">
        <v>1635</v>
      </c>
      <c r="AG1867" s="2" t="s">
        <v>1635</v>
      </c>
      <c r="AH1867">
        <v>0</v>
      </c>
      <c r="AI1867" s="3" t="s">
        <v>1635</v>
      </c>
      <c r="AJ1867" s="1" t="s">
        <v>1635</v>
      </c>
      <c r="AK1867" s="2" t="s">
        <v>1635</v>
      </c>
      <c r="AL1867" s="4" t="s">
        <v>1636</v>
      </c>
      <c r="AM1867" s="5" t="s">
        <v>1636</v>
      </c>
      <c r="AN1867" s="4">
        <v>0</v>
      </c>
      <c r="AO1867" t="s">
        <v>1635</v>
      </c>
      <c r="AP1867" s="4" t="s">
        <v>1636</v>
      </c>
      <c r="AQ1867" t="s">
        <v>1619</v>
      </c>
      <c r="AR1867" t="s">
        <v>1620</v>
      </c>
      <c r="AT1867" s="16" t="str">
        <f>_xlfn.XLOOKUP(B1867,'SWiSH Demand Forecast Sep-26'!D:D,'SWiSH Demand Forecast Sep-26'!G:G,"Not Exist")</f>
        <v>Not Exist</v>
      </c>
    </row>
    <row r="1868" spans="1:46" x14ac:dyDescent="0.3">
      <c r="A1868">
        <v>101500023</v>
      </c>
      <c r="B1868" t="s">
        <v>3747</v>
      </c>
      <c r="C1868" t="s">
        <v>10</v>
      </c>
      <c r="D1868" t="s">
        <v>1675</v>
      </c>
      <c r="E1868" t="s">
        <v>1677</v>
      </c>
      <c r="F1868" t="s">
        <v>1631</v>
      </c>
      <c r="G1868" t="s">
        <v>1704</v>
      </c>
      <c r="H1868" t="s">
        <v>1647</v>
      </c>
      <c r="I1868" t="s">
        <v>1634</v>
      </c>
      <c r="J1868" t="s">
        <v>2603</v>
      </c>
      <c r="K1868">
        <v>1.2E-2</v>
      </c>
      <c r="L1868">
        <v>9</v>
      </c>
      <c r="M1868" s="1">
        <v>3</v>
      </c>
      <c r="N1868">
        <v>0</v>
      </c>
      <c r="O1868">
        <v>0</v>
      </c>
      <c r="P1868">
        <v>750</v>
      </c>
      <c r="Q1868" s="1">
        <v>750</v>
      </c>
      <c r="R1868">
        <v>0.6</v>
      </c>
      <c r="S1868" s="2">
        <v>45927</v>
      </c>
      <c r="T1868" s="2">
        <v>46107</v>
      </c>
      <c r="U1868">
        <v>0</v>
      </c>
      <c r="V1868">
        <v>0</v>
      </c>
      <c r="W1868">
        <v>0</v>
      </c>
      <c r="X1868">
        <v>0</v>
      </c>
      <c r="Y1868">
        <v>0</v>
      </c>
      <c r="Z1868" s="8">
        <v>0</v>
      </c>
      <c r="AA1868">
        <v>0</v>
      </c>
      <c r="AB1868" t="s">
        <v>1635</v>
      </c>
      <c r="AC1868" t="s">
        <v>1635</v>
      </c>
      <c r="AD1868" s="1" t="s">
        <v>1635</v>
      </c>
      <c r="AE1868" s="2" t="s">
        <v>1635</v>
      </c>
      <c r="AF1868" s="2" t="s">
        <v>1635</v>
      </c>
      <c r="AG1868" s="2" t="s">
        <v>1635</v>
      </c>
      <c r="AH1868">
        <v>0</v>
      </c>
      <c r="AI1868" s="3" t="s">
        <v>1635</v>
      </c>
      <c r="AJ1868" s="1" t="s">
        <v>1635</v>
      </c>
      <c r="AK1868" s="2" t="s">
        <v>1635</v>
      </c>
      <c r="AL1868" s="4" t="s">
        <v>1658</v>
      </c>
      <c r="AM1868" s="5" t="s">
        <v>1658</v>
      </c>
      <c r="AN1868" s="4">
        <v>0</v>
      </c>
      <c r="AO1868" t="s">
        <v>1635</v>
      </c>
      <c r="AP1868" s="4" t="s">
        <v>1658</v>
      </c>
      <c r="AQ1868" t="s">
        <v>1619</v>
      </c>
      <c r="AR1868" t="s">
        <v>1620</v>
      </c>
      <c r="AT1868" s="16" t="str">
        <f>_xlfn.XLOOKUP(B1868,'SWiSH Demand Forecast Sep-26'!D:D,'SWiSH Demand Forecast Sep-26'!G:G,"Not Exist")</f>
        <v>Not Exist</v>
      </c>
    </row>
    <row r="1869" spans="1:46" x14ac:dyDescent="0.3">
      <c r="A1869">
        <v>105600019</v>
      </c>
      <c r="B1869" t="s">
        <v>3748</v>
      </c>
      <c r="C1869" t="s">
        <v>136</v>
      </c>
      <c r="D1869" t="s">
        <v>1629</v>
      </c>
      <c r="E1869" t="s">
        <v>1732</v>
      </c>
      <c r="F1869" t="s">
        <v>1664</v>
      </c>
      <c r="G1869" t="s">
        <v>1632</v>
      </c>
      <c r="H1869" t="s">
        <v>1679</v>
      </c>
      <c r="I1869" t="s">
        <v>1634</v>
      </c>
      <c r="J1869" t="s">
        <v>136</v>
      </c>
      <c r="K1869">
        <v>0.52500000000000002</v>
      </c>
      <c r="L1869">
        <v>0</v>
      </c>
      <c r="M1869" s="1">
        <v>15</v>
      </c>
      <c r="N1869">
        <v>0</v>
      </c>
      <c r="O1869">
        <v>0</v>
      </c>
      <c r="P1869">
        <v>0</v>
      </c>
      <c r="Q1869" s="1">
        <v>0</v>
      </c>
      <c r="R1869">
        <v>0.7</v>
      </c>
      <c r="S1869" s="2">
        <v>44895</v>
      </c>
      <c r="T1869" s="2">
        <v>45967</v>
      </c>
      <c r="U1869">
        <v>0</v>
      </c>
      <c r="V1869">
        <v>0</v>
      </c>
      <c r="W1869">
        <v>0</v>
      </c>
      <c r="X1869">
        <v>0</v>
      </c>
      <c r="Y1869">
        <v>0</v>
      </c>
      <c r="Z1869" s="8">
        <v>0</v>
      </c>
      <c r="AA1869">
        <v>0</v>
      </c>
      <c r="AB1869" t="s">
        <v>1635</v>
      </c>
      <c r="AC1869" t="s">
        <v>1635</v>
      </c>
      <c r="AD1869" s="1" t="s">
        <v>1635</v>
      </c>
      <c r="AE1869" s="2" t="s">
        <v>1635</v>
      </c>
      <c r="AF1869" s="2" t="s">
        <v>1635</v>
      </c>
      <c r="AG1869" s="2" t="s">
        <v>1635</v>
      </c>
      <c r="AH1869">
        <v>0</v>
      </c>
      <c r="AI1869" s="3" t="s">
        <v>1635</v>
      </c>
      <c r="AJ1869" s="1" t="s">
        <v>1635</v>
      </c>
      <c r="AK1869" s="2" t="s">
        <v>1635</v>
      </c>
      <c r="AL1869" s="4" t="s">
        <v>1636</v>
      </c>
      <c r="AM1869" s="5" t="s">
        <v>1636</v>
      </c>
      <c r="AN1869" s="4">
        <v>0</v>
      </c>
      <c r="AO1869" t="s">
        <v>1635</v>
      </c>
      <c r="AP1869" s="4" t="s">
        <v>1636</v>
      </c>
      <c r="AQ1869" t="s">
        <v>1619</v>
      </c>
      <c r="AR1869" t="s">
        <v>1620</v>
      </c>
      <c r="AT1869" s="16" t="str">
        <f>_xlfn.XLOOKUP(B1869,'SWiSH Demand Forecast Sep-26'!D:D,'SWiSH Demand Forecast Sep-26'!G:G,"Not Exist")</f>
        <v>Not Exist</v>
      </c>
    </row>
    <row r="1870" spans="1:46" x14ac:dyDescent="0.3">
      <c r="A1870">
        <v>106800065</v>
      </c>
      <c r="B1870" t="s">
        <v>3749</v>
      </c>
      <c r="C1870" t="s">
        <v>10</v>
      </c>
      <c r="D1870" t="s">
        <v>1629</v>
      </c>
      <c r="E1870" t="s">
        <v>1775</v>
      </c>
      <c r="F1870" t="s">
        <v>1664</v>
      </c>
      <c r="G1870" t="s">
        <v>1690</v>
      </c>
      <c r="H1870" t="s">
        <v>1665</v>
      </c>
      <c r="I1870" t="s">
        <v>1634</v>
      </c>
      <c r="J1870" t="s">
        <v>10</v>
      </c>
      <c r="K1870">
        <v>7.0419999999999996E-2</v>
      </c>
      <c r="L1870">
        <v>0</v>
      </c>
      <c r="M1870" s="1">
        <v>7</v>
      </c>
      <c r="N1870">
        <v>0</v>
      </c>
      <c r="O1870">
        <v>0</v>
      </c>
      <c r="P1870">
        <v>0</v>
      </c>
      <c r="Q1870" s="1">
        <v>0</v>
      </c>
      <c r="R1870">
        <v>7.0419999999999996E-2</v>
      </c>
      <c r="S1870" s="2">
        <v>45545</v>
      </c>
      <c r="T1870" s="2">
        <v>46107</v>
      </c>
      <c r="U1870">
        <v>0</v>
      </c>
      <c r="V1870">
        <v>0</v>
      </c>
      <c r="W1870">
        <v>0</v>
      </c>
      <c r="X1870">
        <v>0</v>
      </c>
      <c r="Y1870">
        <v>0</v>
      </c>
      <c r="Z1870" s="8">
        <v>0</v>
      </c>
      <c r="AA1870">
        <v>0</v>
      </c>
      <c r="AB1870" t="s">
        <v>1635</v>
      </c>
      <c r="AC1870" t="s">
        <v>1635</v>
      </c>
      <c r="AD1870" s="1" t="s">
        <v>1635</v>
      </c>
      <c r="AE1870" s="2" t="s">
        <v>1635</v>
      </c>
      <c r="AF1870" s="2" t="s">
        <v>1635</v>
      </c>
      <c r="AG1870" s="2" t="s">
        <v>1635</v>
      </c>
      <c r="AH1870">
        <v>0</v>
      </c>
      <c r="AI1870" s="3" t="s">
        <v>1635</v>
      </c>
      <c r="AJ1870" s="1" t="s">
        <v>1635</v>
      </c>
      <c r="AK1870" s="2" t="s">
        <v>1635</v>
      </c>
      <c r="AL1870" s="4" t="s">
        <v>1636</v>
      </c>
      <c r="AM1870" s="5" t="s">
        <v>1636</v>
      </c>
      <c r="AN1870" s="4">
        <v>0</v>
      </c>
      <c r="AO1870" t="s">
        <v>1635</v>
      </c>
      <c r="AP1870" s="4" t="s">
        <v>1636</v>
      </c>
      <c r="AQ1870" t="s">
        <v>1619</v>
      </c>
      <c r="AR1870" t="s">
        <v>1620</v>
      </c>
      <c r="AT1870" s="16" t="str">
        <f>_xlfn.XLOOKUP(B1870,'SWiSH Demand Forecast Sep-26'!D:D,'SWiSH Demand Forecast Sep-26'!G:G,"Not Exist")</f>
        <v>Not Exist</v>
      </c>
    </row>
    <row r="1871" spans="1:46" x14ac:dyDescent="0.3">
      <c r="A1871">
        <v>101500025</v>
      </c>
      <c r="B1871" t="s">
        <v>3750</v>
      </c>
      <c r="C1871" t="s">
        <v>10</v>
      </c>
      <c r="D1871" t="s">
        <v>1675</v>
      </c>
      <c r="E1871" t="s">
        <v>1677</v>
      </c>
      <c r="F1871" t="s">
        <v>1631</v>
      </c>
      <c r="G1871" t="s">
        <v>1704</v>
      </c>
      <c r="H1871" t="s">
        <v>1647</v>
      </c>
      <c r="I1871" t="s">
        <v>1634</v>
      </c>
      <c r="J1871" t="s">
        <v>10</v>
      </c>
      <c r="K1871">
        <v>1.2E-2</v>
      </c>
      <c r="L1871">
        <v>6.6000000000000005</v>
      </c>
      <c r="M1871" s="1">
        <v>3</v>
      </c>
      <c r="N1871">
        <v>0</v>
      </c>
      <c r="O1871">
        <v>0</v>
      </c>
      <c r="P1871">
        <v>550</v>
      </c>
      <c r="Q1871" s="1">
        <v>550</v>
      </c>
      <c r="R1871">
        <v>0.6</v>
      </c>
      <c r="S1871" s="2">
        <v>45957</v>
      </c>
      <c r="T1871" s="2">
        <v>46107</v>
      </c>
      <c r="U1871">
        <v>0</v>
      </c>
      <c r="V1871">
        <v>0</v>
      </c>
      <c r="W1871">
        <v>0</v>
      </c>
      <c r="X1871">
        <v>0</v>
      </c>
      <c r="Y1871">
        <v>0</v>
      </c>
      <c r="Z1871" s="8">
        <v>0</v>
      </c>
      <c r="AA1871">
        <v>0</v>
      </c>
      <c r="AB1871" t="s">
        <v>1635</v>
      </c>
      <c r="AC1871" t="s">
        <v>1635</v>
      </c>
      <c r="AD1871" s="1" t="s">
        <v>1635</v>
      </c>
      <c r="AE1871" s="2" t="s">
        <v>1635</v>
      </c>
      <c r="AF1871" s="2" t="s">
        <v>1635</v>
      </c>
      <c r="AG1871" s="2" t="s">
        <v>1635</v>
      </c>
      <c r="AH1871">
        <v>0</v>
      </c>
      <c r="AI1871" s="3" t="s">
        <v>1635</v>
      </c>
      <c r="AJ1871" s="1" t="s">
        <v>1635</v>
      </c>
      <c r="AK1871" s="2" t="s">
        <v>1635</v>
      </c>
      <c r="AL1871" s="4" t="s">
        <v>1658</v>
      </c>
      <c r="AM1871" s="5" t="s">
        <v>1658</v>
      </c>
      <c r="AN1871" s="4">
        <v>0</v>
      </c>
      <c r="AO1871" t="s">
        <v>1635</v>
      </c>
      <c r="AP1871" s="4" t="s">
        <v>1658</v>
      </c>
      <c r="AQ1871" t="s">
        <v>1619</v>
      </c>
      <c r="AR1871" t="s">
        <v>1620</v>
      </c>
      <c r="AT1871" s="16" t="str">
        <f>_xlfn.XLOOKUP(B1871,'SWiSH Demand Forecast Sep-26'!D:D,'SWiSH Demand Forecast Sep-26'!G:G,"Not Exist")</f>
        <v>Not Exist</v>
      </c>
    </row>
    <row r="1872" spans="1:46" x14ac:dyDescent="0.3">
      <c r="A1872">
        <v>101500024</v>
      </c>
      <c r="B1872" t="s">
        <v>3751</v>
      </c>
      <c r="C1872" t="s">
        <v>10</v>
      </c>
      <c r="D1872" t="s">
        <v>1675</v>
      </c>
      <c r="E1872" t="s">
        <v>1677</v>
      </c>
      <c r="F1872" t="s">
        <v>1631</v>
      </c>
      <c r="G1872" t="s">
        <v>1704</v>
      </c>
      <c r="H1872" t="s">
        <v>1647</v>
      </c>
      <c r="I1872" t="s">
        <v>1634</v>
      </c>
      <c r="J1872" t="s">
        <v>2603</v>
      </c>
      <c r="K1872">
        <v>1.2E-2</v>
      </c>
      <c r="L1872">
        <v>14.4</v>
      </c>
      <c r="M1872" s="1">
        <v>3</v>
      </c>
      <c r="N1872">
        <v>0</v>
      </c>
      <c r="O1872">
        <v>0</v>
      </c>
      <c r="P1872">
        <v>1200</v>
      </c>
      <c r="Q1872" s="1">
        <v>1200</v>
      </c>
      <c r="R1872">
        <v>0.6</v>
      </c>
      <c r="S1872" s="2">
        <v>45927</v>
      </c>
      <c r="T1872" s="2">
        <v>46107</v>
      </c>
      <c r="U1872">
        <v>0</v>
      </c>
      <c r="V1872">
        <v>0</v>
      </c>
      <c r="W1872">
        <v>0</v>
      </c>
      <c r="X1872">
        <v>0</v>
      </c>
      <c r="Y1872">
        <v>0</v>
      </c>
      <c r="Z1872" s="8">
        <v>0</v>
      </c>
      <c r="AA1872">
        <v>0</v>
      </c>
      <c r="AB1872" t="s">
        <v>1635</v>
      </c>
      <c r="AC1872" t="s">
        <v>1635</v>
      </c>
      <c r="AD1872" s="1" t="s">
        <v>1635</v>
      </c>
      <c r="AE1872" s="2" t="s">
        <v>1635</v>
      </c>
      <c r="AF1872" s="2" t="s">
        <v>1635</v>
      </c>
      <c r="AG1872" s="2" t="s">
        <v>1635</v>
      </c>
      <c r="AH1872">
        <v>0</v>
      </c>
      <c r="AI1872" s="3" t="s">
        <v>1635</v>
      </c>
      <c r="AJ1872" s="1" t="s">
        <v>1635</v>
      </c>
      <c r="AK1872" s="2" t="s">
        <v>1635</v>
      </c>
      <c r="AL1872" s="4" t="s">
        <v>1658</v>
      </c>
      <c r="AM1872" s="5" t="s">
        <v>1658</v>
      </c>
      <c r="AN1872" s="4">
        <v>0</v>
      </c>
      <c r="AO1872" t="s">
        <v>1635</v>
      </c>
      <c r="AP1872" s="4" t="s">
        <v>1658</v>
      </c>
      <c r="AQ1872" t="s">
        <v>1619</v>
      </c>
      <c r="AR1872" t="s">
        <v>1620</v>
      </c>
      <c r="AT1872" s="16" t="str">
        <f>_xlfn.XLOOKUP(B1872,'SWiSH Demand Forecast Sep-26'!D:D,'SWiSH Demand Forecast Sep-26'!G:G,"Not Exist")</f>
        <v>Not Exist</v>
      </c>
    </row>
    <row r="1873" spans="1:46" x14ac:dyDescent="0.3">
      <c r="A1873">
        <v>100400106</v>
      </c>
      <c r="B1873" t="s">
        <v>3752</v>
      </c>
      <c r="C1873" t="s">
        <v>10</v>
      </c>
      <c r="D1873" t="s">
        <v>1675</v>
      </c>
      <c r="E1873" t="s">
        <v>1638</v>
      </c>
      <c r="F1873" t="s">
        <v>1664</v>
      </c>
      <c r="G1873" t="s">
        <v>1704</v>
      </c>
      <c r="H1873" t="s">
        <v>1810</v>
      </c>
      <c r="I1873" t="s">
        <v>1634</v>
      </c>
      <c r="J1873" t="s">
        <v>10</v>
      </c>
      <c r="K1873">
        <v>8.1670000000000006E-2</v>
      </c>
      <c r="L1873">
        <v>0</v>
      </c>
      <c r="M1873" s="1">
        <v>30</v>
      </c>
      <c r="N1873">
        <v>0</v>
      </c>
      <c r="O1873">
        <v>0</v>
      </c>
      <c r="P1873">
        <v>0</v>
      </c>
      <c r="Q1873" s="1">
        <v>0</v>
      </c>
      <c r="R1873">
        <v>8.1670000000000006E-2</v>
      </c>
      <c r="S1873" s="2">
        <v>45720</v>
      </c>
      <c r="T1873" s="2">
        <v>45777</v>
      </c>
      <c r="U1873">
        <v>0</v>
      </c>
      <c r="V1873">
        <v>0</v>
      </c>
      <c r="W1873">
        <v>0</v>
      </c>
      <c r="X1873">
        <v>0</v>
      </c>
      <c r="Y1873">
        <v>0</v>
      </c>
      <c r="Z1873" s="8">
        <v>0</v>
      </c>
      <c r="AA1873">
        <v>0</v>
      </c>
      <c r="AB1873" t="s">
        <v>1635</v>
      </c>
      <c r="AC1873" t="s">
        <v>1635</v>
      </c>
      <c r="AD1873" s="1" t="s">
        <v>1635</v>
      </c>
      <c r="AE1873" s="2" t="s">
        <v>1635</v>
      </c>
      <c r="AF1873" s="2" t="s">
        <v>1635</v>
      </c>
      <c r="AG1873" s="2" t="s">
        <v>1635</v>
      </c>
      <c r="AH1873">
        <v>0</v>
      </c>
      <c r="AI1873" s="3" t="s">
        <v>1635</v>
      </c>
      <c r="AJ1873" s="1" t="s">
        <v>1635</v>
      </c>
      <c r="AK1873" s="2" t="s">
        <v>1635</v>
      </c>
      <c r="AL1873" s="4" t="s">
        <v>1658</v>
      </c>
      <c r="AM1873" s="5" t="s">
        <v>1658</v>
      </c>
      <c r="AN1873" s="4">
        <v>0</v>
      </c>
      <c r="AO1873" t="s">
        <v>1635</v>
      </c>
      <c r="AP1873" s="4" t="s">
        <v>1658</v>
      </c>
      <c r="AQ1873" t="s">
        <v>1619</v>
      </c>
      <c r="AR1873" t="s">
        <v>1620</v>
      </c>
      <c r="AT1873" s="16" t="str">
        <f>_xlfn.XLOOKUP(B1873,'SWiSH Demand Forecast Sep-26'!D:D,'SWiSH Demand Forecast Sep-26'!G:G,"Not Exist")</f>
        <v>Not Exist</v>
      </c>
    </row>
    <row r="1874" spans="1:46" x14ac:dyDescent="0.3">
      <c r="A1874">
        <v>100400217</v>
      </c>
      <c r="B1874" t="s">
        <v>3753</v>
      </c>
      <c r="C1874" t="s">
        <v>10</v>
      </c>
      <c r="D1874" t="s">
        <v>1675</v>
      </c>
      <c r="E1874" t="s">
        <v>1663</v>
      </c>
      <c r="F1874" t="s">
        <v>1664</v>
      </c>
      <c r="G1874" t="s">
        <v>1704</v>
      </c>
      <c r="H1874" t="s">
        <v>1810</v>
      </c>
      <c r="I1874" t="s">
        <v>1634</v>
      </c>
      <c r="J1874" t="s">
        <v>10</v>
      </c>
      <c r="K1874">
        <v>7.5454549999999995E-2</v>
      </c>
      <c r="L1874">
        <v>0</v>
      </c>
      <c r="M1874" s="1">
        <v>30</v>
      </c>
      <c r="N1874">
        <v>0</v>
      </c>
      <c r="O1874">
        <v>0</v>
      </c>
      <c r="P1874">
        <v>0</v>
      </c>
      <c r="Q1874" s="1">
        <v>0</v>
      </c>
      <c r="R1874">
        <v>7.0000000000000007E-2</v>
      </c>
      <c r="S1874" s="2">
        <v>44965</v>
      </c>
      <c r="T1874" s="2">
        <v>45804</v>
      </c>
      <c r="U1874">
        <v>0</v>
      </c>
      <c r="V1874">
        <v>0</v>
      </c>
      <c r="W1874">
        <v>0</v>
      </c>
      <c r="X1874">
        <v>0</v>
      </c>
      <c r="Y1874">
        <v>0</v>
      </c>
      <c r="Z1874" s="8">
        <v>0</v>
      </c>
      <c r="AA1874">
        <v>0</v>
      </c>
      <c r="AB1874" t="s">
        <v>1635</v>
      </c>
      <c r="AC1874" t="s">
        <v>1635</v>
      </c>
      <c r="AD1874" s="1" t="s">
        <v>1635</v>
      </c>
      <c r="AE1874" s="2" t="s">
        <v>1635</v>
      </c>
      <c r="AF1874" s="2" t="s">
        <v>1635</v>
      </c>
      <c r="AG1874" s="2" t="s">
        <v>1635</v>
      </c>
      <c r="AH1874">
        <v>0</v>
      </c>
      <c r="AI1874" s="3" t="s">
        <v>1635</v>
      </c>
      <c r="AJ1874" s="1" t="s">
        <v>1635</v>
      </c>
      <c r="AK1874" s="2" t="s">
        <v>1635</v>
      </c>
      <c r="AL1874" s="4" t="s">
        <v>1658</v>
      </c>
      <c r="AM1874" s="5" t="s">
        <v>1658</v>
      </c>
      <c r="AN1874" s="4">
        <v>0</v>
      </c>
      <c r="AO1874" t="s">
        <v>1635</v>
      </c>
      <c r="AP1874" s="4" t="s">
        <v>1658</v>
      </c>
      <c r="AQ1874" t="s">
        <v>1619</v>
      </c>
      <c r="AR1874" t="s">
        <v>1620</v>
      </c>
      <c r="AT1874" s="16" t="str">
        <f>_xlfn.XLOOKUP(B1874,'SWiSH Demand Forecast Sep-26'!D:D,'SWiSH Demand Forecast Sep-26'!G:G,"Not Exist")</f>
        <v>Not Exist</v>
      </c>
    </row>
    <row r="1875" spans="1:46" x14ac:dyDescent="0.3">
      <c r="A1875">
        <v>100400034</v>
      </c>
      <c r="B1875" t="s">
        <v>3754</v>
      </c>
      <c r="C1875" t="s">
        <v>10</v>
      </c>
      <c r="D1875" t="s">
        <v>1675</v>
      </c>
      <c r="E1875" t="s">
        <v>1926</v>
      </c>
      <c r="F1875" t="s">
        <v>1664</v>
      </c>
      <c r="G1875" t="s">
        <v>1704</v>
      </c>
      <c r="H1875" t="s">
        <v>1810</v>
      </c>
      <c r="I1875" t="s">
        <v>1634</v>
      </c>
      <c r="J1875" t="s">
        <v>10</v>
      </c>
      <c r="K1875">
        <v>3.6769999999999997E-2</v>
      </c>
      <c r="L1875">
        <v>0</v>
      </c>
      <c r="M1875" s="1">
        <v>30</v>
      </c>
      <c r="N1875">
        <v>0</v>
      </c>
      <c r="O1875">
        <v>0</v>
      </c>
      <c r="P1875">
        <v>0</v>
      </c>
      <c r="Q1875" s="1">
        <v>0</v>
      </c>
      <c r="R1875">
        <v>0.03</v>
      </c>
      <c r="S1875" s="2">
        <v>45777</v>
      </c>
      <c r="T1875" s="2">
        <v>44369</v>
      </c>
      <c r="U1875">
        <v>0</v>
      </c>
      <c r="V1875">
        <v>0</v>
      </c>
      <c r="W1875">
        <v>0</v>
      </c>
      <c r="X1875">
        <v>0</v>
      </c>
      <c r="Y1875">
        <v>0</v>
      </c>
      <c r="Z1875" s="8">
        <v>0</v>
      </c>
      <c r="AA1875">
        <v>0</v>
      </c>
      <c r="AB1875" t="s">
        <v>1635</v>
      </c>
      <c r="AC1875" t="s">
        <v>1635</v>
      </c>
      <c r="AD1875" s="1" t="s">
        <v>1635</v>
      </c>
      <c r="AE1875" s="2" t="s">
        <v>1635</v>
      </c>
      <c r="AF1875" s="2" t="s">
        <v>1635</v>
      </c>
      <c r="AG1875" s="2" t="s">
        <v>1635</v>
      </c>
      <c r="AH1875">
        <v>0</v>
      </c>
      <c r="AI1875" s="3" t="s">
        <v>1635</v>
      </c>
      <c r="AJ1875" s="1" t="s">
        <v>1635</v>
      </c>
      <c r="AK1875" s="2" t="s">
        <v>1635</v>
      </c>
      <c r="AL1875" s="4" t="s">
        <v>1658</v>
      </c>
      <c r="AM1875" s="5" t="s">
        <v>1658</v>
      </c>
      <c r="AN1875" s="4">
        <v>0</v>
      </c>
      <c r="AO1875" t="s">
        <v>1635</v>
      </c>
      <c r="AP1875" s="4" t="s">
        <v>1658</v>
      </c>
      <c r="AQ1875" t="s">
        <v>1619</v>
      </c>
      <c r="AR1875" t="s">
        <v>1620</v>
      </c>
      <c r="AT1875" s="16" t="str">
        <f>_xlfn.XLOOKUP(B1875,'SWiSH Demand Forecast Sep-26'!D:D,'SWiSH Demand Forecast Sep-26'!G:G,"Not Exist")</f>
        <v>Not Exist</v>
      </c>
    </row>
    <row r="1876" spans="1:46" x14ac:dyDescent="0.3">
      <c r="A1876">
        <v>100400028</v>
      </c>
      <c r="B1876" t="s">
        <v>3755</v>
      </c>
      <c r="C1876" t="s">
        <v>10</v>
      </c>
      <c r="D1876" t="s">
        <v>1675</v>
      </c>
      <c r="E1876" t="s">
        <v>1638</v>
      </c>
      <c r="F1876" t="s">
        <v>1664</v>
      </c>
      <c r="G1876" t="s">
        <v>1704</v>
      </c>
      <c r="H1876" t="s">
        <v>1810</v>
      </c>
      <c r="I1876" t="s">
        <v>1634</v>
      </c>
      <c r="J1876" t="s">
        <v>10</v>
      </c>
      <c r="K1876">
        <v>2.666667E-2</v>
      </c>
      <c r="L1876">
        <v>0</v>
      </c>
      <c r="M1876" s="1">
        <v>30</v>
      </c>
      <c r="N1876">
        <v>0</v>
      </c>
      <c r="O1876">
        <v>0</v>
      </c>
      <c r="P1876">
        <v>0</v>
      </c>
      <c r="Q1876" s="1">
        <v>0</v>
      </c>
      <c r="R1876">
        <v>0.03</v>
      </c>
      <c r="S1876" s="2">
        <v>45720</v>
      </c>
      <c r="T1876" s="2">
        <v>45777</v>
      </c>
      <c r="U1876">
        <v>0</v>
      </c>
      <c r="V1876">
        <v>0</v>
      </c>
      <c r="W1876">
        <v>0</v>
      </c>
      <c r="X1876">
        <v>0</v>
      </c>
      <c r="Y1876">
        <v>0</v>
      </c>
      <c r="Z1876" s="8">
        <v>0</v>
      </c>
      <c r="AA1876">
        <v>0</v>
      </c>
      <c r="AB1876" t="s">
        <v>1635</v>
      </c>
      <c r="AC1876" t="s">
        <v>1635</v>
      </c>
      <c r="AD1876" s="1" t="s">
        <v>1635</v>
      </c>
      <c r="AE1876" s="2" t="s">
        <v>1635</v>
      </c>
      <c r="AF1876" s="2" t="s">
        <v>1635</v>
      </c>
      <c r="AG1876" s="2" t="s">
        <v>1635</v>
      </c>
      <c r="AH1876">
        <v>0</v>
      </c>
      <c r="AI1876" s="3" t="s">
        <v>1635</v>
      </c>
      <c r="AJ1876" s="1" t="s">
        <v>1635</v>
      </c>
      <c r="AK1876" s="2" t="s">
        <v>1635</v>
      </c>
      <c r="AL1876" s="4" t="s">
        <v>1658</v>
      </c>
      <c r="AM1876" s="5" t="s">
        <v>1658</v>
      </c>
      <c r="AN1876" s="4">
        <v>0</v>
      </c>
      <c r="AO1876" t="s">
        <v>1635</v>
      </c>
      <c r="AP1876" s="4" t="s">
        <v>1658</v>
      </c>
      <c r="AQ1876" t="s">
        <v>1619</v>
      </c>
      <c r="AR1876" t="s">
        <v>1620</v>
      </c>
      <c r="AT1876" s="16" t="str">
        <f>_xlfn.XLOOKUP(B1876,'SWiSH Demand Forecast Sep-26'!D:D,'SWiSH Demand Forecast Sep-26'!G:G,"Not Exist")</f>
        <v>Not Exist</v>
      </c>
    </row>
    <row r="1877" spans="1:46" x14ac:dyDescent="0.3">
      <c r="A1877">
        <v>100400032</v>
      </c>
      <c r="B1877" t="s">
        <v>3756</v>
      </c>
      <c r="C1877" t="s">
        <v>10</v>
      </c>
      <c r="D1877" t="s">
        <v>1675</v>
      </c>
      <c r="E1877" t="s">
        <v>1949</v>
      </c>
      <c r="F1877" t="s">
        <v>1664</v>
      </c>
      <c r="G1877" t="s">
        <v>1704</v>
      </c>
      <c r="H1877" t="s">
        <v>1810</v>
      </c>
      <c r="I1877" t="s">
        <v>1634</v>
      </c>
      <c r="J1877" t="s">
        <v>10</v>
      </c>
      <c r="K1877">
        <v>6.8999999999999999E-3</v>
      </c>
      <c r="L1877">
        <v>0</v>
      </c>
      <c r="M1877" s="1">
        <v>30</v>
      </c>
      <c r="N1877">
        <v>0</v>
      </c>
      <c r="O1877">
        <v>0</v>
      </c>
      <c r="P1877">
        <v>0</v>
      </c>
      <c r="Q1877" s="1">
        <v>0</v>
      </c>
      <c r="R1877">
        <v>0</v>
      </c>
      <c r="S1877" s="2">
        <v>45536</v>
      </c>
      <c r="T1877" s="2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 s="8">
        <v>0</v>
      </c>
      <c r="AA1877">
        <v>0</v>
      </c>
      <c r="AB1877" t="s">
        <v>1635</v>
      </c>
      <c r="AC1877" t="s">
        <v>1635</v>
      </c>
      <c r="AD1877" s="1" t="s">
        <v>1635</v>
      </c>
      <c r="AE1877" s="2" t="s">
        <v>1635</v>
      </c>
      <c r="AF1877" s="2" t="s">
        <v>1635</v>
      </c>
      <c r="AG1877" s="2" t="s">
        <v>1635</v>
      </c>
      <c r="AH1877">
        <v>0</v>
      </c>
      <c r="AI1877" s="3" t="s">
        <v>1635</v>
      </c>
      <c r="AJ1877" s="1" t="s">
        <v>1635</v>
      </c>
      <c r="AK1877" s="2" t="s">
        <v>1635</v>
      </c>
      <c r="AL1877" s="4" t="s">
        <v>1658</v>
      </c>
      <c r="AM1877" s="5" t="s">
        <v>1658</v>
      </c>
      <c r="AN1877" s="4">
        <v>0</v>
      </c>
      <c r="AO1877" t="s">
        <v>1635</v>
      </c>
      <c r="AP1877" s="4" t="s">
        <v>1658</v>
      </c>
      <c r="AQ1877" t="s">
        <v>1619</v>
      </c>
      <c r="AR1877" t="s">
        <v>1620</v>
      </c>
      <c r="AT1877" s="16" t="str">
        <f>_xlfn.XLOOKUP(B1877,'SWiSH Demand Forecast Sep-26'!D:D,'SWiSH Demand Forecast Sep-26'!G:G,"Not Exist")</f>
        <v>Not Exist</v>
      </c>
    </row>
    <row r="1878" spans="1:46" x14ac:dyDescent="0.3">
      <c r="A1878" t="s">
        <v>3321</v>
      </c>
      <c r="B1878" t="s">
        <v>3757</v>
      </c>
      <c r="C1878" t="s">
        <v>10</v>
      </c>
      <c r="D1878" t="s">
        <v>1629</v>
      </c>
      <c r="E1878" t="s">
        <v>1663</v>
      </c>
      <c r="F1878" t="s">
        <v>1664</v>
      </c>
      <c r="G1878" t="e">
        <v>#N/A</v>
      </c>
      <c r="H1878" t="s">
        <v>3721</v>
      </c>
      <c r="I1878" t="s">
        <v>1634</v>
      </c>
      <c r="J1878" t="s">
        <v>10</v>
      </c>
      <c r="K1878" t="e">
        <v>#N/A</v>
      </c>
      <c r="L1878" t="e">
        <v>#N/A</v>
      </c>
      <c r="M1878" s="1">
        <v>15</v>
      </c>
      <c r="N1878">
        <v>0</v>
      </c>
      <c r="O1878">
        <v>0</v>
      </c>
      <c r="P1878">
        <v>0</v>
      </c>
      <c r="Q1878" s="1">
        <v>0</v>
      </c>
      <c r="R1878" t="e">
        <v>#N/A</v>
      </c>
      <c r="S1878" s="2" t="e">
        <v>#N/A</v>
      </c>
      <c r="T1878" s="2" t="e">
        <v>#N/A</v>
      </c>
      <c r="U1878">
        <v>0</v>
      </c>
      <c r="V1878">
        <v>0</v>
      </c>
      <c r="W1878">
        <v>0</v>
      </c>
      <c r="X1878">
        <v>0</v>
      </c>
      <c r="Y1878">
        <v>0</v>
      </c>
      <c r="Z1878" s="8">
        <v>0</v>
      </c>
      <c r="AA1878">
        <v>0</v>
      </c>
      <c r="AB1878" t="s">
        <v>1635</v>
      </c>
      <c r="AC1878" t="s">
        <v>1635</v>
      </c>
      <c r="AD1878" s="1" t="s">
        <v>1635</v>
      </c>
      <c r="AE1878" s="2" t="s">
        <v>1635</v>
      </c>
      <c r="AF1878" s="2" t="s">
        <v>1635</v>
      </c>
      <c r="AG1878" s="2" t="s">
        <v>1635</v>
      </c>
      <c r="AH1878">
        <v>0</v>
      </c>
      <c r="AI1878" s="3" t="s">
        <v>1635</v>
      </c>
      <c r="AJ1878" s="1" t="s">
        <v>1635</v>
      </c>
      <c r="AK1878" s="2" t="s">
        <v>1635</v>
      </c>
      <c r="AL1878" s="4" t="s">
        <v>1636</v>
      </c>
      <c r="AM1878" s="5" t="s">
        <v>1636</v>
      </c>
      <c r="AN1878" s="4">
        <v>0</v>
      </c>
      <c r="AO1878" t="s">
        <v>1635</v>
      </c>
      <c r="AP1878" s="4" t="s">
        <v>1636</v>
      </c>
      <c r="AQ1878" t="s">
        <v>1619</v>
      </c>
      <c r="AR1878" t="s">
        <v>1620</v>
      </c>
      <c r="AT1878" s="16" t="str">
        <f>_xlfn.XLOOKUP(B1878,'SWiSH Demand Forecast Sep-26'!D:D,'SWiSH Demand Forecast Sep-26'!G:G,"Not Exist")</f>
        <v>Not Exist</v>
      </c>
    </row>
    <row r="1879" spans="1:46" x14ac:dyDescent="0.3">
      <c r="A1879">
        <v>100400090</v>
      </c>
      <c r="B1879" t="s">
        <v>3758</v>
      </c>
      <c r="C1879" t="s">
        <v>10</v>
      </c>
      <c r="D1879" t="s">
        <v>1675</v>
      </c>
      <c r="E1879" t="s">
        <v>2587</v>
      </c>
      <c r="F1879" t="s">
        <v>1664</v>
      </c>
      <c r="G1879" t="s">
        <v>1704</v>
      </c>
      <c r="H1879" t="s">
        <v>1810</v>
      </c>
      <c r="I1879" t="s">
        <v>1634</v>
      </c>
      <c r="J1879" t="s">
        <v>10</v>
      </c>
      <c r="K1879">
        <v>1.4999999999999999E-2</v>
      </c>
      <c r="L1879">
        <v>0</v>
      </c>
      <c r="M1879" s="1">
        <v>7</v>
      </c>
      <c r="N1879">
        <v>0</v>
      </c>
      <c r="O1879">
        <v>0</v>
      </c>
      <c r="P1879">
        <v>0</v>
      </c>
      <c r="Q1879" s="1">
        <v>0</v>
      </c>
      <c r="R1879">
        <v>1.4999999999999999E-2</v>
      </c>
      <c r="S1879" s="2">
        <v>45773</v>
      </c>
      <c r="T1879" s="2">
        <v>45258</v>
      </c>
      <c r="U1879">
        <v>0</v>
      </c>
      <c r="V1879">
        <v>0</v>
      </c>
      <c r="W1879">
        <v>0</v>
      </c>
      <c r="X1879">
        <v>0</v>
      </c>
      <c r="Y1879">
        <v>0</v>
      </c>
      <c r="Z1879" s="8">
        <v>0</v>
      </c>
      <c r="AA1879">
        <v>0</v>
      </c>
      <c r="AB1879" t="s">
        <v>1635</v>
      </c>
      <c r="AC1879" t="s">
        <v>1635</v>
      </c>
      <c r="AD1879" s="1" t="s">
        <v>1635</v>
      </c>
      <c r="AE1879" s="2" t="s">
        <v>1635</v>
      </c>
      <c r="AF1879" s="2" t="s">
        <v>1635</v>
      </c>
      <c r="AG1879" s="2" t="s">
        <v>1635</v>
      </c>
      <c r="AH1879">
        <v>0</v>
      </c>
      <c r="AI1879" s="3" t="s">
        <v>1635</v>
      </c>
      <c r="AJ1879" s="1" t="s">
        <v>1635</v>
      </c>
      <c r="AK1879" s="2" t="s">
        <v>1635</v>
      </c>
      <c r="AL1879" s="4" t="s">
        <v>1658</v>
      </c>
      <c r="AM1879" s="5" t="s">
        <v>1658</v>
      </c>
      <c r="AN1879" s="4">
        <v>0</v>
      </c>
      <c r="AO1879" t="s">
        <v>1635</v>
      </c>
      <c r="AP1879" s="4" t="s">
        <v>1658</v>
      </c>
      <c r="AQ1879" t="s">
        <v>1619</v>
      </c>
      <c r="AR1879" t="s">
        <v>1620</v>
      </c>
      <c r="AT1879" s="16" t="str">
        <f>_xlfn.XLOOKUP(B1879,'SWiSH Demand Forecast Sep-26'!D:D,'SWiSH Demand Forecast Sep-26'!G:G,"Not Exist")</f>
        <v>Not Exist</v>
      </c>
    </row>
    <row r="1880" spans="1:46" x14ac:dyDescent="0.3">
      <c r="A1880">
        <v>106800039</v>
      </c>
      <c r="B1880" t="s">
        <v>3759</v>
      </c>
      <c r="C1880" t="s">
        <v>10</v>
      </c>
      <c r="D1880" t="s">
        <v>1629</v>
      </c>
      <c r="E1880" t="s">
        <v>1685</v>
      </c>
      <c r="F1880" t="s">
        <v>1664</v>
      </c>
      <c r="G1880" t="s">
        <v>1690</v>
      </c>
      <c r="H1880" t="s">
        <v>1665</v>
      </c>
      <c r="I1880" t="s">
        <v>1634</v>
      </c>
      <c r="J1880" t="s">
        <v>10</v>
      </c>
      <c r="K1880">
        <v>3.0000000000000001E-3</v>
      </c>
      <c r="L1880">
        <v>0</v>
      </c>
      <c r="M1880" s="1">
        <v>15</v>
      </c>
      <c r="N1880">
        <v>0</v>
      </c>
      <c r="O1880">
        <v>0</v>
      </c>
      <c r="P1880">
        <v>0</v>
      </c>
      <c r="Q1880" s="1">
        <v>0</v>
      </c>
      <c r="R1880">
        <v>0</v>
      </c>
      <c r="S1880" s="2">
        <v>45824</v>
      </c>
      <c r="T1880" s="2">
        <v>45920</v>
      </c>
      <c r="U1880">
        <v>0</v>
      </c>
      <c r="V1880">
        <v>0</v>
      </c>
      <c r="W1880">
        <v>0</v>
      </c>
      <c r="X1880">
        <v>0</v>
      </c>
      <c r="Y1880">
        <v>0</v>
      </c>
      <c r="Z1880" s="8">
        <v>0</v>
      </c>
      <c r="AA1880">
        <v>0</v>
      </c>
      <c r="AB1880" t="s">
        <v>1635</v>
      </c>
      <c r="AC1880" t="s">
        <v>1635</v>
      </c>
      <c r="AD1880" s="1" t="s">
        <v>1635</v>
      </c>
      <c r="AE1880" s="2" t="s">
        <v>1635</v>
      </c>
      <c r="AF1880" s="2" t="s">
        <v>1635</v>
      </c>
      <c r="AG1880" s="2" t="s">
        <v>1635</v>
      </c>
      <c r="AH1880">
        <v>0</v>
      </c>
      <c r="AI1880" s="3" t="s">
        <v>1635</v>
      </c>
      <c r="AJ1880" s="1" t="s">
        <v>1635</v>
      </c>
      <c r="AK1880" s="2" t="s">
        <v>1635</v>
      </c>
      <c r="AL1880" s="4" t="s">
        <v>1636</v>
      </c>
      <c r="AM1880" s="5" t="s">
        <v>1636</v>
      </c>
      <c r="AN1880" s="4">
        <v>0</v>
      </c>
      <c r="AO1880" t="s">
        <v>1635</v>
      </c>
      <c r="AP1880" s="4" t="s">
        <v>1636</v>
      </c>
      <c r="AQ1880" t="s">
        <v>1619</v>
      </c>
      <c r="AR1880" t="s">
        <v>1620</v>
      </c>
      <c r="AT1880" s="16" t="str">
        <f>_xlfn.XLOOKUP(B1880,'SWiSH Demand Forecast Sep-26'!D:D,'SWiSH Demand Forecast Sep-26'!G:G,"Not Exist")</f>
        <v>Not Exist</v>
      </c>
    </row>
    <row r="1881" spans="1:46" x14ac:dyDescent="0.3">
      <c r="A1881">
        <v>106800245</v>
      </c>
      <c r="B1881" t="s">
        <v>3760</v>
      </c>
      <c r="C1881" t="s">
        <v>10</v>
      </c>
      <c r="D1881" t="s">
        <v>1629</v>
      </c>
      <c r="E1881" t="s">
        <v>1663</v>
      </c>
      <c r="F1881" t="s">
        <v>1664</v>
      </c>
      <c r="G1881" t="s">
        <v>1690</v>
      </c>
      <c r="H1881" t="s">
        <v>1665</v>
      </c>
      <c r="I1881" t="s">
        <v>1634</v>
      </c>
      <c r="J1881" t="s">
        <v>10</v>
      </c>
      <c r="K1881">
        <v>2E-3</v>
      </c>
      <c r="L1881">
        <v>0</v>
      </c>
      <c r="M1881" s="1">
        <v>15</v>
      </c>
      <c r="N1881">
        <v>0</v>
      </c>
      <c r="O1881">
        <v>0</v>
      </c>
      <c r="P1881">
        <v>0</v>
      </c>
      <c r="Q1881" s="1">
        <v>0</v>
      </c>
      <c r="R1881">
        <v>2E-3</v>
      </c>
      <c r="S1881" s="2">
        <v>45852</v>
      </c>
      <c r="T1881" s="2">
        <v>45923</v>
      </c>
      <c r="U1881">
        <v>0</v>
      </c>
      <c r="V1881">
        <v>0</v>
      </c>
      <c r="W1881">
        <v>0</v>
      </c>
      <c r="X1881">
        <v>0</v>
      </c>
      <c r="Y1881">
        <v>0</v>
      </c>
      <c r="Z1881" s="8">
        <v>0</v>
      </c>
      <c r="AA1881">
        <v>0</v>
      </c>
      <c r="AB1881" t="s">
        <v>1635</v>
      </c>
      <c r="AC1881" t="s">
        <v>1635</v>
      </c>
      <c r="AD1881" s="1" t="s">
        <v>1635</v>
      </c>
      <c r="AE1881" s="2" t="s">
        <v>1635</v>
      </c>
      <c r="AF1881" s="2" t="s">
        <v>1635</v>
      </c>
      <c r="AG1881" s="2" t="s">
        <v>1635</v>
      </c>
      <c r="AH1881">
        <v>0</v>
      </c>
      <c r="AI1881" s="3" t="s">
        <v>1635</v>
      </c>
      <c r="AJ1881" s="1" t="s">
        <v>1635</v>
      </c>
      <c r="AK1881" s="2" t="s">
        <v>1635</v>
      </c>
      <c r="AL1881" s="4" t="s">
        <v>1636</v>
      </c>
      <c r="AM1881" s="5" t="s">
        <v>1636</v>
      </c>
      <c r="AN1881" s="4">
        <v>0</v>
      </c>
      <c r="AO1881" t="s">
        <v>1635</v>
      </c>
      <c r="AP1881" s="4" t="s">
        <v>1636</v>
      </c>
      <c r="AQ1881" t="s">
        <v>1619</v>
      </c>
      <c r="AR1881" t="s">
        <v>1620</v>
      </c>
      <c r="AT1881" s="16" t="str">
        <f>_xlfn.XLOOKUP(B1881,'SWiSH Demand Forecast Sep-26'!D:D,'SWiSH Demand Forecast Sep-26'!G:G,"Not Exist")</f>
        <v>Not Exist</v>
      </c>
    </row>
    <row r="1882" spans="1:46" x14ac:dyDescent="0.3">
      <c r="A1882">
        <v>100400215</v>
      </c>
      <c r="B1882" t="s">
        <v>3761</v>
      </c>
      <c r="C1882" t="s">
        <v>10</v>
      </c>
      <c r="D1882" t="s">
        <v>1675</v>
      </c>
      <c r="E1882" t="s">
        <v>1638</v>
      </c>
      <c r="F1882" t="s">
        <v>1664</v>
      </c>
      <c r="G1882" t="s">
        <v>1704</v>
      </c>
      <c r="H1882" t="s">
        <v>1810</v>
      </c>
      <c r="I1882" t="s">
        <v>1634</v>
      </c>
      <c r="J1882" t="s">
        <v>10</v>
      </c>
      <c r="K1882">
        <v>0.18715445</v>
      </c>
      <c r="L1882">
        <v>210.54875625</v>
      </c>
      <c r="M1882" s="1">
        <v>30</v>
      </c>
      <c r="N1882">
        <v>0</v>
      </c>
      <c r="O1882">
        <v>0</v>
      </c>
      <c r="P1882">
        <v>1125</v>
      </c>
      <c r="Q1882" s="1">
        <v>1125</v>
      </c>
      <c r="R1882">
        <v>0.2</v>
      </c>
      <c r="S1882" s="2">
        <v>45036</v>
      </c>
      <c r="T1882" s="2">
        <v>45900</v>
      </c>
      <c r="U1882">
        <v>0</v>
      </c>
      <c r="V1882">
        <v>0</v>
      </c>
      <c r="W1882">
        <v>0</v>
      </c>
      <c r="X1882">
        <v>0</v>
      </c>
      <c r="Y1882">
        <v>0</v>
      </c>
      <c r="Z1882" s="8">
        <v>0</v>
      </c>
      <c r="AA1882">
        <v>0</v>
      </c>
      <c r="AB1882" t="s">
        <v>1635</v>
      </c>
      <c r="AC1882" t="s">
        <v>1635</v>
      </c>
      <c r="AD1882" s="1" t="s">
        <v>1635</v>
      </c>
      <c r="AE1882" s="2" t="s">
        <v>1635</v>
      </c>
      <c r="AF1882" s="2" t="s">
        <v>1635</v>
      </c>
      <c r="AG1882" s="2" t="s">
        <v>1635</v>
      </c>
      <c r="AH1882">
        <v>0</v>
      </c>
      <c r="AI1882" s="3" t="s">
        <v>1635</v>
      </c>
      <c r="AJ1882" s="1" t="s">
        <v>1635</v>
      </c>
      <c r="AK1882" s="2" t="s">
        <v>1635</v>
      </c>
      <c r="AL1882" s="4" t="s">
        <v>1658</v>
      </c>
      <c r="AM1882" s="5" t="s">
        <v>1658</v>
      </c>
      <c r="AN1882" s="4">
        <v>0</v>
      </c>
      <c r="AO1882" t="s">
        <v>1635</v>
      </c>
      <c r="AP1882" s="4" t="s">
        <v>1658</v>
      </c>
      <c r="AQ1882" t="s">
        <v>1619</v>
      </c>
      <c r="AR1882" t="s">
        <v>1620</v>
      </c>
      <c r="AT1882" s="16" t="str">
        <f>_xlfn.XLOOKUP(B1882,'SWiSH Demand Forecast Sep-26'!D:D,'SWiSH Demand Forecast Sep-26'!G:G,"Not Exist")</f>
        <v>Not Exist</v>
      </c>
    </row>
    <row r="1883" spans="1:46" x14ac:dyDescent="0.3">
      <c r="A1883">
        <v>100400006</v>
      </c>
      <c r="B1883" t="s">
        <v>3762</v>
      </c>
      <c r="C1883" t="s">
        <v>10</v>
      </c>
      <c r="D1883" t="s">
        <v>1675</v>
      </c>
      <c r="E1883" t="s">
        <v>1638</v>
      </c>
      <c r="F1883" t="s">
        <v>1664</v>
      </c>
      <c r="G1883" t="s">
        <v>1704</v>
      </c>
      <c r="H1883" t="s">
        <v>1810</v>
      </c>
      <c r="I1883" t="s">
        <v>1634</v>
      </c>
      <c r="J1883" t="s">
        <v>10</v>
      </c>
      <c r="K1883">
        <v>0.16</v>
      </c>
      <c r="L1883">
        <v>0</v>
      </c>
      <c r="M1883" s="1">
        <v>30</v>
      </c>
      <c r="N1883">
        <v>0</v>
      </c>
      <c r="O1883">
        <v>0</v>
      </c>
      <c r="P1883">
        <v>0</v>
      </c>
      <c r="Q1883" s="1">
        <v>0</v>
      </c>
      <c r="R1883">
        <v>0.16</v>
      </c>
      <c r="S1883" s="2">
        <v>45319</v>
      </c>
      <c r="T1883" s="2">
        <v>45824</v>
      </c>
      <c r="U1883">
        <v>0</v>
      </c>
      <c r="V1883">
        <v>0</v>
      </c>
      <c r="W1883">
        <v>0</v>
      </c>
      <c r="X1883">
        <v>0</v>
      </c>
      <c r="Y1883">
        <v>0</v>
      </c>
      <c r="Z1883" s="8">
        <v>0</v>
      </c>
      <c r="AA1883">
        <v>0</v>
      </c>
      <c r="AB1883" t="s">
        <v>1635</v>
      </c>
      <c r="AC1883" t="s">
        <v>1635</v>
      </c>
      <c r="AD1883" s="1" t="s">
        <v>1635</v>
      </c>
      <c r="AE1883" s="2" t="s">
        <v>1635</v>
      </c>
      <c r="AF1883" s="2" t="s">
        <v>1635</v>
      </c>
      <c r="AG1883" s="2" t="s">
        <v>1635</v>
      </c>
      <c r="AH1883">
        <v>0</v>
      </c>
      <c r="AI1883" s="3" t="s">
        <v>1635</v>
      </c>
      <c r="AJ1883" s="1" t="s">
        <v>1635</v>
      </c>
      <c r="AK1883" s="2" t="s">
        <v>1635</v>
      </c>
      <c r="AL1883" s="4" t="s">
        <v>1658</v>
      </c>
      <c r="AM1883" s="5" t="s">
        <v>1658</v>
      </c>
      <c r="AN1883" s="4">
        <v>0</v>
      </c>
      <c r="AO1883" t="s">
        <v>1635</v>
      </c>
      <c r="AP1883" s="4" t="s">
        <v>1658</v>
      </c>
      <c r="AQ1883" t="s">
        <v>1619</v>
      </c>
      <c r="AR1883" t="s">
        <v>1620</v>
      </c>
      <c r="AT1883" s="16" t="str">
        <f>_xlfn.XLOOKUP(B1883,'SWiSH Demand Forecast Sep-26'!D:D,'SWiSH Demand Forecast Sep-26'!G:G,"Not Exist")</f>
        <v>Not Exist</v>
      </c>
    </row>
    <row r="1884" spans="1:46" x14ac:dyDescent="0.3">
      <c r="A1884">
        <v>100400209</v>
      </c>
      <c r="B1884" t="s">
        <v>3763</v>
      </c>
      <c r="C1884" t="s">
        <v>10</v>
      </c>
      <c r="D1884" t="s">
        <v>1675</v>
      </c>
      <c r="E1884" t="s">
        <v>1701</v>
      </c>
      <c r="F1884" t="s">
        <v>1664</v>
      </c>
      <c r="G1884" t="s">
        <v>1704</v>
      </c>
      <c r="H1884" t="s">
        <v>1810</v>
      </c>
      <c r="I1884" t="s">
        <v>1634</v>
      </c>
      <c r="J1884" t="s">
        <v>10</v>
      </c>
      <c r="K1884">
        <v>3.7981349999999997E-2</v>
      </c>
      <c r="L1884">
        <v>0</v>
      </c>
      <c r="M1884" s="1">
        <v>30</v>
      </c>
      <c r="N1884">
        <v>0</v>
      </c>
      <c r="O1884">
        <v>0</v>
      </c>
      <c r="P1884">
        <v>0</v>
      </c>
      <c r="Q1884" s="1">
        <v>0</v>
      </c>
      <c r="R1884">
        <v>4.2000000000000003E-2</v>
      </c>
      <c r="S1884" s="2">
        <v>45882</v>
      </c>
      <c r="T1884" s="2">
        <v>45978</v>
      </c>
      <c r="U1884">
        <v>0</v>
      </c>
      <c r="V1884">
        <v>0</v>
      </c>
      <c r="W1884">
        <v>0</v>
      </c>
      <c r="X1884">
        <v>0</v>
      </c>
      <c r="Y1884">
        <v>0</v>
      </c>
      <c r="Z1884" s="8">
        <v>0</v>
      </c>
      <c r="AA1884">
        <v>0</v>
      </c>
      <c r="AB1884" t="s">
        <v>1635</v>
      </c>
      <c r="AC1884" t="s">
        <v>1635</v>
      </c>
      <c r="AD1884" s="1" t="s">
        <v>1635</v>
      </c>
      <c r="AE1884" s="2" t="s">
        <v>1635</v>
      </c>
      <c r="AF1884" s="2" t="s">
        <v>1635</v>
      </c>
      <c r="AG1884" s="2" t="s">
        <v>1635</v>
      </c>
      <c r="AH1884">
        <v>0</v>
      </c>
      <c r="AI1884" s="3" t="s">
        <v>1635</v>
      </c>
      <c r="AJ1884" s="1" t="s">
        <v>1635</v>
      </c>
      <c r="AK1884" s="2" t="s">
        <v>1635</v>
      </c>
      <c r="AL1884" s="4" t="s">
        <v>1658</v>
      </c>
      <c r="AM1884" s="5" t="s">
        <v>1658</v>
      </c>
      <c r="AN1884" s="4">
        <v>0</v>
      </c>
      <c r="AO1884" t="s">
        <v>1635</v>
      </c>
      <c r="AP1884" s="4" t="s">
        <v>1658</v>
      </c>
      <c r="AQ1884" t="s">
        <v>1619</v>
      </c>
      <c r="AR1884" t="s">
        <v>1620</v>
      </c>
      <c r="AT1884" s="16" t="str">
        <f>_xlfn.XLOOKUP(B1884,'SWiSH Demand Forecast Sep-26'!D:D,'SWiSH Demand Forecast Sep-26'!G:G,"Not Exist")</f>
        <v>Not Exist</v>
      </c>
    </row>
    <row r="1885" spans="1:46" x14ac:dyDescent="0.3">
      <c r="A1885">
        <v>107200021</v>
      </c>
      <c r="B1885" t="s">
        <v>3764</v>
      </c>
      <c r="C1885" t="s">
        <v>10</v>
      </c>
      <c r="D1885" t="s">
        <v>1675</v>
      </c>
      <c r="E1885" t="s">
        <v>1638</v>
      </c>
      <c r="F1885" t="s">
        <v>1656</v>
      </c>
      <c r="G1885" t="s">
        <v>1690</v>
      </c>
      <c r="H1885" t="s">
        <v>1657</v>
      </c>
      <c r="I1885" t="s">
        <v>1634</v>
      </c>
      <c r="J1885" t="e">
        <v>#N/A</v>
      </c>
      <c r="K1885">
        <v>3</v>
      </c>
      <c r="L1885">
        <v>0</v>
      </c>
      <c r="M1885" s="1">
        <v>15</v>
      </c>
      <c r="N1885">
        <v>0</v>
      </c>
      <c r="O1885">
        <v>0</v>
      </c>
      <c r="P1885">
        <v>0</v>
      </c>
      <c r="Q1885" s="1">
        <v>0</v>
      </c>
      <c r="R1885">
        <v>3</v>
      </c>
      <c r="S1885" s="2">
        <v>45150</v>
      </c>
      <c r="T1885" s="2">
        <v>46206</v>
      </c>
      <c r="U1885">
        <v>0</v>
      </c>
      <c r="V1885">
        <v>0</v>
      </c>
      <c r="W1885">
        <v>0</v>
      </c>
      <c r="X1885">
        <v>0</v>
      </c>
      <c r="Y1885">
        <v>0</v>
      </c>
      <c r="Z1885" s="8">
        <v>0</v>
      </c>
      <c r="AA1885">
        <v>0</v>
      </c>
      <c r="AB1885" t="s">
        <v>1635</v>
      </c>
      <c r="AC1885" t="s">
        <v>1635</v>
      </c>
      <c r="AD1885" s="1" t="s">
        <v>1635</v>
      </c>
      <c r="AE1885" s="2" t="s">
        <v>1635</v>
      </c>
      <c r="AF1885" s="2" t="s">
        <v>1635</v>
      </c>
      <c r="AG1885" s="2" t="s">
        <v>1635</v>
      </c>
      <c r="AH1885">
        <v>0</v>
      </c>
      <c r="AI1885" s="3" t="s">
        <v>1635</v>
      </c>
      <c r="AJ1885" s="1" t="s">
        <v>1635</v>
      </c>
      <c r="AK1885" s="2" t="s">
        <v>1635</v>
      </c>
      <c r="AL1885" s="4" t="s">
        <v>1658</v>
      </c>
      <c r="AM1885" s="5" t="s">
        <v>1658</v>
      </c>
      <c r="AN1885" s="4">
        <v>0</v>
      </c>
      <c r="AO1885" t="s">
        <v>1635</v>
      </c>
      <c r="AP1885" s="4" t="s">
        <v>1658</v>
      </c>
      <c r="AQ1885" t="s">
        <v>1619</v>
      </c>
      <c r="AR1885" t="s">
        <v>1620</v>
      </c>
      <c r="AT1885" s="16" t="str">
        <f>_xlfn.XLOOKUP(B1885,'SWiSH Demand Forecast Sep-26'!D:D,'SWiSH Demand Forecast Sep-26'!G:G,"Not Exist")</f>
        <v>Not Exist</v>
      </c>
    </row>
    <row r="1886" spans="1:46" x14ac:dyDescent="0.3">
      <c r="A1886">
        <v>100400048</v>
      </c>
      <c r="B1886" t="s">
        <v>3765</v>
      </c>
      <c r="C1886" t="s">
        <v>10</v>
      </c>
      <c r="D1886" t="s">
        <v>1675</v>
      </c>
      <c r="E1886" t="s">
        <v>2483</v>
      </c>
      <c r="F1886" t="s">
        <v>1664</v>
      </c>
      <c r="G1886" t="s">
        <v>1704</v>
      </c>
      <c r="H1886" t="s">
        <v>1810</v>
      </c>
      <c r="I1886" t="s">
        <v>1634</v>
      </c>
      <c r="J1886" t="s">
        <v>10</v>
      </c>
      <c r="K1886">
        <v>2.0006969999999999E-2</v>
      </c>
      <c r="L1886">
        <v>0</v>
      </c>
      <c r="M1886" s="1">
        <v>30</v>
      </c>
      <c r="N1886">
        <v>0</v>
      </c>
      <c r="O1886">
        <v>0</v>
      </c>
      <c r="P1886">
        <v>0</v>
      </c>
      <c r="Q1886" s="1">
        <v>0</v>
      </c>
      <c r="R1886">
        <v>0.04</v>
      </c>
      <c r="S1886" s="2">
        <v>44689</v>
      </c>
      <c r="T1886" s="2">
        <v>45959</v>
      </c>
      <c r="U1886">
        <v>0</v>
      </c>
      <c r="V1886">
        <v>0</v>
      </c>
      <c r="W1886">
        <v>0</v>
      </c>
      <c r="X1886">
        <v>0</v>
      </c>
      <c r="Y1886">
        <v>0</v>
      </c>
      <c r="Z1886" s="8">
        <v>0</v>
      </c>
      <c r="AA1886">
        <v>0</v>
      </c>
      <c r="AB1886" t="s">
        <v>1635</v>
      </c>
      <c r="AC1886" t="s">
        <v>1635</v>
      </c>
      <c r="AD1886" s="1" t="s">
        <v>1635</v>
      </c>
      <c r="AE1886" s="2" t="s">
        <v>1635</v>
      </c>
      <c r="AF1886" s="2" t="s">
        <v>1635</v>
      </c>
      <c r="AG1886" s="2" t="s">
        <v>1635</v>
      </c>
      <c r="AH1886">
        <v>0</v>
      </c>
      <c r="AI1886" s="3" t="s">
        <v>1635</v>
      </c>
      <c r="AJ1886" s="1" t="s">
        <v>1635</v>
      </c>
      <c r="AK1886" s="2" t="s">
        <v>1635</v>
      </c>
      <c r="AL1886" s="4" t="s">
        <v>1658</v>
      </c>
      <c r="AM1886" s="5" t="s">
        <v>1658</v>
      </c>
      <c r="AN1886" s="4">
        <v>0</v>
      </c>
      <c r="AO1886" t="s">
        <v>1635</v>
      </c>
      <c r="AP1886" s="4" t="s">
        <v>1658</v>
      </c>
      <c r="AQ1886" t="s">
        <v>1619</v>
      </c>
      <c r="AR1886" t="s">
        <v>1620</v>
      </c>
      <c r="AT1886" s="16" t="str">
        <f>_xlfn.XLOOKUP(B1886,'SWiSH Demand Forecast Sep-26'!D:D,'SWiSH Demand Forecast Sep-26'!G:G,"Not Exist")</f>
        <v>Not Exist</v>
      </c>
    </row>
    <row r="1887" spans="1:46" x14ac:dyDescent="0.3">
      <c r="A1887">
        <v>100400100</v>
      </c>
      <c r="B1887" t="s">
        <v>3766</v>
      </c>
      <c r="C1887" t="s">
        <v>10</v>
      </c>
      <c r="D1887" t="s">
        <v>1675</v>
      </c>
      <c r="E1887" t="s">
        <v>1638</v>
      </c>
      <c r="F1887" t="s">
        <v>1664</v>
      </c>
      <c r="G1887" t="s">
        <v>1704</v>
      </c>
      <c r="H1887" t="s">
        <v>1810</v>
      </c>
      <c r="I1887" t="s">
        <v>1634</v>
      </c>
      <c r="J1887" t="s">
        <v>10</v>
      </c>
      <c r="K1887">
        <v>8.0000000000000002E-3</v>
      </c>
      <c r="L1887">
        <v>240</v>
      </c>
      <c r="M1887" s="1">
        <v>30</v>
      </c>
      <c r="N1887">
        <v>0</v>
      </c>
      <c r="O1887">
        <v>0</v>
      </c>
      <c r="P1887">
        <v>30000</v>
      </c>
      <c r="Q1887" s="1">
        <v>30000</v>
      </c>
      <c r="R1887">
        <v>8.0000000000000002E-3</v>
      </c>
      <c r="S1887" s="2">
        <v>45859</v>
      </c>
      <c r="T1887" s="2">
        <v>46203</v>
      </c>
      <c r="U1887">
        <v>0</v>
      </c>
      <c r="V1887">
        <v>0</v>
      </c>
      <c r="W1887">
        <v>0</v>
      </c>
      <c r="X1887">
        <v>0</v>
      </c>
      <c r="Y1887">
        <v>0</v>
      </c>
      <c r="Z1887" s="8">
        <v>0</v>
      </c>
      <c r="AA1887">
        <v>0</v>
      </c>
      <c r="AB1887" t="s">
        <v>1635</v>
      </c>
      <c r="AC1887" t="s">
        <v>1635</v>
      </c>
      <c r="AD1887" s="1" t="s">
        <v>1635</v>
      </c>
      <c r="AE1887" s="2" t="s">
        <v>1635</v>
      </c>
      <c r="AF1887" s="2" t="s">
        <v>1635</v>
      </c>
      <c r="AG1887" s="2" t="s">
        <v>1635</v>
      </c>
      <c r="AH1887">
        <v>0</v>
      </c>
      <c r="AI1887" s="3" t="s">
        <v>1635</v>
      </c>
      <c r="AJ1887" s="1" t="s">
        <v>1635</v>
      </c>
      <c r="AK1887" s="2" t="s">
        <v>1635</v>
      </c>
      <c r="AL1887" s="4" t="s">
        <v>1658</v>
      </c>
      <c r="AM1887" s="5" t="s">
        <v>1658</v>
      </c>
      <c r="AN1887" s="4">
        <v>0</v>
      </c>
      <c r="AO1887" t="s">
        <v>1635</v>
      </c>
      <c r="AP1887" s="4" t="s">
        <v>1658</v>
      </c>
      <c r="AQ1887" t="s">
        <v>1619</v>
      </c>
      <c r="AR1887" t="s">
        <v>1620</v>
      </c>
      <c r="AT1887" s="16" t="str">
        <f>_xlfn.XLOOKUP(B1887,'SWiSH Demand Forecast Sep-26'!D:D,'SWiSH Demand Forecast Sep-26'!G:G,"Not Exist")</f>
        <v>Not Exist</v>
      </c>
    </row>
    <row r="1888" spans="1:46" x14ac:dyDescent="0.3">
      <c r="A1888">
        <v>107200166</v>
      </c>
      <c r="B1888" t="s">
        <v>3767</v>
      </c>
      <c r="C1888" t="s">
        <v>10</v>
      </c>
      <c r="D1888" t="s">
        <v>1629</v>
      </c>
      <c r="E1888" t="s">
        <v>1796</v>
      </c>
      <c r="F1888" t="s">
        <v>1656</v>
      </c>
      <c r="G1888" t="e">
        <v>#N/A</v>
      </c>
      <c r="H1888" t="s">
        <v>1657</v>
      </c>
      <c r="I1888" t="s">
        <v>1634</v>
      </c>
      <c r="J1888" t="s">
        <v>10</v>
      </c>
      <c r="K1888" t="e">
        <v>#N/A</v>
      </c>
      <c r="L1888" t="e">
        <v>#N/A</v>
      </c>
      <c r="M1888" s="1">
        <v>15</v>
      </c>
      <c r="N1888">
        <v>0</v>
      </c>
      <c r="O1888">
        <v>0</v>
      </c>
      <c r="P1888">
        <v>0</v>
      </c>
      <c r="Q1888" s="1">
        <v>0</v>
      </c>
      <c r="R1888">
        <v>2.5</v>
      </c>
      <c r="S1888" s="2">
        <v>46064</v>
      </c>
      <c r="T1888" s="2">
        <v>46206</v>
      </c>
      <c r="U1888">
        <v>0</v>
      </c>
      <c r="V1888">
        <v>0</v>
      </c>
      <c r="W1888">
        <v>0</v>
      </c>
      <c r="X1888">
        <v>0</v>
      </c>
      <c r="Y1888">
        <v>0</v>
      </c>
      <c r="Z1888" s="8">
        <v>0</v>
      </c>
      <c r="AA1888">
        <v>0</v>
      </c>
      <c r="AB1888" t="s">
        <v>1635</v>
      </c>
      <c r="AC1888" t="s">
        <v>1635</v>
      </c>
      <c r="AD1888" s="1" t="s">
        <v>1635</v>
      </c>
      <c r="AE1888" s="2" t="s">
        <v>1635</v>
      </c>
      <c r="AF1888" s="2" t="s">
        <v>1635</v>
      </c>
      <c r="AG1888" s="2" t="s">
        <v>1635</v>
      </c>
      <c r="AH1888">
        <v>0</v>
      </c>
      <c r="AI1888" s="3" t="s">
        <v>1635</v>
      </c>
      <c r="AJ1888" s="1" t="s">
        <v>1635</v>
      </c>
      <c r="AK1888" s="2" t="s">
        <v>1635</v>
      </c>
      <c r="AL1888" s="4" t="s">
        <v>1636</v>
      </c>
      <c r="AM1888" s="5" t="s">
        <v>1636</v>
      </c>
      <c r="AN1888" s="4">
        <v>0</v>
      </c>
      <c r="AO1888" t="s">
        <v>1635</v>
      </c>
      <c r="AP1888" s="4" t="s">
        <v>1636</v>
      </c>
      <c r="AQ1888" t="s">
        <v>1619</v>
      </c>
      <c r="AR1888" t="s">
        <v>1620</v>
      </c>
      <c r="AT1888" s="16" t="str">
        <f>_xlfn.XLOOKUP(B1888,'SWiSH Demand Forecast Sep-26'!D:D,'SWiSH Demand Forecast Sep-26'!G:G,"Not Exist")</f>
        <v>Not Exist</v>
      </c>
    </row>
    <row r="1889" spans="1:46" x14ac:dyDescent="0.3">
      <c r="A1889">
        <v>107200204</v>
      </c>
      <c r="B1889" t="s">
        <v>3768</v>
      </c>
      <c r="C1889" t="s">
        <v>10</v>
      </c>
      <c r="D1889" t="s">
        <v>1629</v>
      </c>
      <c r="E1889" t="s">
        <v>1796</v>
      </c>
      <c r="F1889" t="s">
        <v>1656</v>
      </c>
      <c r="G1889" t="e">
        <v>#N/A</v>
      </c>
      <c r="H1889" t="s">
        <v>1657</v>
      </c>
      <c r="I1889" t="s">
        <v>1634</v>
      </c>
      <c r="J1889" t="s">
        <v>10</v>
      </c>
      <c r="K1889" t="e">
        <v>#N/A</v>
      </c>
      <c r="L1889" t="e">
        <v>#N/A</v>
      </c>
      <c r="M1889" s="1">
        <v>7</v>
      </c>
      <c r="N1889">
        <v>0</v>
      </c>
      <c r="O1889">
        <v>0</v>
      </c>
      <c r="P1889">
        <v>0</v>
      </c>
      <c r="Q1889" s="1">
        <v>0</v>
      </c>
      <c r="R1889">
        <v>5.5</v>
      </c>
      <c r="S1889" s="2">
        <v>46061</v>
      </c>
      <c r="T1889" s="2">
        <v>46135</v>
      </c>
      <c r="U1889">
        <v>0</v>
      </c>
      <c r="V1889">
        <v>0</v>
      </c>
      <c r="W1889">
        <v>0</v>
      </c>
      <c r="X1889">
        <v>0</v>
      </c>
      <c r="Y1889">
        <v>0</v>
      </c>
      <c r="Z1889" s="8">
        <v>0</v>
      </c>
      <c r="AA1889">
        <v>0</v>
      </c>
      <c r="AB1889" t="s">
        <v>1635</v>
      </c>
      <c r="AC1889" t="s">
        <v>1635</v>
      </c>
      <c r="AD1889" s="1" t="s">
        <v>1635</v>
      </c>
      <c r="AE1889" s="2" t="s">
        <v>1635</v>
      </c>
      <c r="AF1889" s="2" t="s">
        <v>1635</v>
      </c>
      <c r="AG1889" s="2" t="s">
        <v>1635</v>
      </c>
      <c r="AH1889">
        <v>0</v>
      </c>
      <c r="AI1889" s="3" t="s">
        <v>1635</v>
      </c>
      <c r="AJ1889" s="1" t="s">
        <v>1635</v>
      </c>
      <c r="AK1889" s="2" t="s">
        <v>1635</v>
      </c>
      <c r="AL1889" s="4" t="s">
        <v>1636</v>
      </c>
      <c r="AM1889" s="5" t="s">
        <v>1636</v>
      </c>
      <c r="AN1889" s="4">
        <v>0</v>
      </c>
      <c r="AO1889" t="s">
        <v>1635</v>
      </c>
      <c r="AP1889" s="4" t="s">
        <v>1636</v>
      </c>
      <c r="AQ1889" t="s">
        <v>1619</v>
      </c>
      <c r="AR1889" t="s">
        <v>1620</v>
      </c>
      <c r="AS1889" t="s">
        <v>1666</v>
      </c>
      <c r="AT1889" s="16" t="str">
        <f>_xlfn.XLOOKUP(B1889,'SWiSH Demand Forecast Sep-26'!D:D,'SWiSH Demand Forecast Sep-26'!G:G,"Not Exist")</f>
        <v>Not Exist</v>
      </c>
    </row>
    <row r="1890" spans="1:46" x14ac:dyDescent="0.3">
      <c r="A1890" t="s">
        <v>3321</v>
      </c>
      <c r="B1890" t="s">
        <v>3769</v>
      </c>
      <c r="C1890" t="s">
        <v>10</v>
      </c>
      <c r="D1890" t="s">
        <v>1629</v>
      </c>
      <c r="E1890" t="s">
        <v>1796</v>
      </c>
      <c r="F1890" t="s">
        <v>1664</v>
      </c>
      <c r="G1890" t="e">
        <v>#N/A</v>
      </c>
      <c r="H1890" t="s">
        <v>1810</v>
      </c>
      <c r="I1890" t="s">
        <v>1634</v>
      </c>
      <c r="J1890" t="s">
        <v>10</v>
      </c>
      <c r="K1890" t="e">
        <v>#N/A</v>
      </c>
      <c r="L1890" t="e">
        <v>#N/A</v>
      </c>
      <c r="M1890" s="1">
        <v>30</v>
      </c>
      <c r="N1890">
        <v>0</v>
      </c>
      <c r="O1890">
        <v>0</v>
      </c>
      <c r="P1890">
        <v>0</v>
      </c>
      <c r="Q1890" s="1">
        <v>0</v>
      </c>
      <c r="R1890" t="e">
        <v>#N/A</v>
      </c>
      <c r="S1890" s="2" t="e">
        <v>#N/A</v>
      </c>
      <c r="T1890" s="2" t="e">
        <v>#N/A</v>
      </c>
      <c r="U1890">
        <v>0</v>
      </c>
      <c r="V1890">
        <v>0</v>
      </c>
      <c r="W1890">
        <v>0</v>
      </c>
      <c r="X1890">
        <v>0</v>
      </c>
      <c r="Y1890">
        <v>0</v>
      </c>
      <c r="Z1890" s="8">
        <v>0</v>
      </c>
      <c r="AA1890">
        <v>0</v>
      </c>
      <c r="AB1890" t="s">
        <v>1635</v>
      </c>
      <c r="AC1890" t="s">
        <v>1635</v>
      </c>
      <c r="AD1890" s="1" t="s">
        <v>1635</v>
      </c>
      <c r="AE1890" s="2" t="s">
        <v>1635</v>
      </c>
      <c r="AF1890" s="2" t="s">
        <v>1635</v>
      </c>
      <c r="AG1890" s="2" t="s">
        <v>1635</v>
      </c>
      <c r="AH1890">
        <v>0</v>
      </c>
      <c r="AI1890" s="3" t="s">
        <v>1635</v>
      </c>
      <c r="AJ1890" s="1" t="s">
        <v>1635</v>
      </c>
      <c r="AK1890" s="2" t="s">
        <v>1635</v>
      </c>
      <c r="AL1890" s="4" t="s">
        <v>1636</v>
      </c>
      <c r="AM1890" s="5" t="s">
        <v>1636</v>
      </c>
      <c r="AN1890" s="4">
        <v>0</v>
      </c>
      <c r="AO1890" t="s">
        <v>1635</v>
      </c>
      <c r="AP1890" s="4" t="s">
        <v>1636</v>
      </c>
      <c r="AQ1890" t="s">
        <v>1619</v>
      </c>
      <c r="AR1890" t="s">
        <v>1620</v>
      </c>
      <c r="AT1890" s="16" t="str">
        <f>_xlfn.XLOOKUP(B1890,'SWiSH Demand Forecast Sep-26'!D:D,'SWiSH Demand Forecast Sep-26'!G:G,"Not Exist")</f>
        <v>Not Exist</v>
      </c>
    </row>
    <row r="1891" spans="1:46" x14ac:dyDescent="0.3">
      <c r="A1891">
        <v>106800193</v>
      </c>
      <c r="B1891" t="s">
        <v>3770</v>
      </c>
      <c r="C1891" t="s">
        <v>10</v>
      </c>
      <c r="D1891" t="s">
        <v>1629</v>
      </c>
      <c r="E1891" t="s">
        <v>2483</v>
      </c>
      <c r="F1891" t="s">
        <v>1664</v>
      </c>
      <c r="G1891" t="s">
        <v>1704</v>
      </c>
      <c r="H1891" t="s">
        <v>1665</v>
      </c>
      <c r="I1891" t="s">
        <v>1634</v>
      </c>
      <c r="J1891" t="s">
        <v>10</v>
      </c>
      <c r="K1891">
        <v>3.0000000000000001E-3</v>
      </c>
      <c r="L1891">
        <v>0</v>
      </c>
      <c r="M1891" s="1">
        <v>7</v>
      </c>
      <c r="N1891">
        <v>0</v>
      </c>
      <c r="O1891">
        <v>0</v>
      </c>
      <c r="P1891">
        <v>0</v>
      </c>
      <c r="Q1891" s="1">
        <v>0</v>
      </c>
      <c r="R1891">
        <v>2.8999999999999998E-3</v>
      </c>
      <c r="S1891" s="2">
        <v>44850</v>
      </c>
      <c r="T1891" s="2">
        <v>46049</v>
      </c>
      <c r="U1891">
        <v>0</v>
      </c>
      <c r="V1891">
        <v>0</v>
      </c>
      <c r="W1891">
        <v>0</v>
      </c>
      <c r="X1891">
        <v>0</v>
      </c>
      <c r="Y1891">
        <v>0</v>
      </c>
      <c r="Z1891" s="8">
        <v>0</v>
      </c>
      <c r="AA1891">
        <v>0</v>
      </c>
      <c r="AB1891" t="s">
        <v>1635</v>
      </c>
      <c r="AC1891" t="s">
        <v>1635</v>
      </c>
      <c r="AD1891" s="1" t="s">
        <v>1635</v>
      </c>
      <c r="AE1891" s="2" t="s">
        <v>1635</v>
      </c>
      <c r="AF1891" s="2" t="s">
        <v>1635</v>
      </c>
      <c r="AG1891" s="2" t="s">
        <v>1635</v>
      </c>
      <c r="AH1891">
        <v>0</v>
      </c>
      <c r="AI1891" s="3" t="s">
        <v>1635</v>
      </c>
      <c r="AJ1891" s="1" t="s">
        <v>1635</v>
      </c>
      <c r="AK1891" s="2" t="s">
        <v>1635</v>
      </c>
      <c r="AL1891" s="4" t="s">
        <v>1636</v>
      </c>
      <c r="AM1891" s="5" t="s">
        <v>1636</v>
      </c>
      <c r="AN1891" s="4">
        <v>0</v>
      </c>
      <c r="AO1891" t="s">
        <v>1635</v>
      </c>
      <c r="AP1891" s="4" t="s">
        <v>1636</v>
      </c>
      <c r="AQ1891" t="s">
        <v>1619</v>
      </c>
      <c r="AR1891" t="s">
        <v>1620</v>
      </c>
      <c r="AT1891" s="16" t="str">
        <f>_xlfn.XLOOKUP(B1891,'SWiSH Demand Forecast Sep-26'!D:D,'SWiSH Demand Forecast Sep-26'!G:G,"Not Exist")</f>
        <v>Not Exist</v>
      </c>
    </row>
    <row r="1892" spans="1:46" x14ac:dyDescent="0.3">
      <c r="A1892">
        <v>107200115</v>
      </c>
      <c r="B1892" t="s">
        <v>3771</v>
      </c>
      <c r="C1892" t="s">
        <v>10</v>
      </c>
      <c r="D1892" t="s">
        <v>1675</v>
      </c>
      <c r="E1892" t="s">
        <v>1745</v>
      </c>
      <c r="F1892" t="s">
        <v>1656</v>
      </c>
      <c r="G1892" t="s">
        <v>1690</v>
      </c>
      <c r="H1892" t="s">
        <v>1657</v>
      </c>
      <c r="I1892" t="s">
        <v>1634</v>
      </c>
      <c r="J1892" t="s">
        <v>10</v>
      </c>
      <c r="K1892">
        <v>2.75</v>
      </c>
      <c r="L1892">
        <v>0</v>
      </c>
      <c r="M1892" s="1">
        <v>15</v>
      </c>
      <c r="N1892">
        <v>0</v>
      </c>
      <c r="O1892">
        <v>0</v>
      </c>
      <c r="P1892">
        <v>0</v>
      </c>
      <c r="Q1892" s="1">
        <v>0</v>
      </c>
      <c r="R1892">
        <v>2.75</v>
      </c>
      <c r="S1892" s="2">
        <v>45792</v>
      </c>
      <c r="T1892" s="2">
        <v>46184</v>
      </c>
      <c r="U1892">
        <v>0</v>
      </c>
      <c r="V1892">
        <v>0</v>
      </c>
      <c r="W1892">
        <v>0</v>
      </c>
      <c r="X1892">
        <v>0</v>
      </c>
      <c r="Y1892">
        <v>0</v>
      </c>
      <c r="Z1892" s="8">
        <v>0</v>
      </c>
      <c r="AA1892">
        <v>0</v>
      </c>
      <c r="AB1892" t="s">
        <v>1635</v>
      </c>
      <c r="AC1892" t="s">
        <v>1635</v>
      </c>
      <c r="AD1892" s="1" t="s">
        <v>1635</v>
      </c>
      <c r="AE1892" s="2" t="s">
        <v>1635</v>
      </c>
      <c r="AF1892" s="2" t="s">
        <v>1635</v>
      </c>
      <c r="AG1892" s="2" t="s">
        <v>1635</v>
      </c>
      <c r="AH1892">
        <v>0</v>
      </c>
      <c r="AI1892" s="3" t="s">
        <v>1635</v>
      </c>
      <c r="AJ1892" s="1" t="s">
        <v>1635</v>
      </c>
      <c r="AK1892" s="2" t="s">
        <v>1635</v>
      </c>
      <c r="AL1892" s="4" t="s">
        <v>1658</v>
      </c>
      <c r="AM1892" s="5" t="s">
        <v>1658</v>
      </c>
      <c r="AN1892" s="4">
        <v>0</v>
      </c>
      <c r="AO1892" t="s">
        <v>1635</v>
      </c>
      <c r="AP1892" s="4" t="s">
        <v>1658</v>
      </c>
      <c r="AQ1892" t="s">
        <v>1619</v>
      </c>
      <c r="AR1892" t="s">
        <v>1620</v>
      </c>
      <c r="AT1892" s="16" t="str">
        <f>_xlfn.XLOOKUP(B1892,'SWiSH Demand Forecast Sep-26'!D:D,'SWiSH Demand Forecast Sep-26'!G:G,"Not Exist")</f>
        <v>Not Exist</v>
      </c>
    </row>
    <row r="1893" spans="1:46" x14ac:dyDescent="0.3">
      <c r="A1893">
        <v>100400180</v>
      </c>
      <c r="B1893" t="s">
        <v>3772</v>
      </c>
      <c r="C1893" t="s">
        <v>10</v>
      </c>
      <c r="D1893" t="s">
        <v>1629</v>
      </c>
      <c r="E1893" t="s">
        <v>1796</v>
      </c>
      <c r="F1893" t="s">
        <v>1664</v>
      </c>
      <c r="G1893" t="e">
        <v>#N/A</v>
      </c>
      <c r="H1893" t="s">
        <v>1810</v>
      </c>
      <c r="I1893" t="s">
        <v>1634</v>
      </c>
      <c r="J1893" t="s">
        <v>10</v>
      </c>
      <c r="K1893" t="e">
        <v>#N/A</v>
      </c>
      <c r="L1893" t="e">
        <v>#N/A</v>
      </c>
      <c r="M1893" s="1">
        <v>30</v>
      </c>
      <c r="N1893">
        <v>0</v>
      </c>
      <c r="O1893">
        <v>0</v>
      </c>
      <c r="P1893">
        <v>0</v>
      </c>
      <c r="Q1893" s="1">
        <v>0</v>
      </c>
      <c r="R1893">
        <v>0.125</v>
      </c>
      <c r="S1893" s="2">
        <v>45773</v>
      </c>
      <c r="T1893" s="2">
        <v>45258</v>
      </c>
      <c r="U1893">
        <v>0</v>
      </c>
      <c r="V1893">
        <v>0</v>
      </c>
      <c r="W1893">
        <v>0</v>
      </c>
      <c r="X1893">
        <v>0</v>
      </c>
      <c r="Y1893">
        <v>0</v>
      </c>
      <c r="Z1893" s="8">
        <v>0</v>
      </c>
      <c r="AA1893">
        <v>0</v>
      </c>
      <c r="AB1893" t="s">
        <v>1635</v>
      </c>
      <c r="AC1893" t="s">
        <v>1635</v>
      </c>
      <c r="AD1893" s="1" t="s">
        <v>1635</v>
      </c>
      <c r="AE1893" s="2" t="s">
        <v>1635</v>
      </c>
      <c r="AF1893" s="2" t="s">
        <v>1635</v>
      </c>
      <c r="AG1893" s="2" t="s">
        <v>1635</v>
      </c>
      <c r="AH1893">
        <v>0</v>
      </c>
      <c r="AI1893" s="3" t="s">
        <v>1635</v>
      </c>
      <c r="AJ1893" s="1" t="s">
        <v>1635</v>
      </c>
      <c r="AK1893" s="2" t="s">
        <v>1635</v>
      </c>
      <c r="AL1893" s="4" t="s">
        <v>1636</v>
      </c>
      <c r="AM1893" s="5" t="s">
        <v>1636</v>
      </c>
      <c r="AN1893" s="4">
        <v>0</v>
      </c>
      <c r="AO1893" t="s">
        <v>1635</v>
      </c>
      <c r="AP1893" s="4" t="s">
        <v>1636</v>
      </c>
      <c r="AQ1893" t="s">
        <v>1619</v>
      </c>
      <c r="AR1893" t="s">
        <v>1620</v>
      </c>
      <c r="AT1893" s="16" t="str">
        <f>_xlfn.XLOOKUP(B1893,'SWiSH Demand Forecast Sep-26'!D:D,'SWiSH Demand Forecast Sep-26'!G:G,"Not Exist")</f>
        <v>Not Exist</v>
      </c>
    </row>
    <row r="1894" spans="1:46" x14ac:dyDescent="0.3">
      <c r="A1894">
        <v>101100056</v>
      </c>
      <c r="B1894" t="s">
        <v>3773</v>
      </c>
      <c r="C1894" t="s">
        <v>10</v>
      </c>
      <c r="D1894" t="s">
        <v>1675</v>
      </c>
      <c r="E1894" t="s">
        <v>1683</v>
      </c>
      <c r="F1894" t="s">
        <v>1650</v>
      </c>
      <c r="G1894" t="s">
        <v>1632</v>
      </c>
      <c r="H1894" t="s">
        <v>1953</v>
      </c>
      <c r="I1894" t="s">
        <v>1634</v>
      </c>
      <c r="J1894" t="s">
        <v>3774</v>
      </c>
      <c r="K1894">
        <v>22.5</v>
      </c>
      <c r="L1894">
        <v>0</v>
      </c>
      <c r="M1894" s="1">
        <v>3</v>
      </c>
      <c r="N1894">
        <v>0</v>
      </c>
      <c r="O1894">
        <v>0</v>
      </c>
      <c r="P1894">
        <v>0</v>
      </c>
      <c r="Q1894" s="1">
        <v>0</v>
      </c>
      <c r="R1894">
        <v>45</v>
      </c>
      <c r="S1894" s="2">
        <v>45790</v>
      </c>
      <c r="T1894" s="2">
        <v>45808</v>
      </c>
      <c r="U1894">
        <v>0</v>
      </c>
      <c r="V1894">
        <v>0</v>
      </c>
      <c r="W1894">
        <v>0</v>
      </c>
      <c r="X1894">
        <v>0</v>
      </c>
      <c r="Y1894">
        <v>0</v>
      </c>
      <c r="Z1894" s="8">
        <v>0</v>
      </c>
      <c r="AA1894">
        <v>0</v>
      </c>
      <c r="AB1894" t="s">
        <v>1635</v>
      </c>
      <c r="AC1894" t="s">
        <v>1635</v>
      </c>
      <c r="AD1894" s="1" t="s">
        <v>1635</v>
      </c>
      <c r="AE1894" s="2" t="s">
        <v>1635</v>
      </c>
      <c r="AF1894" s="2" t="s">
        <v>1635</v>
      </c>
      <c r="AG1894" s="2" t="s">
        <v>1635</v>
      </c>
      <c r="AH1894">
        <v>0</v>
      </c>
      <c r="AI1894" s="3" t="s">
        <v>1635</v>
      </c>
      <c r="AJ1894" s="1" t="s">
        <v>1635</v>
      </c>
      <c r="AK1894" s="2" t="s">
        <v>1635</v>
      </c>
      <c r="AL1894" s="4" t="s">
        <v>1658</v>
      </c>
      <c r="AM1894" s="5" t="s">
        <v>1658</v>
      </c>
      <c r="AN1894" s="4">
        <v>0</v>
      </c>
      <c r="AO1894" t="s">
        <v>1635</v>
      </c>
      <c r="AP1894" s="4" t="s">
        <v>1658</v>
      </c>
      <c r="AQ1894" t="s">
        <v>1619</v>
      </c>
      <c r="AR1894" t="s">
        <v>1620</v>
      </c>
      <c r="AT1894" s="16" t="str">
        <f>_xlfn.XLOOKUP(B1894,'SWiSH Demand Forecast Sep-26'!D:D,'SWiSH Demand Forecast Sep-26'!G:G,"Not Exist")</f>
        <v>Not Exist</v>
      </c>
    </row>
    <row r="1895" spans="1:46" x14ac:dyDescent="0.3">
      <c r="A1895">
        <v>100400149</v>
      </c>
      <c r="B1895" t="s">
        <v>3775</v>
      </c>
      <c r="C1895" t="s">
        <v>10</v>
      </c>
      <c r="D1895" t="s">
        <v>1629</v>
      </c>
      <c r="E1895" t="s">
        <v>1762</v>
      </c>
      <c r="F1895" t="s">
        <v>1664</v>
      </c>
      <c r="G1895" t="e">
        <v>#N/A</v>
      </c>
      <c r="H1895" t="s">
        <v>1810</v>
      </c>
      <c r="I1895" t="s">
        <v>1634</v>
      </c>
      <c r="J1895" t="s">
        <v>10</v>
      </c>
      <c r="K1895" t="e">
        <v>#N/A</v>
      </c>
      <c r="L1895" t="e">
        <v>#N/A</v>
      </c>
      <c r="M1895" s="1">
        <v>30</v>
      </c>
      <c r="N1895">
        <v>0</v>
      </c>
      <c r="O1895">
        <v>0</v>
      </c>
      <c r="P1895">
        <v>0</v>
      </c>
      <c r="Q1895" s="1">
        <v>0</v>
      </c>
      <c r="R1895">
        <v>6.5000000000000002E-2</v>
      </c>
      <c r="S1895" s="2">
        <v>45773</v>
      </c>
      <c r="T1895" s="2">
        <v>45487</v>
      </c>
      <c r="U1895">
        <v>0</v>
      </c>
      <c r="V1895">
        <v>0</v>
      </c>
      <c r="W1895">
        <v>0</v>
      </c>
      <c r="X1895">
        <v>0</v>
      </c>
      <c r="Y1895">
        <v>0</v>
      </c>
      <c r="Z1895" s="8">
        <v>0</v>
      </c>
      <c r="AA1895">
        <v>0</v>
      </c>
      <c r="AB1895" t="s">
        <v>1635</v>
      </c>
      <c r="AC1895" t="s">
        <v>1635</v>
      </c>
      <c r="AD1895" s="1" t="s">
        <v>1635</v>
      </c>
      <c r="AE1895" s="2" t="s">
        <v>1635</v>
      </c>
      <c r="AF1895" s="2" t="s">
        <v>1635</v>
      </c>
      <c r="AG1895" s="2" t="s">
        <v>1635</v>
      </c>
      <c r="AH1895">
        <v>0</v>
      </c>
      <c r="AI1895" s="3" t="s">
        <v>1635</v>
      </c>
      <c r="AJ1895" s="1" t="s">
        <v>1635</v>
      </c>
      <c r="AK1895" s="2" t="s">
        <v>1635</v>
      </c>
      <c r="AL1895" s="4" t="s">
        <v>1636</v>
      </c>
      <c r="AM1895" s="5" t="s">
        <v>1636</v>
      </c>
      <c r="AN1895" s="4">
        <v>0</v>
      </c>
      <c r="AO1895" t="s">
        <v>1635</v>
      </c>
      <c r="AP1895" s="4" t="s">
        <v>1636</v>
      </c>
      <c r="AQ1895" t="s">
        <v>1619</v>
      </c>
      <c r="AR1895" t="s">
        <v>1620</v>
      </c>
      <c r="AT1895" s="16" t="str">
        <f>_xlfn.XLOOKUP(B1895,'SWiSH Demand Forecast Sep-26'!D:D,'SWiSH Demand Forecast Sep-26'!G:G,"Not Exist")</f>
        <v>Not Exist</v>
      </c>
    </row>
    <row r="1896" spans="1:46" x14ac:dyDescent="0.3">
      <c r="A1896">
        <v>107200120</v>
      </c>
      <c r="B1896" t="s">
        <v>3776</v>
      </c>
      <c r="C1896" t="s">
        <v>10</v>
      </c>
      <c r="D1896" t="s">
        <v>1675</v>
      </c>
      <c r="E1896" t="s">
        <v>1683</v>
      </c>
      <c r="F1896" t="s">
        <v>1656</v>
      </c>
      <c r="G1896" t="s">
        <v>1690</v>
      </c>
      <c r="H1896" t="s">
        <v>1657</v>
      </c>
      <c r="I1896" t="s">
        <v>1634</v>
      </c>
      <c r="J1896" t="s">
        <v>10</v>
      </c>
      <c r="K1896">
        <v>1.75</v>
      </c>
      <c r="L1896">
        <v>0</v>
      </c>
      <c r="M1896" s="1">
        <v>15</v>
      </c>
      <c r="N1896">
        <v>0</v>
      </c>
      <c r="O1896">
        <v>0</v>
      </c>
      <c r="P1896">
        <v>0</v>
      </c>
      <c r="Q1896" s="1">
        <v>0</v>
      </c>
      <c r="R1896">
        <v>1.75</v>
      </c>
      <c r="S1896" s="2">
        <v>45805</v>
      </c>
      <c r="T1896" s="2">
        <v>45805</v>
      </c>
      <c r="U1896">
        <v>0</v>
      </c>
      <c r="V1896">
        <v>0</v>
      </c>
      <c r="W1896">
        <v>0</v>
      </c>
      <c r="X1896">
        <v>0</v>
      </c>
      <c r="Y1896">
        <v>0</v>
      </c>
      <c r="Z1896" s="8">
        <v>0</v>
      </c>
      <c r="AA1896">
        <v>0</v>
      </c>
      <c r="AB1896" t="s">
        <v>1635</v>
      </c>
      <c r="AC1896" t="s">
        <v>1635</v>
      </c>
      <c r="AD1896" s="1" t="s">
        <v>1635</v>
      </c>
      <c r="AE1896" s="2" t="s">
        <v>1635</v>
      </c>
      <c r="AF1896" s="2" t="s">
        <v>1635</v>
      </c>
      <c r="AG1896" s="2" t="s">
        <v>1635</v>
      </c>
      <c r="AH1896">
        <v>0</v>
      </c>
      <c r="AI1896" s="3" t="s">
        <v>1635</v>
      </c>
      <c r="AJ1896" s="1" t="s">
        <v>1635</v>
      </c>
      <c r="AK1896" s="2" t="s">
        <v>1635</v>
      </c>
      <c r="AL1896" s="4" t="s">
        <v>1658</v>
      </c>
      <c r="AM1896" s="5" t="s">
        <v>1658</v>
      </c>
      <c r="AN1896" s="4">
        <v>0</v>
      </c>
      <c r="AO1896" t="s">
        <v>1635</v>
      </c>
      <c r="AP1896" s="4" t="s">
        <v>1658</v>
      </c>
      <c r="AQ1896" t="s">
        <v>1619</v>
      </c>
      <c r="AR1896" t="s">
        <v>1620</v>
      </c>
      <c r="AT1896" s="16" t="str">
        <f>_xlfn.XLOOKUP(B1896,'SWiSH Demand Forecast Sep-26'!D:D,'SWiSH Demand Forecast Sep-26'!G:G,"Not Exist")</f>
        <v>Not Exist</v>
      </c>
    </row>
    <row r="1897" spans="1:46" x14ac:dyDescent="0.3">
      <c r="A1897">
        <v>101100057</v>
      </c>
      <c r="B1897" t="s">
        <v>3777</v>
      </c>
      <c r="C1897" t="s">
        <v>10</v>
      </c>
      <c r="D1897" t="s">
        <v>1675</v>
      </c>
      <c r="E1897" t="s">
        <v>1683</v>
      </c>
      <c r="F1897" t="s">
        <v>1650</v>
      </c>
      <c r="G1897" t="s">
        <v>1632</v>
      </c>
      <c r="H1897" t="s">
        <v>1953</v>
      </c>
      <c r="I1897" t="s">
        <v>1634</v>
      </c>
      <c r="J1897" t="s">
        <v>10</v>
      </c>
      <c r="K1897">
        <v>30</v>
      </c>
      <c r="L1897">
        <v>0</v>
      </c>
      <c r="M1897" s="1">
        <v>3</v>
      </c>
      <c r="N1897">
        <v>0</v>
      </c>
      <c r="O1897">
        <v>0</v>
      </c>
      <c r="P1897">
        <v>0</v>
      </c>
      <c r="Q1897" s="1">
        <v>0</v>
      </c>
      <c r="R1897">
        <v>30</v>
      </c>
      <c r="S1897" s="2">
        <v>45790</v>
      </c>
      <c r="T1897" s="2">
        <v>45808</v>
      </c>
      <c r="U1897">
        <v>0</v>
      </c>
      <c r="V1897">
        <v>0</v>
      </c>
      <c r="W1897">
        <v>0</v>
      </c>
      <c r="X1897">
        <v>0</v>
      </c>
      <c r="Y1897">
        <v>0</v>
      </c>
      <c r="Z1897" s="8">
        <v>0</v>
      </c>
      <c r="AA1897">
        <v>0</v>
      </c>
      <c r="AB1897" t="s">
        <v>1635</v>
      </c>
      <c r="AC1897" t="s">
        <v>1635</v>
      </c>
      <c r="AD1897" s="1" t="s">
        <v>1635</v>
      </c>
      <c r="AE1897" s="2" t="s">
        <v>1635</v>
      </c>
      <c r="AF1897" s="2" t="s">
        <v>1635</v>
      </c>
      <c r="AG1897" s="2" t="s">
        <v>1635</v>
      </c>
      <c r="AH1897">
        <v>0</v>
      </c>
      <c r="AI1897" s="3" t="s">
        <v>1635</v>
      </c>
      <c r="AJ1897" s="1" t="s">
        <v>1635</v>
      </c>
      <c r="AK1897" s="2" t="s">
        <v>1635</v>
      </c>
      <c r="AL1897" s="4" t="s">
        <v>1658</v>
      </c>
      <c r="AM1897" s="5" t="s">
        <v>1658</v>
      </c>
      <c r="AN1897" s="4">
        <v>0</v>
      </c>
      <c r="AO1897" t="s">
        <v>1635</v>
      </c>
      <c r="AP1897" s="4" t="s">
        <v>1658</v>
      </c>
      <c r="AQ1897" t="s">
        <v>1619</v>
      </c>
      <c r="AR1897" t="s">
        <v>1620</v>
      </c>
      <c r="AT1897" s="16" t="str">
        <f>_xlfn.XLOOKUP(B1897,'SWiSH Demand Forecast Sep-26'!D:D,'SWiSH Demand Forecast Sep-26'!G:G,"Not Exist")</f>
        <v>Not Exist</v>
      </c>
    </row>
    <row r="1898" spans="1:46" x14ac:dyDescent="0.3">
      <c r="A1898">
        <v>107200153</v>
      </c>
      <c r="B1898" t="s">
        <v>3778</v>
      </c>
      <c r="C1898" t="s">
        <v>10</v>
      </c>
      <c r="D1898" t="s">
        <v>1675</v>
      </c>
      <c r="E1898" t="s">
        <v>1638</v>
      </c>
      <c r="F1898" t="s">
        <v>1656</v>
      </c>
      <c r="G1898" t="s">
        <v>1690</v>
      </c>
      <c r="H1898" t="s">
        <v>1657</v>
      </c>
      <c r="I1898" t="s">
        <v>1634</v>
      </c>
      <c r="J1898" t="s">
        <v>10</v>
      </c>
      <c r="K1898">
        <v>3.75</v>
      </c>
      <c r="L1898">
        <v>0</v>
      </c>
      <c r="M1898" s="1">
        <v>15</v>
      </c>
      <c r="N1898">
        <v>0</v>
      </c>
      <c r="O1898">
        <v>0</v>
      </c>
      <c r="P1898">
        <v>0</v>
      </c>
      <c r="Q1898" s="1">
        <v>0</v>
      </c>
      <c r="R1898">
        <v>3.75</v>
      </c>
      <c r="S1898" s="2">
        <v>45792</v>
      </c>
      <c r="T1898" s="2">
        <v>45998</v>
      </c>
      <c r="U1898">
        <v>0</v>
      </c>
      <c r="V1898">
        <v>0</v>
      </c>
      <c r="W1898">
        <v>0</v>
      </c>
      <c r="X1898">
        <v>0</v>
      </c>
      <c r="Y1898">
        <v>0</v>
      </c>
      <c r="Z1898" s="8">
        <v>0</v>
      </c>
      <c r="AA1898">
        <v>0</v>
      </c>
      <c r="AB1898" t="s">
        <v>1635</v>
      </c>
      <c r="AC1898" t="s">
        <v>1635</v>
      </c>
      <c r="AD1898" s="1" t="s">
        <v>1635</v>
      </c>
      <c r="AE1898" s="2" t="s">
        <v>1635</v>
      </c>
      <c r="AF1898" s="2" t="s">
        <v>1635</v>
      </c>
      <c r="AG1898" s="2" t="s">
        <v>1635</v>
      </c>
      <c r="AH1898">
        <v>0</v>
      </c>
      <c r="AI1898" s="3" t="s">
        <v>1635</v>
      </c>
      <c r="AJ1898" s="1" t="s">
        <v>1635</v>
      </c>
      <c r="AK1898" s="2" t="s">
        <v>1635</v>
      </c>
      <c r="AL1898" s="4" t="s">
        <v>1658</v>
      </c>
      <c r="AM1898" s="5" t="s">
        <v>1658</v>
      </c>
      <c r="AN1898" s="4">
        <v>0</v>
      </c>
      <c r="AO1898" t="s">
        <v>1635</v>
      </c>
      <c r="AP1898" s="4" t="s">
        <v>1658</v>
      </c>
      <c r="AQ1898" t="s">
        <v>1619</v>
      </c>
      <c r="AR1898" t="s">
        <v>1620</v>
      </c>
      <c r="AT1898" s="16" t="str">
        <f>_xlfn.XLOOKUP(B1898,'SWiSH Demand Forecast Sep-26'!D:D,'SWiSH Demand Forecast Sep-26'!G:G,"Not Exist")</f>
        <v>Not Exist</v>
      </c>
    </row>
    <row r="1899" spans="1:46" x14ac:dyDescent="0.3">
      <c r="A1899">
        <v>107200005</v>
      </c>
      <c r="B1899" t="s">
        <v>3779</v>
      </c>
      <c r="C1899" t="s">
        <v>10</v>
      </c>
      <c r="D1899" t="s">
        <v>1675</v>
      </c>
      <c r="E1899" t="s">
        <v>1663</v>
      </c>
      <c r="F1899" t="s">
        <v>1656</v>
      </c>
      <c r="G1899" t="s">
        <v>1690</v>
      </c>
      <c r="H1899" t="s">
        <v>1657</v>
      </c>
      <c r="I1899" t="s">
        <v>1634</v>
      </c>
      <c r="J1899" t="s">
        <v>10</v>
      </c>
      <c r="K1899">
        <v>3.25</v>
      </c>
      <c r="L1899">
        <v>0</v>
      </c>
      <c r="M1899" s="1">
        <v>15</v>
      </c>
      <c r="N1899">
        <v>0</v>
      </c>
      <c r="O1899">
        <v>0</v>
      </c>
      <c r="P1899">
        <v>0</v>
      </c>
      <c r="Q1899" s="1">
        <v>0</v>
      </c>
      <c r="R1899">
        <v>3</v>
      </c>
      <c r="S1899" s="2">
        <v>45915</v>
      </c>
      <c r="T1899" s="2">
        <v>46054</v>
      </c>
      <c r="U1899">
        <v>0</v>
      </c>
      <c r="V1899">
        <v>0</v>
      </c>
      <c r="W1899">
        <v>0</v>
      </c>
      <c r="X1899">
        <v>0</v>
      </c>
      <c r="Y1899">
        <v>0</v>
      </c>
      <c r="Z1899" s="8">
        <v>0</v>
      </c>
      <c r="AA1899">
        <v>0</v>
      </c>
      <c r="AB1899" t="s">
        <v>1635</v>
      </c>
      <c r="AC1899" t="s">
        <v>1635</v>
      </c>
      <c r="AD1899" s="1" t="s">
        <v>1635</v>
      </c>
      <c r="AE1899" s="2" t="s">
        <v>1635</v>
      </c>
      <c r="AF1899" s="2" t="s">
        <v>1635</v>
      </c>
      <c r="AG1899" s="2" t="s">
        <v>1635</v>
      </c>
      <c r="AH1899">
        <v>0</v>
      </c>
      <c r="AI1899" s="3" t="s">
        <v>1635</v>
      </c>
      <c r="AJ1899" s="1" t="s">
        <v>1635</v>
      </c>
      <c r="AK1899" s="2" t="s">
        <v>1635</v>
      </c>
      <c r="AL1899" s="4" t="s">
        <v>1658</v>
      </c>
      <c r="AM1899" s="5" t="s">
        <v>1658</v>
      </c>
      <c r="AN1899" s="4">
        <v>0</v>
      </c>
      <c r="AO1899" t="s">
        <v>1635</v>
      </c>
      <c r="AP1899" s="4" t="s">
        <v>1658</v>
      </c>
      <c r="AQ1899" t="s">
        <v>1619</v>
      </c>
      <c r="AR1899" t="s">
        <v>1620</v>
      </c>
      <c r="AT1899" s="16" t="str">
        <f>_xlfn.XLOOKUP(B1899,'SWiSH Demand Forecast Sep-26'!D:D,'SWiSH Demand Forecast Sep-26'!G:G,"Not Exist")</f>
        <v>Not Exist</v>
      </c>
    </row>
    <row r="1900" spans="1:46" x14ac:dyDescent="0.3">
      <c r="A1900">
        <v>107200180</v>
      </c>
      <c r="B1900" t="s">
        <v>3780</v>
      </c>
      <c r="C1900" t="s">
        <v>10</v>
      </c>
      <c r="D1900" t="s">
        <v>1675</v>
      </c>
      <c r="E1900" t="s">
        <v>3781</v>
      </c>
      <c r="F1900" t="s">
        <v>1656</v>
      </c>
      <c r="G1900" t="s">
        <v>1678</v>
      </c>
      <c r="H1900" t="s">
        <v>1657</v>
      </c>
      <c r="I1900" t="s">
        <v>1634</v>
      </c>
      <c r="J1900" t="s">
        <v>10</v>
      </c>
      <c r="K1900">
        <v>4.5</v>
      </c>
      <c r="L1900">
        <v>0</v>
      </c>
      <c r="M1900" s="1">
        <v>15</v>
      </c>
      <c r="N1900">
        <v>0</v>
      </c>
      <c r="O1900">
        <v>0</v>
      </c>
      <c r="P1900">
        <v>0</v>
      </c>
      <c r="Q1900" s="1">
        <v>0</v>
      </c>
      <c r="R1900">
        <v>0</v>
      </c>
      <c r="S1900" s="2">
        <v>45873</v>
      </c>
      <c r="T1900" s="2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 s="8">
        <v>0</v>
      </c>
      <c r="AA1900">
        <v>0</v>
      </c>
      <c r="AB1900" t="s">
        <v>1635</v>
      </c>
      <c r="AC1900" t="s">
        <v>1635</v>
      </c>
      <c r="AD1900" s="1" t="s">
        <v>1635</v>
      </c>
      <c r="AE1900" s="2" t="s">
        <v>1635</v>
      </c>
      <c r="AF1900" s="2" t="s">
        <v>1635</v>
      </c>
      <c r="AG1900" s="2" t="s">
        <v>1635</v>
      </c>
      <c r="AH1900">
        <v>0</v>
      </c>
      <c r="AI1900" s="3" t="s">
        <v>1635</v>
      </c>
      <c r="AJ1900" s="1" t="s">
        <v>1635</v>
      </c>
      <c r="AK1900" s="2" t="s">
        <v>1635</v>
      </c>
      <c r="AL1900" s="4" t="s">
        <v>1658</v>
      </c>
      <c r="AM1900" s="5" t="s">
        <v>1658</v>
      </c>
      <c r="AN1900" s="4">
        <v>0</v>
      </c>
      <c r="AO1900" t="s">
        <v>1635</v>
      </c>
      <c r="AP1900" s="4" t="s">
        <v>1658</v>
      </c>
      <c r="AQ1900" t="s">
        <v>1619</v>
      </c>
      <c r="AR1900" t="s">
        <v>1620</v>
      </c>
      <c r="AT1900" s="16" t="str">
        <f>_xlfn.XLOOKUP(B1900,'SWiSH Demand Forecast Sep-26'!D:D,'SWiSH Demand Forecast Sep-26'!G:G,"Not Exist")</f>
        <v>Not Exist</v>
      </c>
    </row>
    <row r="1901" spans="1:46" x14ac:dyDescent="0.3">
      <c r="A1901">
        <v>106700057</v>
      </c>
      <c r="B1901" t="s">
        <v>3782</v>
      </c>
      <c r="C1901" t="s">
        <v>10</v>
      </c>
      <c r="D1901" t="s">
        <v>1629</v>
      </c>
      <c r="E1901" t="s">
        <v>3232</v>
      </c>
      <c r="F1901" t="s">
        <v>1650</v>
      </c>
      <c r="G1901" t="s">
        <v>1632</v>
      </c>
      <c r="H1901" t="s">
        <v>1651</v>
      </c>
      <c r="I1901" t="s">
        <v>1634</v>
      </c>
      <c r="J1901" t="e">
        <v>#N/A</v>
      </c>
      <c r="K1901">
        <v>0.155</v>
      </c>
      <c r="L1901">
        <v>0</v>
      </c>
      <c r="M1901" s="1">
        <v>3</v>
      </c>
      <c r="N1901">
        <v>0</v>
      </c>
      <c r="O1901">
        <v>0</v>
      </c>
      <c r="P1901">
        <v>0</v>
      </c>
      <c r="Q1901" s="1">
        <v>0</v>
      </c>
      <c r="R1901">
        <v>0.155</v>
      </c>
      <c r="S1901" s="2">
        <v>43869</v>
      </c>
      <c r="T1901" s="2">
        <v>45438</v>
      </c>
      <c r="U1901">
        <v>0</v>
      </c>
      <c r="V1901">
        <v>0</v>
      </c>
      <c r="W1901">
        <v>0</v>
      </c>
      <c r="X1901">
        <v>0</v>
      </c>
      <c r="Y1901">
        <v>0</v>
      </c>
      <c r="Z1901" s="8">
        <v>0</v>
      </c>
      <c r="AA1901">
        <v>0</v>
      </c>
      <c r="AB1901" t="s">
        <v>1635</v>
      </c>
      <c r="AC1901" t="s">
        <v>1635</v>
      </c>
      <c r="AD1901" s="1" t="s">
        <v>1635</v>
      </c>
      <c r="AE1901" s="2" t="s">
        <v>1635</v>
      </c>
      <c r="AF1901" s="2" t="s">
        <v>1635</v>
      </c>
      <c r="AG1901" s="2" t="s">
        <v>1635</v>
      </c>
      <c r="AH1901">
        <v>0</v>
      </c>
      <c r="AI1901" s="3" t="s">
        <v>1635</v>
      </c>
      <c r="AJ1901" s="1" t="s">
        <v>1635</v>
      </c>
      <c r="AK1901" s="2" t="s">
        <v>1635</v>
      </c>
      <c r="AL1901" s="4" t="s">
        <v>1636</v>
      </c>
      <c r="AM1901" s="5" t="s">
        <v>1636</v>
      </c>
      <c r="AN1901" s="4">
        <v>0</v>
      </c>
      <c r="AO1901" t="s">
        <v>1635</v>
      </c>
      <c r="AP1901" s="4" t="s">
        <v>1636</v>
      </c>
      <c r="AQ1901" t="s">
        <v>1619</v>
      </c>
      <c r="AR1901" t="s">
        <v>1620</v>
      </c>
      <c r="AT1901" s="16" t="str">
        <f>_xlfn.XLOOKUP(B1901,'SWiSH Demand Forecast Sep-26'!D:D,'SWiSH Demand Forecast Sep-26'!G:G,"Not Exist")</f>
        <v>Not Exist</v>
      </c>
    </row>
    <row r="1902" spans="1:46" x14ac:dyDescent="0.3">
      <c r="A1902">
        <v>101500031</v>
      </c>
      <c r="B1902" t="s">
        <v>3783</v>
      </c>
      <c r="C1902" t="s">
        <v>10</v>
      </c>
      <c r="D1902" t="s">
        <v>1675</v>
      </c>
      <c r="E1902" t="s">
        <v>1638</v>
      </c>
      <c r="F1902" t="s">
        <v>1644</v>
      </c>
      <c r="G1902" t="e">
        <v>#N/A</v>
      </c>
      <c r="H1902" t="s">
        <v>1647</v>
      </c>
      <c r="I1902" t="s">
        <v>1634</v>
      </c>
      <c r="J1902" t="s">
        <v>10</v>
      </c>
      <c r="K1902" t="e">
        <v>#N/A</v>
      </c>
      <c r="L1902" t="e">
        <v>#N/A</v>
      </c>
      <c r="M1902" s="1">
        <v>3</v>
      </c>
      <c r="N1902">
        <v>0</v>
      </c>
      <c r="O1902">
        <v>0</v>
      </c>
      <c r="P1902">
        <v>0</v>
      </c>
      <c r="Q1902" s="1">
        <v>0</v>
      </c>
      <c r="R1902">
        <v>11.110480000000001</v>
      </c>
      <c r="S1902" s="2">
        <v>45119</v>
      </c>
      <c r="T1902" s="2">
        <v>46057</v>
      </c>
      <c r="U1902">
        <v>0</v>
      </c>
      <c r="V1902">
        <v>0</v>
      </c>
      <c r="W1902">
        <v>0</v>
      </c>
      <c r="X1902">
        <v>0</v>
      </c>
      <c r="Y1902">
        <v>0</v>
      </c>
      <c r="Z1902" s="8">
        <v>0</v>
      </c>
      <c r="AA1902">
        <v>0</v>
      </c>
      <c r="AB1902" t="s">
        <v>1635</v>
      </c>
      <c r="AC1902" t="s">
        <v>1635</v>
      </c>
      <c r="AD1902" s="1" t="s">
        <v>1635</v>
      </c>
      <c r="AE1902" s="2" t="s">
        <v>1635</v>
      </c>
      <c r="AF1902" s="2" t="s">
        <v>1635</v>
      </c>
      <c r="AG1902" s="2" t="s">
        <v>1635</v>
      </c>
      <c r="AH1902">
        <v>0</v>
      </c>
      <c r="AI1902" s="3" t="s">
        <v>1635</v>
      </c>
      <c r="AJ1902" s="1" t="s">
        <v>1635</v>
      </c>
      <c r="AK1902" s="2" t="s">
        <v>1635</v>
      </c>
      <c r="AL1902" s="4" t="s">
        <v>1658</v>
      </c>
      <c r="AM1902" s="5" t="s">
        <v>1658</v>
      </c>
      <c r="AN1902" s="4">
        <v>0</v>
      </c>
      <c r="AO1902" t="s">
        <v>1635</v>
      </c>
      <c r="AP1902" s="4" t="s">
        <v>1658</v>
      </c>
      <c r="AQ1902" t="s">
        <v>1619</v>
      </c>
      <c r="AR1902" t="s">
        <v>1620</v>
      </c>
      <c r="AT1902" s="16" t="str">
        <f>_xlfn.XLOOKUP(B1902,'SWiSH Demand Forecast Sep-26'!D:D,'SWiSH Demand Forecast Sep-26'!G:G,"Not Exist")</f>
        <v>Not Exist</v>
      </c>
    </row>
    <row r="1903" spans="1:46" x14ac:dyDescent="0.3">
      <c r="A1903">
        <v>107200193</v>
      </c>
      <c r="B1903" t="s">
        <v>3784</v>
      </c>
      <c r="C1903" t="s">
        <v>10</v>
      </c>
      <c r="D1903" t="s">
        <v>1675</v>
      </c>
      <c r="E1903" t="s">
        <v>3781</v>
      </c>
      <c r="F1903" t="s">
        <v>1656</v>
      </c>
      <c r="G1903" t="s">
        <v>1632</v>
      </c>
      <c r="H1903" t="s">
        <v>1657</v>
      </c>
      <c r="I1903" t="s">
        <v>1634</v>
      </c>
      <c r="J1903" t="s">
        <v>10</v>
      </c>
      <c r="K1903">
        <v>4.25</v>
      </c>
      <c r="L1903">
        <v>0</v>
      </c>
      <c r="M1903" s="1">
        <v>15</v>
      </c>
      <c r="N1903">
        <v>0</v>
      </c>
      <c r="O1903">
        <v>0</v>
      </c>
      <c r="P1903">
        <v>0</v>
      </c>
      <c r="Q1903" s="1">
        <v>0</v>
      </c>
      <c r="R1903">
        <v>4.25</v>
      </c>
      <c r="S1903" s="2">
        <v>46037</v>
      </c>
      <c r="T1903" s="2">
        <v>46038</v>
      </c>
      <c r="U1903">
        <v>0</v>
      </c>
      <c r="V1903">
        <v>0</v>
      </c>
      <c r="W1903">
        <v>0</v>
      </c>
      <c r="X1903">
        <v>0</v>
      </c>
      <c r="Y1903">
        <v>0</v>
      </c>
      <c r="Z1903" s="8">
        <v>0</v>
      </c>
      <c r="AA1903">
        <v>0</v>
      </c>
      <c r="AB1903" t="s">
        <v>1635</v>
      </c>
      <c r="AC1903" t="s">
        <v>1635</v>
      </c>
      <c r="AD1903" s="1" t="s">
        <v>1635</v>
      </c>
      <c r="AE1903" s="2" t="s">
        <v>1635</v>
      </c>
      <c r="AF1903" s="2" t="s">
        <v>1635</v>
      </c>
      <c r="AG1903" s="2" t="s">
        <v>1635</v>
      </c>
      <c r="AH1903">
        <v>0</v>
      </c>
      <c r="AI1903" s="3" t="s">
        <v>1635</v>
      </c>
      <c r="AJ1903" s="1" t="s">
        <v>1635</v>
      </c>
      <c r="AK1903" s="2" t="s">
        <v>1635</v>
      </c>
      <c r="AL1903" s="4" t="s">
        <v>1658</v>
      </c>
      <c r="AM1903" s="5" t="s">
        <v>1658</v>
      </c>
      <c r="AN1903" s="4">
        <v>0</v>
      </c>
      <c r="AO1903" t="s">
        <v>1635</v>
      </c>
      <c r="AP1903" s="4" t="s">
        <v>1658</v>
      </c>
      <c r="AQ1903" t="s">
        <v>1619</v>
      </c>
      <c r="AR1903" t="s">
        <v>1620</v>
      </c>
      <c r="AT1903" s="16" t="str">
        <f>_xlfn.XLOOKUP(B1903,'SWiSH Demand Forecast Sep-26'!D:D,'SWiSH Demand Forecast Sep-26'!G:G,"Not Exist")</f>
        <v>Not Exist</v>
      </c>
    </row>
    <row r="1904" spans="1:46" x14ac:dyDescent="0.3">
      <c r="A1904">
        <v>101100006</v>
      </c>
      <c r="B1904" t="s">
        <v>3785</v>
      </c>
      <c r="C1904" t="s">
        <v>10</v>
      </c>
      <c r="D1904" t="s">
        <v>1675</v>
      </c>
      <c r="E1904" t="s">
        <v>3232</v>
      </c>
      <c r="F1904" t="s">
        <v>1650</v>
      </c>
      <c r="G1904" t="s">
        <v>1632</v>
      </c>
      <c r="H1904" t="s">
        <v>1953</v>
      </c>
      <c r="I1904" t="s">
        <v>1634</v>
      </c>
      <c r="J1904" t="e">
        <v>#N/A</v>
      </c>
      <c r="K1904">
        <v>33.5</v>
      </c>
      <c r="L1904">
        <v>0</v>
      </c>
      <c r="M1904" s="1">
        <v>3</v>
      </c>
      <c r="N1904">
        <v>0</v>
      </c>
      <c r="O1904">
        <v>0</v>
      </c>
      <c r="P1904">
        <v>0</v>
      </c>
      <c r="Q1904" s="1">
        <v>0</v>
      </c>
      <c r="R1904">
        <v>33.5</v>
      </c>
      <c r="S1904" s="2">
        <v>45341</v>
      </c>
      <c r="T1904" s="2">
        <v>46055</v>
      </c>
      <c r="U1904">
        <v>0</v>
      </c>
      <c r="V1904">
        <v>0</v>
      </c>
      <c r="W1904">
        <v>0</v>
      </c>
      <c r="X1904">
        <v>0</v>
      </c>
      <c r="Y1904">
        <v>0</v>
      </c>
      <c r="Z1904" s="8">
        <v>0</v>
      </c>
      <c r="AA1904">
        <v>0</v>
      </c>
      <c r="AB1904" t="s">
        <v>1635</v>
      </c>
      <c r="AC1904" t="s">
        <v>1635</v>
      </c>
      <c r="AD1904" s="1" t="s">
        <v>1635</v>
      </c>
      <c r="AE1904" s="2" t="s">
        <v>1635</v>
      </c>
      <c r="AF1904" s="2" t="s">
        <v>1635</v>
      </c>
      <c r="AG1904" s="2" t="s">
        <v>1635</v>
      </c>
      <c r="AH1904">
        <v>0</v>
      </c>
      <c r="AI1904" s="3" t="s">
        <v>1635</v>
      </c>
      <c r="AJ1904" s="1" t="s">
        <v>1635</v>
      </c>
      <c r="AK1904" s="2" t="s">
        <v>1635</v>
      </c>
      <c r="AL1904" s="4" t="s">
        <v>1658</v>
      </c>
      <c r="AM1904" s="5" t="s">
        <v>1658</v>
      </c>
      <c r="AN1904" s="4">
        <v>0</v>
      </c>
      <c r="AO1904" t="s">
        <v>1635</v>
      </c>
      <c r="AP1904" s="4" t="s">
        <v>1658</v>
      </c>
      <c r="AQ1904" t="s">
        <v>1619</v>
      </c>
      <c r="AR1904" t="s">
        <v>1620</v>
      </c>
      <c r="AT1904" s="16" t="str">
        <f>_xlfn.XLOOKUP(B1904,'SWiSH Demand Forecast Sep-26'!D:D,'SWiSH Demand Forecast Sep-26'!G:G,"Not Exist")</f>
        <v>Not Exist</v>
      </c>
    </row>
    <row r="1905" spans="1:46" x14ac:dyDescent="0.3">
      <c r="A1905">
        <v>106700060</v>
      </c>
      <c r="B1905" t="s">
        <v>3786</v>
      </c>
      <c r="C1905" t="s">
        <v>10</v>
      </c>
      <c r="D1905" t="s">
        <v>1675</v>
      </c>
      <c r="E1905" t="s">
        <v>3232</v>
      </c>
      <c r="F1905" t="s">
        <v>1650</v>
      </c>
      <c r="G1905" t="s">
        <v>1632</v>
      </c>
      <c r="H1905" t="s">
        <v>1651</v>
      </c>
      <c r="I1905" t="s">
        <v>1634</v>
      </c>
      <c r="J1905" t="e">
        <v>#N/A</v>
      </c>
      <c r="K1905">
        <v>4</v>
      </c>
      <c r="L1905">
        <v>0</v>
      </c>
      <c r="M1905" s="1">
        <v>3</v>
      </c>
      <c r="N1905">
        <v>0</v>
      </c>
      <c r="O1905">
        <v>0</v>
      </c>
      <c r="P1905">
        <v>0</v>
      </c>
      <c r="Q1905" s="1">
        <v>0</v>
      </c>
      <c r="R1905">
        <v>4</v>
      </c>
      <c r="S1905" s="2">
        <v>45043</v>
      </c>
      <c r="T1905" s="2">
        <v>45258</v>
      </c>
      <c r="U1905">
        <v>0</v>
      </c>
      <c r="V1905">
        <v>0</v>
      </c>
      <c r="W1905">
        <v>0</v>
      </c>
      <c r="X1905">
        <v>0</v>
      </c>
      <c r="Y1905">
        <v>0</v>
      </c>
      <c r="Z1905" s="8">
        <v>0</v>
      </c>
      <c r="AA1905">
        <v>0</v>
      </c>
      <c r="AB1905" t="s">
        <v>1635</v>
      </c>
      <c r="AC1905" t="s">
        <v>1635</v>
      </c>
      <c r="AD1905" s="1" t="s">
        <v>1635</v>
      </c>
      <c r="AE1905" s="2" t="s">
        <v>1635</v>
      </c>
      <c r="AF1905" s="2" t="s">
        <v>1635</v>
      </c>
      <c r="AG1905" s="2" t="s">
        <v>1635</v>
      </c>
      <c r="AH1905">
        <v>0</v>
      </c>
      <c r="AI1905" s="3" t="s">
        <v>1635</v>
      </c>
      <c r="AJ1905" s="1" t="s">
        <v>1635</v>
      </c>
      <c r="AK1905" s="2" t="s">
        <v>1635</v>
      </c>
      <c r="AL1905" s="4" t="s">
        <v>1658</v>
      </c>
      <c r="AM1905" s="5" t="s">
        <v>1658</v>
      </c>
      <c r="AN1905" s="4">
        <v>0</v>
      </c>
      <c r="AO1905" t="s">
        <v>1635</v>
      </c>
      <c r="AP1905" s="4" t="s">
        <v>1658</v>
      </c>
      <c r="AQ1905" t="s">
        <v>1619</v>
      </c>
      <c r="AR1905" t="s">
        <v>1620</v>
      </c>
      <c r="AT1905" s="16" t="str">
        <f>_xlfn.XLOOKUP(B1905,'SWiSH Demand Forecast Sep-26'!D:D,'SWiSH Demand Forecast Sep-26'!G:G,"Not Exist")</f>
        <v>Not Exist</v>
      </c>
    </row>
    <row r="1906" spans="1:46" x14ac:dyDescent="0.3">
      <c r="A1906">
        <v>107200122</v>
      </c>
      <c r="B1906" t="s">
        <v>3787</v>
      </c>
      <c r="C1906" t="s">
        <v>10</v>
      </c>
      <c r="D1906" t="s">
        <v>1675</v>
      </c>
      <c r="E1906" t="s">
        <v>1643</v>
      </c>
      <c r="F1906" t="s">
        <v>1656</v>
      </c>
      <c r="G1906" t="s">
        <v>1632</v>
      </c>
      <c r="H1906" t="s">
        <v>1657</v>
      </c>
      <c r="I1906" t="s">
        <v>1634</v>
      </c>
      <c r="J1906" t="e">
        <v>#N/A</v>
      </c>
      <c r="K1906">
        <v>2.5</v>
      </c>
      <c r="L1906">
        <v>0</v>
      </c>
      <c r="M1906" s="1">
        <v>15</v>
      </c>
      <c r="N1906">
        <v>0</v>
      </c>
      <c r="O1906">
        <v>0</v>
      </c>
      <c r="P1906">
        <v>0</v>
      </c>
      <c r="Q1906" s="1">
        <v>0</v>
      </c>
      <c r="R1906">
        <v>2.75</v>
      </c>
      <c r="S1906" s="2">
        <v>43824</v>
      </c>
      <c r="T1906" s="2">
        <v>46055</v>
      </c>
      <c r="U1906">
        <v>0</v>
      </c>
      <c r="V1906">
        <v>0</v>
      </c>
      <c r="W1906">
        <v>0</v>
      </c>
      <c r="X1906">
        <v>0</v>
      </c>
      <c r="Y1906">
        <v>0</v>
      </c>
      <c r="Z1906" s="8">
        <v>0</v>
      </c>
      <c r="AA1906">
        <v>0</v>
      </c>
      <c r="AB1906" t="s">
        <v>1635</v>
      </c>
      <c r="AC1906" t="s">
        <v>1635</v>
      </c>
      <c r="AD1906" s="1" t="s">
        <v>1635</v>
      </c>
      <c r="AE1906" s="2" t="s">
        <v>1635</v>
      </c>
      <c r="AF1906" s="2" t="s">
        <v>1635</v>
      </c>
      <c r="AG1906" s="2" t="s">
        <v>1635</v>
      </c>
      <c r="AH1906">
        <v>0</v>
      </c>
      <c r="AI1906" s="3" t="s">
        <v>1635</v>
      </c>
      <c r="AJ1906" s="1" t="s">
        <v>1635</v>
      </c>
      <c r="AK1906" s="2" t="s">
        <v>1635</v>
      </c>
      <c r="AL1906" s="4" t="s">
        <v>1658</v>
      </c>
      <c r="AM1906" s="5" t="s">
        <v>1658</v>
      </c>
      <c r="AN1906" s="4">
        <v>0</v>
      </c>
      <c r="AO1906" t="s">
        <v>1635</v>
      </c>
      <c r="AP1906" s="4" t="s">
        <v>1658</v>
      </c>
      <c r="AQ1906" t="s">
        <v>1619</v>
      </c>
      <c r="AR1906" t="s">
        <v>1620</v>
      </c>
      <c r="AT1906" s="16" t="str">
        <f>_xlfn.XLOOKUP(B1906,'SWiSH Demand Forecast Sep-26'!D:D,'SWiSH Demand Forecast Sep-26'!G:G,"Not Exist")</f>
        <v>Not Exist</v>
      </c>
    </row>
    <row r="1907" spans="1:46" x14ac:dyDescent="0.3">
      <c r="A1907">
        <v>107200172</v>
      </c>
      <c r="B1907" t="s">
        <v>3788</v>
      </c>
      <c r="C1907" t="s">
        <v>10</v>
      </c>
      <c r="D1907" t="s">
        <v>1675</v>
      </c>
      <c r="E1907" t="s">
        <v>1701</v>
      </c>
      <c r="F1907" t="s">
        <v>1656</v>
      </c>
      <c r="G1907" t="s">
        <v>1678</v>
      </c>
      <c r="H1907" t="s">
        <v>1657</v>
      </c>
      <c r="I1907" t="s">
        <v>1634</v>
      </c>
      <c r="J1907" t="s">
        <v>10</v>
      </c>
      <c r="K1907">
        <v>4</v>
      </c>
      <c r="L1907">
        <v>0</v>
      </c>
      <c r="M1907" s="1">
        <v>15</v>
      </c>
      <c r="N1907">
        <v>0</v>
      </c>
      <c r="O1907">
        <v>0</v>
      </c>
      <c r="P1907">
        <v>0</v>
      </c>
      <c r="Q1907" s="1">
        <v>0</v>
      </c>
      <c r="R1907">
        <v>4</v>
      </c>
      <c r="S1907" s="2">
        <v>46026</v>
      </c>
      <c r="T1907" s="2">
        <v>46203</v>
      </c>
      <c r="U1907">
        <v>0</v>
      </c>
      <c r="V1907">
        <v>0</v>
      </c>
      <c r="W1907">
        <v>0</v>
      </c>
      <c r="X1907">
        <v>0</v>
      </c>
      <c r="Y1907">
        <v>0</v>
      </c>
      <c r="Z1907" s="8">
        <v>0</v>
      </c>
      <c r="AA1907">
        <v>0</v>
      </c>
      <c r="AB1907" t="s">
        <v>1635</v>
      </c>
      <c r="AC1907" t="s">
        <v>1635</v>
      </c>
      <c r="AD1907" s="1" t="s">
        <v>1635</v>
      </c>
      <c r="AE1907" s="2" t="s">
        <v>1635</v>
      </c>
      <c r="AF1907" s="2" t="s">
        <v>1635</v>
      </c>
      <c r="AG1907" s="2" t="s">
        <v>1635</v>
      </c>
      <c r="AH1907">
        <v>0</v>
      </c>
      <c r="AI1907" s="3" t="s">
        <v>1635</v>
      </c>
      <c r="AJ1907" s="1" t="s">
        <v>1635</v>
      </c>
      <c r="AK1907" s="2" t="s">
        <v>1635</v>
      </c>
      <c r="AL1907" s="4" t="s">
        <v>1658</v>
      </c>
      <c r="AM1907" s="5" t="s">
        <v>1658</v>
      </c>
      <c r="AN1907" s="4">
        <v>0</v>
      </c>
      <c r="AO1907" t="s">
        <v>1635</v>
      </c>
      <c r="AP1907" s="4" t="s">
        <v>1658</v>
      </c>
      <c r="AQ1907">
        <v>10</v>
      </c>
      <c r="AR1907" t="s">
        <v>1702</v>
      </c>
      <c r="AT1907" s="16" t="str">
        <f>_xlfn.XLOOKUP(B1907,'SWiSH Demand Forecast Sep-26'!D:D,'SWiSH Demand Forecast Sep-26'!G:G,"Not Exist")</f>
        <v>Not Exist</v>
      </c>
    </row>
    <row r="1908" spans="1:46" x14ac:dyDescent="0.3">
      <c r="A1908" t="s">
        <v>3321</v>
      </c>
      <c r="B1908" t="s">
        <v>3789</v>
      </c>
      <c r="C1908" t="s">
        <v>10</v>
      </c>
      <c r="D1908" t="s">
        <v>1629</v>
      </c>
      <c r="E1908" t="s">
        <v>3790</v>
      </c>
      <c r="F1908" t="s">
        <v>1631</v>
      </c>
      <c r="G1908" t="e">
        <v>#N/A</v>
      </c>
      <c r="H1908" t="s">
        <v>1768</v>
      </c>
      <c r="I1908" t="s">
        <v>1634</v>
      </c>
      <c r="J1908" t="s">
        <v>10</v>
      </c>
      <c r="K1908" t="e">
        <v>#N/A</v>
      </c>
      <c r="L1908" t="e">
        <v>#N/A</v>
      </c>
      <c r="M1908" s="1">
        <v>3</v>
      </c>
      <c r="N1908">
        <v>0</v>
      </c>
      <c r="O1908">
        <v>0</v>
      </c>
      <c r="P1908">
        <v>0</v>
      </c>
      <c r="Q1908" s="1">
        <v>0</v>
      </c>
      <c r="R1908" t="e">
        <v>#N/A</v>
      </c>
      <c r="S1908" s="2" t="e">
        <v>#N/A</v>
      </c>
      <c r="T1908" s="2" t="e">
        <v>#N/A</v>
      </c>
      <c r="U1908">
        <v>0</v>
      </c>
      <c r="V1908">
        <v>0</v>
      </c>
      <c r="W1908">
        <v>0</v>
      </c>
      <c r="X1908">
        <v>0</v>
      </c>
      <c r="Y1908">
        <v>0</v>
      </c>
      <c r="Z1908" s="8">
        <v>0</v>
      </c>
      <c r="AA1908">
        <v>0</v>
      </c>
      <c r="AB1908" t="s">
        <v>1635</v>
      </c>
      <c r="AC1908" t="s">
        <v>1635</v>
      </c>
      <c r="AD1908" s="1" t="s">
        <v>1635</v>
      </c>
      <c r="AE1908" s="2" t="s">
        <v>1635</v>
      </c>
      <c r="AF1908" s="2" t="s">
        <v>1635</v>
      </c>
      <c r="AG1908" s="2" t="s">
        <v>1635</v>
      </c>
      <c r="AH1908">
        <v>0</v>
      </c>
      <c r="AI1908" s="3" t="s">
        <v>1635</v>
      </c>
      <c r="AJ1908" s="1" t="s">
        <v>1635</v>
      </c>
      <c r="AK1908" s="2" t="s">
        <v>1635</v>
      </c>
      <c r="AL1908" s="4" t="s">
        <v>1636</v>
      </c>
      <c r="AM1908" s="5" t="s">
        <v>1636</v>
      </c>
      <c r="AN1908" s="4">
        <v>0</v>
      </c>
      <c r="AO1908" t="s">
        <v>1635</v>
      </c>
      <c r="AP1908" s="4" t="s">
        <v>1636</v>
      </c>
      <c r="AQ1908" t="s">
        <v>1619</v>
      </c>
      <c r="AR1908" t="s">
        <v>1620</v>
      </c>
      <c r="AT1908" s="16" t="str">
        <f>_xlfn.XLOOKUP(B1908,'SWiSH Demand Forecast Sep-26'!D:D,'SWiSH Demand Forecast Sep-26'!G:G,"Not Exist")</f>
        <v>Not Exist</v>
      </c>
    </row>
    <row r="1909" spans="1:46" x14ac:dyDescent="0.3">
      <c r="A1909">
        <v>101600030</v>
      </c>
      <c r="B1909" t="s">
        <v>3791</v>
      </c>
      <c r="C1909" t="s">
        <v>10</v>
      </c>
      <c r="D1909" t="s">
        <v>1629</v>
      </c>
      <c r="E1909" t="s">
        <v>1796</v>
      </c>
      <c r="F1909" t="s">
        <v>1631</v>
      </c>
      <c r="G1909" t="s">
        <v>1704</v>
      </c>
      <c r="H1909" t="s">
        <v>1768</v>
      </c>
      <c r="I1909" t="s">
        <v>1634</v>
      </c>
      <c r="J1909" t="s">
        <v>10</v>
      </c>
      <c r="K1909">
        <v>0.08</v>
      </c>
      <c r="L1909">
        <v>0</v>
      </c>
      <c r="M1909" s="1">
        <v>15</v>
      </c>
      <c r="N1909">
        <v>0</v>
      </c>
      <c r="O1909">
        <v>0</v>
      </c>
      <c r="P1909">
        <v>0</v>
      </c>
      <c r="Q1909" s="1">
        <v>0</v>
      </c>
      <c r="R1909">
        <v>0.08</v>
      </c>
      <c r="S1909" s="2">
        <v>45773</v>
      </c>
      <c r="T1909" s="2">
        <v>45673</v>
      </c>
      <c r="U1909">
        <v>0</v>
      </c>
      <c r="V1909">
        <v>0</v>
      </c>
      <c r="W1909">
        <v>0</v>
      </c>
      <c r="X1909">
        <v>0</v>
      </c>
      <c r="Y1909">
        <v>0</v>
      </c>
      <c r="Z1909" s="8">
        <v>0</v>
      </c>
      <c r="AA1909">
        <v>0</v>
      </c>
      <c r="AB1909" t="s">
        <v>1635</v>
      </c>
      <c r="AC1909" t="s">
        <v>1635</v>
      </c>
      <c r="AD1909" s="1" t="s">
        <v>1635</v>
      </c>
      <c r="AE1909" s="2" t="s">
        <v>1635</v>
      </c>
      <c r="AF1909" s="2" t="s">
        <v>1635</v>
      </c>
      <c r="AG1909" s="2" t="s">
        <v>1635</v>
      </c>
      <c r="AH1909">
        <v>0</v>
      </c>
      <c r="AI1909" s="3" t="s">
        <v>1635</v>
      </c>
      <c r="AJ1909" s="1" t="s">
        <v>1635</v>
      </c>
      <c r="AK1909" s="2" t="s">
        <v>1635</v>
      </c>
      <c r="AL1909" s="4" t="s">
        <v>1636</v>
      </c>
      <c r="AM1909" s="5" t="s">
        <v>1636</v>
      </c>
      <c r="AN1909" s="4">
        <v>0</v>
      </c>
      <c r="AO1909" t="s">
        <v>1635</v>
      </c>
      <c r="AP1909" s="4" t="s">
        <v>1636</v>
      </c>
      <c r="AQ1909" t="s">
        <v>1619</v>
      </c>
      <c r="AR1909" t="s">
        <v>1620</v>
      </c>
      <c r="AT1909" s="16" t="str">
        <f>_xlfn.XLOOKUP(B1909,'SWiSH Demand Forecast Sep-26'!D:D,'SWiSH Demand Forecast Sep-26'!G:G,"Not Exist")</f>
        <v>Not Exist</v>
      </c>
    </row>
    <row r="1910" spans="1:46" x14ac:dyDescent="0.3">
      <c r="A1910">
        <v>106800258</v>
      </c>
      <c r="B1910" t="s">
        <v>3792</v>
      </c>
      <c r="C1910" t="s">
        <v>10</v>
      </c>
      <c r="D1910" t="s">
        <v>1675</v>
      </c>
      <c r="E1910" t="e">
        <v>#N/A</v>
      </c>
      <c r="F1910" t="s">
        <v>1664</v>
      </c>
      <c r="G1910" t="e">
        <v>#N/A</v>
      </c>
      <c r="H1910" t="s">
        <v>1665</v>
      </c>
      <c r="I1910" t="s">
        <v>1634</v>
      </c>
      <c r="J1910" t="s">
        <v>10</v>
      </c>
      <c r="K1910" t="e">
        <v>#N/A</v>
      </c>
      <c r="L1910" t="e">
        <v>#N/A</v>
      </c>
      <c r="M1910" s="1">
        <v>7</v>
      </c>
      <c r="N1910">
        <v>0</v>
      </c>
      <c r="O1910">
        <v>0</v>
      </c>
      <c r="P1910">
        <v>0</v>
      </c>
      <c r="Q1910" s="1">
        <v>0</v>
      </c>
      <c r="R1910">
        <v>3.5000000000000003E-2</v>
      </c>
      <c r="S1910" s="2">
        <v>45773</v>
      </c>
      <c r="T1910" s="2">
        <v>44931</v>
      </c>
      <c r="U1910">
        <v>0</v>
      </c>
      <c r="V1910">
        <v>0</v>
      </c>
      <c r="W1910">
        <v>0</v>
      </c>
      <c r="X1910">
        <v>0</v>
      </c>
      <c r="Y1910">
        <v>0</v>
      </c>
      <c r="Z1910" s="8">
        <v>0</v>
      </c>
      <c r="AA1910">
        <v>0</v>
      </c>
      <c r="AB1910" t="s">
        <v>1635</v>
      </c>
      <c r="AC1910" t="s">
        <v>1635</v>
      </c>
      <c r="AD1910" s="1" t="s">
        <v>1635</v>
      </c>
      <c r="AE1910" s="2" t="s">
        <v>1635</v>
      </c>
      <c r="AF1910" s="2" t="s">
        <v>1635</v>
      </c>
      <c r="AG1910" s="2" t="s">
        <v>1635</v>
      </c>
      <c r="AH1910">
        <v>0</v>
      </c>
      <c r="AI1910" s="3" t="s">
        <v>1635</v>
      </c>
      <c r="AJ1910" s="1" t="s">
        <v>1635</v>
      </c>
      <c r="AK1910" s="2" t="s">
        <v>1635</v>
      </c>
      <c r="AL1910" s="4" t="s">
        <v>1658</v>
      </c>
      <c r="AM1910" s="5" t="s">
        <v>1658</v>
      </c>
      <c r="AN1910" s="4">
        <v>0</v>
      </c>
      <c r="AO1910" t="s">
        <v>1635</v>
      </c>
      <c r="AP1910" s="4" t="s">
        <v>1658</v>
      </c>
      <c r="AQ1910" t="s">
        <v>1619</v>
      </c>
      <c r="AR1910" t="s">
        <v>1620</v>
      </c>
      <c r="AT1910" s="16" t="str">
        <f>_xlfn.XLOOKUP(B1910,'SWiSH Demand Forecast Sep-26'!D:D,'SWiSH Demand Forecast Sep-26'!G:G,"Not Exist")</f>
        <v>Not Exist</v>
      </c>
    </row>
    <row r="1911" spans="1:46" x14ac:dyDescent="0.3">
      <c r="A1911">
        <v>106800259</v>
      </c>
      <c r="B1911" t="s">
        <v>3793</v>
      </c>
      <c r="C1911" t="s">
        <v>10</v>
      </c>
      <c r="D1911" t="s">
        <v>1675</v>
      </c>
      <c r="E1911" t="e">
        <v>#N/A</v>
      </c>
      <c r="F1911" t="s">
        <v>1664</v>
      </c>
      <c r="G1911" t="e">
        <v>#N/A</v>
      </c>
      <c r="H1911" t="s">
        <v>1665</v>
      </c>
      <c r="I1911" t="s">
        <v>1634</v>
      </c>
      <c r="J1911" t="s">
        <v>10</v>
      </c>
      <c r="K1911" t="e">
        <v>#N/A</v>
      </c>
      <c r="L1911" t="e">
        <v>#N/A</v>
      </c>
      <c r="M1911" s="1">
        <v>7</v>
      </c>
      <c r="N1911">
        <v>0</v>
      </c>
      <c r="O1911">
        <v>0</v>
      </c>
      <c r="P1911">
        <v>0</v>
      </c>
      <c r="Q1911" s="1">
        <v>0</v>
      </c>
      <c r="R1911">
        <v>3.5000000000000003E-2</v>
      </c>
      <c r="S1911" s="2">
        <v>45773</v>
      </c>
      <c r="T1911" s="2">
        <v>44931</v>
      </c>
      <c r="U1911">
        <v>0</v>
      </c>
      <c r="V1911">
        <v>0</v>
      </c>
      <c r="W1911">
        <v>0</v>
      </c>
      <c r="X1911">
        <v>0</v>
      </c>
      <c r="Y1911">
        <v>0</v>
      </c>
      <c r="Z1911" s="8">
        <v>0</v>
      </c>
      <c r="AA1911">
        <v>0</v>
      </c>
      <c r="AB1911" t="s">
        <v>1635</v>
      </c>
      <c r="AC1911" t="s">
        <v>1635</v>
      </c>
      <c r="AD1911" s="1" t="s">
        <v>1635</v>
      </c>
      <c r="AE1911" s="2" t="s">
        <v>1635</v>
      </c>
      <c r="AF1911" s="2" t="s">
        <v>1635</v>
      </c>
      <c r="AG1911" s="2" t="s">
        <v>1635</v>
      </c>
      <c r="AH1911">
        <v>0</v>
      </c>
      <c r="AI1911" s="3" t="s">
        <v>1635</v>
      </c>
      <c r="AJ1911" s="1" t="s">
        <v>1635</v>
      </c>
      <c r="AK1911" s="2" t="s">
        <v>1635</v>
      </c>
      <c r="AL1911" s="4" t="s">
        <v>1658</v>
      </c>
      <c r="AM1911" s="5" t="s">
        <v>1658</v>
      </c>
      <c r="AN1911" s="4">
        <v>0</v>
      </c>
      <c r="AO1911" t="s">
        <v>1635</v>
      </c>
      <c r="AP1911" s="4" t="s">
        <v>1658</v>
      </c>
      <c r="AQ1911" t="s">
        <v>1619</v>
      </c>
      <c r="AR1911" t="s">
        <v>1620</v>
      </c>
      <c r="AT1911" s="16" t="str">
        <f>_xlfn.XLOOKUP(B1911,'SWiSH Demand Forecast Sep-26'!D:D,'SWiSH Demand Forecast Sep-26'!G:G,"Not Exist")</f>
        <v>Not Exist</v>
      </c>
    </row>
    <row r="1912" spans="1:46" x14ac:dyDescent="0.3">
      <c r="A1912">
        <v>107200178</v>
      </c>
      <c r="B1912" t="s">
        <v>3794</v>
      </c>
      <c r="C1912" t="s">
        <v>10</v>
      </c>
      <c r="D1912" t="s">
        <v>1675</v>
      </c>
      <c r="E1912" t="s">
        <v>1701</v>
      </c>
      <c r="F1912" t="s">
        <v>1656</v>
      </c>
      <c r="G1912" t="s">
        <v>1678</v>
      </c>
      <c r="H1912" t="s">
        <v>1657</v>
      </c>
      <c r="I1912" t="s">
        <v>1634</v>
      </c>
      <c r="J1912" t="s">
        <v>10</v>
      </c>
      <c r="K1912">
        <v>2.5</v>
      </c>
      <c r="L1912">
        <v>0</v>
      </c>
      <c r="M1912" s="1">
        <v>15</v>
      </c>
      <c r="N1912">
        <v>0</v>
      </c>
      <c r="O1912">
        <v>0</v>
      </c>
      <c r="P1912">
        <v>0</v>
      </c>
      <c r="Q1912" s="1">
        <v>0</v>
      </c>
      <c r="R1912">
        <v>2.5</v>
      </c>
      <c r="S1912" s="2">
        <v>46026</v>
      </c>
      <c r="T1912" s="2">
        <v>46026</v>
      </c>
      <c r="U1912">
        <v>0</v>
      </c>
      <c r="V1912">
        <v>0</v>
      </c>
      <c r="W1912">
        <v>0</v>
      </c>
      <c r="X1912">
        <v>0</v>
      </c>
      <c r="Y1912">
        <v>0</v>
      </c>
      <c r="Z1912" s="8">
        <v>0</v>
      </c>
      <c r="AA1912">
        <v>0</v>
      </c>
      <c r="AB1912" t="s">
        <v>1635</v>
      </c>
      <c r="AC1912" t="s">
        <v>1635</v>
      </c>
      <c r="AD1912" s="1" t="s">
        <v>1635</v>
      </c>
      <c r="AE1912" s="2" t="s">
        <v>1635</v>
      </c>
      <c r="AF1912" s="2" t="s">
        <v>1635</v>
      </c>
      <c r="AG1912" s="2" t="s">
        <v>1635</v>
      </c>
      <c r="AH1912">
        <v>0</v>
      </c>
      <c r="AI1912" s="3" t="s">
        <v>1635</v>
      </c>
      <c r="AJ1912" s="1" t="s">
        <v>1635</v>
      </c>
      <c r="AK1912" s="2" t="s">
        <v>1635</v>
      </c>
      <c r="AL1912" s="4" t="s">
        <v>1658</v>
      </c>
      <c r="AM1912" s="5" t="s">
        <v>1658</v>
      </c>
      <c r="AN1912" s="4">
        <v>0</v>
      </c>
      <c r="AO1912" t="s">
        <v>1635</v>
      </c>
      <c r="AP1912" s="4" t="s">
        <v>1658</v>
      </c>
      <c r="AQ1912" t="s">
        <v>1619</v>
      </c>
      <c r="AR1912" t="s">
        <v>1620</v>
      </c>
      <c r="AT1912" s="16" t="str">
        <f>_xlfn.XLOOKUP(B1912,'SWiSH Demand Forecast Sep-26'!D:D,'SWiSH Demand Forecast Sep-26'!G:G,"Not Exist")</f>
        <v>Not Exist</v>
      </c>
    </row>
    <row r="1913" spans="1:46" x14ac:dyDescent="0.3">
      <c r="A1913">
        <v>107200192</v>
      </c>
      <c r="B1913" t="s">
        <v>3795</v>
      </c>
      <c r="C1913" t="s">
        <v>10</v>
      </c>
      <c r="D1913" t="s">
        <v>1675</v>
      </c>
      <c r="E1913" t="s">
        <v>1902</v>
      </c>
      <c r="F1913" t="s">
        <v>1656</v>
      </c>
      <c r="G1913" t="s">
        <v>1704</v>
      </c>
      <c r="H1913" t="s">
        <v>1657</v>
      </c>
      <c r="I1913" t="s">
        <v>1634</v>
      </c>
      <c r="J1913" t="s">
        <v>10</v>
      </c>
      <c r="K1913">
        <v>4.25</v>
      </c>
      <c r="L1913">
        <v>0</v>
      </c>
      <c r="M1913" s="1">
        <v>15</v>
      </c>
      <c r="N1913">
        <v>0</v>
      </c>
      <c r="O1913">
        <v>0</v>
      </c>
      <c r="P1913">
        <v>0</v>
      </c>
      <c r="Q1913" s="1">
        <v>0</v>
      </c>
      <c r="R1913">
        <v>4.25</v>
      </c>
      <c r="S1913" s="2">
        <v>46018</v>
      </c>
      <c r="T1913" s="2">
        <v>46055</v>
      </c>
      <c r="U1913">
        <v>0</v>
      </c>
      <c r="V1913">
        <v>0</v>
      </c>
      <c r="W1913">
        <v>0</v>
      </c>
      <c r="X1913">
        <v>0</v>
      </c>
      <c r="Y1913">
        <v>0</v>
      </c>
      <c r="Z1913" s="8">
        <v>0</v>
      </c>
      <c r="AA1913">
        <v>0</v>
      </c>
      <c r="AB1913" t="s">
        <v>1635</v>
      </c>
      <c r="AC1913" t="s">
        <v>1635</v>
      </c>
      <c r="AD1913" s="1" t="s">
        <v>1635</v>
      </c>
      <c r="AE1913" s="2" t="s">
        <v>1635</v>
      </c>
      <c r="AF1913" s="2" t="s">
        <v>1635</v>
      </c>
      <c r="AG1913" s="2" t="s">
        <v>1635</v>
      </c>
      <c r="AH1913">
        <v>0</v>
      </c>
      <c r="AI1913" s="3" t="s">
        <v>1635</v>
      </c>
      <c r="AJ1913" s="1" t="s">
        <v>1635</v>
      </c>
      <c r="AK1913" s="2" t="s">
        <v>1635</v>
      </c>
      <c r="AL1913" s="4" t="s">
        <v>1658</v>
      </c>
      <c r="AM1913" s="5" t="s">
        <v>1658</v>
      </c>
      <c r="AN1913" s="4">
        <v>0</v>
      </c>
      <c r="AO1913" t="s">
        <v>1635</v>
      </c>
      <c r="AP1913" s="4" t="s">
        <v>1658</v>
      </c>
      <c r="AQ1913" t="s">
        <v>1619</v>
      </c>
      <c r="AR1913" t="s">
        <v>1620</v>
      </c>
      <c r="AT1913" s="16" t="str">
        <f>_xlfn.XLOOKUP(B1913,'SWiSH Demand Forecast Sep-26'!D:D,'SWiSH Demand Forecast Sep-26'!G:G,"Not Exist")</f>
        <v>Not Exist</v>
      </c>
    </row>
    <row r="1914" spans="1:46" x14ac:dyDescent="0.3">
      <c r="A1914">
        <v>104600041</v>
      </c>
      <c r="B1914" t="s">
        <v>3796</v>
      </c>
      <c r="C1914" t="s">
        <v>10</v>
      </c>
      <c r="D1914" t="s">
        <v>1675</v>
      </c>
      <c r="E1914" t="s">
        <v>1638</v>
      </c>
      <c r="F1914" t="s">
        <v>1656</v>
      </c>
      <c r="G1914" t="s">
        <v>1704</v>
      </c>
      <c r="H1914" t="s">
        <v>1945</v>
      </c>
      <c r="I1914" t="s">
        <v>1634</v>
      </c>
      <c r="J1914" t="e">
        <v>#N/A</v>
      </c>
      <c r="K1914">
        <v>2.19015</v>
      </c>
      <c r="L1914">
        <v>100.7469</v>
      </c>
      <c r="M1914" s="1">
        <v>7</v>
      </c>
      <c r="N1914">
        <v>0</v>
      </c>
      <c r="O1914">
        <v>0</v>
      </c>
      <c r="P1914">
        <v>46</v>
      </c>
      <c r="Q1914" s="1">
        <v>46</v>
      </c>
      <c r="R1914">
        <v>1.8289599999999999</v>
      </c>
      <c r="S1914" s="2">
        <v>45990</v>
      </c>
      <c r="T1914" s="2">
        <v>46054</v>
      </c>
      <c r="U1914">
        <v>0</v>
      </c>
      <c r="V1914">
        <v>0</v>
      </c>
      <c r="W1914">
        <v>0</v>
      </c>
      <c r="X1914">
        <v>0</v>
      </c>
      <c r="Y1914">
        <v>0</v>
      </c>
      <c r="Z1914" s="8">
        <v>0</v>
      </c>
      <c r="AA1914">
        <v>0</v>
      </c>
      <c r="AB1914" t="s">
        <v>1635</v>
      </c>
      <c r="AC1914" t="s">
        <v>1635</v>
      </c>
      <c r="AD1914" s="1" t="s">
        <v>1635</v>
      </c>
      <c r="AE1914" s="2" t="s">
        <v>1635</v>
      </c>
      <c r="AF1914" s="2" t="s">
        <v>1635</v>
      </c>
      <c r="AG1914" s="2" t="s">
        <v>1635</v>
      </c>
      <c r="AH1914">
        <v>0</v>
      </c>
      <c r="AI1914" s="3" t="s">
        <v>1635</v>
      </c>
      <c r="AJ1914" s="1" t="s">
        <v>1635</v>
      </c>
      <c r="AK1914" s="2" t="s">
        <v>1635</v>
      </c>
      <c r="AL1914" s="4" t="s">
        <v>1658</v>
      </c>
      <c r="AM1914" s="5" t="s">
        <v>1658</v>
      </c>
      <c r="AN1914" s="4">
        <v>0</v>
      </c>
      <c r="AO1914" t="s">
        <v>1635</v>
      </c>
      <c r="AP1914" s="4" t="s">
        <v>1658</v>
      </c>
      <c r="AQ1914" t="s">
        <v>1619</v>
      </c>
      <c r="AR1914" t="s">
        <v>1620</v>
      </c>
      <c r="AT1914" s="16" t="str">
        <f>_xlfn.XLOOKUP(B1914,'SWiSH Demand Forecast Sep-26'!D:D,'SWiSH Demand Forecast Sep-26'!G:G,"Not Exist")</f>
        <v>Not Exist</v>
      </c>
    </row>
    <row r="1915" spans="1:46" x14ac:dyDescent="0.3">
      <c r="A1915">
        <v>100400150</v>
      </c>
      <c r="B1915" t="s">
        <v>3797</v>
      </c>
      <c r="C1915" t="s">
        <v>10</v>
      </c>
      <c r="D1915" t="s">
        <v>1629</v>
      </c>
      <c r="E1915" t="s">
        <v>1762</v>
      </c>
      <c r="F1915" t="s">
        <v>1664</v>
      </c>
      <c r="G1915" t="e">
        <v>#N/A</v>
      </c>
      <c r="H1915" t="s">
        <v>1810</v>
      </c>
      <c r="I1915" t="s">
        <v>1634</v>
      </c>
      <c r="J1915" t="s">
        <v>10</v>
      </c>
      <c r="K1915" t="e">
        <v>#N/A</v>
      </c>
      <c r="L1915" t="e">
        <v>#N/A</v>
      </c>
      <c r="M1915" s="1">
        <v>30</v>
      </c>
      <c r="N1915">
        <v>0</v>
      </c>
      <c r="O1915">
        <v>0</v>
      </c>
      <c r="P1915">
        <v>0</v>
      </c>
      <c r="Q1915" s="1">
        <v>0</v>
      </c>
      <c r="R1915">
        <v>6.5000000000000002E-2</v>
      </c>
      <c r="S1915" s="2">
        <v>45773</v>
      </c>
      <c r="T1915" s="2">
        <v>45487</v>
      </c>
      <c r="U1915">
        <v>0</v>
      </c>
      <c r="V1915">
        <v>0</v>
      </c>
      <c r="W1915">
        <v>0</v>
      </c>
      <c r="X1915">
        <v>0</v>
      </c>
      <c r="Y1915">
        <v>0</v>
      </c>
      <c r="Z1915" s="8">
        <v>0</v>
      </c>
      <c r="AA1915">
        <v>0</v>
      </c>
      <c r="AB1915" t="s">
        <v>1635</v>
      </c>
      <c r="AC1915" t="s">
        <v>1635</v>
      </c>
      <c r="AD1915" s="1" t="s">
        <v>1635</v>
      </c>
      <c r="AE1915" s="2" t="s">
        <v>1635</v>
      </c>
      <c r="AF1915" s="2" t="s">
        <v>1635</v>
      </c>
      <c r="AG1915" s="2" t="s">
        <v>1635</v>
      </c>
      <c r="AH1915">
        <v>0</v>
      </c>
      <c r="AI1915" s="3" t="s">
        <v>1635</v>
      </c>
      <c r="AJ1915" s="1" t="s">
        <v>1635</v>
      </c>
      <c r="AK1915" s="2" t="s">
        <v>1635</v>
      </c>
      <c r="AL1915" s="4" t="s">
        <v>1636</v>
      </c>
      <c r="AM1915" s="5" t="s">
        <v>1636</v>
      </c>
      <c r="AN1915" s="4">
        <v>0</v>
      </c>
      <c r="AO1915" t="s">
        <v>1635</v>
      </c>
      <c r="AP1915" s="4" t="s">
        <v>1636</v>
      </c>
      <c r="AQ1915" t="s">
        <v>1619</v>
      </c>
      <c r="AR1915" t="s">
        <v>1620</v>
      </c>
      <c r="AT1915" s="16" t="str">
        <f>_xlfn.XLOOKUP(B1915,'SWiSH Demand Forecast Sep-26'!D:D,'SWiSH Demand Forecast Sep-26'!G:G,"Not Exist")</f>
        <v>Not Exist</v>
      </c>
    </row>
    <row r="1916" spans="1:46" x14ac:dyDescent="0.3">
      <c r="A1916">
        <v>106700084</v>
      </c>
      <c r="B1916" t="s">
        <v>3798</v>
      </c>
      <c r="C1916" t="s">
        <v>10</v>
      </c>
      <c r="D1916" t="s">
        <v>1675</v>
      </c>
      <c r="E1916" t="s">
        <v>1819</v>
      </c>
      <c r="F1916" t="s">
        <v>1650</v>
      </c>
      <c r="G1916" t="s">
        <v>1678</v>
      </c>
      <c r="H1916" t="s">
        <v>1651</v>
      </c>
      <c r="I1916" t="s">
        <v>1634</v>
      </c>
      <c r="J1916" t="s">
        <v>10</v>
      </c>
      <c r="K1916">
        <v>0.15</v>
      </c>
      <c r="L1916">
        <v>0</v>
      </c>
      <c r="M1916" s="1">
        <v>3</v>
      </c>
      <c r="N1916">
        <v>0</v>
      </c>
      <c r="O1916">
        <v>0</v>
      </c>
      <c r="P1916">
        <v>0</v>
      </c>
      <c r="Q1916" s="1">
        <v>0</v>
      </c>
      <c r="R1916">
        <v>0</v>
      </c>
      <c r="S1916" s="2">
        <v>45879</v>
      </c>
      <c r="T1916" s="2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 s="8">
        <v>0</v>
      </c>
      <c r="AA1916">
        <v>0</v>
      </c>
      <c r="AB1916" t="s">
        <v>1635</v>
      </c>
      <c r="AC1916" t="s">
        <v>1635</v>
      </c>
      <c r="AD1916" s="1" t="s">
        <v>1635</v>
      </c>
      <c r="AE1916" s="2" t="s">
        <v>1635</v>
      </c>
      <c r="AF1916" s="2" t="s">
        <v>1635</v>
      </c>
      <c r="AG1916" s="2" t="s">
        <v>1635</v>
      </c>
      <c r="AH1916">
        <v>0</v>
      </c>
      <c r="AI1916" s="3" t="s">
        <v>1635</v>
      </c>
      <c r="AJ1916" s="1" t="s">
        <v>1635</v>
      </c>
      <c r="AK1916" s="2" t="s">
        <v>1635</v>
      </c>
      <c r="AL1916" s="4" t="s">
        <v>1658</v>
      </c>
      <c r="AM1916" s="5" t="s">
        <v>1658</v>
      </c>
      <c r="AN1916" s="4">
        <v>0</v>
      </c>
      <c r="AO1916" t="s">
        <v>1635</v>
      </c>
      <c r="AP1916" s="4" t="s">
        <v>1658</v>
      </c>
      <c r="AQ1916" t="s">
        <v>1619</v>
      </c>
      <c r="AR1916" t="s">
        <v>1620</v>
      </c>
      <c r="AT1916" s="16" t="str">
        <f>_xlfn.XLOOKUP(B1916,'SWiSH Demand Forecast Sep-26'!D:D,'SWiSH Demand Forecast Sep-26'!G:G,"Not Exist")</f>
        <v>Not Exist</v>
      </c>
    </row>
    <row r="1917" spans="1:46" x14ac:dyDescent="0.3">
      <c r="A1917">
        <v>107200173</v>
      </c>
      <c r="B1917" t="s">
        <v>3799</v>
      </c>
      <c r="C1917" t="s">
        <v>10</v>
      </c>
      <c r="D1917" t="s">
        <v>1675</v>
      </c>
      <c r="E1917" t="s">
        <v>1701</v>
      </c>
      <c r="F1917" t="s">
        <v>1656</v>
      </c>
      <c r="G1917" t="s">
        <v>1678</v>
      </c>
      <c r="H1917" t="s">
        <v>1657</v>
      </c>
      <c r="I1917" t="s">
        <v>1634</v>
      </c>
      <c r="J1917" t="s">
        <v>10</v>
      </c>
      <c r="K1917">
        <v>4</v>
      </c>
      <c r="L1917">
        <v>0</v>
      </c>
      <c r="M1917" s="1">
        <v>15</v>
      </c>
      <c r="N1917">
        <v>0</v>
      </c>
      <c r="O1917">
        <v>0</v>
      </c>
      <c r="P1917">
        <v>0</v>
      </c>
      <c r="Q1917" s="1">
        <v>0</v>
      </c>
      <c r="R1917">
        <v>4</v>
      </c>
      <c r="S1917" s="2">
        <v>45998</v>
      </c>
      <c r="T1917" s="2">
        <v>46162</v>
      </c>
      <c r="U1917">
        <v>0</v>
      </c>
      <c r="V1917">
        <v>0</v>
      </c>
      <c r="W1917">
        <v>0</v>
      </c>
      <c r="X1917">
        <v>0</v>
      </c>
      <c r="Y1917">
        <v>0</v>
      </c>
      <c r="Z1917" s="8">
        <v>0</v>
      </c>
      <c r="AA1917">
        <v>0</v>
      </c>
      <c r="AB1917" t="s">
        <v>1635</v>
      </c>
      <c r="AC1917" t="s">
        <v>1635</v>
      </c>
      <c r="AD1917" s="1" t="s">
        <v>1635</v>
      </c>
      <c r="AE1917" s="2" t="s">
        <v>1635</v>
      </c>
      <c r="AF1917" s="2" t="s">
        <v>1635</v>
      </c>
      <c r="AG1917" s="2" t="s">
        <v>1635</v>
      </c>
      <c r="AH1917">
        <v>0</v>
      </c>
      <c r="AI1917" s="3" t="s">
        <v>1635</v>
      </c>
      <c r="AJ1917" s="1" t="s">
        <v>1635</v>
      </c>
      <c r="AK1917" s="2" t="s">
        <v>1635</v>
      </c>
      <c r="AL1917" s="4" t="s">
        <v>1658</v>
      </c>
      <c r="AM1917" s="5" t="s">
        <v>1658</v>
      </c>
      <c r="AN1917" s="4">
        <v>0</v>
      </c>
      <c r="AO1917" t="s">
        <v>1635</v>
      </c>
      <c r="AP1917" s="4" t="s">
        <v>1658</v>
      </c>
      <c r="AQ1917">
        <v>20</v>
      </c>
      <c r="AR1917" t="s">
        <v>1702</v>
      </c>
      <c r="AT1917" s="16" t="str">
        <f>_xlfn.XLOOKUP(B1917,'SWiSH Demand Forecast Sep-26'!D:D,'SWiSH Demand Forecast Sep-26'!G:G,"Not Exist")</f>
        <v>Not Exist</v>
      </c>
    </row>
    <row r="1918" spans="1:46" x14ac:dyDescent="0.3">
      <c r="A1918">
        <v>106700026</v>
      </c>
      <c r="B1918" t="s">
        <v>3800</v>
      </c>
      <c r="C1918" t="s">
        <v>10</v>
      </c>
      <c r="D1918" t="s">
        <v>1675</v>
      </c>
      <c r="E1918" t="s">
        <v>3232</v>
      </c>
      <c r="F1918" t="s">
        <v>1650</v>
      </c>
      <c r="G1918" t="s">
        <v>1632</v>
      </c>
      <c r="H1918" t="s">
        <v>1651</v>
      </c>
      <c r="I1918" t="s">
        <v>1634</v>
      </c>
      <c r="J1918" t="e">
        <v>#N/A</v>
      </c>
      <c r="K1918">
        <v>0.17499999999999999</v>
      </c>
      <c r="L1918">
        <v>0</v>
      </c>
      <c r="M1918" s="1">
        <v>3</v>
      </c>
      <c r="N1918">
        <v>0</v>
      </c>
      <c r="O1918">
        <v>0</v>
      </c>
      <c r="P1918">
        <v>0</v>
      </c>
      <c r="Q1918" s="1">
        <v>0</v>
      </c>
      <c r="R1918">
        <v>1.75</v>
      </c>
      <c r="S1918" s="2">
        <v>44542</v>
      </c>
      <c r="T1918" s="2">
        <v>45466</v>
      </c>
      <c r="U1918">
        <v>0</v>
      </c>
      <c r="V1918">
        <v>0</v>
      </c>
      <c r="W1918">
        <v>0</v>
      </c>
      <c r="X1918">
        <v>0</v>
      </c>
      <c r="Y1918">
        <v>0</v>
      </c>
      <c r="Z1918" s="8">
        <v>0</v>
      </c>
      <c r="AA1918">
        <v>0</v>
      </c>
      <c r="AB1918" t="s">
        <v>1635</v>
      </c>
      <c r="AC1918" t="s">
        <v>1635</v>
      </c>
      <c r="AD1918" s="1" t="s">
        <v>1635</v>
      </c>
      <c r="AE1918" s="2" t="s">
        <v>1635</v>
      </c>
      <c r="AF1918" s="2" t="s">
        <v>1635</v>
      </c>
      <c r="AG1918" s="2" t="s">
        <v>1635</v>
      </c>
      <c r="AH1918">
        <v>0</v>
      </c>
      <c r="AI1918" s="3" t="s">
        <v>1635</v>
      </c>
      <c r="AJ1918" s="1" t="s">
        <v>1635</v>
      </c>
      <c r="AK1918" s="2" t="s">
        <v>1635</v>
      </c>
      <c r="AL1918" s="4" t="s">
        <v>1658</v>
      </c>
      <c r="AM1918" s="5" t="s">
        <v>1658</v>
      </c>
      <c r="AN1918" s="4">
        <v>0</v>
      </c>
      <c r="AO1918" t="s">
        <v>1635</v>
      </c>
      <c r="AP1918" s="4" t="s">
        <v>1658</v>
      </c>
      <c r="AQ1918" t="s">
        <v>1619</v>
      </c>
      <c r="AR1918" t="s">
        <v>1620</v>
      </c>
      <c r="AT1918" s="16" t="str">
        <f>_xlfn.XLOOKUP(B1918,'SWiSH Demand Forecast Sep-26'!D:D,'SWiSH Demand Forecast Sep-26'!G:G,"Not Exist")</f>
        <v>Not Exist</v>
      </c>
    </row>
    <row r="1919" spans="1:46" x14ac:dyDescent="0.3">
      <c r="A1919">
        <v>107200202</v>
      </c>
      <c r="B1919" t="s">
        <v>3801</v>
      </c>
      <c r="C1919" t="s">
        <v>10</v>
      </c>
      <c r="D1919" t="s">
        <v>1675</v>
      </c>
      <c r="E1919" t="s">
        <v>1926</v>
      </c>
      <c r="F1919" t="s">
        <v>1656</v>
      </c>
      <c r="G1919" t="s">
        <v>1704</v>
      </c>
      <c r="H1919" t="s">
        <v>1657</v>
      </c>
      <c r="I1919" t="s">
        <v>1634</v>
      </c>
      <c r="J1919" t="s">
        <v>10</v>
      </c>
      <c r="K1919">
        <v>4</v>
      </c>
      <c r="L1919">
        <v>0</v>
      </c>
      <c r="M1919" s="1">
        <v>15</v>
      </c>
      <c r="N1919">
        <v>0</v>
      </c>
      <c r="O1919">
        <v>0</v>
      </c>
      <c r="P1919">
        <v>0</v>
      </c>
      <c r="Q1919" s="1">
        <v>0</v>
      </c>
      <c r="R1919">
        <v>4</v>
      </c>
      <c r="S1919" s="2">
        <v>45969</v>
      </c>
      <c r="T1919" s="2">
        <v>46055</v>
      </c>
      <c r="U1919">
        <v>0</v>
      </c>
      <c r="V1919">
        <v>0</v>
      </c>
      <c r="W1919">
        <v>0</v>
      </c>
      <c r="X1919">
        <v>0</v>
      </c>
      <c r="Y1919">
        <v>0</v>
      </c>
      <c r="Z1919" s="8">
        <v>0</v>
      </c>
      <c r="AA1919">
        <v>0</v>
      </c>
      <c r="AB1919" t="s">
        <v>1635</v>
      </c>
      <c r="AC1919" t="s">
        <v>1635</v>
      </c>
      <c r="AD1919" s="1" t="s">
        <v>1635</v>
      </c>
      <c r="AE1919" s="2" t="s">
        <v>1635</v>
      </c>
      <c r="AF1919" s="2" t="s">
        <v>1635</v>
      </c>
      <c r="AG1919" s="2" t="s">
        <v>1635</v>
      </c>
      <c r="AH1919">
        <v>0</v>
      </c>
      <c r="AI1919" s="3" t="s">
        <v>1635</v>
      </c>
      <c r="AJ1919" s="1" t="s">
        <v>1635</v>
      </c>
      <c r="AK1919" s="2" t="s">
        <v>1635</v>
      </c>
      <c r="AL1919" s="4" t="s">
        <v>1658</v>
      </c>
      <c r="AM1919" s="5" t="s">
        <v>1658</v>
      </c>
      <c r="AN1919" s="4">
        <v>0</v>
      </c>
      <c r="AO1919" t="s">
        <v>1635</v>
      </c>
      <c r="AP1919" s="4" t="s">
        <v>1658</v>
      </c>
      <c r="AQ1919" t="s">
        <v>1619</v>
      </c>
      <c r="AR1919" t="s">
        <v>1620</v>
      </c>
      <c r="AT1919" s="16" t="str">
        <f>_xlfn.XLOOKUP(B1919,'SWiSH Demand Forecast Sep-26'!D:D,'SWiSH Demand Forecast Sep-26'!G:G,"Not Exist")</f>
        <v>Not Exist</v>
      </c>
    </row>
    <row r="1920" spans="1:46" x14ac:dyDescent="0.3">
      <c r="A1920">
        <v>107200195</v>
      </c>
      <c r="B1920" t="s">
        <v>3802</v>
      </c>
      <c r="C1920" t="s">
        <v>10</v>
      </c>
      <c r="D1920" t="s">
        <v>1675</v>
      </c>
      <c r="E1920" t="s">
        <v>1643</v>
      </c>
      <c r="F1920" t="s">
        <v>1656</v>
      </c>
      <c r="G1920" t="s">
        <v>1632</v>
      </c>
      <c r="H1920" t="s">
        <v>1657</v>
      </c>
      <c r="I1920" t="s">
        <v>1634</v>
      </c>
      <c r="J1920" t="s">
        <v>10</v>
      </c>
      <c r="K1920">
        <v>4</v>
      </c>
      <c r="L1920">
        <v>0</v>
      </c>
      <c r="M1920" s="1">
        <v>15</v>
      </c>
      <c r="N1920">
        <v>0</v>
      </c>
      <c r="O1920">
        <v>0</v>
      </c>
      <c r="P1920">
        <v>0</v>
      </c>
      <c r="Q1920" s="1">
        <v>0</v>
      </c>
      <c r="R1920">
        <v>4</v>
      </c>
      <c r="S1920" s="2">
        <v>45993</v>
      </c>
      <c r="T1920" s="2">
        <v>45993</v>
      </c>
      <c r="U1920">
        <v>0</v>
      </c>
      <c r="V1920">
        <v>0</v>
      </c>
      <c r="W1920">
        <v>0</v>
      </c>
      <c r="X1920">
        <v>0</v>
      </c>
      <c r="Y1920">
        <v>0</v>
      </c>
      <c r="Z1920" s="8">
        <v>0</v>
      </c>
      <c r="AA1920">
        <v>0</v>
      </c>
      <c r="AB1920" t="s">
        <v>1635</v>
      </c>
      <c r="AC1920" t="s">
        <v>1635</v>
      </c>
      <c r="AD1920" s="1" t="s">
        <v>1635</v>
      </c>
      <c r="AE1920" s="2" t="s">
        <v>1635</v>
      </c>
      <c r="AF1920" s="2" t="s">
        <v>1635</v>
      </c>
      <c r="AG1920" s="2" t="s">
        <v>1635</v>
      </c>
      <c r="AH1920">
        <v>0</v>
      </c>
      <c r="AI1920" s="3" t="s">
        <v>1635</v>
      </c>
      <c r="AJ1920" s="1" t="s">
        <v>1635</v>
      </c>
      <c r="AK1920" s="2" t="s">
        <v>1635</v>
      </c>
      <c r="AL1920" s="4" t="s">
        <v>1658</v>
      </c>
      <c r="AM1920" s="5" t="s">
        <v>1658</v>
      </c>
      <c r="AN1920" s="4">
        <v>0</v>
      </c>
      <c r="AO1920" t="s">
        <v>1635</v>
      </c>
      <c r="AP1920" s="4" t="s">
        <v>1658</v>
      </c>
      <c r="AQ1920" t="s">
        <v>1619</v>
      </c>
      <c r="AR1920" t="s">
        <v>1620</v>
      </c>
      <c r="AT1920" s="16" t="str">
        <f>_xlfn.XLOOKUP(B1920,'SWiSH Demand Forecast Sep-26'!D:D,'SWiSH Demand Forecast Sep-26'!G:G,"Not Exist")</f>
        <v>Not Exist</v>
      </c>
    </row>
    <row r="1921" spans="1:46" x14ac:dyDescent="0.3">
      <c r="A1921">
        <v>107200090</v>
      </c>
      <c r="B1921" t="s">
        <v>3803</v>
      </c>
      <c r="C1921" t="s">
        <v>10</v>
      </c>
      <c r="D1921" t="s">
        <v>1675</v>
      </c>
      <c r="E1921" t="s">
        <v>1643</v>
      </c>
      <c r="F1921" t="s">
        <v>1656</v>
      </c>
      <c r="G1921" t="s">
        <v>1632</v>
      </c>
      <c r="H1921" t="s">
        <v>1657</v>
      </c>
      <c r="I1921" t="s">
        <v>1634</v>
      </c>
      <c r="J1921" t="s">
        <v>10</v>
      </c>
      <c r="K1921">
        <v>4</v>
      </c>
      <c r="L1921">
        <v>0</v>
      </c>
      <c r="M1921" s="1">
        <v>7</v>
      </c>
      <c r="N1921">
        <v>0</v>
      </c>
      <c r="O1921">
        <v>0</v>
      </c>
      <c r="P1921">
        <v>0</v>
      </c>
      <c r="Q1921" s="1">
        <v>0</v>
      </c>
      <c r="R1921">
        <v>4</v>
      </c>
      <c r="S1921" s="2">
        <v>45993</v>
      </c>
      <c r="T1921" s="2">
        <v>45993</v>
      </c>
      <c r="U1921">
        <v>0</v>
      </c>
      <c r="V1921">
        <v>0</v>
      </c>
      <c r="W1921">
        <v>0</v>
      </c>
      <c r="X1921">
        <v>0</v>
      </c>
      <c r="Y1921">
        <v>0</v>
      </c>
      <c r="Z1921" s="8">
        <v>0</v>
      </c>
      <c r="AA1921">
        <v>0</v>
      </c>
      <c r="AB1921" t="s">
        <v>1635</v>
      </c>
      <c r="AC1921" t="s">
        <v>1635</v>
      </c>
      <c r="AD1921" s="1" t="s">
        <v>1635</v>
      </c>
      <c r="AE1921" s="2" t="s">
        <v>1635</v>
      </c>
      <c r="AF1921" s="2" t="s">
        <v>1635</v>
      </c>
      <c r="AG1921" s="2" t="s">
        <v>1635</v>
      </c>
      <c r="AH1921">
        <v>0</v>
      </c>
      <c r="AI1921" s="3" t="s">
        <v>1635</v>
      </c>
      <c r="AJ1921" s="1" t="s">
        <v>1635</v>
      </c>
      <c r="AK1921" s="2" t="s">
        <v>1635</v>
      </c>
      <c r="AL1921" s="4" t="s">
        <v>1658</v>
      </c>
      <c r="AM1921" s="5" t="s">
        <v>1658</v>
      </c>
      <c r="AN1921" s="4">
        <v>0</v>
      </c>
      <c r="AO1921" t="s">
        <v>1635</v>
      </c>
      <c r="AP1921" s="4" t="s">
        <v>1658</v>
      </c>
      <c r="AQ1921" t="s">
        <v>1619</v>
      </c>
      <c r="AR1921" t="s">
        <v>1620</v>
      </c>
      <c r="AT1921" s="16" t="str">
        <f>_xlfn.XLOOKUP(B1921,'SWiSH Demand Forecast Sep-26'!D:D,'SWiSH Demand Forecast Sep-26'!G:G,"Not Exist")</f>
        <v>Not Exist</v>
      </c>
    </row>
    <row r="1922" spans="1:46" x14ac:dyDescent="0.3">
      <c r="A1922">
        <v>104900032</v>
      </c>
      <c r="B1922" t="s">
        <v>3804</v>
      </c>
      <c r="C1922" t="s">
        <v>10</v>
      </c>
      <c r="D1922" t="s">
        <v>1629</v>
      </c>
      <c r="E1922" t="s">
        <v>1796</v>
      </c>
      <c r="F1922" t="s">
        <v>1631</v>
      </c>
      <c r="G1922" t="s">
        <v>1632</v>
      </c>
      <c r="H1922" t="s">
        <v>1759</v>
      </c>
      <c r="I1922" t="s">
        <v>1634</v>
      </c>
      <c r="J1922" t="s">
        <v>2113</v>
      </c>
      <c r="K1922">
        <v>7.4999999999999997E-3</v>
      </c>
      <c r="L1922">
        <v>0</v>
      </c>
      <c r="M1922" s="1">
        <v>3</v>
      </c>
      <c r="N1922">
        <v>0</v>
      </c>
      <c r="O1922">
        <v>0</v>
      </c>
      <c r="P1922">
        <v>0</v>
      </c>
      <c r="Q1922" s="1">
        <v>0</v>
      </c>
      <c r="R1922">
        <v>8.0090000000000003</v>
      </c>
      <c r="S1922" s="2">
        <v>45757</v>
      </c>
      <c r="T1922" s="2">
        <v>45757</v>
      </c>
      <c r="U1922">
        <v>0</v>
      </c>
      <c r="V1922">
        <v>0</v>
      </c>
      <c r="W1922">
        <v>0</v>
      </c>
      <c r="X1922">
        <v>0</v>
      </c>
      <c r="Y1922">
        <v>0</v>
      </c>
      <c r="Z1922" s="8">
        <v>0</v>
      </c>
      <c r="AA1922">
        <v>0</v>
      </c>
      <c r="AB1922" t="s">
        <v>1635</v>
      </c>
      <c r="AC1922" t="s">
        <v>1635</v>
      </c>
      <c r="AD1922" s="1" t="s">
        <v>1635</v>
      </c>
      <c r="AE1922" s="2" t="s">
        <v>1635</v>
      </c>
      <c r="AF1922" s="2" t="s">
        <v>1635</v>
      </c>
      <c r="AG1922" s="2" t="s">
        <v>1635</v>
      </c>
      <c r="AH1922">
        <v>0</v>
      </c>
      <c r="AI1922" s="3" t="s">
        <v>1635</v>
      </c>
      <c r="AJ1922" s="1" t="s">
        <v>1635</v>
      </c>
      <c r="AK1922" s="2" t="s">
        <v>1635</v>
      </c>
      <c r="AL1922" s="4" t="s">
        <v>1636</v>
      </c>
      <c r="AM1922" s="5" t="s">
        <v>1636</v>
      </c>
      <c r="AN1922" s="4">
        <v>0</v>
      </c>
      <c r="AO1922" t="s">
        <v>1635</v>
      </c>
      <c r="AP1922" s="4" t="s">
        <v>1636</v>
      </c>
      <c r="AQ1922" t="s">
        <v>1619</v>
      </c>
      <c r="AR1922" t="s">
        <v>1620</v>
      </c>
      <c r="AT1922" s="16" t="str">
        <f>_xlfn.XLOOKUP(B1922,'SWiSH Demand Forecast Sep-26'!D:D,'SWiSH Demand Forecast Sep-26'!G:G,"Not Exist")</f>
        <v>Not Exist</v>
      </c>
    </row>
    <row r="1923" spans="1:46" x14ac:dyDescent="0.3">
      <c r="A1923">
        <v>106401151</v>
      </c>
      <c r="B1923" t="s">
        <v>3805</v>
      </c>
      <c r="C1923" t="s">
        <v>10</v>
      </c>
      <c r="D1923" t="s">
        <v>1629</v>
      </c>
      <c r="E1923" t="s">
        <v>2483</v>
      </c>
      <c r="F1923" t="s">
        <v>1664</v>
      </c>
      <c r="G1923" t="s">
        <v>1704</v>
      </c>
      <c r="H1923" t="s">
        <v>1764</v>
      </c>
      <c r="I1923" t="s">
        <v>1634</v>
      </c>
      <c r="J1923" t="s">
        <v>10</v>
      </c>
      <c r="K1923">
        <v>6.0699999999999997E-2</v>
      </c>
      <c r="L1923">
        <v>0</v>
      </c>
      <c r="M1923" s="1">
        <v>15</v>
      </c>
      <c r="N1923">
        <v>0</v>
      </c>
      <c r="O1923">
        <v>0</v>
      </c>
      <c r="P1923">
        <v>0</v>
      </c>
      <c r="Q1923" s="1">
        <v>0</v>
      </c>
      <c r="R1923">
        <v>0</v>
      </c>
      <c r="S1923" s="2">
        <v>0</v>
      </c>
      <c r="T1923" s="2">
        <v>46081</v>
      </c>
      <c r="U1923">
        <v>0</v>
      </c>
      <c r="V1923">
        <v>0</v>
      </c>
      <c r="W1923">
        <v>0</v>
      </c>
      <c r="X1923">
        <v>0</v>
      </c>
      <c r="Y1923">
        <v>0</v>
      </c>
      <c r="Z1923" s="8">
        <v>0</v>
      </c>
      <c r="AA1923">
        <v>0</v>
      </c>
      <c r="AB1923" t="s">
        <v>1635</v>
      </c>
      <c r="AC1923" t="s">
        <v>1635</v>
      </c>
      <c r="AD1923" s="1" t="s">
        <v>1635</v>
      </c>
      <c r="AE1923" s="2" t="s">
        <v>1635</v>
      </c>
      <c r="AF1923" s="2" t="s">
        <v>1635</v>
      </c>
      <c r="AG1923" s="2" t="s">
        <v>1635</v>
      </c>
      <c r="AH1923">
        <v>0</v>
      </c>
      <c r="AI1923" s="3" t="s">
        <v>1635</v>
      </c>
      <c r="AJ1923" s="1" t="s">
        <v>1635</v>
      </c>
      <c r="AK1923" s="2" t="s">
        <v>1635</v>
      </c>
      <c r="AL1923" s="4" t="s">
        <v>1636</v>
      </c>
      <c r="AM1923" s="5" t="s">
        <v>1636</v>
      </c>
      <c r="AN1923" s="4">
        <v>0</v>
      </c>
      <c r="AO1923" t="s">
        <v>1635</v>
      </c>
      <c r="AP1923" s="4" t="s">
        <v>1636</v>
      </c>
      <c r="AQ1923" t="s">
        <v>1619</v>
      </c>
      <c r="AR1923" t="s">
        <v>1620</v>
      </c>
      <c r="AT1923" s="16" t="str">
        <f>_xlfn.XLOOKUP(B1923,'SWiSH Demand Forecast Sep-26'!D:D,'SWiSH Demand Forecast Sep-26'!G:G,"Not Exist")</f>
        <v>Not Exist</v>
      </c>
    </row>
    <row r="1924" spans="1:46" x14ac:dyDescent="0.3">
      <c r="A1924">
        <v>106700053</v>
      </c>
      <c r="B1924" t="s">
        <v>3806</v>
      </c>
      <c r="C1924" t="s">
        <v>10</v>
      </c>
      <c r="D1924" t="s">
        <v>1675</v>
      </c>
      <c r="E1924" t="s">
        <v>3232</v>
      </c>
      <c r="F1924" t="s">
        <v>1650</v>
      </c>
      <c r="G1924" t="s">
        <v>1632</v>
      </c>
      <c r="H1924" t="s">
        <v>1651</v>
      </c>
      <c r="I1924" t="s">
        <v>1634</v>
      </c>
      <c r="J1924" t="s">
        <v>10</v>
      </c>
      <c r="K1924">
        <v>0.45</v>
      </c>
      <c r="L1924">
        <v>0</v>
      </c>
      <c r="M1924" s="1">
        <v>3</v>
      </c>
      <c r="N1924">
        <v>0</v>
      </c>
      <c r="O1924">
        <v>0</v>
      </c>
      <c r="P1924">
        <v>0</v>
      </c>
      <c r="Q1924" s="1">
        <v>0</v>
      </c>
      <c r="R1924">
        <v>0.45</v>
      </c>
      <c r="S1924" s="2">
        <v>45745</v>
      </c>
      <c r="T1924" s="2">
        <v>45749</v>
      </c>
      <c r="U1924">
        <v>0</v>
      </c>
      <c r="V1924">
        <v>0</v>
      </c>
      <c r="W1924">
        <v>0</v>
      </c>
      <c r="X1924">
        <v>0</v>
      </c>
      <c r="Y1924">
        <v>0</v>
      </c>
      <c r="Z1924" s="8">
        <v>0</v>
      </c>
      <c r="AA1924">
        <v>0</v>
      </c>
      <c r="AB1924" t="s">
        <v>1635</v>
      </c>
      <c r="AC1924" t="s">
        <v>1635</v>
      </c>
      <c r="AD1924" s="1" t="s">
        <v>1635</v>
      </c>
      <c r="AE1924" s="2" t="s">
        <v>1635</v>
      </c>
      <c r="AF1924" s="2" t="s">
        <v>1635</v>
      </c>
      <c r="AG1924" s="2" t="s">
        <v>1635</v>
      </c>
      <c r="AH1924">
        <v>0</v>
      </c>
      <c r="AI1924" s="3" t="s">
        <v>1635</v>
      </c>
      <c r="AJ1924" s="1" t="s">
        <v>1635</v>
      </c>
      <c r="AK1924" s="2" t="s">
        <v>1635</v>
      </c>
      <c r="AL1924" s="4" t="s">
        <v>1658</v>
      </c>
      <c r="AM1924" s="5" t="s">
        <v>1658</v>
      </c>
      <c r="AN1924" s="4">
        <v>0</v>
      </c>
      <c r="AO1924" t="s">
        <v>1635</v>
      </c>
      <c r="AP1924" s="4" t="s">
        <v>1658</v>
      </c>
      <c r="AQ1924" t="s">
        <v>1619</v>
      </c>
      <c r="AR1924" t="s">
        <v>1620</v>
      </c>
      <c r="AT1924" s="16" t="str">
        <f>_xlfn.XLOOKUP(B1924,'SWiSH Demand Forecast Sep-26'!D:D,'SWiSH Demand Forecast Sep-26'!G:G,"Not Exist")</f>
        <v>Not Exist</v>
      </c>
    </row>
    <row r="1925" spans="1:46" x14ac:dyDescent="0.3">
      <c r="A1925">
        <v>107200198</v>
      </c>
      <c r="B1925" t="s">
        <v>3807</v>
      </c>
      <c r="C1925" t="s">
        <v>10</v>
      </c>
      <c r="D1925" t="s">
        <v>1675</v>
      </c>
      <c r="E1925" t="s">
        <v>1643</v>
      </c>
      <c r="F1925" t="s">
        <v>1656</v>
      </c>
      <c r="G1925" t="s">
        <v>1632</v>
      </c>
      <c r="H1925" t="s">
        <v>1657</v>
      </c>
      <c r="I1925" t="s">
        <v>1634</v>
      </c>
      <c r="J1925" t="s">
        <v>10</v>
      </c>
      <c r="K1925">
        <v>4</v>
      </c>
      <c r="L1925">
        <v>0</v>
      </c>
      <c r="M1925" s="1">
        <v>7</v>
      </c>
      <c r="N1925">
        <v>0</v>
      </c>
      <c r="O1925">
        <v>0</v>
      </c>
      <c r="P1925">
        <v>0</v>
      </c>
      <c r="Q1925" s="1">
        <v>0</v>
      </c>
      <c r="R1925">
        <v>4</v>
      </c>
      <c r="S1925" s="2">
        <v>45993</v>
      </c>
      <c r="T1925" s="2">
        <v>45993</v>
      </c>
      <c r="U1925">
        <v>0</v>
      </c>
      <c r="V1925">
        <v>0</v>
      </c>
      <c r="W1925">
        <v>0</v>
      </c>
      <c r="X1925">
        <v>0</v>
      </c>
      <c r="Y1925">
        <v>0</v>
      </c>
      <c r="Z1925" s="8">
        <v>0</v>
      </c>
      <c r="AA1925">
        <v>0</v>
      </c>
      <c r="AB1925" t="s">
        <v>1635</v>
      </c>
      <c r="AC1925" t="s">
        <v>1635</v>
      </c>
      <c r="AD1925" s="1" t="s">
        <v>1635</v>
      </c>
      <c r="AE1925" s="2" t="s">
        <v>1635</v>
      </c>
      <c r="AF1925" s="2" t="s">
        <v>1635</v>
      </c>
      <c r="AG1925" s="2" t="s">
        <v>1635</v>
      </c>
      <c r="AH1925">
        <v>0</v>
      </c>
      <c r="AI1925" s="3" t="s">
        <v>1635</v>
      </c>
      <c r="AJ1925" s="1" t="s">
        <v>1635</v>
      </c>
      <c r="AK1925" s="2" t="s">
        <v>1635</v>
      </c>
      <c r="AL1925" s="4" t="s">
        <v>1658</v>
      </c>
      <c r="AM1925" s="5" t="s">
        <v>1658</v>
      </c>
      <c r="AN1925" s="4">
        <v>0</v>
      </c>
      <c r="AO1925" t="s">
        <v>1635</v>
      </c>
      <c r="AP1925" s="4" t="s">
        <v>1658</v>
      </c>
      <c r="AQ1925" t="s">
        <v>1619</v>
      </c>
      <c r="AR1925" t="s">
        <v>1620</v>
      </c>
      <c r="AT1925" s="16" t="str">
        <f>_xlfn.XLOOKUP(B1925,'SWiSH Demand Forecast Sep-26'!D:D,'SWiSH Demand Forecast Sep-26'!G:G,"Not Exist")</f>
        <v>Not Exist</v>
      </c>
    </row>
    <row r="1926" spans="1:46" x14ac:dyDescent="0.3">
      <c r="A1926">
        <v>106900008</v>
      </c>
      <c r="B1926" t="s">
        <v>3808</v>
      </c>
      <c r="C1926" t="s">
        <v>10</v>
      </c>
      <c r="D1926" t="s">
        <v>1675</v>
      </c>
      <c r="E1926" t="e">
        <v>#N/A</v>
      </c>
      <c r="F1926" t="s">
        <v>1664</v>
      </c>
      <c r="G1926" t="e">
        <v>#N/A</v>
      </c>
      <c r="H1926" t="s">
        <v>3721</v>
      </c>
      <c r="I1926" t="s">
        <v>1634</v>
      </c>
      <c r="J1926" t="s">
        <v>10</v>
      </c>
      <c r="K1926" t="e">
        <v>#N/A</v>
      </c>
      <c r="L1926" t="e">
        <v>#N/A</v>
      </c>
      <c r="M1926" s="1">
        <v>15</v>
      </c>
      <c r="N1926">
        <v>0</v>
      </c>
      <c r="O1926">
        <v>0</v>
      </c>
      <c r="P1926">
        <v>0</v>
      </c>
      <c r="Q1926" s="1">
        <v>0</v>
      </c>
      <c r="R1926">
        <v>2.1669999999999998E-2</v>
      </c>
      <c r="S1926" s="2">
        <v>45773</v>
      </c>
      <c r="T1926" s="2">
        <v>46053</v>
      </c>
      <c r="U1926">
        <v>0</v>
      </c>
      <c r="V1926">
        <v>0</v>
      </c>
      <c r="W1926">
        <v>0</v>
      </c>
      <c r="X1926">
        <v>0</v>
      </c>
      <c r="Y1926">
        <v>0</v>
      </c>
      <c r="Z1926" s="8">
        <v>0</v>
      </c>
      <c r="AA1926">
        <v>0</v>
      </c>
      <c r="AB1926" t="s">
        <v>1635</v>
      </c>
      <c r="AC1926" t="s">
        <v>1635</v>
      </c>
      <c r="AD1926" s="1" t="s">
        <v>1635</v>
      </c>
      <c r="AE1926" s="2" t="s">
        <v>1635</v>
      </c>
      <c r="AF1926" s="2" t="s">
        <v>1635</v>
      </c>
      <c r="AG1926" s="2" t="s">
        <v>1635</v>
      </c>
      <c r="AH1926">
        <v>0</v>
      </c>
      <c r="AI1926" s="3" t="s">
        <v>1635</v>
      </c>
      <c r="AJ1926" s="1" t="s">
        <v>1635</v>
      </c>
      <c r="AK1926" s="2" t="s">
        <v>1635</v>
      </c>
      <c r="AL1926" s="4" t="s">
        <v>1658</v>
      </c>
      <c r="AM1926" s="5" t="s">
        <v>1658</v>
      </c>
      <c r="AN1926" s="4">
        <v>0</v>
      </c>
      <c r="AO1926" t="s">
        <v>1635</v>
      </c>
      <c r="AP1926" s="4" t="s">
        <v>1658</v>
      </c>
      <c r="AQ1926" t="s">
        <v>1619</v>
      </c>
      <c r="AR1926" t="s">
        <v>1620</v>
      </c>
      <c r="AT1926" s="16" t="str">
        <f>_xlfn.XLOOKUP(B1926,'SWiSH Demand Forecast Sep-26'!D:D,'SWiSH Demand Forecast Sep-26'!G:G,"Not Exist")</f>
        <v>Not Exist</v>
      </c>
    </row>
    <row r="1927" spans="1:46" x14ac:dyDescent="0.3">
      <c r="A1927">
        <v>107200016</v>
      </c>
      <c r="B1927" t="s">
        <v>3809</v>
      </c>
      <c r="C1927" t="s">
        <v>10</v>
      </c>
      <c r="D1927" t="s">
        <v>1675</v>
      </c>
      <c r="E1927" t="s">
        <v>1638</v>
      </c>
      <c r="F1927" t="s">
        <v>1656</v>
      </c>
      <c r="G1927" t="s">
        <v>1690</v>
      </c>
      <c r="H1927" t="s">
        <v>1657</v>
      </c>
      <c r="I1927" t="s">
        <v>1634</v>
      </c>
      <c r="J1927" t="s">
        <v>10</v>
      </c>
      <c r="K1927">
        <v>4.5</v>
      </c>
      <c r="L1927">
        <v>0</v>
      </c>
      <c r="M1927" s="1">
        <v>15</v>
      </c>
      <c r="N1927">
        <v>0</v>
      </c>
      <c r="O1927">
        <v>0</v>
      </c>
      <c r="P1927">
        <v>0</v>
      </c>
      <c r="Q1927" s="1">
        <v>0</v>
      </c>
      <c r="R1927">
        <v>4.5</v>
      </c>
      <c r="S1927" s="2">
        <v>45652</v>
      </c>
      <c r="T1927" s="2">
        <v>45658</v>
      </c>
      <c r="U1927">
        <v>0</v>
      </c>
      <c r="V1927">
        <v>0</v>
      </c>
      <c r="W1927">
        <v>0</v>
      </c>
      <c r="X1927">
        <v>0</v>
      </c>
      <c r="Y1927">
        <v>0</v>
      </c>
      <c r="Z1927" s="8">
        <v>0</v>
      </c>
      <c r="AA1927">
        <v>0</v>
      </c>
      <c r="AB1927" t="s">
        <v>1635</v>
      </c>
      <c r="AC1927" t="s">
        <v>1635</v>
      </c>
      <c r="AD1927" s="1" t="s">
        <v>1635</v>
      </c>
      <c r="AE1927" s="2" t="s">
        <v>1635</v>
      </c>
      <c r="AF1927" s="2" t="s">
        <v>1635</v>
      </c>
      <c r="AG1927" s="2" t="s">
        <v>1635</v>
      </c>
      <c r="AH1927">
        <v>0</v>
      </c>
      <c r="AI1927" s="3" t="s">
        <v>1635</v>
      </c>
      <c r="AJ1927" s="1" t="s">
        <v>1635</v>
      </c>
      <c r="AK1927" s="2" t="s">
        <v>1635</v>
      </c>
      <c r="AL1927" s="4" t="s">
        <v>1658</v>
      </c>
      <c r="AM1927" s="5" t="s">
        <v>1658</v>
      </c>
      <c r="AN1927" s="4">
        <v>0</v>
      </c>
      <c r="AO1927" t="s">
        <v>1635</v>
      </c>
      <c r="AP1927" s="4" t="s">
        <v>1658</v>
      </c>
      <c r="AQ1927" t="s">
        <v>1619</v>
      </c>
      <c r="AR1927" t="s">
        <v>1620</v>
      </c>
      <c r="AT1927" s="16" t="str">
        <f>_xlfn.XLOOKUP(B1927,'SWiSH Demand Forecast Sep-26'!D:D,'SWiSH Demand Forecast Sep-26'!G:G,"Not Exist")</f>
        <v>Not Exist</v>
      </c>
    </row>
    <row r="1928" spans="1:46" x14ac:dyDescent="0.3">
      <c r="A1928">
        <v>107200071</v>
      </c>
      <c r="B1928" t="s">
        <v>3810</v>
      </c>
      <c r="C1928" t="s">
        <v>10</v>
      </c>
      <c r="D1928" t="s">
        <v>1675</v>
      </c>
      <c r="E1928" t="s">
        <v>1663</v>
      </c>
      <c r="F1928" t="s">
        <v>1656</v>
      </c>
      <c r="G1928" t="s">
        <v>1632</v>
      </c>
      <c r="H1928" t="s">
        <v>1657</v>
      </c>
      <c r="I1928" t="s">
        <v>1634</v>
      </c>
      <c r="J1928" t="s">
        <v>10</v>
      </c>
      <c r="K1928">
        <v>12</v>
      </c>
      <c r="L1928">
        <v>0</v>
      </c>
      <c r="M1928" s="1">
        <v>15</v>
      </c>
      <c r="N1928">
        <v>0</v>
      </c>
      <c r="O1928">
        <v>0</v>
      </c>
      <c r="P1928">
        <v>0</v>
      </c>
      <c r="Q1928" s="1">
        <v>0</v>
      </c>
      <c r="R1928">
        <v>12</v>
      </c>
      <c r="S1928" s="2">
        <v>45988</v>
      </c>
      <c r="T1928" s="2">
        <v>46089</v>
      </c>
      <c r="U1928">
        <v>0</v>
      </c>
      <c r="V1928">
        <v>0</v>
      </c>
      <c r="W1928">
        <v>0</v>
      </c>
      <c r="X1928">
        <v>0</v>
      </c>
      <c r="Y1928">
        <v>0</v>
      </c>
      <c r="Z1928" s="8">
        <v>0</v>
      </c>
      <c r="AA1928">
        <v>0</v>
      </c>
      <c r="AB1928" t="s">
        <v>1635</v>
      </c>
      <c r="AC1928" t="s">
        <v>1635</v>
      </c>
      <c r="AD1928" s="1" t="s">
        <v>1635</v>
      </c>
      <c r="AE1928" s="2" t="s">
        <v>1635</v>
      </c>
      <c r="AF1928" s="2" t="s">
        <v>1635</v>
      </c>
      <c r="AG1928" s="2" t="s">
        <v>1635</v>
      </c>
      <c r="AH1928">
        <v>0</v>
      </c>
      <c r="AI1928" s="3" t="s">
        <v>1635</v>
      </c>
      <c r="AJ1928" s="1" t="s">
        <v>1635</v>
      </c>
      <c r="AK1928" s="2" t="s">
        <v>1635</v>
      </c>
      <c r="AL1928" s="4" t="s">
        <v>1658</v>
      </c>
      <c r="AM1928" s="5" t="s">
        <v>1658</v>
      </c>
      <c r="AN1928" s="4">
        <v>0</v>
      </c>
      <c r="AO1928" t="s">
        <v>1635</v>
      </c>
      <c r="AP1928" s="4" t="s">
        <v>1658</v>
      </c>
      <c r="AQ1928" t="s">
        <v>1619</v>
      </c>
      <c r="AR1928" t="s">
        <v>1620</v>
      </c>
      <c r="AT1928" s="16" t="str">
        <f>_xlfn.XLOOKUP(B1928,'SWiSH Demand Forecast Sep-26'!D:D,'SWiSH Demand Forecast Sep-26'!G:G,"Not Exist")</f>
        <v>Not Exist</v>
      </c>
    </row>
    <row r="1929" spans="1:46" x14ac:dyDescent="0.3">
      <c r="A1929">
        <v>107200089</v>
      </c>
      <c r="B1929" t="s">
        <v>3811</v>
      </c>
      <c r="C1929" t="s">
        <v>10</v>
      </c>
      <c r="D1929" t="s">
        <v>1675</v>
      </c>
      <c r="E1929" t="s">
        <v>3812</v>
      </c>
      <c r="F1929" t="s">
        <v>1656</v>
      </c>
      <c r="G1929" t="s">
        <v>1690</v>
      </c>
      <c r="H1929" t="s">
        <v>1657</v>
      </c>
      <c r="I1929" t="s">
        <v>1634</v>
      </c>
      <c r="J1929" t="s">
        <v>10</v>
      </c>
      <c r="K1929">
        <v>1.7427430399999999</v>
      </c>
      <c r="L1929">
        <v>0</v>
      </c>
      <c r="M1929" s="1">
        <v>15</v>
      </c>
      <c r="N1929">
        <v>0</v>
      </c>
      <c r="O1929">
        <v>0</v>
      </c>
      <c r="P1929">
        <v>0</v>
      </c>
      <c r="Q1929" s="1">
        <v>0</v>
      </c>
      <c r="R1929">
        <v>3.3024499999999999</v>
      </c>
      <c r="S1929" s="2">
        <v>45848</v>
      </c>
      <c r="T1929" s="2">
        <v>46209</v>
      </c>
      <c r="U1929">
        <v>0</v>
      </c>
      <c r="V1929">
        <v>0</v>
      </c>
      <c r="W1929">
        <v>0</v>
      </c>
      <c r="X1929">
        <v>0</v>
      </c>
      <c r="Y1929">
        <v>0</v>
      </c>
      <c r="Z1929" s="8">
        <v>0</v>
      </c>
      <c r="AA1929">
        <v>0</v>
      </c>
      <c r="AB1929" t="s">
        <v>1635</v>
      </c>
      <c r="AC1929" t="s">
        <v>1635</v>
      </c>
      <c r="AD1929" s="1" t="s">
        <v>1635</v>
      </c>
      <c r="AE1929" s="2" t="s">
        <v>1635</v>
      </c>
      <c r="AF1929" s="2" t="s">
        <v>1635</v>
      </c>
      <c r="AG1929" s="2" t="s">
        <v>1635</v>
      </c>
      <c r="AH1929">
        <v>0</v>
      </c>
      <c r="AI1929" s="3" t="s">
        <v>1635</v>
      </c>
      <c r="AJ1929" s="1" t="s">
        <v>1635</v>
      </c>
      <c r="AK1929" s="2" t="s">
        <v>1635</v>
      </c>
      <c r="AL1929" s="4" t="s">
        <v>1658</v>
      </c>
      <c r="AM1929" s="5" t="s">
        <v>1658</v>
      </c>
      <c r="AN1929" s="4">
        <v>0</v>
      </c>
      <c r="AO1929" t="s">
        <v>1635</v>
      </c>
      <c r="AP1929" s="4" t="s">
        <v>1658</v>
      </c>
      <c r="AQ1929" t="s">
        <v>1619</v>
      </c>
      <c r="AR1929" t="s">
        <v>1620</v>
      </c>
      <c r="AT1929" s="16" t="str">
        <f>_xlfn.XLOOKUP(B1929,'SWiSH Demand Forecast Sep-26'!D:D,'SWiSH Demand Forecast Sep-26'!G:G,"Not Exist")</f>
        <v>Not Exist</v>
      </c>
    </row>
    <row r="1930" spans="1:46" x14ac:dyDescent="0.3">
      <c r="A1930">
        <v>106800232</v>
      </c>
      <c r="B1930" t="s">
        <v>3813</v>
      </c>
      <c r="C1930" t="s">
        <v>10</v>
      </c>
      <c r="D1930" t="s">
        <v>1955</v>
      </c>
      <c r="E1930" t="s">
        <v>1663</v>
      </c>
      <c r="F1930" t="s">
        <v>1664</v>
      </c>
      <c r="G1930" t="s">
        <v>1704</v>
      </c>
      <c r="H1930" t="s">
        <v>1665</v>
      </c>
      <c r="I1930" t="s">
        <v>1634</v>
      </c>
      <c r="J1930" t="s">
        <v>10</v>
      </c>
      <c r="K1930">
        <v>6.0000000000000001E-3</v>
      </c>
      <c r="L1930">
        <v>0</v>
      </c>
      <c r="M1930" s="1">
        <v>7</v>
      </c>
      <c r="N1930">
        <v>0</v>
      </c>
      <c r="O1930">
        <v>0</v>
      </c>
      <c r="P1930">
        <v>0</v>
      </c>
      <c r="Q1930" s="1">
        <v>0</v>
      </c>
      <c r="R1930">
        <v>6.0000000000000001E-3</v>
      </c>
      <c r="S1930" s="2">
        <v>45718</v>
      </c>
      <c r="T1930" s="2">
        <v>45822</v>
      </c>
      <c r="U1930">
        <v>0</v>
      </c>
      <c r="V1930">
        <v>0</v>
      </c>
      <c r="W1930">
        <v>0</v>
      </c>
      <c r="X1930">
        <v>0</v>
      </c>
      <c r="Y1930">
        <v>0</v>
      </c>
      <c r="Z1930" s="8">
        <v>0</v>
      </c>
      <c r="AA1930">
        <v>0</v>
      </c>
      <c r="AB1930" t="s">
        <v>1635</v>
      </c>
      <c r="AC1930" t="s">
        <v>1635</v>
      </c>
      <c r="AD1930" s="1" t="s">
        <v>1635</v>
      </c>
      <c r="AE1930" s="2" t="s">
        <v>1635</v>
      </c>
      <c r="AF1930" s="2" t="s">
        <v>1635</v>
      </c>
      <c r="AG1930" s="2" t="s">
        <v>1635</v>
      </c>
      <c r="AH1930">
        <v>0</v>
      </c>
      <c r="AI1930" s="3" t="s">
        <v>1635</v>
      </c>
      <c r="AJ1930" s="1" t="s">
        <v>1635</v>
      </c>
      <c r="AK1930" s="2" t="s">
        <v>1635</v>
      </c>
      <c r="AL1930" s="4" t="s">
        <v>1658</v>
      </c>
      <c r="AM1930" s="5" t="s">
        <v>1658</v>
      </c>
      <c r="AN1930" s="4">
        <v>0</v>
      </c>
      <c r="AO1930" t="s">
        <v>1635</v>
      </c>
      <c r="AP1930" s="4" t="s">
        <v>1658</v>
      </c>
      <c r="AQ1930" t="s">
        <v>1619</v>
      </c>
      <c r="AR1930" t="s">
        <v>1620</v>
      </c>
      <c r="AT1930" s="16" t="str">
        <f>_xlfn.XLOOKUP(B1930,'SWiSH Demand Forecast Sep-26'!D:D,'SWiSH Demand Forecast Sep-26'!G:G,"Not Exist")</f>
        <v>Not Exist</v>
      </c>
    </row>
    <row r="1931" spans="1:46" x14ac:dyDescent="0.3">
      <c r="A1931" t="s">
        <v>3321</v>
      </c>
      <c r="B1931" t="s">
        <v>3814</v>
      </c>
      <c r="C1931" t="s">
        <v>136</v>
      </c>
      <c r="D1931" t="s">
        <v>1629</v>
      </c>
      <c r="E1931" t="s">
        <v>3815</v>
      </c>
      <c r="F1931" t="s">
        <v>1631</v>
      </c>
      <c r="G1931" t="e">
        <v>#N/A</v>
      </c>
      <c r="H1931" t="s">
        <v>1647</v>
      </c>
      <c r="I1931" t="s">
        <v>1634</v>
      </c>
      <c r="J1931" t="s">
        <v>136</v>
      </c>
      <c r="K1931" t="e">
        <v>#N/A</v>
      </c>
      <c r="L1931" t="e">
        <v>#N/A</v>
      </c>
      <c r="M1931" s="1">
        <v>3</v>
      </c>
      <c r="N1931">
        <v>0</v>
      </c>
      <c r="O1931">
        <v>0</v>
      </c>
      <c r="P1931">
        <v>0</v>
      </c>
      <c r="Q1931" s="1">
        <v>0</v>
      </c>
      <c r="R1931" t="e">
        <v>#N/A</v>
      </c>
      <c r="S1931" s="2" t="e">
        <v>#N/A</v>
      </c>
      <c r="T1931" s="2" t="e">
        <v>#N/A</v>
      </c>
      <c r="U1931">
        <v>0</v>
      </c>
      <c r="V1931">
        <v>0</v>
      </c>
      <c r="W1931">
        <v>0</v>
      </c>
      <c r="X1931">
        <v>0</v>
      </c>
      <c r="Y1931">
        <v>0</v>
      </c>
      <c r="Z1931" s="8">
        <v>0</v>
      </c>
      <c r="AA1931">
        <v>0</v>
      </c>
      <c r="AB1931" t="s">
        <v>1635</v>
      </c>
      <c r="AC1931" t="s">
        <v>1635</v>
      </c>
      <c r="AD1931" s="1" t="s">
        <v>1635</v>
      </c>
      <c r="AE1931" s="2" t="s">
        <v>1635</v>
      </c>
      <c r="AF1931" s="2" t="s">
        <v>1635</v>
      </c>
      <c r="AG1931" s="2" t="s">
        <v>1635</v>
      </c>
      <c r="AH1931">
        <v>0</v>
      </c>
      <c r="AI1931" s="3" t="s">
        <v>1635</v>
      </c>
      <c r="AJ1931" s="1" t="s">
        <v>1635</v>
      </c>
      <c r="AK1931" s="2" t="s">
        <v>1635</v>
      </c>
      <c r="AL1931" s="4" t="s">
        <v>1636</v>
      </c>
      <c r="AM1931" s="5" t="s">
        <v>1636</v>
      </c>
      <c r="AN1931" s="4">
        <v>0</v>
      </c>
      <c r="AO1931" t="s">
        <v>1635</v>
      </c>
      <c r="AP1931" s="4" t="s">
        <v>1636</v>
      </c>
      <c r="AQ1931" t="s">
        <v>1619</v>
      </c>
      <c r="AR1931" t="s">
        <v>1620</v>
      </c>
      <c r="AT1931" s="16" t="str">
        <f>_xlfn.XLOOKUP(B1931,'SWiSH Demand Forecast Sep-26'!D:D,'SWiSH Demand Forecast Sep-26'!G:G,"Not Exist")</f>
        <v>Not Exist</v>
      </c>
    </row>
    <row r="1932" spans="1:46" x14ac:dyDescent="0.3">
      <c r="A1932">
        <v>100400164</v>
      </c>
      <c r="B1932" t="s">
        <v>3816</v>
      </c>
      <c r="C1932" t="s">
        <v>10</v>
      </c>
      <c r="D1932" t="s">
        <v>1629</v>
      </c>
      <c r="E1932" t="s">
        <v>1796</v>
      </c>
      <c r="F1932" t="s">
        <v>1664</v>
      </c>
      <c r="G1932" t="e">
        <v>#N/A</v>
      </c>
      <c r="H1932" t="s">
        <v>1810</v>
      </c>
      <c r="I1932" t="s">
        <v>1634</v>
      </c>
      <c r="J1932" t="s">
        <v>10</v>
      </c>
      <c r="K1932" t="e">
        <v>#N/A</v>
      </c>
      <c r="L1932" t="e">
        <v>#N/A</v>
      </c>
      <c r="M1932" s="1">
        <v>30</v>
      </c>
      <c r="N1932">
        <v>0</v>
      </c>
      <c r="O1932">
        <v>0</v>
      </c>
      <c r="P1932">
        <v>0</v>
      </c>
      <c r="Q1932" s="1">
        <v>0</v>
      </c>
      <c r="R1932">
        <v>7.9000000000000001E-2</v>
      </c>
      <c r="S1932" s="2">
        <v>45773</v>
      </c>
      <c r="T1932" s="2">
        <v>45155</v>
      </c>
      <c r="U1932">
        <v>0</v>
      </c>
      <c r="V1932">
        <v>0</v>
      </c>
      <c r="W1932">
        <v>0</v>
      </c>
      <c r="X1932">
        <v>0</v>
      </c>
      <c r="Y1932">
        <v>0</v>
      </c>
      <c r="Z1932" s="8">
        <v>0</v>
      </c>
      <c r="AA1932">
        <v>0</v>
      </c>
      <c r="AB1932" t="s">
        <v>1635</v>
      </c>
      <c r="AC1932" t="s">
        <v>1635</v>
      </c>
      <c r="AD1932" s="1" t="s">
        <v>1635</v>
      </c>
      <c r="AE1932" s="2" t="s">
        <v>1635</v>
      </c>
      <c r="AF1932" s="2" t="s">
        <v>1635</v>
      </c>
      <c r="AG1932" s="2" t="s">
        <v>1635</v>
      </c>
      <c r="AH1932">
        <v>0</v>
      </c>
      <c r="AI1932" s="3" t="s">
        <v>1635</v>
      </c>
      <c r="AJ1932" s="1" t="s">
        <v>1635</v>
      </c>
      <c r="AK1932" s="2" t="s">
        <v>1635</v>
      </c>
      <c r="AL1932" s="4" t="s">
        <v>1636</v>
      </c>
      <c r="AM1932" s="5" t="s">
        <v>1636</v>
      </c>
      <c r="AN1932" s="4">
        <v>0</v>
      </c>
      <c r="AO1932" t="s">
        <v>1635</v>
      </c>
      <c r="AP1932" s="4" t="s">
        <v>1636</v>
      </c>
      <c r="AQ1932" t="s">
        <v>1619</v>
      </c>
      <c r="AR1932" t="s">
        <v>1620</v>
      </c>
      <c r="AT1932" s="16" t="str">
        <f>_xlfn.XLOOKUP(B1932,'SWiSH Demand Forecast Sep-26'!D:D,'SWiSH Demand Forecast Sep-26'!G:G,"Not Exist")</f>
        <v>Not Exist</v>
      </c>
    </row>
    <row r="1933" spans="1:46" x14ac:dyDescent="0.3">
      <c r="A1933">
        <v>102200008</v>
      </c>
      <c r="B1933" t="s">
        <v>3817</v>
      </c>
      <c r="C1933" t="s">
        <v>10</v>
      </c>
      <c r="D1933" t="s">
        <v>1675</v>
      </c>
      <c r="E1933" t="s">
        <v>1926</v>
      </c>
      <c r="F1933" t="s">
        <v>3818</v>
      </c>
      <c r="G1933" t="s">
        <v>1704</v>
      </c>
      <c r="H1933" t="s">
        <v>2329</v>
      </c>
      <c r="I1933" t="s">
        <v>1634</v>
      </c>
      <c r="J1933" t="s">
        <v>10</v>
      </c>
      <c r="K1933">
        <v>101.733</v>
      </c>
      <c r="L1933">
        <v>0</v>
      </c>
      <c r="M1933" s="1">
        <v>90</v>
      </c>
      <c r="N1933">
        <v>0</v>
      </c>
      <c r="O1933">
        <v>0</v>
      </c>
      <c r="P1933">
        <v>0</v>
      </c>
      <c r="Q1933" s="1">
        <v>0</v>
      </c>
      <c r="R1933">
        <v>101.733</v>
      </c>
      <c r="S1933" s="2">
        <v>45777</v>
      </c>
      <c r="T1933" s="2">
        <v>46047</v>
      </c>
      <c r="U1933">
        <v>0</v>
      </c>
      <c r="V1933">
        <v>0</v>
      </c>
      <c r="W1933">
        <v>0</v>
      </c>
      <c r="X1933">
        <v>0</v>
      </c>
      <c r="Y1933">
        <v>0</v>
      </c>
      <c r="Z1933" s="8">
        <v>0</v>
      </c>
      <c r="AA1933">
        <v>0</v>
      </c>
      <c r="AB1933" t="s">
        <v>1635</v>
      </c>
      <c r="AC1933" t="s">
        <v>1635</v>
      </c>
      <c r="AD1933" s="1" t="s">
        <v>1635</v>
      </c>
      <c r="AE1933" s="2" t="s">
        <v>1635</v>
      </c>
      <c r="AF1933" s="2" t="s">
        <v>1635</v>
      </c>
      <c r="AG1933" s="2" t="s">
        <v>1635</v>
      </c>
      <c r="AH1933">
        <v>0</v>
      </c>
      <c r="AI1933" s="3" t="s">
        <v>1635</v>
      </c>
      <c r="AJ1933" s="1" t="s">
        <v>1635</v>
      </c>
      <c r="AK1933" s="2" t="s">
        <v>1635</v>
      </c>
      <c r="AL1933" s="4" t="s">
        <v>1658</v>
      </c>
      <c r="AM1933" s="5" t="s">
        <v>1658</v>
      </c>
      <c r="AN1933" s="4">
        <v>0</v>
      </c>
      <c r="AO1933" t="s">
        <v>1635</v>
      </c>
      <c r="AP1933" s="4" t="s">
        <v>1658</v>
      </c>
      <c r="AQ1933" t="s">
        <v>1619</v>
      </c>
      <c r="AR1933" t="s">
        <v>1620</v>
      </c>
      <c r="AT1933" s="16" t="str">
        <f>_xlfn.XLOOKUP(B1933,'SWiSH Demand Forecast Sep-26'!D:D,'SWiSH Demand Forecast Sep-26'!G:G,"Not Exist")</f>
        <v>Not Exist</v>
      </c>
    </row>
    <row r="1934" spans="1:46" x14ac:dyDescent="0.3">
      <c r="A1934">
        <v>107200068</v>
      </c>
      <c r="B1934" t="s">
        <v>3819</v>
      </c>
      <c r="C1934" t="s">
        <v>10</v>
      </c>
      <c r="D1934" t="s">
        <v>1675</v>
      </c>
      <c r="E1934" t="s">
        <v>1685</v>
      </c>
      <c r="F1934" t="s">
        <v>1656</v>
      </c>
      <c r="G1934" t="s">
        <v>1704</v>
      </c>
      <c r="H1934" t="s">
        <v>1657</v>
      </c>
      <c r="I1934" t="s">
        <v>1634</v>
      </c>
      <c r="J1934" t="s">
        <v>10</v>
      </c>
      <c r="K1934">
        <v>3</v>
      </c>
      <c r="L1934">
        <v>0</v>
      </c>
      <c r="M1934" s="1">
        <v>15</v>
      </c>
      <c r="N1934">
        <v>0</v>
      </c>
      <c r="O1934">
        <v>0</v>
      </c>
      <c r="P1934">
        <v>0</v>
      </c>
      <c r="Q1934" s="1">
        <v>0</v>
      </c>
      <c r="R1934">
        <v>3</v>
      </c>
      <c r="S1934" s="2">
        <v>45882</v>
      </c>
      <c r="T1934" s="2">
        <v>46049</v>
      </c>
      <c r="U1934">
        <v>0</v>
      </c>
      <c r="V1934">
        <v>0</v>
      </c>
      <c r="W1934">
        <v>0</v>
      </c>
      <c r="X1934">
        <v>0</v>
      </c>
      <c r="Y1934">
        <v>0</v>
      </c>
      <c r="Z1934" s="8">
        <v>0</v>
      </c>
      <c r="AA1934">
        <v>0</v>
      </c>
      <c r="AB1934" t="s">
        <v>1635</v>
      </c>
      <c r="AC1934" t="s">
        <v>1635</v>
      </c>
      <c r="AD1934" s="1" t="s">
        <v>1635</v>
      </c>
      <c r="AE1934" s="2" t="s">
        <v>1635</v>
      </c>
      <c r="AF1934" s="2" t="s">
        <v>1635</v>
      </c>
      <c r="AG1934" s="2" t="s">
        <v>1635</v>
      </c>
      <c r="AH1934">
        <v>0</v>
      </c>
      <c r="AI1934" s="3" t="s">
        <v>1635</v>
      </c>
      <c r="AJ1934" s="1" t="s">
        <v>1635</v>
      </c>
      <c r="AK1934" s="2" t="s">
        <v>1635</v>
      </c>
      <c r="AL1934" s="4" t="s">
        <v>1658</v>
      </c>
      <c r="AM1934" s="5" t="s">
        <v>1658</v>
      </c>
      <c r="AN1934" s="4">
        <v>0</v>
      </c>
      <c r="AO1934" t="s">
        <v>1635</v>
      </c>
      <c r="AP1934" s="4" t="s">
        <v>1658</v>
      </c>
      <c r="AQ1934" t="s">
        <v>1619</v>
      </c>
      <c r="AR1934" t="s">
        <v>1620</v>
      </c>
      <c r="AT1934" s="16" t="str">
        <f>_xlfn.XLOOKUP(B1934,'SWiSH Demand Forecast Sep-26'!D:D,'SWiSH Demand Forecast Sep-26'!G:G,"Not Exist")</f>
        <v>Not Exist</v>
      </c>
    </row>
    <row r="1935" spans="1:46" x14ac:dyDescent="0.3">
      <c r="A1935">
        <v>107200181</v>
      </c>
      <c r="B1935" t="s">
        <v>3820</v>
      </c>
      <c r="C1935" t="s">
        <v>10</v>
      </c>
      <c r="D1935" t="s">
        <v>1675</v>
      </c>
      <c r="E1935" t="s">
        <v>1683</v>
      </c>
      <c r="F1935" t="s">
        <v>1656</v>
      </c>
      <c r="G1935" t="s">
        <v>1678</v>
      </c>
      <c r="H1935" t="s">
        <v>1657</v>
      </c>
      <c r="I1935" t="s">
        <v>1634</v>
      </c>
      <c r="J1935" t="s">
        <v>10</v>
      </c>
      <c r="K1935">
        <v>4.5</v>
      </c>
      <c r="L1935">
        <v>0</v>
      </c>
      <c r="M1935" s="1">
        <v>15</v>
      </c>
      <c r="N1935">
        <v>0</v>
      </c>
      <c r="O1935">
        <v>0</v>
      </c>
      <c r="P1935">
        <v>0</v>
      </c>
      <c r="Q1935" s="1">
        <v>0</v>
      </c>
      <c r="R1935">
        <v>0</v>
      </c>
      <c r="S1935" s="2">
        <v>45873</v>
      </c>
      <c r="T1935" s="2">
        <v>45961</v>
      </c>
      <c r="U1935">
        <v>0</v>
      </c>
      <c r="V1935">
        <v>0</v>
      </c>
      <c r="W1935">
        <v>0</v>
      </c>
      <c r="X1935">
        <v>0</v>
      </c>
      <c r="Y1935">
        <v>0</v>
      </c>
      <c r="Z1935" s="8">
        <v>0</v>
      </c>
      <c r="AA1935">
        <v>0</v>
      </c>
      <c r="AB1935" t="s">
        <v>1635</v>
      </c>
      <c r="AC1935" t="s">
        <v>1635</v>
      </c>
      <c r="AD1935" s="1" t="s">
        <v>1635</v>
      </c>
      <c r="AE1935" s="2" t="s">
        <v>1635</v>
      </c>
      <c r="AF1935" s="2" t="s">
        <v>1635</v>
      </c>
      <c r="AG1935" s="2" t="s">
        <v>1635</v>
      </c>
      <c r="AH1935">
        <v>0</v>
      </c>
      <c r="AI1935" s="3" t="s">
        <v>1635</v>
      </c>
      <c r="AJ1935" s="1" t="s">
        <v>1635</v>
      </c>
      <c r="AK1935" s="2" t="s">
        <v>1635</v>
      </c>
      <c r="AL1935" s="4" t="s">
        <v>1658</v>
      </c>
      <c r="AM1935" s="5" t="s">
        <v>1658</v>
      </c>
      <c r="AN1935" s="4">
        <v>0</v>
      </c>
      <c r="AO1935" t="s">
        <v>1635</v>
      </c>
      <c r="AP1935" s="4" t="s">
        <v>1658</v>
      </c>
      <c r="AQ1935" t="s">
        <v>1619</v>
      </c>
      <c r="AR1935" t="s">
        <v>1620</v>
      </c>
      <c r="AT1935" s="16" t="str">
        <f>_xlfn.XLOOKUP(B1935,'SWiSH Demand Forecast Sep-26'!D:D,'SWiSH Demand Forecast Sep-26'!G:G,"Not Exist")</f>
        <v>Not Exist</v>
      </c>
    </row>
    <row r="1936" spans="1:46" x14ac:dyDescent="0.3">
      <c r="A1936">
        <v>105600046</v>
      </c>
      <c r="B1936" t="s">
        <v>3821</v>
      </c>
      <c r="C1936" t="s">
        <v>10</v>
      </c>
      <c r="D1936" t="s">
        <v>1629</v>
      </c>
      <c r="E1936" t="s">
        <v>1655</v>
      </c>
      <c r="F1936" t="s">
        <v>1664</v>
      </c>
      <c r="G1936" t="s">
        <v>1678</v>
      </c>
      <c r="H1936" t="s">
        <v>1679</v>
      </c>
      <c r="I1936" t="s">
        <v>1634</v>
      </c>
      <c r="J1936" t="s">
        <v>10</v>
      </c>
      <c r="K1936">
        <v>0.62</v>
      </c>
      <c r="L1936">
        <v>0</v>
      </c>
      <c r="M1936" s="1">
        <v>15</v>
      </c>
      <c r="N1936">
        <v>0</v>
      </c>
      <c r="O1936">
        <v>0</v>
      </c>
      <c r="P1936">
        <v>0</v>
      </c>
      <c r="Q1936" s="1">
        <v>0</v>
      </c>
      <c r="R1936">
        <v>0</v>
      </c>
      <c r="S1936" s="2">
        <v>0</v>
      </c>
      <c r="T1936" s="2">
        <v>45889</v>
      </c>
      <c r="U1936">
        <v>0</v>
      </c>
      <c r="V1936">
        <v>0</v>
      </c>
      <c r="W1936">
        <v>0</v>
      </c>
      <c r="X1936">
        <v>0</v>
      </c>
      <c r="Y1936">
        <v>0</v>
      </c>
      <c r="Z1936" s="8">
        <v>0</v>
      </c>
      <c r="AA1936">
        <v>0</v>
      </c>
      <c r="AB1936" t="s">
        <v>1635</v>
      </c>
      <c r="AC1936" t="s">
        <v>1635</v>
      </c>
      <c r="AD1936" s="1" t="s">
        <v>1635</v>
      </c>
      <c r="AE1936" s="2" t="s">
        <v>1635</v>
      </c>
      <c r="AF1936" s="2" t="s">
        <v>1635</v>
      </c>
      <c r="AG1936" s="2" t="s">
        <v>1635</v>
      </c>
      <c r="AH1936">
        <v>0</v>
      </c>
      <c r="AI1936" s="3" t="s">
        <v>1635</v>
      </c>
      <c r="AJ1936" s="1" t="s">
        <v>1635</v>
      </c>
      <c r="AK1936" s="2" t="s">
        <v>1635</v>
      </c>
      <c r="AL1936" s="4" t="s">
        <v>1636</v>
      </c>
      <c r="AM1936" s="5" t="s">
        <v>1636</v>
      </c>
      <c r="AN1936" s="4">
        <v>0</v>
      </c>
      <c r="AO1936" t="s">
        <v>1635</v>
      </c>
      <c r="AP1936" s="4" t="s">
        <v>1636</v>
      </c>
      <c r="AQ1936" t="s">
        <v>1619</v>
      </c>
      <c r="AR1936" t="s">
        <v>1620</v>
      </c>
      <c r="AT1936" s="16" t="str">
        <f>_xlfn.XLOOKUP(B1936,'SWiSH Demand Forecast Sep-26'!D:D,'SWiSH Demand Forecast Sep-26'!G:G,"Not Exist")</f>
        <v>Not Exist</v>
      </c>
    </row>
    <row r="1937" spans="1:46" x14ac:dyDescent="0.3">
      <c r="A1937">
        <v>105600061</v>
      </c>
      <c r="B1937" t="s">
        <v>3822</v>
      </c>
      <c r="C1937" t="s">
        <v>10</v>
      </c>
      <c r="D1937" t="s">
        <v>1629</v>
      </c>
      <c r="E1937" t="s">
        <v>1701</v>
      </c>
      <c r="F1937" t="s">
        <v>1664</v>
      </c>
      <c r="G1937" t="s">
        <v>1678</v>
      </c>
      <c r="H1937" t="s">
        <v>1679</v>
      </c>
      <c r="I1937" t="s">
        <v>1634</v>
      </c>
      <c r="J1937" t="e">
        <v>#N/A</v>
      </c>
      <c r="K1937">
        <v>0.72</v>
      </c>
      <c r="L1937">
        <v>0</v>
      </c>
      <c r="M1937" s="1">
        <v>15</v>
      </c>
      <c r="N1937">
        <v>0</v>
      </c>
      <c r="O1937">
        <v>0</v>
      </c>
      <c r="P1937">
        <v>0</v>
      </c>
      <c r="Q1937" s="1">
        <v>0</v>
      </c>
      <c r="R1937">
        <v>0</v>
      </c>
      <c r="S1937" s="2">
        <v>0</v>
      </c>
      <c r="T1937" s="2">
        <v>45892</v>
      </c>
      <c r="U1937">
        <v>0</v>
      </c>
      <c r="V1937">
        <v>0</v>
      </c>
      <c r="W1937">
        <v>0</v>
      </c>
      <c r="X1937">
        <v>0</v>
      </c>
      <c r="Y1937">
        <v>0</v>
      </c>
      <c r="Z1937" s="8">
        <v>0</v>
      </c>
      <c r="AA1937">
        <v>0</v>
      </c>
      <c r="AB1937" t="s">
        <v>1635</v>
      </c>
      <c r="AC1937" t="s">
        <v>1635</v>
      </c>
      <c r="AD1937" s="1" t="s">
        <v>1635</v>
      </c>
      <c r="AE1937" s="2" t="s">
        <v>1635</v>
      </c>
      <c r="AF1937" s="2" t="s">
        <v>1635</v>
      </c>
      <c r="AG1937" s="2" t="s">
        <v>1635</v>
      </c>
      <c r="AH1937">
        <v>0</v>
      </c>
      <c r="AI1937" s="3" t="s">
        <v>1635</v>
      </c>
      <c r="AJ1937" s="1" t="s">
        <v>1635</v>
      </c>
      <c r="AK1937" s="2" t="s">
        <v>1635</v>
      </c>
      <c r="AL1937" s="4" t="s">
        <v>1636</v>
      </c>
      <c r="AM1937" s="5" t="s">
        <v>1636</v>
      </c>
      <c r="AN1937" s="4">
        <v>0</v>
      </c>
      <c r="AO1937" t="s">
        <v>1635</v>
      </c>
      <c r="AP1937" s="4" t="s">
        <v>1636</v>
      </c>
      <c r="AQ1937" t="s">
        <v>1619</v>
      </c>
      <c r="AR1937" t="s">
        <v>1620</v>
      </c>
      <c r="AT1937" s="16" t="str">
        <f>_xlfn.XLOOKUP(B1937,'SWiSH Demand Forecast Sep-26'!D:D,'SWiSH Demand Forecast Sep-26'!G:G,"Not Exist")</f>
        <v>Not Exist</v>
      </c>
    </row>
    <row r="1938" spans="1:46" x14ac:dyDescent="0.3">
      <c r="A1938">
        <v>100400181</v>
      </c>
      <c r="B1938" t="s">
        <v>3823</v>
      </c>
      <c r="C1938" t="s">
        <v>10</v>
      </c>
      <c r="D1938" t="s">
        <v>1629</v>
      </c>
      <c r="E1938" t="s">
        <v>1796</v>
      </c>
      <c r="F1938" t="s">
        <v>1664</v>
      </c>
      <c r="G1938" t="e">
        <v>#N/A</v>
      </c>
      <c r="H1938" t="s">
        <v>1810</v>
      </c>
      <c r="I1938" t="s">
        <v>1634</v>
      </c>
      <c r="J1938" t="s">
        <v>10</v>
      </c>
      <c r="K1938" t="e">
        <v>#N/A</v>
      </c>
      <c r="L1938" t="e">
        <v>#N/A</v>
      </c>
      <c r="M1938" s="1">
        <v>30</v>
      </c>
      <c r="N1938">
        <v>0</v>
      </c>
      <c r="O1938">
        <v>0</v>
      </c>
      <c r="P1938">
        <v>0</v>
      </c>
      <c r="Q1938" s="1">
        <v>0</v>
      </c>
      <c r="R1938">
        <v>5.8770000000000003E-2</v>
      </c>
      <c r="S1938" s="2">
        <v>45773</v>
      </c>
      <c r="T1938" s="2">
        <v>45258</v>
      </c>
      <c r="U1938">
        <v>0</v>
      </c>
      <c r="V1938">
        <v>0</v>
      </c>
      <c r="W1938">
        <v>0</v>
      </c>
      <c r="X1938">
        <v>0</v>
      </c>
      <c r="Y1938">
        <v>0</v>
      </c>
      <c r="Z1938" s="8">
        <v>0</v>
      </c>
      <c r="AA1938">
        <v>0</v>
      </c>
      <c r="AB1938" t="s">
        <v>1635</v>
      </c>
      <c r="AC1938" t="s">
        <v>1635</v>
      </c>
      <c r="AD1938" s="1" t="s">
        <v>1635</v>
      </c>
      <c r="AE1938" s="2" t="s">
        <v>1635</v>
      </c>
      <c r="AF1938" s="2" t="s">
        <v>1635</v>
      </c>
      <c r="AG1938" s="2" t="s">
        <v>1635</v>
      </c>
      <c r="AH1938">
        <v>0</v>
      </c>
      <c r="AI1938" s="3" t="s">
        <v>1635</v>
      </c>
      <c r="AJ1938" s="1" t="s">
        <v>1635</v>
      </c>
      <c r="AK1938" s="2" t="s">
        <v>1635</v>
      </c>
      <c r="AL1938" s="4" t="s">
        <v>1636</v>
      </c>
      <c r="AM1938" s="5" t="s">
        <v>1636</v>
      </c>
      <c r="AN1938" s="4">
        <v>0</v>
      </c>
      <c r="AO1938" t="s">
        <v>1635</v>
      </c>
      <c r="AP1938" s="4" t="s">
        <v>1636</v>
      </c>
      <c r="AQ1938" t="s">
        <v>1619</v>
      </c>
      <c r="AR1938" t="s">
        <v>1620</v>
      </c>
      <c r="AT1938" s="16" t="str">
        <f>_xlfn.XLOOKUP(B1938,'SWiSH Demand Forecast Sep-26'!D:D,'SWiSH Demand Forecast Sep-26'!G:G,"Not Exist")</f>
        <v>Not Exist</v>
      </c>
    </row>
    <row r="1939" spans="1:46" x14ac:dyDescent="0.3">
      <c r="A1939">
        <v>104200030</v>
      </c>
      <c r="B1939" t="s">
        <v>3824</v>
      </c>
      <c r="C1939" t="s">
        <v>10</v>
      </c>
      <c r="D1939" t="s">
        <v>1629</v>
      </c>
      <c r="E1939" t="e">
        <v>#N/A</v>
      </c>
      <c r="F1939" t="s">
        <v>1631</v>
      </c>
      <c r="G1939" t="s">
        <v>1704</v>
      </c>
      <c r="H1939" t="s">
        <v>1633</v>
      </c>
      <c r="I1939" t="s">
        <v>1634</v>
      </c>
      <c r="J1939" t="s">
        <v>3135</v>
      </c>
      <c r="K1939">
        <v>0.5</v>
      </c>
      <c r="L1939">
        <v>0</v>
      </c>
      <c r="M1939" s="1">
        <v>3</v>
      </c>
      <c r="N1939">
        <v>0</v>
      </c>
      <c r="O1939">
        <v>0</v>
      </c>
      <c r="P1939">
        <v>0</v>
      </c>
      <c r="Q1939" s="1">
        <v>0</v>
      </c>
      <c r="R1939">
        <v>13</v>
      </c>
      <c r="S1939" s="2">
        <v>45876</v>
      </c>
      <c r="T1939" s="2">
        <v>46120</v>
      </c>
      <c r="U1939">
        <v>0</v>
      </c>
      <c r="V1939">
        <v>0</v>
      </c>
      <c r="W1939">
        <v>0</v>
      </c>
      <c r="X1939">
        <v>0</v>
      </c>
      <c r="Y1939">
        <v>0</v>
      </c>
      <c r="Z1939" s="8">
        <v>0</v>
      </c>
      <c r="AA1939">
        <v>0</v>
      </c>
      <c r="AB1939" t="s">
        <v>1635</v>
      </c>
      <c r="AC1939" t="s">
        <v>1635</v>
      </c>
      <c r="AD1939" s="1" t="s">
        <v>1635</v>
      </c>
      <c r="AE1939" s="2" t="s">
        <v>1635</v>
      </c>
      <c r="AF1939" s="2" t="s">
        <v>1635</v>
      </c>
      <c r="AG1939" s="2" t="s">
        <v>1635</v>
      </c>
      <c r="AH1939">
        <v>0</v>
      </c>
      <c r="AI1939" s="3" t="s">
        <v>1635</v>
      </c>
      <c r="AJ1939" s="1" t="s">
        <v>1635</v>
      </c>
      <c r="AK1939" s="2" t="s">
        <v>1635</v>
      </c>
      <c r="AL1939" s="4" t="s">
        <v>1636</v>
      </c>
      <c r="AM1939" s="5" t="s">
        <v>1636</v>
      </c>
      <c r="AN1939" s="4">
        <v>0</v>
      </c>
      <c r="AO1939" t="s">
        <v>1635</v>
      </c>
      <c r="AP1939" s="4" t="s">
        <v>1636</v>
      </c>
      <c r="AQ1939" t="s">
        <v>1619</v>
      </c>
      <c r="AR1939" t="s">
        <v>1620</v>
      </c>
      <c r="AT1939" s="16" t="str">
        <f>_xlfn.XLOOKUP(B1939,'SWiSH Demand Forecast Sep-26'!D:D,'SWiSH Demand Forecast Sep-26'!G:G,"Not Exist")</f>
        <v>Not Exist</v>
      </c>
    </row>
    <row r="1940" spans="1:46" x14ac:dyDescent="0.3">
      <c r="A1940">
        <v>105900012</v>
      </c>
      <c r="B1940" t="s">
        <v>3825</v>
      </c>
      <c r="C1940" t="s">
        <v>10</v>
      </c>
      <c r="D1940" t="s">
        <v>1629</v>
      </c>
      <c r="E1940" t="s">
        <v>2483</v>
      </c>
      <c r="F1940" t="s">
        <v>1664</v>
      </c>
      <c r="G1940" t="s">
        <v>1704</v>
      </c>
      <c r="H1940" t="s">
        <v>1729</v>
      </c>
      <c r="I1940" t="s">
        <v>1634</v>
      </c>
      <c r="J1940" t="s">
        <v>10</v>
      </c>
      <c r="K1940">
        <v>3.2116100000000002E-3</v>
      </c>
      <c r="L1940">
        <v>128.46440000000001</v>
      </c>
      <c r="M1940" s="1">
        <v>90</v>
      </c>
      <c r="N1940">
        <v>0</v>
      </c>
      <c r="O1940">
        <v>0</v>
      </c>
      <c r="P1940">
        <v>40000</v>
      </c>
      <c r="Q1940" s="1">
        <v>40000</v>
      </c>
      <c r="R1940">
        <v>3.7844799999999998</v>
      </c>
      <c r="S1940" s="2">
        <v>45003</v>
      </c>
      <c r="T1940" s="2">
        <v>46054</v>
      </c>
      <c r="U1940">
        <v>0</v>
      </c>
      <c r="V1940">
        <v>0</v>
      </c>
      <c r="W1940">
        <v>0</v>
      </c>
      <c r="X1940">
        <v>0</v>
      </c>
      <c r="Y1940">
        <v>0</v>
      </c>
      <c r="Z1940" s="8">
        <v>0</v>
      </c>
      <c r="AA1940">
        <v>0</v>
      </c>
      <c r="AB1940" t="s">
        <v>1635</v>
      </c>
      <c r="AC1940" t="s">
        <v>1635</v>
      </c>
      <c r="AD1940" s="1" t="s">
        <v>1635</v>
      </c>
      <c r="AE1940" s="2" t="s">
        <v>1635</v>
      </c>
      <c r="AF1940" s="2" t="s">
        <v>1635</v>
      </c>
      <c r="AG1940" s="2" t="s">
        <v>1635</v>
      </c>
      <c r="AH1940">
        <v>0</v>
      </c>
      <c r="AI1940" s="3" t="s">
        <v>1635</v>
      </c>
      <c r="AJ1940" s="1" t="s">
        <v>1635</v>
      </c>
      <c r="AK1940" s="2" t="s">
        <v>1635</v>
      </c>
      <c r="AL1940" s="4" t="s">
        <v>1636</v>
      </c>
      <c r="AM1940" s="5" t="s">
        <v>1636</v>
      </c>
      <c r="AN1940" s="4">
        <v>0</v>
      </c>
      <c r="AO1940" t="s">
        <v>1635</v>
      </c>
      <c r="AP1940" s="4" t="s">
        <v>1636</v>
      </c>
      <c r="AQ1940" t="s">
        <v>1619</v>
      </c>
      <c r="AR1940" t="s">
        <v>1620</v>
      </c>
      <c r="AT1940" s="16" t="str">
        <f>_xlfn.XLOOKUP(B1940,'SWiSH Demand Forecast Sep-26'!D:D,'SWiSH Demand Forecast Sep-26'!G:G,"Not Exist")</f>
        <v>Not Exist</v>
      </c>
    </row>
    <row r="1941" spans="1:46" x14ac:dyDescent="0.3">
      <c r="A1941">
        <v>107200186</v>
      </c>
      <c r="B1941" t="s">
        <v>3826</v>
      </c>
      <c r="C1941" t="s">
        <v>10</v>
      </c>
      <c r="D1941" t="s">
        <v>1675</v>
      </c>
      <c r="E1941" t="s">
        <v>1775</v>
      </c>
      <c r="F1941" t="s">
        <v>1656</v>
      </c>
      <c r="G1941" t="s">
        <v>1704</v>
      </c>
      <c r="H1941" t="s">
        <v>1657</v>
      </c>
      <c r="I1941" t="s">
        <v>1634</v>
      </c>
      <c r="J1941" t="s">
        <v>10</v>
      </c>
      <c r="K1941">
        <v>4.75</v>
      </c>
      <c r="L1941">
        <v>0</v>
      </c>
      <c r="M1941" s="1">
        <v>15</v>
      </c>
      <c r="N1941">
        <v>0</v>
      </c>
      <c r="O1941">
        <v>0</v>
      </c>
      <c r="P1941">
        <v>0</v>
      </c>
      <c r="Q1941" s="1">
        <v>0</v>
      </c>
      <c r="R1941">
        <v>4.75</v>
      </c>
      <c r="S1941" s="2">
        <v>45648</v>
      </c>
      <c r="T1941" s="2">
        <v>46025</v>
      </c>
      <c r="U1941">
        <v>0</v>
      </c>
      <c r="V1941">
        <v>0</v>
      </c>
      <c r="W1941">
        <v>0</v>
      </c>
      <c r="X1941">
        <v>0</v>
      </c>
      <c r="Y1941">
        <v>0</v>
      </c>
      <c r="Z1941" s="8">
        <v>0</v>
      </c>
      <c r="AA1941">
        <v>0</v>
      </c>
      <c r="AB1941" t="s">
        <v>1635</v>
      </c>
      <c r="AC1941" t="s">
        <v>1635</v>
      </c>
      <c r="AD1941" s="1" t="s">
        <v>1635</v>
      </c>
      <c r="AE1941" s="2" t="s">
        <v>1635</v>
      </c>
      <c r="AF1941" s="2" t="s">
        <v>1635</v>
      </c>
      <c r="AG1941" s="2" t="s">
        <v>1635</v>
      </c>
      <c r="AH1941">
        <v>0</v>
      </c>
      <c r="AI1941" s="3" t="s">
        <v>1635</v>
      </c>
      <c r="AJ1941" s="1" t="s">
        <v>1635</v>
      </c>
      <c r="AK1941" s="2" t="s">
        <v>1635</v>
      </c>
      <c r="AL1941" s="4" t="s">
        <v>1658</v>
      </c>
      <c r="AM1941" s="5" t="s">
        <v>1658</v>
      </c>
      <c r="AN1941" s="4">
        <v>0</v>
      </c>
      <c r="AO1941" t="s">
        <v>1635</v>
      </c>
      <c r="AP1941" s="4" t="s">
        <v>1658</v>
      </c>
      <c r="AQ1941" t="s">
        <v>1619</v>
      </c>
      <c r="AR1941" t="s">
        <v>1620</v>
      </c>
      <c r="AT1941" s="16" t="str">
        <f>_xlfn.XLOOKUP(B1941,'SWiSH Demand Forecast Sep-26'!D:D,'SWiSH Demand Forecast Sep-26'!G:G,"Not Exist")</f>
        <v>Not Exist</v>
      </c>
    </row>
    <row r="1942" spans="1:46" x14ac:dyDescent="0.3">
      <c r="A1942">
        <v>106800204</v>
      </c>
      <c r="B1942" t="s">
        <v>3827</v>
      </c>
      <c r="C1942" t="s">
        <v>10</v>
      </c>
      <c r="D1942" t="s">
        <v>1629</v>
      </c>
      <c r="E1942" t="s">
        <v>2483</v>
      </c>
      <c r="F1942" t="s">
        <v>1664</v>
      </c>
      <c r="G1942" t="s">
        <v>1704</v>
      </c>
      <c r="H1942" t="s">
        <v>1665</v>
      </c>
      <c r="I1942" t="s">
        <v>1634</v>
      </c>
      <c r="J1942" t="s">
        <v>10</v>
      </c>
      <c r="K1942">
        <v>4.0000000000000001E-3</v>
      </c>
      <c r="L1942">
        <v>0</v>
      </c>
      <c r="M1942" s="1">
        <v>7</v>
      </c>
      <c r="N1942">
        <v>0</v>
      </c>
      <c r="O1942">
        <v>0</v>
      </c>
      <c r="P1942">
        <v>0</v>
      </c>
      <c r="Q1942" s="1">
        <v>0</v>
      </c>
      <c r="R1942">
        <v>4.0000000000000001E-3</v>
      </c>
      <c r="S1942" s="2">
        <v>44080</v>
      </c>
      <c r="T1942" s="2">
        <v>46049</v>
      </c>
      <c r="U1942">
        <v>0</v>
      </c>
      <c r="V1942">
        <v>0</v>
      </c>
      <c r="W1942">
        <v>0</v>
      </c>
      <c r="X1942">
        <v>0</v>
      </c>
      <c r="Y1942">
        <v>0</v>
      </c>
      <c r="Z1942" s="8">
        <v>0</v>
      </c>
      <c r="AA1942">
        <v>0</v>
      </c>
      <c r="AB1942" t="s">
        <v>1635</v>
      </c>
      <c r="AC1942" t="s">
        <v>1635</v>
      </c>
      <c r="AD1942" s="1" t="s">
        <v>1635</v>
      </c>
      <c r="AE1942" s="2" t="s">
        <v>1635</v>
      </c>
      <c r="AF1942" s="2" t="s">
        <v>1635</v>
      </c>
      <c r="AG1942" s="2" t="s">
        <v>1635</v>
      </c>
      <c r="AH1942">
        <v>0</v>
      </c>
      <c r="AI1942" s="3" t="s">
        <v>1635</v>
      </c>
      <c r="AJ1942" s="1" t="s">
        <v>1635</v>
      </c>
      <c r="AK1942" s="2" t="s">
        <v>1635</v>
      </c>
      <c r="AL1942" s="4" t="s">
        <v>1636</v>
      </c>
      <c r="AM1942" s="5" t="s">
        <v>1636</v>
      </c>
      <c r="AN1942" s="4">
        <v>0</v>
      </c>
      <c r="AO1942" t="s">
        <v>1635</v>
      </c>
      <c r="AP1942" s="4" t="s">
        <v>1636</v>
      </c>
      <c r="AQ1942" t="s">
        <v>1619</v>
      </c>
      <c r="AR1942" t="s">
        <v>1620</v>
      </c>
      <c r="AT1942" s="16" t="str">
        <f>_xlfn.XLOOKUP(B1942,'SWiSH Demand Forecast Sep-26'!D:D,'SWiSH Demand Forecast Sep-26'!G:G,"Not Exist")</f>
        <v>Not Exist</v>
      </c>
    </row>
    <row r="1943" spans="1:46" x14ac:dyDescent="0.3">
      <c r="A1943">
        <v>107200074</v>
      </c>
      <c r="B1943" t="s">
        <v>3828</v>
      </c>
      <c r="C1943" t="s">
        <v>10</v>
      </c>
      <c r="D1943" t="s">
        <v>1675</v>
      </c>
      <c r="E1943" t="s">
        <v>1775</v>
      </c>
      <c r="F1943" t="s">
        <v>1656</v>
      </c>
      <c r="G1943" t="s">
        <v>1704</v>
      </c>
      <c r="H1943" t="s">
        <v>1657</v>
      </c>
      <c r="I1943" t="s">
        <v>1634</v>
      </c>
      <c r="J1943" t="s">
        <v>10</v>
      </c>
      <c r="K1943">
        <v>3.5</v>
      </c>
      <c r="L1943">
        <v>0</v>
      </c>
      <c r="M1943" s="1">
        <v>15</v>
      </c>
      <c r="N1943">
        <v>0</v>
      </c>
      <c r="O1943">
        <v>0</v>
      </c>
      <c r="P1943">
        <v>0</v>
      </c>
      <c r="Q1943" s="1">
        <v>0</v>
      </c>
      <c r="R1943">
        <v>3.5</v>
      </c>
      <c r="S1943" s="2">
        <v>45648</v>
      </c>
      <c r="T1943" s="2">
        <v>46015</v>
      </c>
      <c r="U1943">
        <v>0</v>
      </c>
      <c r="V1943">
        <v>0</v>
      </c>
      <c r="W1943">
        <v>0</v>
      </c>
      <c r="X1943">
        <v>0</v>
      </c>
      <c r="Y1943">
        <v>0</v>
      </c>
      <c r="Z1943" s="8">
        <v>0</v>
      </c>
      <c r="AA1943">
        <v>0</v>
      </c>
      <c r="AB1943" t="s">
        <v>1635</v>
      </c>
      <c r="AC1943" t="s">
        <v>1635</v>
      </c>
      <c r="AD1943" s="1" t="s">
        <v>1635</v>
      </c>
      <c r="AE1943" s="2" t="s">
        <v>1635</v>
      </c>
      <c r="AF1943" s="2" t="s">
        <v>1635</v>
      </c>
      <c r="AG1943" s="2" t="s">
        <v>1635</v>
      </c>
      <c r="AH1943">
        <v>0</v>
      </c>
      <c r="AI1943" s="3" t="s">
        <v>1635</v>
      </c>
      <c r="AJ1943" s="1" t="s">
        <v>1635</v>
      </c>
      <c r="AK1943" s="2" t="s">
        <v>1635</v>
      </c>
      <c r="AL1943" s="4" t="s">
        <v>1658</v>
      </c>
      <c r="AM1943" s="5" t="s">
        <v>1658</v>
      </c>
      <c r="AN1943" s="4">
        <v>0</v>
      </c>
      <c r="AO1943" t="s">
        <v>1635</v>
      </c>
      <c r="AP1943" s="4" t="s">
        <v>1658</v>
      </c>
      <c r="AQ1943" t="s">
        <v>1619</v>
      </c>
      <c r="AR1943" t="s">
        <v>1620</v>
      </c>
      <c r="AT1943" s="16" t="str">
        <f>_xlfn.XLOOKUP(B1943,'SWiSH Demand Forecast Sep-26'!D:D,'SWiSH Demand Forecast Sep-26'!G:G,"Not Exist")</f>
        <v>Not Exist</v>
      </c>
    </row>
    <row r="1944" spans="1:46" x14ac:dyDescent="0.3">
      <c r="A1944">
        <v>107200060</v>
      </c>
      <c r="B1944" t="s">
        <v>3829</v>
      </c>
      <c r="C1944" t="s">
        <v>10</v>
      </c>
      <c r="D1944" t="s">
        <v>1675</v>
      </c>
      <c r="E1944" t="s">
        <v>1638</v>
      </c>
      <c r="F1944" t="s">
        <v>1656</v>
      </c>
      <c r="G1944" t="s">
        <v>1704</v>
      </c>
      <c r="H1944" t="s">
        <v>1657</v>
      </c>
      <c r="I1944" t="s">
        <v>1634</v>
      </c>
      <c r="J1944" t="s">
        <v>10</v>
      </c>
      <c r="K1944">
        <v>8.1196153800000008</v>
      </c>
      <c r="L1944">
        <v>0</v>
      </c>
      <c r="M1944" s="1">
        <v>15</v>
      </c>
      <c r="N1944">
        <v>0</v>
      </c>
      <c r="O1944">
        <v>0</v>
      </c>
      <c r="P1944">
        <v>0</v>
      </c>
      <c r="Q1944" s="1">
        <v>0</v>
      </c>
      <c r="R1944">
        <v>8</v>
      </c>
      <c r="S1944" s="2">
        <v>44293</v>
      </c>
      <c r="T1944" s="2">
        <v>45258</v>
      </c>
      <c r="U1944">
        <v>0</v>
      </c>
      <c r="V1944">
        <v>0</v>
      </c>
      <c r="W1944">
        <v>0</v>
      </c>
      <c r="X1944">
        <v>0</v>
      </c>
      <c r="Y1944">
        <v>0</v>
      </c>
      <c r="Z1944" s="8">
        <v>0</v>
      </c>
      <c r="AA1944">
        <v>0</v>
      </c>
      <c r="AB1944" t="s">
        <v>1635</v>
      </c>
      <c r="AC1944" t="s">
        <v>1635</v>
      </c>
      <c r="AD1944" s="1" t="s">
        <v>1635</v>
      </c>
      <c r="AE1944" s="2" t="s">
        <v>1635</v>
      </c>
      <c r="AF1944" s="2" t="s">
        <v>1635</v>
      </c>
      <c r="AG1944" s="2" t="s">
        <v>1635</v>
      </c>
      <c r="AH1944">
        <v>0</v>
      </c>
      <c r="AI1944" s="3" t="s">
        <v>1635</v>
      </c>
      <c r="AJ1944" s="1" t="s">
        <v>1635</v>
      </c>
      <c r="AK1944" s="2" t="s">
        <v>1635</v>
      </c>
      <c r="AL1944" s="4" t="s">
        <v>1658</v>
      </c>
      <c r="AM1944" s="5" t="s">
        <v>1658</v>
      </c>
      <c r="AN1944" s="4">
        <v>0</v>
      </c>
      <c r="AO1944" t="s">
        <v>1635</v>
      </c>
      <c r="AP1944" s="4" t="s">
        <v>1658</v>
      </c>
      <c r="AQ1944" t="s">
        <v>1619</v>
      </c>
      <c r="AR1944" t="s">
        <v>1620</v>
      </c>
      <c r="AT1944" s="16" t="str">
        <f>_xlfn.XLOOKUP(B1944,'SWiSH Demand Forecast Sep-26'!D:D,'SWiSH Demand Forecast Sep-26'!G:G,"Not Exist")</f>
        <v>Not Exist</v>
      </c>
    </row>
    <row r="1945" spans="1:46" x14ac:dyDescent="0.3">
      <c r="A1945">
        <v>101400053</v>
      </c>
      <c r="B1945" t="s">
        <v>3830</v>
      </c>
      <c r="C1945" t="s">
        <v>10</v>
      </c>
      <c r="D1945" t="s">
        <v>1675</v>
      </c>
      <c r="E1945" t="s">
        <v>3232</v>
      </c>
      <c r="F1945" t="s">
        <v>1644</v>
      </c>
      <c r="G1945" t="s">
        <v>1690</v>
      </c>
      <c r="H1945" t="s">
        <v>1693</v>
      </c>
      <c r="I1945" t="s">
        <v>1634</v>
      </c>
      <c r="J1945" t="s">
        <v>10</v>
      </c>
      <c r="K1945">
        <v>2.76190786</v>
      </c>
      <c r="L1945">
        <v>0</v>
      </c>
      <c r="M1945" s="1">
        <v>3</v>
      </c>
      <c r="N1945">
        <v>0</v>
      </c>
      <c r="O1945">
        <v>0</v>
      </c>
      <c r="P1945">
        <v>0</v>
      </c>
      <c r="Q1945" s="1">
        <v>0</v>
      </c>
      <c r="R1945">
        <v>2.6666699999999999</v>
      </c>
      <c r="S1945" s="2">
        <v>44108</v>
      </c>
      <c r="T1945" s="2">
        <v>46054</v>
      </c>
      <c r="U1945">
        <v>0</v>
      </c>
      <c r="V1945">
        <v>0</v>
      </c>
      <c r="W1945">
        <v>0</v>
      </c>
      <c r="X1945">
        <v>0</v>
      </c>
      <c r="Y1945">
        <v>0</v>
      </c>
      <c r="Z1945" s="8">
        <v>0</v>
      </c>
      <c r="AA1945">
        <v>0</v>
      </c>
      <c r="AB1945" t="s">
        <v>1635</v>
      </c>
      <c r="AC1945" t="s">
        <v>1635</v>
      </c>
      <c r="AD1945" s="1" t="s">
        <v>1635</v>
      </c>
      <c r="AE1945" s="2" t="s">
        <v>1635</v>
      </c>
      <c r="AF1945" s="2" t="s">
        <v>1635</v>
      </c>
      <c r="AG1945" s="2" t="s">
        <v>1635</v>
      </c>
      <c r="AH1945">
        <v>0</v>
      </c>
      <c r="AI1945" s="3" t="s">
        <v>1635</v>
      </c>
      <c r="AJ1945" s="1" t="s">
        <v>1635</v>
      </c>
      <c r="AK1945" s="2" t="s">
        <v>1635</v>
      </c>
      <c r="AL1945" s="4" t="s">
        <v>1658</v>
      </c>
      <c r="AM1945" s="5" t="s">
        <v>1658</v>
      </c>
      <c r="AN1945" s="4">
        <v>0</v>
      </c>
      <c r="AO1945" t="s">
        <v>1635</v>
      </c>
      <c r="AP1945" s="4" t="s">
        <v>1658</v>
      </c>
      <c r="AQ1945" t="s">
        <v>1619</v>
      </c>
      <c r="AR1945" t="s">
        <v>1620</v>
      </c>
      <c r="AS1945" t="s">
        <v>1666</v>
      </c>
      <c r="AT1945" s="16" t="str">
        <f>_xlfn.XLOOKUP(B1945,'SWiSH Demand Forecast Sep-26'!D:D,'SWiSH Demand Forecast Sep-26'!G:G,"Not Exist")</f>
        <v>Not Exist</v>
      </c>
    </row>
    <row r="1946" spans="1:46" x14ac:dyDescent="0.3">
      <c r="A1946">
        <v>107200058</v>
      </c>
      <c r="B1946" t="s">
        <v>3831</v>
      </c>
      <c r="C1946" t="s">
        <v>10</v>
      </c>
      <c r="D1946" t="s">
        <v>1675</v>
      </c>
      <c r="E1946" t="s">
        <v>1638</v>
      </c>
      <c r="F1946" t="s">
        <v>1656</v>
      </c>
      <c r="G1946" t="s">
        <v>1704</v>
      </c>
      <c r="H1946" t="s">
        <v>1657</v>
      </c>
      <c r="I1946" t="s">
        <v>1634</v>
      </c>
      <c r="J1946" t="s">
        <v>10</v>
      </c>
      <c r="K1946">
        <v>9.4570000000000007</v>
      </c>
      <c r="L1946">
        <v>0</v>
      </c>
      <c r="M1946" s="1">
        <v>15</v>
      </c>
      <c r="N1946">
        <v>0</v>
      </c>
      <c r="O1946">
        <v>0</v>
      </c>
      <c r="P1946">
        <v>0</v>
      </c>
      <c r="Q1946" s="1">
        <v>0</v>
      </c>
      <c r="R1946">
        <v>9.4570000000000007</v>
      </c>
      <c r="S1946" s="2">
        <v>44194</v>
      </c>
      <c r="T1946" s="2">
        <v>45258</v>
      </c>
      <c r="U1946">
        <v>0</v>
      </c>
      <c r="V1946">
        <v>0</v>
      </c>
      <c r="W1946">
        <v>0</v>
      </c>
      <c r="X1946">
        <v>0</v>
      </c>
      <c r="Y1946">
        <v>0</v>
      </c>
      <c r="Z1946" s="8">
        <v>0</v>
      </c>
      <c r="AA1946">
        <v>0</v>
      </c>
      <c r="AB1946" t="s">
        <v>1635</v>
      </c>
      <c r="AC1946" t="s">
        <v>1635</v>
      </c>
      <c r="AD1946" s="1" t="s">
        <v>1635</v>
      </c>
      <c r="AE1946" s="2" t="s">
        <v>1635</v>
      </c>
      <c r="AF1946" s="2" t="s">
        <v>1635</v>
      </c>
      <c r="AG1946" s="2" t="s">
        <v>1635</v>
      </c>
      <c r="AH1946">
        <v>0</v>
      </c>
      <c r="AI1946" s="3" t="s">
        <v>1635</v>
      </c>
      <c r="AJ1946" s="1" t="s">
        <v>1635</v>
      </c>
      <c r="AK1946" s="2" t="s">
        <v>1635</v>
      </c>
      <c r="AL1946" s="4" t="s">
        <v>1658</v>
      </c>
      <c r="AM1946" s="5" t="s">
        <v>1658</v>
      </c>
      <c r="AN1946" s="4">
        <v>0</v>
      </c>
      <c r="AO1946" t="s">
        <v>1635</v>
      </c>
      <c r="AP1946" s="4" t="s">
        <v>1658</v>
      </c>
      <c r="AQ1946" t="s">
        <v>1619</v>
      </c>
      <c r="AR1946" t="s">
        <v>1620</v>
      </c>
      <c r="AT1946" s="16" t="str">
        <f>_xlfn.XLOOKUP(B1946,'SWiSH Demand Forecast Sep-26'!D:D,'SWiSH Demand Forecast Sep-26'!G:G,"Not Exist")</f>
        <v>Not Exist</v>
      </c>
    </row>
    <row r="1947" spans="1:46" x14ac:dyDescent="0.3">
      <c r="A1947">
        <v>106600082</v>
      </c>
      <c r="B1947" t="s">
        <v>3832</v>
      </c>
      <c r="C1947" t="s">
        <v>10</v>
      </c>
      <c r="D1947" t="s">
        <v>1629</v>
      </c>
      <c r="E1947" t="s">
        <v>2483</v>
      </c>
      <c r="F1947" t="s">
        <v>1664</v>
      </c>
      <c r="G1947" t="s">
        <v>1704</v>
      </c>
      <c r="H1947" t="s">
        <v>1723</v>
      </c>
      <c r="I1947" t="s">
        <v>1634</v>
      </c>
      <c r="J1947" t="s">
        <v>10</v>
      </c>
      <c r="K1947">
        <v>2.5000000000000001E-3</v>
      </c>
      <c r="L1947">
        <v>0</v>
      </c>
      <c r="M1947" s="1">
        <v>15</v>
      </c>
      <c r="N1947">
        <v>0</v>
      </c>
      <c r="O1947">
        <v>0</v>
      </c>
      <c r="P1947">
        <v>0</v>
      </c>
      <c r="Q1947" s="1">
        <v>0</v>
      </c>
      <c r="R1947">
        <v>5.0000000000000001E-3</v>
      </c>
      <c r="S1947" s="2">
        <v>45466</v>
      </c>
      <c r="T1947" s="2">
        <v>45959</v>
      </c>
      <c r="U1947">
        <v>0</v>
      </c>
      <c r="V1947">
        <v>0</v>
      </c>
      <c r="W1947">
        <v>0</v>
      </c>
      <c r="X1947">
        <v>0</v>
      </c>
      <c r="Y1947">
        <v>0</v>
      </c>
      <c r="Z1947" s="8">
        <v>0</v>
      </c>
      <c r="AA1947">
        <v>0</v>
      </c>
      <c r="AB1947" t="s">
        <v>1635</v>
      </c>
      <c r="AC1947" t="s">
        <v>1635</v>
      </c>
      <c r="AD1947" s="1" t="s">
        <v>1635</v>
      </c>
      <c r="AE1947" s="2" t="s">
        <v>1635</v>
      </c>
      <c r="AF1947" s="2" t="s">
        <v>1635</v>
      </c>
      <c r="AG1947" s="2" t="s">
        <v>1635</v>
      </c>
      <c r="AH1947">
        <v>0</v>
      </c>
      <c r="AI1947" s="3" t="s">
        <v>1635</v>
      </c>
      <c r="AJ1947" s="1" t="s">
        <v>1635</v>
      </c>
      <c r="AK1947" s="2" t="s">
        <v>1635</v>
      </c>
      <c r="AL1947" s="4" t="s">
        <v>1636</v>
      </c>
      <c r="AM1947" s="5" t="s">
        <v>1636</v>
      </c>
      <c r="AN1947" s="4">
        <v>0</v>
      </c>
      <c r="AO1947" t="s">
        <v>1635</v>
      </c>
      <c r="AP1947" s="4" t="s">
        <v>1636</v>
      </c>
      <c r="AQ1947" t="s">
        <v>1619</v>
      </c>
      <c r="AR1947" t="s">
        <v>1620</v>
      </c>
      <c r="AT1947" s="16" t="str">
        <f>_xlfn.XLOOKUP(B1947,'SWiSH Demand Forecast Sep-26'!D:D,'SWiSH Demand Forecast Sep-26'!G:G,"Not Exist")</f>
        <v>Not Exist</v>
      </c>
    </row>
    <row r="1948" spans="1:46" x14ac:dyDescent="0.3">
      <c r="A1948">
        <v>106800216</v>
      </c>
      <c r="B1948" t="s">
        <v>3833</v>
      </c>
      <c r="C1948" t="s">
        <v>10</v>
      </c>
      <c r="D1948" t="s">
        <v>1955</v>
      </c>
      <c r="E1948" t="s">
        <v>1655</v>
      </c>
      <c r="F1948" t="s">
        <v>1664</v>
      </c>
      <c r="G1948" t="s">
        <v>1704</v>
      </c>
      <c r="H1948" t="s">
        <v>1665</v>
      </c>
      <c r="I1948" t="s">
        <v>1634</v>
      </c>
      <c r="J1948" t="s">
        <v>10</v>
      </c>
      <c r="K1948">
        <v>1.7000000000000001E-2</v>
      </c>
      <c r="L1948">
        <v>0</v>
      </c>
      <c r="M1948" s="1">
        <v>7</v>
      </c>
      <c r="N1948">
        <v>0</v>
      </c>
      <c r="O1948">
        <v>0</v>
      </c>
      <c r="P1948">
        <v>0</v>
      </c>
      <c r="Q1948" s="1">
        <v>0</v>
      </c>
      <c r="R1948">
        <v>0</v>
      </c>
      <c r="S1948" s="2">
        <v>45873</v>
      </c>
      <c r="T1948" s="2">
        <v>46054</v>
      </c>
      <c r="U1948">
        <v>0</v>
      </c>
      <c r="V1948">
        <v>0</v>
      </c>
      <c r="W1948">
        <v>0</v>
      </c>
      <c r="X1948">
        <v>0</v>
      </c>
      <c r="Y1948">
        <v>0</v>
      </c>
      <c r="Z1948" s="8">
        <v>0</v>
      </c>
      <c r="AA1948">
        <v>0</v>
      </c>
      <c r="AB1948" t="s">
        <v>1635</v>
      </c>
      <c r="AC1948" t="s">
        <v>1635</v>
      </c>
      <c r="AD1948" s="1" t="s">
        <v>1635</v>
      </c>
      <c r="AE1948" s="2" t="s">
        <v>1635</v>
      </c>
      <c r="AF1948" s="2" t="s">
        <v>1635</v>
      </c>
      <c r="AG1948" s="2" t="s">
        <v>1635</v>
      </c>
      <c r="AH1948">
        <v>0</v>
      </c>
      <c r="AI1948" s="3" t="s">
        <v>1635</v>
      </c>
      <c r="AJ1948" s="1" t="s">
        <v>1635</v>
      </c>
      <c r="AK1948" s="2" t="s">
        <v>1635</v>
      </c>
      <c r="AL1948" s="4" t="s">
        <v>1658</v>
      </c>
      <c r="AM1948" s="5" t="s">
        <v>1658</v>
      </c>
      <c r="AN1948" s="4">
        <v>0</v>
      </c>
      <c r="AO1948" t="s">
        <v>1635</v>
      </c>
      <c r="AP1948" s="4" t="s">
        <v>1658</v>
      </c>
      <c r="AQ1948" t="s">
        <v>1619</v>
      </c>
      <c r="AR1948" t="s">
        <v>1620</v>
      </c>
      <c r="AT1948" s="16" t="str">
        <f>_xlfn.XLOOKUP(B1948,'SWiSH Demand Forecast Sep-26'!D:D,'SWiSH Demand Forecast Sep-26'!G:G,"Not Exist")</f>
        <v>Not Exist</v>
      </c>
    </row>
    <row r="1949" spans="1:46" x14ac:dyDescent="0.3">
      <c r="A1949">
        <v>105600050</v>
      </c>
      <c r="B1949" t="s">
        <v>3834</v>
      </c>
      <c r="C1949" t="s">
        <v>136</v>
      </c>
      <c r="D1949" t="s">
        <v>1675</v>
      </c>
      <c r="E1949" t="e">
        <v>#N/A</v>
      </c>
      <c r="F1949" t="s">
        <v>1664</v>
      </c>
      <c r="G1949" t="s">
        <v>1704</v>
      </c>
      <c r="H1949" t="s">
        <v>1679</v>
      </c>
      <c r="I1949" t="s">
        <v>1634</v>
      </c>
      <c r="J1949" t="s">
        <v>136</v>
      </c>
      <c r="K1949">
        <v>0.75</v>
      </c>
      <c r="L1949">
        <v>0</v>
      </c>
      <c r="M1949" s="1">
        <v>30</v>
      </c>
      <c r="N1949">
        <v>0</v>
      </c>
      <c r="O1949">
        <v>0</v>
      </c>
      <c r="P1949">
        <v>0</v>
      </c>
      <c r="Q1949" s="1">
        <v>0</v>
      </c>
      <c r="R1949">
        <v>0.75</v>
      </c>
      <c r="S1949" s="2">
        <v>45628</v>
      </c>
      <c r="T1949" s="2">
        <v>45777</v>
      </c>
      <c r="U1949">
        <v>0</v>
      </c>
      <c r="V1949">
        <v>0</v>
      </c>
      <c r="W1949">
        <v>0</v>
      </c>
      <c r="X1949">
        <v>0</v>
      </c>
      <c r="Y1949">
        <v>0</v>
      </c>
      <c r="Z1949" s="8">
        <v>0</v>
      </c>
      <c r="AA1949">
        <v>0</v>
      </c>
      <c r="AB1949" t="s">
        <v>1635</v>
      </c>
      <c r="AC1949" t="s">
        <v>1635</v>
      </c>
      <c r="AD1949" s="1" t="s">
        <v>1635</v>
      </c>
      <c r="AE1949" s="2" t="s">
        <v>1635</v>
      </c>
      <c r="AF1949" s="2" t="s">
        <v>1635</v>
      </c>
      <c r="AG1949" s="2" t="s">
        <v>1635</v>
      </c>
      <c r="AH1949">
        <v>0</v>
      </c>
      <c r="AI1949" s="3" t="s">
        <v>1635</v>
      </c>
      <c r="AJ1949" s="1" t="s">
        <v>1635</v>
      </c>
      <c r="AK1949" s="2" t="s">
        <v>1635</v>
      </c>
      <c r="AL1949" s="4" t="s">
        <v>1658</v>
      </c>
      <c r="AM1949" s="5" t="s">
        <v>1658</v>
      </c>
      <c r="AN1949" s="4">
        <v>0</v>
      </c>
      <c r="AO1949" t="s">
        <v>1635</v>
      </c>
      <c r="AP1949" s="4" t="s">
        <v>1658</v>
      </c>
      <c r="AQ1949" t="s">
        <v>1619</v>
      </c>
      <c r="AR1949" t="s">
        <v>1620</v>
      </c>
      <c r="AT1949" s="16" t="str">
        <f>_xlfn.XLOOKUP(B1949,'SWiSH Demand Forecast Sep-26'!D:D,'SWiSH Demand Forecast Sep-26'!G:G,"Not Exist")</f>
        <v>Not Exist</v>
      </c>
    </row>
    <row r="1950" spans="1:46" x14ac:dyDescent="0.3">
      <c r="A1950">
        <v>107200011</v>
      </c>
      <c r="B1950" t="s">
        <v>3835</v>
      </c>
      <c r="C1950" t="s">
        <v>10</v>
      </c>
      <c r="D1950" t="s">
        <v>1675</v>
      </c>
      <c r="E1950" t="s">
        <v>3232</v>
      </c>
      <c r="F1950" t="s">
        <v>1656</v>
      </c>
      <c r="G1950" t="s">
        <v>1632</v>
      </c>
      <c r="H1950" t="s">
        <v>1657</v>
      </c>
      <c r="I1950" t="s">
        <v>1634</v>
      </c>
      <c r="J1950" t="s">
        <v>10</v>
      </c>
      <c r="K1950">
        <v>1</v>
      </c>
      <c r="L1950">
        <v>0</v>
      </c>
      <c r="M1950" s="1">
        <v>7</v>
      </c>
      <c r="N1950">
        <v>0</v>
      </c>
      <c r="O1950">
        <v>0</v>
      </c>
      <c r="P1950">
        <v>0</v>
      </c>
      <c r="Q1950" s="1">
        <v>0</v>
      </c>
      <c r="R1950">
        <v>1</v>
      </c>
      <c r="S1950" s="2">
        <v>45777</v>
      </c>
      <c r="T1950" s="2">
        <v>46054</v>
      </c>
      <c r="U1950">
        <v>0</v>
      </c>
      <c r="V1950">
        <v>0</v>
      </c>
      <c r="W1950">
        <v>0</v>
      </c>
      <c r="X1950">
        <v>0</v>
      </c>
      <c r="Y1950">
        <v>0</v>
      </c>
      <c r="Z1950" s="8">
        <v>0</v>
      </c>
      <c r="AA1950">
        <v>0</v>
      </c>
      <c r="AB1950" t="s">
        <v>1635</v>
      </c>
      <c r="AC1950" t="s">
        <v>1635</v>
      </c>
      <c r="AD1950" s="1" t="s">
        <v>1635</v>
      </c>
      <c r="AE1950" s="2" t="s">
        <v>1635</v>
      </c>
      <c r="AF1950" s="2" t="s">
        <v>1635</v>
      </c>
      <c r="AG1950" s="2" t="s">
        <v>1635</v>
      </c>
      <c r="AH1950">
        <v>0</v>
      </c>
      <c r="AI1950" s="3" t="s">
        <v>1635</v>
      </c>
      <c r="AJ1950" s="1" t="s">
        <v>1635</v>
      </c>
      <c r="AK1950" s="2" t="s">
        <v>1635</v>
      </c>
      <c r="AL1950" s="4" t="s">
        <v>1658</v>
      </c>
      <c r="AM1950" s="5" t="s">
        <v>1658</v>
      </c>
      <c r="AN1950" s="4">
        <v>0</v>
      </c>
      <c r="AO1950" t="s">
        <v>1635</v>
      </c>
      <c r="AP1950" s="4" t="s">
        <v>1658</v>
      </c>
      <c r="AQ1950" t="s">
        <v>1619</v>
      </c>
      <c r="AR1950" t="s">
        <v>1620</v>
      </c>
      <c r="AS1950" t="s">
        <v>1666</v>
      </c>
      <c r="AT1950" s="16" t="str">
        <f>_xlfn.XLOOKUP(B1950,'SWiSH Demand Forecast Sep-26'!D:D,'SWiSH Demand Forecast Sep-26'!G:G,"Not Exist")</f>
        <v>Not Exist</v>
      </c>
    </row>
    <row r="1951" spans="1:46" x14ac:dyDescent="0.3">
      <c r="A1951">
        <v>106700007</v>
      </c>
      <c r="B1951" t="s">
        <v>3836</v>
      </c>
      <c r="C1951" t="s">
        <v>10</v>
      </c>
      <c r="D1951" t="s">
        <v>1675</v>
      </c>
      <c r="E1951" t="s">
        <v>3232</v>
      </c>
      <c r="F1951" t="s">
        <v>1650</v>
      </c>
      <c r="G1951" t="s">
        <v>1632</v>
      </c>
      <c r="H1951" t="s">
        <v>1651</v>
      </c>
      <c r="I1951" t="s">
        <v>1634</v>
      </c>
      <c r="J1951" t="s">
        <v>10</v>
      </c>
      <c r="K1951">
        <v>8.3333329999999997E-2</v>
      </c>
      <c r="L1951">
        <v>0</v>
      </c>
      <c r="M1951" s="1">
        <v>3</v>
      </c>
      <c r="N1951">
        <v>0</v>
      </c>
      <c r="O1951">
        <v>0</v>
      </c>
      <c r="P1951">
        <v>0</v>
      </c>
      <c r="Q1951" s="1">
        <v>0</v>
      </c>
      <c r="R1951">
        <v>1</v>
      </c>
      <c r="S1951" s="2">
        <v>46217</v>
      </c>
      <c r="T1951" s="2">
        <v>46054</v>
      </c>
      <c r="U1951">
        <v>0</v>
      </c>
      <c r="V1951">
        <v>0</v>
      </c>
      <c r="W1951">
        <v>0</v>
      </c>
      <c r="X1951">
        <v>0</v>
      </c>
      <c r="Y1951">
        <v>0</v>
      </c>
      <c r="Z1951" s="8">
        <v>0</v>
      </c>
      <c r="AA1951">
        <v>0</v>
      </c>
      <c r="AB1951" t="s">
        <v>1635</v>
      </c>
      <c r="AC1951" t="s">
        <v>1635</v>
      </c>
      <c r="AD1951" s="1" t="s">
        <v>1635</v>
      </c>
      <c r="AE1951" s="2" t="s">
        <v>1635</v>
      </c>
      <c r="AF1951" s="2" t="s">
        <v>1635</v>
      </c>
      <c r="AG1951" s="2" t="s">
        <v>1635</v>
      </c>
      <c r="AH1951">
        <v>0</v>
      </c>
      <c r="AI1951" s="3" t="s">
        <v>1635</v>
      </c>
      <c r="AJ1951" s="1" t="s">
        <v>1635</v>
      </c>
      <c r="AK1951" s="2" t="s">
        <v>1635</v>
      </c>
      <c r="AL1951" s="4" t="s">
        <v>1658</v>
      </c>
      <c r="AM1951" s="5" t="s">
        <v>1658</v>
      </c>
      <c r="AN1951" s="4">
        <v>0</v>
      </c>
      <c r="AO1951" t="s">
        <v>1635</v>
      </c>
      <c r="AP1951" s="4" t="s">
        <v>1658</v>
      </c>
      <c r="AQ1951" t="s">
        <v>1619</v>
      </c>
      <c r="AR1951" t="s">
        <v>1620</v>
      </c>
      <c r="AS1951" t="s">
        <v>1666</v>
      </c>
      <c r="AT1951" s="16" t="str">
        <f>_xlfn.XLOOKUP(B1951,'SWiSH Demand Forecast Sep-26'!D:D,'SWiSH Demand Forecast Sep-26'!G:G,"Not Exist")</f>
        <v>Not Exist</v>
      </c>
    </row>
    <row r="1952" spans="1:46" x14ac:dyDescent="0.3">
      <c r="A1952">
        <v>104600176</v>
      </c>
      <c r="B1952" t="s">
        <v>3837</v>
      </c>
      <c r="C1952" t="s">
        <v>10</v>
      </c>
      <c r="D1952" t="s">
        <v>1675</v>
      </c>
      <c r="E1952" t="s">
        <v>1945</v>
      </c>
      <c r="F1952" t="s">
        <v>1656</v>
      </c>
      <c r="G1952" t="s">
        <v>1704</v>
      </c>
      <c r="H1952" t="s">
        <v>1945</v>
      </c>
      <c r="I1952" t="s">
        <v>1634</v>
      </c>
      <c r="J1952" t="e">
        <v>#N/A</v>
      </c>
      <c r="K1952">
        <v>4.8451937300000001</v>
      </c>
      <c r="L1952">
        <v>67.832712220000005</v>
      </c>
      <c r="M1952" s="1">
        <v>7</v>
      </c>
      <c r="N1952">
        <v>0</v>
      </c>
      <c r="O1952">
        <v>0</v>
      </c>
      <c r="P1952">
        <v>14</v>
      </c>
      <c r="Q1952" s="1">
        <v>14</v>
      </c>
      <c r="R1952">
        <v>0</v>
      </c>
      <c r="S1952" s="2">
        <v>0</v>
      </c>
      <c r="T1952" s="2">
        <v>45968</v>
      </c>
      <c r="U1952">
        <v>0</v>
      </c>
      <c r="V1952">
        <v>0</v>
      </c>
      <c r="W1952">
        <v>0</v>
      </c>
      <c r="X1952">
        <v>0</v>
      </c>
      <c r="Y1952">
        <v>0</v>
      </c>
      <c r="Z1952" s="8">
        <v>0</v>
      </c>
      <c r="AA1952">
        <v>0</v>
      </c>
      <c r="AB1952" t="s">
        <v>1635</v>
      </c>
      <c r="AC1952" t="s">
        <v>1635</v>
      </c>
      <c r="AD1952" s="1" t="s">
        <v>1635</v>
      </c>
      <c r="AE1952" s="2" t="s">
        <v>1635</v>
      </c>
      <c r="AF1952" s="2" t="s">
        <v>1635</v>
      </c>
      <c r="AG1952" s="2" t="s">
        <v>1635</v>
      </c>
      <c r="AH1952">
        <v>0</v>
      </c>
      <c r="AI1952" s="3" t="s">
        <v>1635</v>
      </c>
      <c r="AJ1952" s="1" t="s">
        <v>1635</v>
      </c>
      <c r="AK1952" s="2" t="s">
        <v>1635</v>
      </c>
      <c r="AL1952" s="4" t="s">
        <v>1658</v>
      </c>
      <c r="AM1952" s="5" t="s">
        <v>1658</v>
      </c>
      <c r="AN1952" s="4">
        <v>0</v>
      </c>
      <c r="AO1952" t="s">
        <v>1635</v>
      </c>
      <c r="AP1952" s="4" t="s">
        <v>1658</v>
      </c>
      <c r="AQ1952" t="s">
        <v>1619</v>
      </c>
      <c r="AR1952" t="s">
        <v>1620</v>
      </c>
      <c r="AT1952" s="16" t="str">
        <f>_xlfn.XLOOKUP(B1952,'SWiSH Demand Forecast Sep-26'!D:D,'SWiSH Demand Forecast Sep-26'!G:G,"Not Exist")</f>
        <v>Not Exist</v>
      </c>
    </row>
    <row r="1953" spans="1:46" x14ac:dyDescent="0.3">
      <c r="A1953">
        <v>106700050</v>
      </c>
      <c r="B1953" t="s">
        <v>3838</v>
      </c>
      <c r="C1953" t="s">
        <v>10</v>
      </c>
      <c r="D1953" t="s">
        <v>1675</v>
      </c>
      <c r="E1953" t="s">
        <v>3232</v>
      </c>
      <c r="F1953" t="s">
        <v>1650</v>
      </c>
      <c r="G1953" t="s">
        <v>1704</v>
      </c>
      <c r="H1953" t="s">
        <v>1651</v>
      </c>
      <c r="I1953" t="s">
        <v>1634</v>
      </c>
      <c r="J1953" t="s">
        <v>10</v>
      </c>
      <c r="K1953">
        <v>2.5</v>
      </c>
      <c r="L1953">
        <v>2.5</v>
      </c>
      <c r="M1953" s="1">
        <v>3</v>
      </c>
      <c r="N1953">
        <v>0</v>
      </c>
      <c r="O1953">
        <v>0</v>
      </c>
      <c r="P1953">
        <v>1</v>
      </c>
      <c r="Q1953" s="1">
        <v>1</v>
      </c>
      <c r="R1953">
        <v>2</v>
      </c>
      <c r="S1953" s="2">
        <v>46037</v>
      </c>
      <c r="T1953" s="2">
        <v>46107</v>
      </c>
      <c r="U1953">
        <v>0</v>
      </c>
      <c r="V1953">
        <v>0</v>
      </c>
      <c r="W1953">
        <v>0</v>
      </c>
      <c r="X1953">
        <v>0</v>
      </c>
      <c r="Y1953">
        <v>0</v>
      </c>
      <c r="Z1953" s="8">
        <v>0</v>
      </c>
      <c r="AA1953">
        <v>0</v>
      </c>
      <c r="AB1953" t="s">
        <v>1635</v>
      </c>
      <c r="AC1953" t="s">
        <v>1635</v>
      </c>
      <c r="AD1953" s="1" t="s">
        <v>1635</v>
      </c>
      <c r="AE1953" s="2" t="s">
        <v>1635</v>
      </c>
      <c r="AF1953" s="2" t="s">
        <v>1635</v>
      </c>
      <c r="AG1953" s="2" t="s">
        <v>1635</v>
      </c>
      <c r="AH1953">
        <v>0</v>
      </c>
      <c r="AI1953" s="3" t="s">
        <v>1635</v>
      </c>
      <c r="AJ1953" s="1" t="s">
        <v>1635</v>
      </c>
      <c r="AK1953" s="2" t="s">
        <v>1635</v>
      </c>
      <c r="AL1953" s="4" t="s">
        <v>1658</v>
      </c>
      <c r="AM1953" s="5" t="s">
        <v>1658</v>
      </c>
      <c r="AN1953" s="4">
        <v>0</v>
      </c>
      <c r="AO1953" t="s">
        <v>1635</v>
      </c>
      <c r="AP1953" s="4" t="s">
        <v>1658</v>
      </c>
      <c r="AQ1953" t="s">
        <v>1619</v>
      </c>
      <c r="AR1953" t="s">
        <v>1620</v>
      </c>
      <c r="AT1953" s="16" t="str">
        <f>_xlfn.XLOOKUP(B1953,'SWiSH Demand Forecast Sep-26'!D:D,'SWiSH Demand Forecast Sep-26'!G:G,"Not Exist")</f>
        <v>Not Exist</v>
      </c>
    </row>
    <row r="1954" spans="1:46" x14ac:dyDescent="0.3">
      <c r="A1954">
        <v>106700111</v>
      </c>
      <c r="B1954" t="s">
        <v>3839</v>
      </c>
      <c r="C1954" t="s">
        <v>10</v>
      </c>
      <c r="D1954" t="s">
        <v>1675</v>
      </c>
      <c r="E1954" t="s">
        <v>1732</v>
      </c>
      <c r="F1954" t="s">
        <v>1650</v>
      </c>
      <c r="G1954" t="s">
        <v>1704</v>
      </c>
      <c r="H1954" t="s">
        <v>1651</v>
      </c>
      <c r="I1954" t="s">
        <v>1634</v>
      </c>
      <c r="J1954" t="s">
        <v>10</v>
      </c>
      <c r="K1954">
        <v>2</v>
      </c>
      <c r="L1954">
        <v>2</v>
      </c>
      <c r="M1954" s="1">
        <v>3</v>
      </c>
      <c r="N1954">
        <v>0</v>
      </c>
      <c r="O1954">
        <v>0</v>
      </c>
      <c r="P1954">
        <v>1</v>
      </c>
      <c r="Q1954" s="1">
        <v>1</v>
      </c>
      <c r="R1954">
        <v>2</v>
      </c>
      <c r="S1954" s="2">
        <v>45773</v>
      </c>
      <c r="T1954" s="2">
        <v>45791</v>
      </c>
      <c r="U1954">
        <v>0</v>
      </c>
      <c r="V1954">
        <v>0</v>
      </c>
      <c r="W1954">
        <v>0</v>
      </c>
      <c r="X1954">
        <v>0</v>
      </c>
      <c r="Y1954">
        <v>0</v>
      </c>
      <c r="Z1954" s="8">
        <v>0</v>
      </c>
      <c r="AA1954">
        <v>0</v>
      </c>
      <c r="AB1954" t="s">
        <v>1635</v>
      </c>
      <c r="AC1954" t="s">
        <v>1635</v>
      </c>
      <c r="AD1954" s="1" t="s">
        <v>1635</v>
      </c>
      <c r="AE1954" s="2" t="s">
        <v>1635</v>
      </c>
      <c r="AF1954" s="2" t="s">
        <v>1635</v>
      </c>
      <c r="AG1954" s="2" t="s">
        <v>1635</v>
      </c>
      <c r="AH1954">
        <v>0</v>
      </c>
      <c r="AI1954" s="3" t="s">
        <v>1635</v>
      </c>
      <c r="AJ1954" s="1" t="s">
        <v>1635</v>
      </c>
      <c r="AK1954" s="2" t="s">
        <v>1635</v>
      </c>
      <c r="AL1954" s="4" t="s">
        <v>1658</v>
      </c>
      <c r="AM1954" s="5" t="s">
        <v>1658</v>
      </c>
      <c r="AN1954" s="4">
        <v>0</v>
      </c>
      <c r="AO1954" t="s">
        <v>1635</v>
      </c>
      <c r="AP1954" s="4" t="s">
        <v>1658</v>
      </c>
      <c r="AQ1954" t="s">
        <v>1619</v>
      </c>
      <c r="AR1954" t="s">
        <v>1620</v>
      </c>
      <c r="AT1954" s="16" t="str">
        <f>_xlfn.XLOOKUP(B1954,'SWiSH Demand Forecast Sep-26'!D:D,'SWiSH Demand Forecast Sep-26'!G:G,"Not Exist")</f>
        <v>Not Exist</v>
      </c>
    </row>
    <row r="1955" spans="1:46" x14ac:dyDescent="0.3">
      <c r="A1955">
        <v>106800066</v>
      </c>
      <c r="B1955" t="s">
        <v>3840</v>
      </c>
      <c r="C1955" t="s">
        <v>10</v>
      </c>
      <c r="D1955" t="s">
        <v>1675</v>
      </c>
      <c r="E1955" t="e">
        <v>#N/A</v>
      </c>
      <c r="F1955" t="s">
        <v>1664</v>
      </c>
      <c r="G1955" t="e">
        <v>#N/A</v>
      </c>
      <c r="H1955" t="s">
        <v>1665</v>
      </c>
      <c r="I1955" t="s">
        <v>1634</v>
      </c>
      <c r="J1955" t="s">
        <v>10</v>
      </c>
      <c r="K1955" t="e">
        <v>#N/A</v>
      </c>
      <c r="L1955" t="e">
        <v>#N/A</v>
      </c>
      <c r="M1955" s="1">
        <v>7</v>
      </c>
      <c r="N1955">
        <v>0</v>
      </c>
      <c r="O1955">
        <v>0</v>
      </c>
      <c r="P1955">
        <v>0</v>
      </c>
      <c r="Q1955" s="1">
        <v>0</v>
      </c>
      <c r="R1955">
        <v>3.5000000000000001E-3</v>
      </c>
      <c r="S1955" s="2">
        <v>45502</v>
      </c>
      <c r="T1955" s="2">
        <v>45777</v>
      </c>
      <c r="U1955">
        <v>0</v>
      </c>
      <c r="V1955">
        <v>0</v>
      </c>
      <c r="W1955">
        <v>0</v>
      </c>
      <c r="X1955">
        <v>0</v>
      </c>
      <c r="Y1955">
        <v>0</v>
      </c>
      <c r="Z1955" s="8">
        <v>0</v>
      </c>
      <c r="AA1955">
        <v>0</v>
      </c>
      <c r="AB1955" t="s">
        <v>1635</v>
      </c>
      <c r="AC1955" t="s">
        <v>1635</v>
      </c>
      <c r="AD1955" s="1" t="s">
        <v>1635</v>
      </c>
      <c r="AE1955" s="2" t="s">
        <v>1635</v>
      </c>
      <c r="AF1955" s="2" t="s">
        <v>1635</v>
      </c>
      <c r="AG1955" s="2" t="s">
        <v>1635</v>
      </c>
      <c r="AH1955">
        <v>0</v>
      </c>
      <c r="AI1955" s="3" t="s">
        <v>1635</v>
      </c>
      <c r="AJ1955" s="1" t="s">
        <v>1635</v>
      </c>
      <c r="AK1955" s="2" t="s">
        <v>1635</v>
      </c>
      <c r="AL1955" s="4" t="s">
        <v>1658</v>
      </c>
      <c r="AM1955" s="5" t="s">
        <v>1658</v>
      </c>
      <c r="AN1955" s="4">
        <v>0</v>
      </c>
      <c r="AO1955" t="s">
        <v>1635</v>
      </c>
      <c r="AP1955" s="4" t="s">
        <v>1658</v>
      </c>
      <c r="AQ1955" t="s">
        <v>1619</v>
      </c>
      <c r="AR1955" t="s">
        <v>1620</v>
      </c>
      <c r="AT1955" s="16" t="str">
        <f>_xlfn.XLOOKUP(B1955,'SWiSH Demand Forecast Sep-26'!D:D,'SWiSH Demand Forecast Sep-26'!G:G,"Not Exist")</f>
        <v>Not Exist</v>
      </c>
    </row>
    <row r="1956" spans="1:46" x14ac:dyDescent="0.3">
      <c r="A1956">
        <v>106800281</v>
      </c>
      <c r="B1956" t="s">
        <v>3841</v>
      </c>
      <c r="C1956" t="s">
        <v>10</v>
      </c>
      <c r="D1956" t="s">
        <v>1675</v>
      </c>
      <c r="E1956" t="e">
        <v>#N/A</v>
      </c>
      <c r="F1956" t="s">
        <v>1664</v>
      </c>
      <c r="G1956" t="e">
        <v>#N/A</v>
      </c>
      <c r="H1956" t="s">
        <v>1665</v>
      </c>
      <c r="I1956" t="s">
        <v>1634</v>
      </c>
      <c r="J1956" t="s">
        <v>10</v>
      </c>
      <c r="K1956" t="e">
        <v>#N/A</v>
      </c>
      <c r="L1956" t="e">
        <v>#N/A</v>
      </c>
      <c r="M1956" s="1">
        <v>7</v>
      </c>
      <c r="N1956">
        <v>0</v>
      </c>
      <c r="O1956">
        <v>0</v>
      </c>
      <c r="P1956">
        <v>0</v>
      </c>
      <c r="Q1956" s="1">
        <v>0</v>
      </c>
      <c r="R1956">
        <v>6.6699999999999997E-3</v>
      </c>
      <c r="S1956" s="2">
        <v>45610</v>
      </c>
      <c r="T1956" s="2">
        <v>46055</v>
      </c>
      <c r="U1956">
        <v>0</v>
      </c>
      <c r="V1956">
        <v>0</v>
      </c>
      <c r="W1956">
        <v>0</v>
      </c>
      <c r="X1956">
        <v>0</v>
      </c>
      <c r="Y1956">
        <v>0</v>
      </c>
      <c r="Z1956" s="8">
        <v>0</v>
      </c>
      <c r="AA1956">
        <v>0</v>
      </c>
      <c r="AB1956" t="s">
        <v>1635</v>
      </c>
      <c r="AC1956" t="s">
        <v>1635</v>
      </c>
      <c r="AD1956" s="1" t="s">
        <v>1635</v>
      </c>
      <c r="AE1956" s="2" t="s">
        <v>1635</v>
      </c>
      <c r="AF1956" s="2" t="s">
        <v>1635</v>
      </c>
      <c r="AG1956" s="2" t="s">
        <v>1635</v>
      </c>
      <c r="AH1956">
        <v>0</v>
      </c>
      <c r="AI1956" s="3" t="s">
        <v>1635</v>
      </c>
      <c r="AJ1956" s="1" t="s">
        <v>1635</v>
      </c>
      <c r="AK1956" s="2" t="s">
        <v>1635</v>
      </c>
      <c r="AL1956" s="4" t="s">
        <v>1658</v>
      </c>
      <c r="AM1956" s="5" t="s">
        <v>1658</v>
      </c>
      <c r="AN1956" s="4">
        <v>0</v>
      </c>
      <c r="AO1956" t="s">
        <v>1635</v>
      </c>
      <c r="AP1956" s="4" t="s">
        <v>1658</v>
      </c>
      <c r="AQ1956" t="s">
        <v>1619</v>
      </c>
      <c r="AR1956" t="s">
        <v>1620</v>
      </c>
      <c r="AT1956" s="16" t="str">
        <f>_xlfn.XLOOKUP(B1956,'SWiSH Demand Forecast Sep-26'!D:D,'SWiSH Demand Forecast Sep-26'!G:G,"Not Exist")</f>
        <v>Not Exist</v>
      </c>
    </row>
    <row r="1957" spans="1:46" x14ac:dyDescent="0.3">
      <c r="A1957">
        <v>101600081</v>
      </c>
      <c r="B1957" t="s">
        <v>3842</v>
      </c>
      <c r="C1957" t="s">
        <v>10</v>
      </c>
      <c r="D1957" t="s">
        <v>1629</v>
      </c>
      <c r="E1957" t="e">
        <v>#N/A</v>
      </c>
      <c r="F1957" t="s">
        <v>1631</v>
      </c>
      <c r="G1957" t="s">
        <v>1704</v>
      </c>
      <c r="H1957" t="s">
        <v>1768</v>
      </c>
      <c r="I1957" t="s">
        <v>1634</v>
      </c>
      <c r="J1957" t="s">
        <v>10</v>
      </c>
      <c r="K1957">
        <v>0.85032023999999995</v>
      </c>
      <c r="L1957">
        <v>306.1152864</v>
      </c>
      <c r="M1957" s="1">
        <v>90</v>
      </c>
      <c r="N1957">
        <v>0</v>
      </c>
      <c r="O1957">
        <v>0</v>
      </c>
      <c r="P1957">
        <v>360</v>
      </c>
      <c r="Q1957" s="1">
        <v>360</v>
      </c>
      <c r="R1957">
        <v>0.95</v>
      </c>
      <c r="S1957" s="2">
        <v>45717</v>
      </c>
      <c r="T1957" s="2">
        <v>45777</v>
      </c>
      <c r="U1957">
        <v>0</v>
      </c>
      <c r="V1957">
        <v>0</v>
      </c>
      <c r="W1957">
        <v>0</v>
      </c>
      <c r="X1957">
        <v>0</v>
      </c>
      <c r="Y1957">
        <v>0</v>
      </c>
      <c r="Z1957" s="8">
        <v>0</v>
      </c>
      <c r="AA1957">
        <v>0</v>
      </c>
      <c r="AB1957" t="s">
        <v>1635</v>
      </c>
      <c r="AC1957" t="s">
        <v>1635</v>
      </c>
      <c r="AD1957" s="1" t="s">
        <v>1635</v>
      </c>
      <c r="AE1957" s="2" t="s">
        <v>1635</v>
      </c>
      <c r="AF1957" s="2" t="s">
        <v>1635</v>
      </c>
      <c r="AG1957" s="2" t="s">
        <v>1635</v>
      </c>
      <c r="AH1957">
        <v>0</v>
      </c>
      <c r="AI1957" s="3" t="s">
        <v>1635</v>
      </c>
      <c r="AJ1957" s="1" t="s">
        <v>1635</v>
      </c>
      <c r="AK1957" s="2" t="s">
        <v>1635</v>
      </c>
      <c r="AL1957" s="4" t="s">
        <v>1636</v>
      </c>
      <c r="AM1957" s="5" t="s">
        <v>1636</v>
      </c>
      <c r="AN1957" s="4">
        <v>0</v>
      </c>
      <c r="AO1957" t="s">
        <v>1635</v>
      </c>
      <c r="AP1957" s="4" t="s">
        <v>1636</v>
      </c>
      <c r="AQ1957" t="s">
        <v>1619</v>
      </c>
      <c r="AR1957" t="s">
        <v>1620</v>
      </c>
      <c r="AT1957" s="16" t="str">
        <f>_xlfn.XLOOKUP(B1957,'SWiSH Demand Forecast Sep-26'!D:D,'SWiSH Demand Forecast Sep-26'!G:G,"Not Exist")</f>
        <v>Not Exist</v>
      </c>
    </row>
    <row r="1958" spans="1:46" x14ac:dyDescent="0.3">
      <c r="A1958">
        <v>104600105</v>
      </c>
      <c r="B1958" t="s">
        <v>3843</v>
      </c>
      <c r="C1958" t="s">
        <v>10</v>
      </c>
      <c r="D1958" t="s">
        <v>1675</v>
      </c>
      <c r="E1958" t="s">
        <v>1945</v>
      </c>
      <c r="F1958" t="s">
        <v>1656</v>
      </c>
      <c r="G1958" t="s">
        <v>1704</v>
      </c>
      <c r="H1958" t="s">
        <v>1945</v>
      </c>
      <c r="I1958" t="s">
        <v>1634</v>
      </c>
      <c r="J1958" t="e">
        <v>#N/A</v>
      </c>
      <c r="K1958">
        <v>3.9860000000000002</v>
      </c>
      <c r="L1958">
        <v>31.888000000000002</v>
      </c>
      <c r="M1958" s="1">
        <v>7</v>
      </c>
      <c r="N1958">
        <v>0</v>
      </c>
      <c r="O1958">
        <v>0</v>
      </c>
      <c r="P1958">
        <v>8</v>
      </c>
      <c r="Q1958" s="1">
        <v>8</v>
      </c>
      <c r="R1958">
        <v>3.9860000000000002</v>
      </c>
      <c r="S1958" s="2">
        <v>45566</v>
      </c>
      <c r="T1958" s="2">
        <v>45968</v>
      </c>
      <c r="U1958">
        <v>0</v>
      </c>
      <c r="V1958">
        <v>0</v>
      </c>
      <c r="W1958">
        <v>0</v>
      </c>
      <c r="X1958">
        <v>0</v>
      </c>
      <c r="Y1958">
        <v>0</v>
      </c>
      <c r="Z1958" s="8">
        <v>0</v>
      </c>
      <c r="AA1958">
        <v>0</v>
      </c>
      <c r="AB1958" t="s">
        <v>1635</v>
      </c>
      <c r="AC1958" t="s">
        <v>1635</v>
      </c>
      <c r="AD1958" s="1" t="s">
        <v>1635</v>
      </c>
      <c r="AE1958" s="2" t="s">
        <v>1635</v>
      </c>
      <c r="AF1958" s="2" t="s">
        <v>1635</v>
      </c>
      <c r="AG1958" s="2" t="s">
        <v>1635</v>
      </c>
      <c r="AH1958">
        <v>0</v>
      </c>
      <c r="AI1958" s="3" t="s">
        <v>1635</v>
      </c>
      <c r="AJ1958" s="1" t="s">
        <v>1635</v>
      </c>
      <c r="AK1958" s="2" t="s">
        <v>1635</v>
      </c>
      <c r="AL1958" s="4" t="s">
        <v>1658</v>
      </c>
      <c r="AM1958" s="5" t="s">
        <v>1658</v>
      </c>
      <c r="AN1958" s="4">
        <v>0</v>
      </c>
      <c r="AO1958" t="s">
        <v>1635</v>
      </c>
      <c r="AP1958" s="4" t="s">
        <v>1658</v>
      </c>
      <c r="AQ1958" t="s">
        <v>1619</v>
      </c>
      <c r="AR1958" t="s">
        <v>1620</v>
      </c>
      <c r="AT1958" s="16" t="str">
        <f>_xlfn.XLOOKUP(B1958,'SWiSH Demand Forecast Sep-26'!D:D,'SWiSH Demand Forecast Sep-26'!G:G,"Not Exist")</f>
        <v>Not Exist</v>
      </c>
    </row>
    <row r="1959" spans="1:46" x14ac:dyDescent="0.3">
      <c r="A1959">
        <v>106600035</v>
      </c>
      <c r="B1959" t="s">
        <v>3844</v>
      </c>
      <c r="C1959" t="s">
        <v>10</v>
      </c>
      <c r="D1959" t="s">
        <v>1675</v>
      </c>
      <c r="E1959" t="e">
        <v>#N/A</v>
      </c>
      <c r="F1959" t="s">
        <v>1664</v>
      </c>
      <c r="G1959" t="s">
        <v>1704</v>
      </c>
      <c r="H1959" t="s">
        <v>1723</v>
      </c>
      <c r="I1959" t="s">
        <v>1634</v>
      </c>
      <c r="J1959" t="s">
        <v>10</v>
      </c>
      <c r="K1959">
        <v>2.5260000000000001E-2</v>
      </c>
      <c r="L1959">
        <v>0</v>
      </c>
      <c r="M1959" s="1">
        <v>15</v>
      </c>
      <c r="N1959">
        <v>0</v>
      </c>
      <c r="O1959">
        <v>0</v>
      </c>
      <c r="P1959">
        <v>0</v>
      </c>
      <c r="Q1959" s="1">
        <v>0</v>
      </c>
      <c r="R1959">
        <v>2.5260000000000001E-2</v>
      </c>
      <c r="S1959" s="2">
        <v>45777</v>
      </c>
      <c r="T1959" s="2">
        <v>45997</v>
      </c>
      <c r="U1959">
        <v>0</v>
      </c>
      <c r="V1959">
        <v>0</v>
      </c>
      <c r="W1959">
        <v>0</v>
      </c>
      <c r="X1959">
        <v>0</v>
      </c>
      <c r="Y1959">
        <v>0</v>
      </c>
      <c r="Z1959" s="8">
        <v>0</v>
      </c>
      <c r="AA1959">
        <v>0</v>
      </c>
      <c r="AB1959" t="s">
        <v>1635</v>
      </c>
      <c r="AC1959" t="s">
        <v>1635</v>
      </c>
      <c r="AD1959" s="1" t="s">
        <v>1635</v>
      </c>
      <c r="AE1959" s="2" t="s">
        <v>1635</v>
      </c>
      <c r="AF1959" s="2" t="s">
        <v>1635</v>
      </c>
      <c r="AG1959" s="2" t="s">
        <v>1635</v>
      </c>
      <c r="AH1959">
        <v>0</v>
      </c>
      <c r="AI1959" s="3" t="s">
        <v>1635</v>
      </c>
      <c r="AJ1959" s="1" t="s">
        <v>1635</v>
      </c>
      <c r="AK1959" s="2" t="s">
        <v>1635</v>
      </c>
      <c r="AL1959" s="4" t="s">
        <v>1658</v>
      </c>
      <c r="AM1959" s="5" t="s">
        <v>1658</v>
      </c>
      <c r="AN1959" s="4">
        <v>0</v>
      </c>
      <c r="AO1959" t="s">
        <v>1635</v>
      </c>
      <c r="AP1959" s="4" t="s">
        <v>1658</v>
      </c>
      <c r="AQ1959" t="s">
        <v>1619</v>
      </c>
      <c r="AR1959" t="s">
        <v>1620</v>
      </c>
      <c r="AT1959" s="16" t="str">
        <f>_xlfn.XLOOKUP(B1959,'SWiSH Demand Forecast Sep-26'!D:D,'SWiSH Demand Forecast Sep-26'!G:G,"Not Exist")</f>
        <v>Not Exist</v>
      </c>
    </row>
    <row r="1960" spans="1:46" x14ac:dyDescent="0.3">
      <c r="A1960">
        <v>104600107</v>
      </c>
      <c r="B1960" t="s">
        <v>3845</v>
      </c>
      <c r="C1960" t="s">
        <v>10</v>
      </c>
      <c r="D1960" t="s">
        <v>1675</v>
      </c>
      <c r="E1960" t="s">
        <v>1945</v>
      </c>
      <c r="F1960" t="s">
        <v>1656</v>
      </c>
      <c r="G1960" t="s">
        <v>1704</v>
      </c>
      <c r="H1960" t="s">
        <v>1945</v>
      </c>
      <c r="I1960" t="s">
        <v>1634</v>
      </c>
      <c r="J1960" t="e">
        <v>#N/A</v>
      </c>
      <c r="K1960">
        <v>3.9860000000000002</v>
      </c>
      <c r="L1960">
        <v>71.748000000000005</v>
      </c>
      <c r="M1960" s="1">
        <v>7</v>
      </c>
      <c r="N1960">
        <v>0</v>
      </c>
      <c r="O1960">
        <v>0</v>
      </c>
      <c r="P1960">
        <v>18</v>
      </c>
      <c r="Q1960" s="1">
        <v>18</v>
      </c>
      <c r="R1960">
        <v>3.9860000000000002</v>
      </c>
      <c r="S1960" s="2">
        <v>45566</v>
      </c>
      <c r="T1960" s="2">
        <v>45968</v>
      </c>
      <c r="U1960">
        <v>0</v>
      </c>
      <c r="V1960">
        <v>0</v>
      </c>
      <c r="W1960">
        <v>0</v>
      </c>
      <c r="X1960">
        <v>0</v>
      </c>
      <c r="Y1960">
        <v>0</v>
      </c>
      <c r="Z1960" s="8">
        <v>0</v>
      </c>
      <c r="AA1960">
        <v>0</v>
      </c>
      <c r="AB1960" t="s">
        <v>1635</v>
      </c>
      <c r="AC1960" t="s">
        <v>1635</v>
      </c>
      <c r="AD1960" s="1" t="s">
        <v>1635</v>
      </c>
      <c r="AE1960" s="2" t="s">
        <v>1635</v>
      </c>
      <c r="AF1960" s="2" t="s">
        <v>1635</v>
      </c>
      <c r="AG1960" s="2" t="s">
        <v>1635</v>
      </c>
      <c r="AH1960">
        <v>0</v>
      </c>
      <c r="AI1960" s="3" t="s">
        <v>1635</v>
      </c>
      <c r="AJ1960" s="1" t="s">
        <v>1635</v>
      </c>
      <c r="AK1960" s="2" t="s">
        <v>1635</v>
      </c>
      <c r="AL1960" s="4" t="s">
        <v>1658</v>
      </c>
      <c r="AM1960" s="5" t="s">
        <v>1658</v>
      </c>
      <c r="AN1960" s="4">
        <v>0</v>
      </c>
      <c r="AO1960" t="s">
        <v>1635</v>
      </c>
      <c r="AP1960" s="4" t="s">
        <v>1658</v>
      </c>
      <c r="AQ1960" t="s">
        <v>1619</v>
      </c>
      <c r="AR1960" t="s">
        <v>1620</v>
      </c>
      <c r="AT1960" s="16" t="str">
        <f>_xlfn.XLOOKUP(B1960,'SWiSH Demand Forecast Sep-26'!D:D,'SWiSH Demand Forecast Sep-26'!G:G,"Not Exist")</f>
        <v>Not Exist</v>
      </c>
    </row>
    <row r="1961" spans="1:46" x14ac:dyDescent="0.3">
      <c r="A1961">
        <v>104600108</v>
      </c>
      <c r="B1961" t="s">
        <v>3846</v>
      </c>
      <c r="C1961" t="s">
        <v>10</v>
      </c>
      <c r="D1961" t="s">
        <v>1675</v>
      </c>
      <c r="E1961" t="s">
        <v>1945</v>
      </c>
      <c r="F1961" t="s">
        <v>1656</v>
      </c>
      <c r="G1961" t="s">
        <v>1704</v>
      </c>
      <c r="H1961" t="s">
        <v>1945</v>
      </c>
      <c r="I1961" t="s">
        <v>1634</v>
      </c>
      <c r="J1961" t="e">
        <v>#N/A</v>
      </c>
      <c r="K1961">
        <v>3.9860000000000002</v>
      </c>
      <c r="L1961">
        <v>43.846000000000004</v>
      </c>
      <c r="M1961" s="1">
        <v>7</v>
      </c>
      <c r="N1961">
        <v>0</v>
      </c>
      <c r="O1961">
        <v>0</v>
      </c>
      <c r="P1961">
        <v>11</v>
      </c>
      <c r="Q1961" s="1">
        <v>11</v>
      </c>
      <c r="R1961">
        <v>3.9860000000000002</v>
      </c>
      <c r="S1961" s="2">
        <v>45566</v>
      </c>
      <c r="T1961" s="2">
        <v>45968</v>
      </c>
      <c r="U1961">
        <v>0</v>
      </c>
      <c r="V1961">
        <v>0</v>
      </c>
      <c r="W1961">
        <v>0</v>
      </c>
      <c r="X1961">
        <v>0</v>
      </c>
      <c r="Y1961">
        <v>0</v>
      </c>
      <c r="Z1961" s="8">
        <v>0</v>
      </c>
      <c r="AA1961">
        <v>0</v>
      </c>
      <c r="AB1961" t="s">
        <v>1635</v>
      </c>
      <c r="AC1961" t="s">
        <v>1635</v>
      </c>
      <c r="AD1961" s="1" t="s">
        <v>1635</v>
      </c>
      <c r="AE1961" s="2" t="s">
        <v>1635</v>
      </c>
      <c r="AF1961" s="2" t="s">
        <v>1635</v>
      </c>
      <c r="AG1961" s="2" t="s">
        <v>1635</v>
      </c>
      <c r="AH1961">
        <v>0</v>
      </c>
      <c r="AI1961" s="3" t="s">
        <v>1635</v>
      </c>
      <c r="AJ1961" s="1" t="s">
        <v>1635</v>
      </c>
      <c r="AK1961" s="2" t="s">
        <v>1635</v>
      </c>
      <c r="AL1961" s="4" t="s">
        <v>1658</v>
      </c>
      <c r="AM1961" s="5" t="s">
        <v>1658</v>
      </c>
      <c r="AN1961" s="4">
        <v>0</v>
      </c>
      <c r="AO1961" t="s">
        <v>1635</v>
      </c>
      <c r="AP1961" s="4" t="s">
        <v>1658</v>
      </c>
      <c r="AQ1961" t="s">
        <v>1619</v>
      </c>
      <c r="AR1961" t="s">
        <v>1620</v>
      </c>
      <c r="AT1961" s="16" t="str">
        <f>_xlfn.XLOOKUP(B1961,'SWiSH Demand Forecast Sep-26'!D:D,'SWiSH Demand Forecast Sep-26'!G:G,"Not Exist")</f>
        <v>Not Exist</v>
      </c>
    </row>
    <row r="1962" spans="1:46" x14ac:dyDescent="0.3">
      <c r="A1962">
        <v>104600158</v>
      </c>
      <c r="B1962" t="s">
        <v>3847</v>
      </c>
      <c r="C1962" t="s">
        <v>10</v>
      </c>
      <c r="D1962" t="s">
        <v>1675</v>
      </c>
      <c r="E1962" t="s">
        <v>1775</v>
      </c>
      <c r="F1962" t="s">
        <v>1946</v>
      </c>
      <c r="G1962" t="s">
        <v>1704</v>
      </c>
      <c r="H1962" t="s">
        <v>1945</v>
      </c>
      <c r="I1962" t="s">
        <v>1634</v>
      </c>
      <c r="J1962" t="e">
        <v>#N/A</v>
      </c>
      <c r="K1962">
        <v>29.25121</v>
      </c>
      <c r="L1962">
        <v>1930.5798600000001</v>
      </c>
      <c r="M1962" s="1">
        <v>15</v>
      </c>
      <c r="N1962">
        <v>0</v>
      </c>
      <c r="O1962">
        <v>0</v>
      </c>
      <c r="P1962">
        <v>66</v>
      </c>
      <c r="Q1962" s="1">
        <v>66</v>
      </c>
      <c r="R1962">
        <v>0</v>
      </c>
      <c r="S1962" s="2">
        <v>0</v>
      </c>
      <c r="T1962" s="2">
        <v>45968</v>
      </c>
      <c r="U1962">
        <v>0</v>
      </c>
      <c r="V1962">
        <v>0</v>
      </c>
      <c r="W1962">
        <v>0</v>
      </c>
      <c r="X1962">
        <v>0</v>
      </c>
      <c r="Y1962">
        <v>0</v>
      </c>
      <c r="Z1962" s="8">
        <v>0</v>
      </c>
      <c r="AA1962">
        <v>0</v>
      </c>
      <c r="AB1962" t="s">
        <v>1635</v>
      </c>
      <c r="AC1962" t="s">
        <v>1635</v>
      </c>
      <c r="AD1962" s="1" t="s">
        <v>1635</v>
      </c>
      <c r="AE1962" s="2" t="s">
        <v>1635</v>
      </c>
      <c r="AF1962" s="2" t="s">
        <v>1635</v>
      </c>
      <c r="AG1962" s="2" t="s">
        <v>1635</v>
      </c>
      <c r="AH1962">
        <v>0</v>
      </c>
      <c r="AI1962" s="3" t="s">
        <v>1635</v>
      </c>
      <c r="AJ1962" s="1" t="s">
        <v>1635</v>
      </c>
      <c r="AK1962" s="2" t="s">
        <v>1635</v>
      </c>
      <c r="AL1962" s="4" t="s">
        <v>1658</v>
      </c>
      <c r="AM1962" s="5" t="s">
        <v>1658</v>
      </c>
      <c r="AN1962" s="4">
        <v>0</v>
      </c>
      <c r="AO1962" t="s">
        <v>1635</v>
      </c>
      <c r="AP1962" s="4" t="s">
        <v>1658</v>
      </c>
      <c r="AQ1962" t="s">
        <v>1619</v>
      </c>
      <c r="AR1962" t="s">
        <v>1620</v>
      </c>
      <c r="AT1962" s="16" t="str">
        <f>_xlfn.XLOOKUP(B1962,'SWiSH Demand Forecast Sep-26'!D:D,'SWiSH Demand Forecast Sep-26'!G:G,"Not Exist")</f>
        <v>Not Exist</v>
      </c>
    </row>
    <row r="1963" spans="1:46" x14ac:dyDescent="0.3">
      <c r="A1963">
        <v>106600087</v>
      </c>
      <c r="B1963" t="s">
        <v>3848</v>
      </c>
      <c r="C1963" t="s">
        <v>10</v>
      </c>
      <c r="D1963" t="s">
        <v>1629</v>
      </c>
      <c r="E1963" t="s">
        <v>1926</v>
      </c>
      <c r="F1963" t="s">
        <v>1664</v>
      </c>
      <c r="G1963" t="s">
        <v>1704</v>
      </c>
      <c r="H1963" t="s">
        <v>1723</v>
      </c>
      <c r="I1963" t="s">
        <v>1634</v>
      </c>
      <c r="J1963" t="s">
        <v>10</v>
      </c>
      <c r="K1963">
        <v>3.4399999999999999E-3</v>
      </c>
      <c r="L1963">
        <v>137.6</v>
      </c>
      <c r="M1963" s="1">
        <v>15</v>
      </c>
      <c r="N1963">
        <v>0</v>
      </c>
      <c r="O1963">
        <v>0</v>
      </c>
      <c r="P1963">
        <v>40000</v>
      </c>
      <c r="Q1963" s="1">
        <v>40000</v>
      </c>
      <c r="R1963">
        <v>9.7000000000000003E-3</v>
      </c>
      <c r="S1963" s="2">
        <v>45777</v>
      </c>
      <c r="T1963" s="2">
        <v>46049</v>
      </c>
      <c r="U1963">
        <v>0</v>
      </c>
      <c r="V1963">
        <v>0</v>
      </c>
      <c r="W1963">
        <v>0</v>
      </c>
      <c r="X1963">
        <v>0</v>
      </c>
      <c r="Y1963">
        <v>0</v>
      </c>
      <c r="Z1963" s="8">
        <v>0</v>
      </c>
      <c r="AA1963">
        <v>0</v>
      </c>
      <c r="AB1963" t="s">
        <v>1635</v>
      </c>
      <c r="AC1963" t="s">
        <v>1635</v>
      </c>
      <c r="AD1963" s="1" t="s">
        <v>1635</v>
      </c>
      <c r="AE1963" s="2" t="s">
        <v>1635</v>
      </c>
      <c r="AF1963" s="2" t="s">
        <v>1635</v>
      </c>
      <c r="AG1963" s="2" t="s">
        <v>1635</v>
      </c>
      <c r="AH1963">
        <v>0</v>
      </c>
      <c r="AI1963" s="3" t="s">
        <v>1635</v>
      </c>
      <c r="AJ1963" s="1" t="s">
        <v>1635</v>
      </c>
      <c r="AK1963" s="2" t="s">
        <v>1635</v>
      </c>
      <c r="AL1963" s="4" t="s">
        <v>1636</v>
      </c>
      <c r="AM1963" s="5" t="s">
        <v>1636</v>
      </c>
      <c r="AN1963" s="4">
        <v>0</v>
      </c>
      <c r="AO1963" t="s">
        <v>1635</v>
      </c>
      <c r="AP1963" s="4" t="s">
        <v>1636</v>
      </c>
      <c r="AQ1963" t="s">
        <v>1619</v>
      </c>
      <c r="AR1963" t="s">
        <v>1620</v>
      </c>
      <c r="AT1963" s="16" t="str">
        <f>_xlfn.XLOOKUP(B1963,'SWiSH Demand Forecast Sep-26'!D:D,'SWiSH Demand Forecast Sep-26'!G:G,"Not Exist")</f>
        <v>Not Exist</v>
      </c>
    </row>
    <row r="1964" spans="1:46" x14ac:dyDescent="0.3">
      <c r="A1964">
        <v>104600109</v>
      </c>
      <c r="B1964" t="s">
        <v>3849</v>
      </c>
      <c r="C1964" t="s">
        <v>10</v>
      </c>
      <c r="D1964" t="s">
        <v>1675</v>
      </c>
      <c r="E1964" t="s">
        <v>1945</v>
      </c>
      <c r="F1964" t="s">
        <v>1656</v>
      </c>
      <c r="G1964" t="s">
        <v>1704</v>
      </c>
      <c r="H1964" t="s">
        <v>1945</v>
      </c>
      <c r="I1964" t="s">
        <v>1634</v>
      </c>
      <c r="J1964" t="e">
        <v>#N/A</v>
      </c>
      <c r="K1964">
        <v>3.9860000000000002</v>
      </c>
      <c r="L1964">
        <v>135.524</v>
      </c>
      <c r="M1964" s="1">
        <v>7</v>
      </c>
      <c r="N1964">
        <v>0</v>
      </c>
      <c r="O1964">
        <v>0</v>
      </c>
      <c r="P1964">
        <v>34</v>
      </c>
      <c r="Q1964" s="1">
        <v>34</v>
      </c>
      <c r="R1964">
        <v>3.9860000000000002</v>
      </c>
      <c r="S1964" s="2">
        <v>45566</v>
      </c>
      <c r="T1964" s="2">
        <v>45968</v>
      </c>
      <c r="U1964">
        <v>0</v>
      </c>
      <c r="V1964">
        <v>0</v>
      </c>
      <c r="W1964">
        <v>0</v>
      </c>
      <c r="X1964">
        <v>0</v>
      </c>
      <c r="Y1964">
        <v>0</v>
      </c>
      <c r="Z1964" s="8">
        <v>0</v>
      </c>
      <c r="AA1964">
        <v>0</v>
      </c>
      <c r="AB1964" t="s">
        <v>1635</v>
      </c>
      <c r="AC1964" t="s">
        <v>1635</v>
      </c>
      <c r="AD1964" s="1" t="s">
        <v>1635</v>
      </c>
      <c r="AE1964" s="2" t="s">
        <v>1635</v>
      </c>
      <c r="AF1964" s="2" t="s">
        <v>1635</v>
      </c>
      <c r="AG1964" s="2" t="s">
        <v>1635</v>
      </c>
      <c r="AH1964">
        <v>0</v>
      </c>
      <c r="AI1964" s="3" t="s">
        <v>1635</v>
      </c>
      <c r="AJ1964" s="1" t="s">
        <v>1635</v>
      </c>
      <c r="AK1964" s="2" t="s">
        <v>1635</v>
      </c>
      <c r="AL1964" s="4" t="s">
        <v>1658</v>
      </c>
      <c r="AM1964" s="5" t="s">
        <v>1658</v>
      </c>
      <c r="AN1964" s="4">
        <v>0</v>
      </c>
      <c r="AO1964" t="s">
        <v>1635</v>
      </c>
      <c r="AP1964" s="4" t="s">
        <v>1658</v>
      </c>
      <c r="AQ1964" t="s">
        <v>1619</v>
      </c>
      <c r="AR1964" t="s">
        <v>1620</v>
      </c>
      <c r="AT1964" s="16" t="str">
        <f>_xlfn.XLOOKUP(B1964,'SWiSH Demand Forecast Sep-26'!D:D,'SWiSH Demand Forecast Sep-26'!G:G,"Not Exist")</f>
        <v>Not Exist</v>
      </c>
    </row>
    <row r="1965" spans="1:46" x14ac:dyDescent="0.3">
      <c r="A1965">
        <v>104200076</v>
      </c>
      <c r="B1965" t="s">
        <v>3850</v>
      </c>
      <c r="C1965" t="s">
        <v>10</v>
      </c>
      <c r="D1965" t="s">
        <v>1675</v>
      </c>
      <c r="E1965" t="s">
        <v>3191</v>
      </c>
      <c r="F1965" t="s">
        <v>1631</v>
      </c>
      <c r="G1965" t="s">
        <v>1704</v>
      </c>
      <c r="H1965" t="s">
        <v>1633</v>
      </c>
      <c r="I1965" t="s">
        <v>1634</v>
      </c>
      <c r="J1965" t="e">
        <v>#N/A</v>
      </c>
      <c r="K1965">
        <v>0.77380952000000003</v>
      </c>
      <c r="L1965">
        <v>32.499999840000001</v>
      </c>
      <c r="M1965" s="1">
        <v>3</v>
      </c>
      <c r="N1965">
        <v>0</v>
      </c>
      <c r="O1965">
        <v>0</v>
      </c>
      <c r="P1965">
        <v>42</v>
      </c>
      <c r="Q1965" s="1">
        <v>42</v>
      </c>
      <c r="R1965">
        <v>32.5</v>
      </c>
      <c r="S1965" s="2">
        <v>45273</v>
      </c>
      <c r="T1965" s="2">
        <v>46050</v>
      </c>
      <c r="U1965">
        <v>0</v>
      </c>
      <c r="V1965">
        <v>0</v>
      </c>
      <c r="W1965">
        <v>0</v>
      </c>
      <c r="X1965">
        <v>0</v>
      </c>
      <c r="Y1965">
        <v>0</v>
      </c>
      <c r="Z1965" s="8">
        <v>0</v>
      </c>
      <c r="AA1965">
        <v>0</v>
      </c>
      <c r="AB1965" t="s">
        <v>1635</v>
      </c>
      <c r="AC1965" t="s">
        <v>1635</v>
      </c>
      <c r="AD1965" s="1" t="s">
        <v>1635</v>
      </c>
      <c r="AE1965" s="2" t="s">
        <v>1635</v>
      </c>
      <c r="AF1965" s="2" t="s">
        <v>1635</v>
      </c>
      <c r="AG1965" s="2" t="s">
        <v>1635</v>
      </c>
      <c r="AH1965">
        <v>0</v>
      </c>
      <c r="AI1965" s="3" t="s">
        <v>1635</v>
      </c>
      <c r="AJ1965" s="1" t="s">
        <v>1635</v>
      </c>
      <c r="AK1965" s="2" t="s">
        <v>1635</v>
      </c>
      <c r="AL1965" s="4" t="s">
        <v>1658</v>
      </c>
      <c r="AM1965" s="5" t="s">
        <v>1658</v>
      </c>
      <c r="AN1965" s="4">
        <v>0</v>
      </c>
      <c r="AO1965" t="s">
        <v>1635</v>
      </c>
      <c r="AP1965" s="4" t="s">
        <v>1658</v>
      </c>
      <c r="AQ1965" t="s">
        <v>1619</v>
      </c>
      <c r="AR1965" t="s">
        <v>1620</v>
      </c>
      <c r="AT1965" s="16" t="str">
        <f>_xlfn.XLOOKUP(B1965,'SWiSH Demand Forecast Sep-26'!D:D,'SWiSH Demand Forecast Sep-26'!G:G,"Not Exist")</f>
        <v>Not Exist</v>
      </c>
    </row>
    <row r="1966" spans="1:46" x14ac:dyDescent="0.3">
      <c r="A1966">
        <v>104600106</v>
      </c>
      <c r="B1966" t="s">
        <v>3851</v>
      </c>
      <c r="C1966" t="s">
        <v>10</v>
      </c>
      <c r="D1966" t="s">
        <v>1675</v>
      </c>
      <c r="E1966" t="s">
        <v>1945</v>
      </c>
      <c r="F1966" t="s">
        <v>1656</v>
      </c>
      <c r="G1966" t="s">
        <v>1704</v>
      </c>
      <c r="H1966" t="s">
        <v>1945</v>
      </c>
      <c r="I1966" t="s">
        <v>1634</v>
      </c>
      <c r="J1966" t="e">
        <v>#N/A</v>
      </c>
      <c r="K1966">
        <v>3.9860000000000002</v>
      </c>
      <c r="L1966">
        <v>171.398</v>
      </c>
      <c r="M1966" s="1">
        <v>7</v>
      </c>
      <c r="N1966">
        <v>0</v>
      </c>
      <c r="O1966">
        <v>0</v>
      </c>
      <c r="P1966">
        <v>43</v>
      </c>
      <c r="Q1966" s="1">
        <v>43</v>
      </c>
      <c r="R1966">
        <v>3.9860000000000002</v>
      </c>
      <c r="S1966" s="2">
        <v>45566</v>
      </c>
      <c r="T1966" s="2">
        <v>45968</v>
      </c>
      <c r="U1966">
        <v>0</v>
      </c>
      <c r="V1966">
        <v>0</v>
      </c>
      <c r="W1966">
        <v>0</v>
      </c>
      <c r="X1966">
        <v>0</v>
      </c>
      <c r="Y1966">
        <v>0</v>
      </c>
      <c r="Z1966" s="8">
        <v>0</v>
      </c>
      <c r="AA1966">
        <v>0</v>
      </c>
      <c r="AB1966" t="s">
        <v>1635</v>
      </c>
      <c r="AC1966" t="s">
        <v>1635</v>
      </c>
      <c r="AD1966" s="1" t="s">
        <v>1635</v>
      </c>
      <c r="AE1966" s="2" t="s">
        <v>1635</v>
      </c>
      <c r="AF1966" s="2" t="s">
        <v>1635</v>
      </c>
      <c r="AG1966" s="2" t="s">
        <v>1635</v>
      </c>
      <c r="AH1966">
        <v>0</v>
      </c>
      <c r="AI1966" s="3" t="s">
        <v>1635</v>
      </c>
      <c r="AJ1966" s="1" t="s">
        <v>1635</v>
      </c>
      <c r="AK1966" s="2" t="s">
        <v>1635</v>
      </c>
      <c r="AL1966" s="4" t="s">
        <v>1658</v>
      </c>
      <c r="AM1966" s="5" t="s">
        <v>1658</v>
      </c>
      <c r="AN1966" s="4">
        <v>0</v>
      </c>
      <c r="AO1966" t="s">
        <v>1635</v>
      </c>
      <c r="AP1966" s="4" t="s">
        <v>1658</v>
      </c>
      <c r="AQ1966" t="s">
        <v>1619</v>
      </c>
      <c r="AR1966" t="s">
        <v>1620</v>
      </c>
      <c r="AT1966" s="16" t="str">
        <f>_xlfn.XLOOKUP(B1966,'SWiSH Demand Forecast Sep-26'!D:D,'SWiSH Demand Forecast Sep-26'!G:G,"Not Exist")</f>
        <v>Not Exist</v>
      </c>
    </row>
    <row r="1967" spans="1:46" x14ac:dyDescent="0.3">
      <c r="A1967">
        <v>104200082</v>
      </c>
      <c r="B1967" t="s">
        <v>3852</v>
      </c>
      <c r="C1967" t="s">
        <v>10</v>
      </c>
      <c r="D1967" t="s">
        <v>1629</v>
      </c>
      <c r="E1967" t="e">
        <v>#N/A</v>
      </c>
      <c r="F1967" t="s">
        <v>1631</v>
      </c>
      <c r="G1967" t="s">
        <v>1704</v>
      </c>
      <c r="H1967" t="s">
        <v>1633</v>
      </c>
      <c r="I1967" t="s">
        <v>1634</v>
      </c>
      <c r="J1967" t="e">
        <v>#N/A</v>
      </c>
      <c r="K1967">
        <v>7.5000000000000002E-4</v>
      </c>
      <c r="L1967">
        <v>1.5</v>
      </c>
      <c r="M1967" s="1">
        <v>3</v>
      </c>
      <c r="N1967">
        <v>0</v>
      </c>
      <c r="O1967">
        <v>0</v>
      </c>
      <c r="P1967">
        <v>2000</v>
      </c>
      <c r="Q1967" s="1">
        <v>2000</v>
      </c>
      <c r="R1967">
        <v>0.75</v>
      </c>
      <c r="S1967" s="2">
        <v>45111</v>
      </c>
      <c r="T1967" s="2">
        <v>46049</v>
      </c>
      <c r="U1967">
        <v>0</v>
      </c>
      <c r="V1967">
        <v>0</v>
      </c>
      <c r="W1967">
        <v>0</v>
      </c>
      <c r="X1967">
        <v>0</v>
      </c>
      <c r="Y1967">
        <v>0</v>
      </c>
      <c r="Z1967" s="8">
        <v>0</v>
      </c>
      <c r="AA1967">
        <v>0</v>
      </c>
      <c r="AB1967" t="s">
        <v>1635</v>
      </c>
      <c r="AC1967" t="s">
        <v>1635</v>
      </c>
      <c r="AD1967" s="1" t="s">
        <v>1635</v>
      </c>
      <c r="AE1967" s="2" t="s">
        <v>1635</v>
      </c>
      <c r="AF1967" s="2" t="s">
        <v>1635</v>
      </c>
      <c r="AG1967" s="2" t="s">
        <v>1635</v>
      </c>
      <c r="AH1967">
        <v>0</v>
      </c>
      <c r="AI1967" s="3" t="s">
        <v>1635</v>
      </c>
      <c r="AJ1967" s="1" t="s">
        <v>1635</v>
      </c>
      <c r="AK1967" s="2" t="s">
        <v>1635</v>
      </c>
      <c r="AL1967" s="4" t="s">
        <v>1636</v>
      </c>
      <c r="AM1967" s="5" t="s">
        <v>1636</v>
      </c>
      <c r="AN1967" s="4">
        <v>0</v>
      </c>
      <c r="AO1967" t="s">
        <v>1635</v>
      </c>
      <c r="AP1967" s="4" t="s">
        <v>1636</v>
      </c>
      <c r="AQ1967" t="s">
        <v>1619</v>
      </c>
      <c r="AR1967" t="s">
        <v>1620</v>
      </c>
      <c r="AT1967" s="16" t="str">
        <f>_xlfn.XLOOKUP(B1967,'SWiSH Demand Forecast Sep-26'!D:D,'SWiSH Demand Forecast Sep-26'!G:G,"Not Exist")</f>
        <v>Not Exist</v>
      </c>
    </row>
    <row r="1968" spans="1:46" x14ac:dyDescent="0.3">
      <c r="A1968">
        <v>104600104</v>
      </c>
      <c r="B1968" t="s">
        <v>3853</v>
      </c>
      <c r="C1968" t="s">
        <v>10</v>
      </c>
      <c r="D1968" t="s">
        <v>1675</v>
      </c>
      <c r="E1968" t="s">
        <v>1945</v>
      </c>
      <c r="F1968" t="s">
        <v>1946</v>
      </c>
      <c r="G1968" t="s">
        <v>1704</v>
      </c>
      <c r="H1968" t="s">
        <v>1945</v>
      </c>
      <c r="I1968" t="s">
        <v>1634</v>
      </c>
      <c r="J1968" t="e">
        <v>#N/A</v>
      </c>
      <c r="K1968">
        <v>0.56018519</v>
      </c>
      <c r="L1968">
        <v>100.8333342</v>
      </c>
      <c r="M1968" s="1">
        <v>15</v>
      </c>
      <c r="N1968">
        <v>0</v>
      </c>
      <c r="O1968">
        <v>0</v>
      </c>
      <c r="P1968">
        <v>180</v>
      </c>
      <c r="Q1968" s="1">
        <v>180</v>
      </c>
      <c r="R1968">
        <v>0.60499999999999998</v>
      </c>
      <c r="S1968" s="2">
        <v>45566</v>
      </c>
      <c r="T1968" s="2">
        <v>45968</v>
      </c>
      <c r="U1968">
        <v>0</v>
      </c>
      <c r="V1968">
        <v>0</v>
      </c>
      <c r="W1968">
        <v>0</v>
      </c>
      <c r="X1968">
        <v>0</v>
      </c>
      <c r="Y1968">
        <v>0</v>
      </c>
      <c r="Z1968" s="8">
        <v>0</v>
      </c>
      <c r="AA1968">
        <v>0</v>
      </c>
      <c r="AB1968" t="s">
        <v>1635</v>
      </c>
      <c r="AC1968" t="s">
        <v>1635</v>
      </c>
      <c r="AD1968" s="1" t="s">
        <v>1635</v>
      </c>
      <c r="AE1968" s="2" t="s">
        <v>1635</v>
      </c>
      <c r="AF1968" s="2" t="s">
        <v>1635</v>
      </c>
      <c r="AG1968" s="2" t="s">
        <v>1635</v>
      </c>
      <c r="AH1968">
        <v>0</v>
      </c>
      <c r="AI1968" s="3" t="s">
        <v>1635</v>
      </c>
      <c r="AJ1968" s="1" t="s">
        <v>1635</v>
      </c>
      <c r="AK1968" s="2" t="s">
        <v>1635</v>
      </c>
      <c r="AL1968" s="4" t="s">
        <v>1658</v>
      </c>
      <c r="AM1968" s="5" t="s">
        <v>1658</v>
      </c>
      <c r="AN1968" s="4">
        <v>0</v>
      </c>
      <c r="AO1968" t="s">
        <v>1635</v>
      </c>
      <c r="AP1968" s="4" t="s">
        <v>1658</v>
      </c>
      <c r="AQ1968" t="s">
        <v>1619</v>
      </c>
      <c r="AR1968" t="s">
        <v>1620</v>
      </c>
      <c r="AT1968" s="16" t="str">
        <f>_xlfn.XLOOKUP(B1968,'SWiSH Demand Forecast Sep-26'!D:D,'SWiSH Demand Forecast Sep-26'!G:G,"Not Exist")</f>
        <v>Not Exist</v>
      </c>
    </row>
    <row r="1969" spans="1:46" x14ac:dyDescent="0.3">
      <c r="A1969">
        <v>104600042</v>
      </c>
      <c r="B1969" t="s">
        <v>3854</v>
      </c>
      <c r="C1969" t="s">
        <v>10</v>
      </c>
      <c r="D1969" t="s">
        <v>1675</v>
      </c>
      <c r="E1969" t="s">
        <v>1638</v>
      </c>
      <c r="F1969" t="s">
        <v>1946</v>
      </c>
      <c r="G1969" t="s">
        <v>1704</v>
      </c>
      <c r="H1969" t="s">
        <v>1945</v>
      </c>
      <c r="I1969" t="s">
        <v>1634</v>
      </c>
      <c r="J1969" t="e">
        <v>#N/A</v>
      </c>
      <c r="K1969">
        <v>1.8680869600000001</v>
      </c>
      <c r="L1969">
        <v>13.076608720000001</v>
      </c>
      <c r="M1969" s="1">
        <v>15</v>
      </c>
      <c r="N1969">
        <v>0</v>
      </c>
      <c r="O1969">
        <v>0</v>
      </c>
      <c r="P1969">
        <v>7</v>
      </c>
      <c r="Q1969" s="1">
        <v>7</v>
      </c>
      <c r="R1969">
        <v>3.069</v>
      </c>
      <c r="S1969" s="2">
        <v>44178</v>
      </c>
      <c r="T1969" s="2">
        <v>45968</v>
      </c>
      <c r="U1969">
        <v>0</v>
      </c>
      <c r="V1969">
        <v>0</v>
      </c>
      <c r="W1969">
        <v>0</v>
      </c>
      <c r="X1969">
        <v>0</v>
      </c>
      <c r="Y1969">
        <v>0</v>
      </c>
      <c r="Z1969" s="8">
        <v>0</v>
      </c>
      <c r="AA1969">
        <v>0</v>
      </c>
      <c r="AB1969" t="s">
        <v>1635</v>
      </c>
      <c r="AC1969" t="s">
        <v>1635</v>
      </c>
      <c r="AD1969" s="1" t="s">
        <v>1635</v>
      </c>
      <c r="AE1969" s="2" t="s">
        <v>1635</v>
      </c>
      <c r="AF1969" s="2" t="s">
        <v>1635</v>
      </c>
      <c r="AG1969" s="2" t="s">
        <v>1635</v>
      </c>
      <c r="AH1969">
        <v>0</v>
      </c>
      <c r="AI1969" s="3" t="s">
        <v>1635</v>
      </c>
      <c r="AJ1969" s="1" t="s">
        <v>1635</v>
      </c>
      <c r="AK1969" s="2" t="s">
        <v>1635</v>
      </c>
      <c r="AL1969" s="4" t="s">
        <v>1658</v>
      </c>
      <c r="AM1969" s="5" t="s">
        <v>1658</v>
      </c>
      <c r="AN1969" s="4">
        <v>0</v>
      </c>
      <c r="AO1969" t="s">
        <v>1635</v>
      </c>
      <c r="AP1969" s="4" t="s">
        <v>1658</v>
      </c>
      <c r="AQ1969" t="s">
        <v>1619</v>
      </c>
      <c r="AR1969" t="s">
        <v>1620</v>
      </c>
      <c r="AT1969" s="16" t="str">
        <f>_xlfn.XLOOKUP(B1969,'SWiSH Demand Forecast Sep-26'!D:D,'SWiSH Demand Forecast Sep-26'!G:G,"Not Exist")</f>
        <v>Not Exist</v>
      </c>
    </row>
    <row r="1970" spans="1:46" x14ac:dyDescent="0.3">
      <c r="A1970">
        <v>101800010</v>
      </c>
      <c r="B1970" t="s">
        <v>3855</v>
      </c>
      <c r="C1970" t="s">
        <v>10</v>
      </c>
      <c r="D1970" t="s">
        <v>1629</v>
      </c>
      <c r="E1970" t="s">
        <v>1638</v>
      </c>
      <c r="F1970" t="s">
        <v>1631</v>
      </c>
      <c r="G1970" t="s">
        <v>1704</v>
      </c>
      <c r="H1970" t="s">
        <v>2144</v>
      </c>
      <c r="I1970" t="s">
        <v>1634</v>
      </c>
      <c r="J1970" t="e">
        <v>#N/A</v>
      </c>
      <c r="K1970">
        <v>4.7499999999999999E-3</v>
      </c>
      <c r="L1970">
        <v>7.8374999999999995</v>
      </c>
      <c r="M1970" s="1">
        <v>7</v>
      </c>
      <c r="N1970">
        <v>0</v>
      </c>
      <c r="O1970">
        <v>0</v>
      </c>
      <c r="P1970">
        <v>1650</v>
      </c>
      <c r="Q1970" s="1">
        <v>1650</v>
      </c>
      <c r="R1970">
        <v>9.5</v>
      </c>
      <c r="S1970" s="2">
        <v>44056</v>
      </c>
      <c r="T1970" s="2">
        <v>45777</v>
      </c>
      <c r="U1970">
        <v>0</v>
      </c>
      <c r="V1970">
        <v>0</v>
      </c>
      <c r="W1970">
        <v>0</v>
      </c>
      <c r="X1970">
        <v>0</v>
      </c>
      <c r="Y1970">
        <v>0</v>
      </c>
      <c r="Z1970" s="8">
        <v>0</v>
      </c>
      <c r="AA1970">
        <v>0</v>
      </c>
      <c r="AB1970" t="s">
        <v>1635</v>
      </c>
      <c r="AC1970" t="s">
        <v>1635</v>
      </c>
      <c r="AD1970" s="1" t="s">
        <v>1635</v>
      </c>
      <c r="AE1970" s="2" t="s">
        <v>1635</v>
      </c>
      <c r="AF1970" s="2" t="s">
        <v>1635</v>
      </c>
      <c r="AG1970" s="2" t="s">
        <v>1635</v>
      </c>
      <c r="AH1970">
        <v>0</v>
      </c>
      <c r="AI1970" s="3" t="s">
        <v>1635</v>
      </c>
      <c r="AJ1970" s="1" t="s">
        <v>1635</v>
      </c>
      <c r="AK1970" s="2" t="s">
        <v>1635</v>
      </c>
      <c r="AL1970" s="4" t="s">
        <v>1636</v>
      </c>
      <c r="AM1970" s="5" t="s">
        <v>1636</v>
      </c>
      <c r="AN1970" s="4">
        <v>0</v>
      </c>
      <c r="AO1970" t="s">
        <v>1635</v>
      </c>
      <c r="AP1970" s="4" t="s">
        <v>1636</v>
      </c>
      <c r="AQ1970" t="s">
        <v>1619</v>
      </c>
      <c r="AR1970" t="s">
        <v>1620</v>
      </c>
      <c r="AT1970" s="16" t="str">
        <f>_xlfn.XLOOKUP(B1970,'SWiSH Demand Forecast Sep-26'!D:D,'SWiSH Demand Forecast Sep-26'!G:G,"Not Exist")</f>
        <v>Not Exist</v>
      </c>
    </row>
    <row r="1971" spans="1:46" x14ac:dyDescent="0.3">
      <c r="A1971">
        <v>104600061</v>
      </c>
      <c r="B1971" t="s">
        <v>3856</v>
      </c>
      <c r="C1971" t="s">
        <v>10</v>
      </c>
      <c r="D1971" t="s">
        <v>1675</v>
      </c>
      <c r="E1971" t="s">
        <v>1638</v>
      </c>
      <c r="F1971" t="s">
        <v>1946</v>
      </c>
      <c r="G1971" t="s">
        <v>1704</v>
      </c>
      <c r="H1971" t="s">
        <v>1945</v>
      </c>
      <c r="I1971" t="s">
        <v>1634</v>
      </c>
      <c r="J1971" t="e">
        <v>#N/A</v>
      </c>
      <c r="K1971">
        <v>3.9536184200000002</v>
      </c>
      <c r="L1971">
        <v>256.98519730000004</v>
      </c>
      <c r="M1971" s="1">
        <v>15</v>
      </c>
      <c r="N1971">
        <v>0</v>
      </c>
      <c r="O1971">
        <v>0</v>
      </c>
      <c r="P1971">
        <v>65</v>
      </c>
      <c r="Q1971" s="1">
        <v>65</v>
      </c>
      <c r="R1971">
        <v>4.2925000000000004</v>
      </c>
      <c r="S1971" s="2">
        <v>44178</v>
      </c>
      <c r="T1971" s="2">
        <v>45968</v>
      </c>
      <c r="U1971">
        <v>0</v>
      </c>
      <c r="V1971">
        <v>0</v>
      </c>
      <c r="W1971">
        <v>0</v>
      </c>
      <c r="X1971">
        <v>0</v>
      </c>
      <c r="Y1971">
        <v>0</v>
      </c>
      <c r="Z1971" s="8">
        <v>0</v>
      </c>
      <c r="AA1971">
        <v>0</v>
      </c>
      <c r="AB1971" t="s">
        <v>1635</v>
      </c>
      <c r="AC1971" t="s">
        <v>1635</v>
      </c>
      <c r="AD1971" s="1" t="s">
        <v>1635</v>
      </c>
      <c r="AE1971" s="2" t="s">
        <v>1635</v>
      </c>
      <c r="AF1971" s="2" t="s">
        <v>1635</v>
      </c>
      <c r="AG1971" s="2" t="s">
        <v>1635</v>
      </c>
      <c r="AH1971">
        <v>0</v>
      </c>
      <c r="AI1971" s="3" t="s">
        <v>1635</v>
      </c>
      <c r="AJ1971" s="1" t="s">
        <v>1635</v>
      </c>
      <c r="AK1971" s="2" t="s">
        <v>1635</v>
      </c>
      <c r="AL1971" s="4" t="s">
        <v>1658</v>
      </c>
      <c r="AM1971" s="5" t="s">
        <v>1658</v>
      </c>
      <c r="AN1971" s="4">
        <v>0</v>
      </c>
      <c r="AO1971" t="s">
        <v>1635</v>
      </c>
      <c r="AP1971" s="4" t="s">
        <v>1658</v>
      </c>
      <c r="AQ1971" t="s">
        <v>1619</v>
      </c>
      <c r="AR1971" t="s">
        <v>1620</v>
      </c>
      <c r="AT1971" s="16" t="str">
        <f>_xlfn.XLOOKUP(B1971,'SWiSH Demand Forecast Sep-26'!D:D,'SWiSH Demand Forecast Sep-26'!G:G,"Not Exist")</f>
        <v>Not Exist</v>
      </c>
    </row>
    <row r="1972" spans="1:46" x14ac:dyDescent="0.3">
      <c r="A1972">
        <v>105200025</v>
      </c>
      <c r="B1972" t="s">
        <v>3857</v>
      </c>
      <c r="C1972" t="s">
        <v>10</v>
      </c>
      <c r="D1972" t="s">
        <v>1629</v>
      </c>
      <c r="E1972" t="s">
        <v>1745</v>
      </c>
      <c r="F1972" t="s">
        <v>1664</v>
      </c>
      <c r="G1972" t="s">
        <v>1690</v>
      </c>
      <c r="H1972" t="s">
        <v>1779</v>
      </c>
      <c r="I1972" t="s">
        <v>1634</v>
      </c>
      <c r="J1972" t="s">
        <v>10</v>
      </c>
      <c r="K1972">
        <v>8.9999999999999993E-3</v>
      </c>
      <c r="L1972">
        <v>0</v>
      </c>
      <c r="M1972" s="1">
        <v>30</v>
      </c>
      <c r="N1972">
        <v>0</v>
      </c>
      <c r="O1972">
        <v>0</v>
      </c>
      <c r="P1972">
        <v>0</v>
      </c>
      <c r="Q1972" s="1">
        <v>0</v>
      </c>
      <c r="R1972">
        <v>8.9999999999999993E-3</v>
      </c>
      <c r="S1972" s="2">
        <v>45777</v>
      </c>
      <c r="T1972" s="2">
        <v>46002</v>
      </c>
      <c r="U1972">
        <v>0</v>
      </c>
      <c r="V1972">
        <v>0</v>
      </c>
      <c r="W1972">
        <v>0</v>
      </c>
      <c r="X1972">
        <v>0</v>
      </c>
      <c r="Y1972">
        <v>0</v>
      </c>
      <c r="Z1972" s="8">
        <v>0</v>
      </c>
      <c r="AA1972">
        <v>0</v>
      </c>
      <c r="AB1972" t="s">
        <v>1635</v>
      </c>
      <c r="AC1972" t="s">
        <v>1635</v>
      </c>
      <c r="AD1972" s="1" t="s">
        <v>1635</v>
      </c>
      <c r="AE1972" s="2" t="s">
        <v>1635</v>
      </c>
      <c r="AF1972" s="2" t="s">
        <v>1635</v>
      </c>
      <c r="AG1972" s="2" t="s">
        <v>1635</v>
      </c>
      <c r="AH1972">
        <v>0</v>
      </c>
      <c r="AI1972" s="3" t="s">
        <v>1635</v>
      </c>
      <c r="AJ1972" s="1" t="s">
        <v>1635</v>
      </c>
      <c r="AK1972" s="2" t="s">
        <v>1635</v>
      </c>
      <c r="AL1972" s="4" t="s">
        <v>1636</v>
      </c>
      <c r="AM1972" s="5" t="s">
        <v>1636</v>
      </c>
      <c r="AN1972" s="4">
        <v>0</v>
      </c>
      <c r="AO1972" t="s">
        <v>1635</v>
      </c>
      <c r="AP1972" s="4" t="s">
        <v>1636</v>
      </c>
      <c r="AQ1972" t="s">
        <v>1619</v>
      </c>
      <c r="AR1972" t="s">
        <v>1620</v>
      </c>
      <c r="AT1972" s="16" t="str">
        <f>_xlfn.XLOOKUP(B1972,'SWiSH Demand Forecast Sep-26'!D:D,'SWiSH Demand Forecast Sep-26'!G:G,"Not Exist")</f>
        <v>Not Exist</v>
      </c>
    </row>
    <row r="1973" spans="1:46" x14ac:dyDescent="0.3">
      <c r="A1973">
        <v>107400006</v>
      </c>
      <c r="B1973" t="s">
        <v>3858</v>
      </c>
      <c r="C1973" t="s">
        <v>10</v>
      </c>
      <c r="D1973" t="s">
        <v>1629</v>
      </c>
      <c r="E1973" t="e">
        <v>#N/A</v>
      </c>
      <c r="F1973" t="s">
        <v>1631</v>
      </c>
      <c r="G1973" t="s">
        <v>1704</v>
      </c>
      <c r="H1973" t="s">
        <v>2016</v>
      </c>
      <c r="I1973" t="s">
        <v>1634</v>
      </c>
      <c r="J1973" t="s">
        <v>10</v>
      </c>
      <c r="K1973">
        <v>0.01</v>
      </c>
      <c r="L1973">
        <v>0</v>
      </c>
      <c r="M1973" s="1">
        <v>15</v>
      </c>
      <c r="N1973">
        <v>0</v>
      </c>
      <c r="O1973">
        <v>0</v>
      </c>
      <c r="P1973">
        <v>0</v>
      </c>
      <c r="Q1973" s="1">
        <v>0</v>
      </c>
      <c r="R1973">
        <v>0.01</v>
      </c>
      <c r="S1973" s="2">
        <v>45773</v>
      </c>
      <c r="T1973" s="2">
        <v>45258</v>
      </c>
      <c r="U1973">
        <v>0</v>
      </c>
      <c r="V1973">
        <v>0</v>
      </c>
      <c r="W1973">
        <v>0</v>
      </c>
      <c r="X1973">
        <v>0</v>
      </c>
      <c r="Y1973">
        <v>0</v>
      </c>
      <c r="Z1973" s="8">
        <v>0</v>
      </c>
      <c r="AA1973">
        <v>0</v>
      </c>
      <c r="AB1973" t="s">
        <v>1635</v>
      </c>
      <c r="AC1973" t="s">
        <v>1635</v>
      </c>
      <c r="AD1973" s="1" t="s">
        <v>1635</v>
      </c>
      <c r="AE1973" s="2" t="s">
        <v>1635</v>
      </c>
      <c r="AF1973" s="2" t="s">
        <v>1635</v>
      </c>
      <c r="AG1973" s="2" t="s">
        <v>1635</v>
      </c>
      <c r="AH1973">
        <v>0</v>
      </c>
      <c r="AI1973" s="3" t="s">
        <v>1635</v>
      </c>
      <c r="AJ1973" s="1" t="s">
        <v>1635</v>
      </c>
      <c r="AK1973" s="2" t="s">
        <v>1635</v>
      </c>
      <c r="AL1973" s="4" t="s">
        <v>1636</v>
      </c>
      <c r="AM1973" s="5" t="s">
        <v>1636</v>
      </c>
      <c r="AN1973" s="4">
        <v>0</v>
      </c>
      <c r="AO1973" t="s">
        <v>1635</v>
      </c>
      <c r="AP1973" s="4" t="s">
        <v>1636</v>
      </c>
      <c r="AQ1973" t="s">
        <v>1619</v>
      </c>
      <c r="AR1973" t="s">
        <v>1620</v>
      </c>
      <c r="AT1973" s="16" t="str">
        <f>_xlfn.XLOOKUP(B1973,'SWiSH Demand Forecast Sep-26'!D:D,'SWiSH Demand Forecast Sep-26'!G:G,"Not Exist")</f>
        <v>Not Exist</v>
      </c>
    </row>
    <row r="1974" spans="1:46" x14ac:dyDescent="0.3">
      <c r="A1974">
        <v>106800068</v>
      </c>
      <c r="B1974" t="s">
        <v>3859</v>
      </c>
      <c r="C1974" t="s">
        <v>10</v>
      </c>
      <c r="D1974" t="s">
        <v>1675</v>
      </c>
      <c r="E1974" t="e">
        <v>#N/A</v>
      </c>
      <c r="F1974" t="s">
        <v>1664</v>
      </c>
      <c r="G1974" t="e">
        <v>#N/A</v>
      </c>
      <c r="H1974" t="s">
        <v>1665</v>
      </c>
      <c r="I1974" t="s">
        <v>1634</v>
      </c>
      <c r="J1974" t="s">
        <v>10</v>
      </c>
      <c r="K1974" t="e">
        <v>#N/A</v>
      </c>
      <c r="L1974" t="e">
        <v>#N/A</v>
      </c>
      <c r="M1974" s="1">
        <v>7</v>
      </c>
      <c r="N1974">
        <v>0</v>
      </c>
      <c r="O1974">
        <v>0</v>
      </c>
      <c r="P1974">
        <v>0</v>
      </c>
      <c r="Q1974" s="1">
        <v>0</v>
      </c>
      <c r="R1974">
        <v>3.5000000000000001E-3</v>
      </c>
      <c r="S1974" s="2">
        <v>45502</v>
      </c>
      <c r="T1974" s="2">
        <v>45777</v>
      </c>
      <c r="U1974">
        <v>0</v>
      </c>
      <c r="V1974">
        <v>0</v>
      </c>
      <c r="W1974">
        <v>0</v>
      </c>
      <c r="X1974">
        <v>0</v>
      </c>
      <c r="Y1974">
        <v>0</v>
      </c>
      <c r="Z1974" s="8">
        <v>0</v>
      </c>
      <c r="AA1974">
        <v>0</v>
      </c>
      <c r="AB1974" t="s">
        <v>1635</v>
      </c>
      <c r="AC1974" t="s">
        <v>1635</v>
      </c>
      <c r="AD1974" s="1" t="s">
        <v>1635</v>
      </c>
      <c r="AE1974" s="2" t="s">
        <v>1635</v>
      </c>
      <c r="AF1974" s="2" t="s">
        <v>1635</v>
      </c>
      <c r="AG1974" s="2" t="s">
        <v>1635</v>
      </c>
      <c r="AH1974">
        <v>0</v>
      </c>
      <c r="AI1974" s="3" t="s">
        <v>1635</v>
      </c>
      <c r="AJ1974" s="1" t="s">
        <v>1635</v>
      </c>
      <c r="AK1974" s="2" t="s">
        <v>1635</v>
      </c>
      <c r="AL1974" s="4" t="s">
        <v>1658</v>
      </c>
      <c r="AM1974" s="5" t="s">
        <v>1658</v>
      </c>
      <c r="AN1974" s="4">
        <v>0</v>
      </c>
      <c r="AO1974" t="s">
        <v>1635</v>
      </c>
      <c r="AP1974" s="4" t="s">
        <v>1658</v>
      </c>
      <c r="AQ1974" t="s">
        <v>1619</v>
      </c>
      <c r="AR1974" t="s">
        <v>1620</v>
      </c>
      <c r="AT1974" s="16" t="str">
        <f>_xlfn.XLOOKUP(B1974,'SWiSH Demand Forecast Sep-26'!D:D,'SWiSH Demand Forecast Sep-26'!G:G,"Not Exist")</f>
        <v>Not Exist</v>
      </c>
    </row>
    <row r="1975" spans="1:46" x14ac:dyDescent="0.3">
      <c r="A1975">
        <v>101600061</v>
      </c>
      <c r="B1975" t="s">
        <v>3860</v>
      </c>
      <c r="C1975" t="s">
        <v>10</v>
      </c>
      <c r="D1975" t="s">
        <v>1629</v>
      </c>
      <c r="E1975" t="e">
        <v>#N/A</v>
      </c>
      <c r="F1975" t="s">
        <v>1631</v>
      </c>
      <c r="G1975" t="s">
        <v>1704</v>
      </c>
      <c r="H1975" t="s">
        <v>1768</v>
      </c>
      <c r="I1975" t="s">
        <v>1634</v>
      </c>
      <c r="J1975" t="s">
        <v>10</v>
      </c>
      <c r="K1975">
        <v>0.04</v>
      </c>
      <c r="L1975">
        <v>0</v>
      </c>
      <c r="M1975" s="1">
        <v>3</v>
      </c>
      <c r="N1975">
        <v>0</v>
      </c>
      <c r="O1975">
        <v>0</v>
      </c>
      <c r="P1975">
        <v>0</v>
      </c>
      <c r="Q1975" s="1">
        <v>0</v>
      </c>
      <c r="R1975">
        <v>0.04</v>
      </c>
      <c r="S1975" s="2">
        <v>45774</v>
      </c>
      <c r="T1975" s="2">
        <v>45822</v>
      </c>
      <c r="U1975">
        <v>0</v>
      </c>
      <c r="V1975">
        <v>0</v>
      </c>
      <c r="W1975">
        <v>0</v>
      </c>
      <c r="X1975">
        <v>0</v>
      </c>
      <c r="Y1975">
        <v>0</v>
      </c>
      <c r="Z1975" s="8">
        <v>0</v>
      </c>
      <c r="AA1975">
        <v>0</v>
      </c>
      <c r="AB1975" t="s">
        <v>1635</v>
      </c>
      <c r="AC1975" t="s">
        <v>1635</v>
      </c>
      <c r="AD1975" s="1" t="s">
        <v>1635</v>
      </c>
      <c r="AE1975" s="2" t="s">
        <v>1635</v>
      </c>
      <c r="AF1975" s="2" t="s">
        <v>1635</v>
      </c>
      <c r="AG1975" s="2" t="s">
        <v>1635</v>
      </c>
      <c r="AH1975">
        <v>0</v>
      </c>
      <c r="AI1975" s="3" t="s">
        <v>1635</v>
      </c>
      <c r="AJ1975" s="1" t="s">
        <v>1635</v>
      </c>
      <c r="AK1975" s="2" t="s">
        <v>1635</v>
      </c>
      <c r="AL1975" s="4" t="s">
        <v>1636</v>
      </c>
      <c r="AM1975" s="5" t="s">
        <v>1636</v>
      </c>
      <c r="AN1975" s="4">
        <v>0</v>
      </c>
      <c r="AO1975" t="s">
        <v>1635</v>
      </c>
      <c r="AP1975" s="4" t="s">
        <v>1636</v>
      </c>
      <c r="AQ1975" t="s">
        <v>1619</v>
      </c>
      <c r="AR1975" t="s">
        <v>1620</v>
      </c>
      <c r="AT1975" s="16" t="str">
        <f>_xlfn.XLOOKUP(B1975,'SWiSH Demand Forecast Sep-26'!D:D,'SWiSH Demand Forecast Sep-26'!G:G,"Not Exist")</f>
        <v>Not Exist</v>
      </c>
    </row>
    <row r="1976" spans="1:46" x14ac:dyDescent="0.3">
      <c r="A1976">
        <v>101600037</v>
      </c>
      <c r="B1976" t="s">
        <v>3861</v>
      </c>
      <c r="C1976" t="s">
        <v>10</v>
      </c>
      <c r="D1976" t="s">
        <v>1629</v>
      </c>
      <c r="E1976" t="s">
        <v>1655</v>
      </c>
      <c r="F1976" t="s">
        <v>1631</v>
      </c>
      <c r="G1976" t="s">
        <v>1704</v>
      </c>
      <c r="H1976" t="s">
        <v>1768</v>
      </c>
      <c r="I1976" t="s">
        <v>1634</v>
      </c>
      <c r="J1976" t="s">
        <v>10</v>
      </c>
      <c r="K1976">
        <v>1.9E-2</v>
      </c>
      <c r="L1976">
        <v>266</v>
      </c>
      <c r="M1976" s="1">
        <v>7</v>
      </c>
      <c r="N1976">
        <v>0</v>
      </c>
      <c r="O1976">
        <v>0</v>
      </c>
      <c r="P1976">
        <v>14000</v>
      </c>
      <c r="Q1976" s="1">
        <v>14000</v>
      </c>
      <c r="R1976">
        <v>1.9E-2</v>
      </c>
      <c r="S1976" s="2">
        <v>45873</v>
      </c>
      <c r="T1976" s="2">
        <v>45968</v>
      </c>
      <c r="U1976">
        <v>0</v>
      </c>
      <c r="V1976">
        <v>0</v>
      </c>
      <c r="W1976">
        <v>0</v>
      </c>
      <c r="X1976">
        <v>0</v>
      </c>
      <c r="Y1976">
        <v>0</v>
      </c>
      <c r="Z1976" s="8">
        <v>0</v>
      </c>
      <c r="AA1976">
        <v>0</v>
      </c>
      <c r="AB1976" t="s">
        <v>1635</v>
      </c>
      <c r="AC1976" t="s">
        <v>1635</v>
      </c>
      <c r="AD1976" s="1" t="s">
        <v>1635</v>
      </c>
      <c r="AE1976" s="2" t="s">
        <v>1635</v>
      </c>
      <c r="AF1976" s="2" t="s">
        <v>1635</v>
      </c>
      <c r="AG1976" s="2" t="s">
        <v>1635</v>
      </c>
      <c r="AH1976">
        <v>0</v>
      </c>
      <c r="AI1976" s="3" t="s">
        <v>1635</v>
      </c>
      <c r="AJ1976" s="1" t="s">
        <v>1635</v>
      </c>
      <c r="AK1976" s="2" t="s">
        <v>1635</v>
      </c>
      <c r="AL1976" s="4" t="s">
        <v>1636</v>
      </c>
      <c r="AM1976" s="5" t="s">
        <v>1636</v>
      </c>
      <c r="AN1976" s="4">
        <v>0</v>
      </c>
      <c r="AO1976" t="s">
        <v>1635</v>
      </c>
      <c r="AP1976" s="4" t="s">
        <v>1636</v>
      </c>
      <c r="AQ1976" t="s">
        <v>1619</v>
      </c>
      <c r="AR1976" t="s">
        <v>1620</v>
      </c>
      <c r="AT1976" s="16" t="str">
        <f>_xlfn.XLOOKUP(B1976,'SWiSH Demand Forecast Sep-26'!D:D,'SWiSH Demand Forecast Sep-26'!G:G,"Not Exist")</f>
        <v>Not Exist</v>
      </c>
    </row>
    <row r="1977" spans="1:46" x14ac:dyDescent="0.3">
      <c r="A1977">
        <v>101600064</v>
      </c>
      <c r="B1977" t="s">
        <v>3862</v>
      </c>
      <c r="C1977" t="s">
        <v>10</v>
      </c>
      <c r="D1977" t="s">
        <v>1629</v>
      </c>
      <c r="E1977" t="e">
        <v>#N/A</v>
      </c>
      <c r="F1977" t="s">
        <v>1631</v>
      </c>
      <c r="G1977" t="s">
        <v>1704</v>
      </c>
      <c r="H1977" t="s">
        <v>1768</v>
      </c>
      <c r="I1977" t="s">
        <v>1634</v>
      </c>
      <c r="J1977" t="s">
        <v>10</v>
      </c>
      <c r="K1977">
        <v>1.4E-2</v>
      </c>
      <c r="L1977">
        <v>151.20000000000002</v>
      </c>
      <c r="M1977" s="1">
        <v>3</v>
      </c>
      <c r="N1977">
        <v>0</v>
      </c>
      <c r="O1977">
        <v>0</v>
      </c>
      <c r="P1977">
        <v>10800</v>
      </c>
      <c r="Q1977" s="1">
        <v>10800</v>
      </c>
      <c r="R1977">
        <v>1.4E-2</v>
      </c>
      <c r="S1977" s="2">
        <v>45774</v>
      </c>
      <c r="T1977" s="2">
        <v>45513</v>
      </c>
      <c r="U1977">
        <v>0</v>
      </c>
      <c r="V1977">
        <v>0</v>
      </c>
      <c r="W1977">
        <v>0</v>
      </c>
      <c r="X1977">
        <v>0</v>
      </c>
      <c r="Y1977">
        <v>0</v>
      </c>
      <c r="Z1977" s="8">
        <v>0</v>
      </c>
      <c r="AA1977">
        <v>0</v>
      </c>
      <c r="AB1977" t="s">
        <v>1635</v>
      </c>
      <c r="AC1977" t="s">
        <v>1635</v>
      </c>
      <c r="AD1977" s="1" t="s">
        <v>1635</v>
      </c>
      <c r="AE1977" s="2" t="s">
        <v>1635</v>
      </c>
      <c r="AF1977" s="2" t="s">
        <v>1635</v>
      </c>
      <c r="AG1977" s="2" t="s">
        <v>1635</v>
      </c>
      <c r="AH1977">
        <v>0</v>
      </c>
      <c r="AI1977" s="3" t="s">
        <v>1635</v>
      </c>
      <c r="AJ1977" s="1" t="s">
        <v>1635</v>
      </c>
      <c r="AK1977" s="2" t="s">
        <v>1635</v>
      </c>
      <c r="AL1977" s="4" t="s">
        <v>1636</v>
      </c>
      <c r="AM1977" s="5" t="s">
        <v>1636</v>
      </c>
      <c r="AN1977" s="4">
        <v>0</v>
      </c>
      <c r="AO1977" t="s">
        <v>1635</v>
      </c>
      <c r="AP1977" s="4" t="s">
        <v>1636</v>
      </c>
      <c r="AQ1977" t="s">
        <v>1619</v>
      </c>
      <c r="AR1977" t="s">
        <v>1620</v>
      </c>
      <c r="AT1977" s="16" t="str">
        <f>_xlfn.XLOOKUP(B1977,'SWiSH Demand Forecast Sep-26'!D:D,'SWiSH Demand Forecast Sep-26'!G:G,"Not Exist")</f>
        <v>Not Exist</v>
      </c>
    </row>
    <row r="1978" spans="1:46" x14ac:dyDescent="0.3">
      <c r="A1978">
        <v>107400050</v>
      </c>
      <c r="B1978" t="s">
        <v>3863</v>
      </c>
      <c r="C1978" t="s">
        <v>10</v>
      </c>
      <c r="D1978" t="s">
        <v>1629</v>
      </c>
      <c r="E1978" t="s">
        <v>1638</v>
      </c>
      <c r="F1978" t="s">
        <v>1631</v>
      </c>
      <c r="G1978" t="s">
        <v>1704</v>
      </c>
      <c r="H1978" t="s">
        <v>2016</v>
      </c>
      <c r="I1978" t="s">
        <v>1634</v>
      </c>
      <c r="J1978" t="s">
        <v>10</v>
      </c>
      <c r="K1978">
        <v>1.2E-2</v>
      </c>
      <c r="L1978">
        <v>0</v>
      </c>
      <c r="M1978" s="1">
        <v>15</v>
      </c>
      <c r="N1978">
        <v>0</v>
      </c>
      <c r="O1978">
        <v>0</v>
      </c>
      <c r="P1978">
        <v>0</v>
      </c>
      <c r="Q1978" s="1">
        <v>0</v>
      </c>
      <c r="R1978">
        <v>1.2E-2</v>
      </c>
      <c r="S1978" s="2">
        <v>45719</v>
      </c>
      <c r="T1978" s="2">
        <v>45777</v>
      </c>
      <c r="U1978">
        <v>0</v>
      </c>
      <c r="V1978">
        <v>0</v>
      </c>
      <c r="W1978">
        <v>0</v>
      </c>
      <c r="X1978">
        <v>0</v>
      </c>
      <c r="Y1978">
        <v>0</v>
      </c>
      <c r="Z1978" s="8">
        <v>0</v>
      </c>
      <c r="AA1978">
        <v>0</v>
      </c>
      <c r="AB1978" t="s">
        <v>1635</v>
      </c>
      <c r="AC1978" t="s">
        <v>1635</v>
      </c>
      <c r="AD1978" s="1" t="s">
        <v>1635</v>
      </c>
      <c r="AE1978" s="2" t="s">
        <v>1635</v>
      </c>
      <c r="AF1978" s="2" t="s">
        <v>1635</v>
      </c>
      <c r="AG1978" s="2" t="s">
        <v>1635</v>
      </c>
      <c r="AH1978">
        <v>0</v>
      </c>
      <c r="AI1978" s="3" t="s">
        <v>1635</v>
      </c>
      <c r="AJ1978" s="1" t="s">
        <v>1635</v>
      </c>
      <c r="AK1978" s="2" t="s">
        <v>1635</v>
      </c>
      <c r="AL1978" s="4" t="s">
        <v>1636</v>
      </c>
      <c r="AM1978" s="5" t="s">
        <v>1636</v>
      </c>
      <c r="AN1978" s="4">
        <v>0</v>
      </c>
      <c r="AO1978" t="s">
        <v>1635</v>
      </c>
      <c r="AP1978" s="4" t="s">
        <v>1636</v>
      </c>
      <c r="AQ1978" t="s">
        <v>1619</v>
      </c>
      <c r="AR1978" t="s">
        <v>1620</v>
      </c>
      <c r="AT1978" s="16" t="str">
        <f>_xlfn.XLOOKUP(B1978,'SWiSH Demand Forecast Sep-26'!D:D,'SWiSH Demand Forecast Sep-26'!G:G,"Not Exist")</f>
        <v>Not Exist</v>
      </c>
    </row>
    <row r="1979" spans="1:46" x14ac:dyDescent="0.3">
      <c r="A1979">
        <v>104600048</v>
      </c>
      <c r="B1979" t="s">
        <v>3864</v>
      </c>
      <c r="C1979" t="s">
        <v>10</v>
      </c>
      <c r="D1979" t="s">
        <v>1675</v>
      </c>
      <c r="E1979" t="s">
        <v>1638</v>
      </c>
      <c r="F1979" t="s">
        <v>1946</v>
      </c>
      <c r="G1979" t="s">
        <v>1704</v>
      </c>
      <c r="H1979" t="s">
        <v>1945</v>
      </c>
      <c r="I1979" t="s">
        <v>1634</v>
      </c>
      <c r="J1979" t="e">
        <v>#N/A</v>
      </c>
      <c r="K1979">
        <v>0.3060503</v>
      </c>
      <c r="L1979">
        <v>27.2384767</v>
      </c>
      <c r="M1979" s="1">
        <v>15</v>
      </c>
      <c r="N1979">
        <v>0</v>
      </c>
      <c r="O1979">
        <v>0</v>
      </c>
      <c r="P1979">
        <v>89</v>
      </c>
      <c r="Q1979" s="1">
        <v>89</v>
      </c>
      <c r="R1979">
        <v>0</v>
      </c>
      <c r="S1979" s="2">
        <v>0</v>
      </c>
      <c r="T1979" s="2">
        <v>45968</v>
      </c>
      <c r="U1979">
        <v>0</v>
      </c>
      <c r="V1979">
        <v>0</v>
      </c>
      <c r="W1979">
        <v>0</v>
      </c>
      <c r="X1979">
        <v>0</v>
      </c>
      <c r="Y1979">
        <v>0</v>
      </c>
      <c r="Z1979" s="8">
        <v>0</v>
      </c>
      <c r="AA1979">
        <v>0</v>
      </c>
      <c r="AB1979" t="s">
        <v>1635</v>
      </c>
      <c r="AC1979" t="s">
        <v>1635</v>
      </c>
      <c r="AD1979" s="1" t="s">
        <v>1635</v>
      </c>
      <c r="AE1979" s="2" t="s">
        <v>1635</v>
      </c>
      <c r="AF1979" s="2" t="s">
        <v>1635</v>
      </c>
      <c r="AG1979" s="2" t="s">
        <v>1635</v>
      </c>
      <c r="AH1979">
        <v>0</v>
      </c>
      <c r="AI1979" s="3" t="s">
        <v>1635</v>
      </c>
      <c r="AJ1979" s="1" t="s">
        <v>1635</v>
      </c>
      <c r="AK1979" s="2" t="s">
        <v>1635</v>
      </c>
      <c r="AL1979" s="4" t="s">
        <v>1658</v>
      </c>
      <c r="AM1979" s="5" t="s">
        <v>1658</v>
      </c>
      <c r="AN1979" s="4">
        <v>0</v>
      </c>
      <c r="AO1979" t="s">
        <v>1635</v>
      </c>
      <c r="AP1979" s="4" t="s">
        <v>1658</v>
      </c>
      <c r="AQ1979" t="s">
        <v>1619</v>
      </c>
      <c r="AR1979" t="s">
        <v>1620</v>
      </c>
      <c r="AT1979" s="16" t="str">
        <f>_xlfn.XLOOKUP(B1979,'SWiSH Demand Forecast Sep-26'!D:D,'SWiSH Demand Forecast Sep-26'!G:G,"Not Exist")</f>
        <v>Not Exist</v>
      </c>
    </row>
    <row r="1980" spans="1:46" x14ac:dyDescent="0.3">
      <c r="A1980">
        <v>106800280</v>
      </c>
      <c r="B1980" t="s">
        <v>3865</v>
      </c>
      <c r="C1980" t="s">
        <v>10</v>
      </c>
      <c r="D1980" t="s">
        <v>1675</v>
      </c>
      <c r="E1980" t="e">
        <v>#N/A</v>
      </c>
      <c r="F1980" t="s">
        <v>1664</v>
      </c>
      <c r="G1980" t="e">
        <v>#N/A</v>
      </c>
      <c r="H1980" t="s">
        <v>1665</v>
      </c>
      <c r="I1980" t="s">
        <v>1634</v>
      </c>
      <c r="J1980" t="s">
        <v>10</v>
      </c>
      <c r="K1980" t="e">
        <v>#N/A</v>
      </c>
      <c r="L1980" t="e">
        <v>#N/A</v>
      </c>
      <c r="M1980" s="1">
        <v>7</v>
      </c>
      <c r="N1980">
        <v>0</v>
      </c>
      <c r="O1980">
        <v>0</v>
      </c>
      <c r="P1980">
        <v>0</v>
      </c>
      <c r="Q1980" s="1">
        <v>0</v>
      </c>
      <c r="R1980">
        <v>6.6699999999999997E-3</v>
      </c>
      <c r="S1980" s="2">
        <v>45610</v>
      </c>
      <c r="T1980" s="2">
        <v>46055</v>
      </c>
      <c r="U1980">
        <v>0</v>
      </c>
      <c r="V1980">
        <v>0</v>
      </c>
      <c r="W1980">
        <v>0</v>
      </c>
      <c r="X1980">
        <v>0</v>
      </c>
      <c r="Y1980">
        <v>0</v>
      </c>
      <c r="Z1980" s="8">
        <v>0</v>
      </c>
      <c r="AA1980">
        <v>0</v>
      </c>
      <c r="AB1980" t="s">
        <v>1635</v>
      </c>
      <c r="AC1980" t="s">
        <v>1635</v>
      </c>
      <c r="AD1980" s="1" t="s">
        <v>1635</v>
      </c>
      <c r="AE1980" s="2" t="s">
        <v>1635</v>
      </c>
      <c r="AF1980" s="2" t="s">
        <v>1635</v>
      </c>
      <c r="AG1980" s="2" t="s">
        <v>1635</v>
      </c>
      <c r="AH1980">
        <v>0</v>
      </c>
      <c r="AI1980" s="3" t="s">
        <v>1635</v>
      </c>
      <c r="AJ1980" s="1" t="s">
        <v>1635</v>
      </c>
      <c r="AK1980" s="2" t="s">
        <v>1635</v>
      </c>
      <c r="AL1980" s="4" t="s">
        <v>1658</v>
      </c>
      <c r="AM1980" s="5" t="s">
        <v>1658</v>
      </c>
      <c r="AN1980" s="4">
        <v>0</v>
      </c>
      <c r="AO1980" t="s">
        <v>1635</v>
      </c>
      <c r="AP1980" s="4" t="s">
        <v>1658</v>
      </c>
      <c r="AQ1980" t="s">
        <v>1619</v>
      </c>
      <c r="AR1980" t="s">
        <v>1620</v>
      </c>
      <c r="AT1980" s="16" t="str">
        <f>_xlfn.XLOOKUP(B1980,'SWiSH Demand Forecast Sep-26'!D:D,'SWiSH Demand Forecast Sep-26'!G:G,"Not Exist")</f>
        <v>Not Exist</v>
      </c>
    </row>
    <row r="1981" spans="1:46" x14ac:dyDescent="0.3">
      <c r="A1981">
        <v>104600102</v>
      </c>
      <c r="B1981" t="s">
        <v>3866</v>
      </c>
      <c r="C1981" t="s">
        <v>10</v>
      </c>
      <c r="D1981" t="s">
        <v>1675</v>
      </c>
      <c r="E1981" t="s">
        <v>1945</v>
      </c>
      <c r="F1981" t="s">
        <v>1946</v>
      </c>
      <c r="G1981" t="s">
        <v>1704</v>
      </c>
      <c r="H1981" t="s">
        <v>1945</v>
      </c>
      <c r="I1981" t="s">
        <v>1634</v>
      </c>
      <c r="J1981" t="e">
        <v>#N/A</v>
      </c>
      <c r="K1981">
        <v>1.421</v>
      </c>
      <c r="L1981">
        <v>174.78300000000002</v>
      </c>
      <c r="M1981" s="1">
        <v>15</v>
      </c>
      <c r="N1981">
        <v>0</v>
      </c>
      <c r="O1981">
        <v>0</v>
      </c>
      <c r="P1981">
        <v>123</v>
      </c>
      <c r="Q1981" s="1">
        <v>123</v>
      </c>
      <c r="R1981">
        <v>1.421</v>
      </c>
      <c r="S1981" s="2">
        <v>45566</v>
      </c>
      <c r="T1981" s="2">
        <v>45968</v>
      </c>
      <c r="U1981">
        <v>0</v>
      </c>
      <c r="V1981">
        <v>0</v>
      </c>
      <c r="W1981">
        <v>0</v>
      </c>
      <c r="X1981">
        <v>0</v>
      </c>
      <c r="Y1981">
        <v>0</v>
      </c>
      <c r="Z1981" s="8">
        <v>0</v>
      </c>
      <c r="AA1981">
        <v>0</v>
      </c>
      <c r="AB1981" t="s">
        <v>1635</v>
      </c>
      <c r="AC1981" t="s">
        <v>1635</v>
      </c>
      <c r="AD1981" s="1" t="s">
        <v>1635</v>
      </c>
      <c r="AE1981" s="2" t="s">
        <v>1635</v>
      </c>
      <c r="AF1981" s="2" t="s">
        <v>1635</v>
      </c>
      <c r="AG1981" s="2" t="s">
        <v>1635</v>
      </c>
      <c r="AH1981">
        <v>0</v>
      </c>
      <c r="AI1981" s="3" t="s">
        <v>1635</v>
      </c>
      <c r="AJ1981" s="1" t="s">
        <v>1635</v>
      </c>
      <c r="AK1981" s="2" t="s">
        <v>1635</v>
      </c>
      <c r="AL1981" s="4" t="s">
        <v>1658</v>
      </c>
      <c r="AM1981" s="5" t="s">
        <v>1658</v>
      </c>
      <c r="AN1981" s="4">
        <v>0</v>
      </c>
      <c r="AO1981" t="s">
        <v>1635</v>
      </c>
      <c r="AP1981" s="4" t="s">
        <v>1658</v>
      </c>
      <c r="AQ1981" t="s">
        <v>1619</v>
      </c>
      <c r="AR1981" t="s">
        <v>1620</v>
      </c>
      <c r="AT1981" s="16" t="str">
        <f>_xlfn.XLOOKUP(B1981,'SWiSH Demand Forecast Sep-26'!D:D,'SWiSH Demand Forecast Sep-26'!G:G,"Not Exist")</f>
        <v>Not Exist</v>
      </c>
    </row>
    <row r="1982" spans="1:46" x14ac:dyDescent="0.3">
      <c r="A1982">
        <v>106800148</v>
      </c>
      <c r="B1982" t="s">
        <v>3867</v>
      </c>
      <c r="C1982" t="s">
        <v>10</v>
      </c>
      <c r="D1982" t="s">
        <v>1629</v>
      </c>
      <c r="E1982" t="e">
        <v>#N/A</v>
      </c>
      <c r="F1982" t="s">
        <v>1631</v>
      </c>
      <c r="G1982" t="s">
        <v>1632</v>
      </c>
      <c r="H1982" t="s">
        <v>1665</v>
      </c>
      <c r="I1982" t="s">
        <v>1634</v>
      </c>
      <c r="J1982" t="e">
        <v>#N/A</v>
      </c>
      <c r="K1982">
        <v>3.5000000000000001E-3</v>
      </c>
      <c r="L1982">
        <v>0</v>
      </c>
      <c r="M1982" s="1">
        <v>7</v>
      </c>
      <c r="N1982">
        <v>0</v>
      </c>
      <c r="O1982">
        <v>0</v>
      </c>
      <c r="P1982">
        <v>0</v>
      </c>
      <c r="Q1982" s="1">
        <v>0</v>
      </c>
      <c r="R1982">
        <v>3.5000000000000001E-3</v>
      </c>
      <c r="S1982" s="2">
        <v>44507</v>
      </c>
      <c r="T1982" s="2">
        <v>45783</v>
      </c>
      <c r="U1982">
        <v>0</v>
      </c>
      <c r="V1982">
        <v>0</v>
      </c>
      <c r="W1982">
        <v>0</v>
      </c>
      <c r="X1982">
        <v>0</v>
      </c>
      <c r="Y1982">
        <v>0</v>
      </c>
      <c r="Z1982" s="8">
        <v>0</v>
      </c>
      <c r="AA1982">
        <v>0</v>
      </c>
      <c r="AB1982" t="s">
        <v>1635</v>
      </c>
      <c r="AC1982" t="s">
        <v>1635</v>
      </c>
      <c r="AD1982" s="1" t="s">
        <v>1635</v>
      </c>
      <c r="AE1982" s="2" t="s">
        <v>1635</v>
      </c>
      <c r="AF1982" s="2" t="s">
        <v>1635</v>
      </c>
      <c r="AG1982" s="2" t="s">
        <v>1635</v>
      </c>
      <c r="AH1982">
        <v>0</v>
      </c>
      <c r="AI1982" s="3" t="s">
        <v>1635</v>
      </c>
      <c r="AJ1982" s="1" t="s">
        <v>1635</v>
      </c>
      <c r="AK1982" s="2" t="s">
        <v>1635</v>
      </c>
      <c r="AL1982" s="4" t="s">
        <v>1636</v>
      </c>
      <c r="AM1982" s="5" t="s">
        <v>1636</v>
      </c>
      <c r="AN1982" s="4">
        <v>0</v>
      </c>
      <c r="AO1982" t="s">
        <v>1635</v>
      </c>
      <c r="AP1982" s="4" t="s">
        <v>1636</v>
      </c>
      <c r="AQ1982" t="s">
        <v>1619</v>
      </c>
      <c r="AR1982" t="s">
        <v>1620</v>
      </c>
      <c r="AT1982" s="16" t="str">
        <f>_xlfn.XLOOKUP(B1982,'SWiSH Demand Forecast Sep-26'!D:D,'SWiSH Demand Forecast Sep-26'!G:G,"Not Exist")</f>
        <v>Not Exist</v>
      </c>
    </row>
    <row r="1983" spans="1:46" x14ac:dyDescent="0.3">
      <c r="A1983">
        <v>106800119</v>
      </c>
      <c r="B1983" t="s">
        <v>3868</v>
      </c>
      <c r="C1983" t="s">
        <v>10</v>
      </c>
      <c r="D1983" t="s">
        <v>1675</v>
      </c>
      <c r="E1983" t="s">
        <v>1926</v>
      </c>
      <c r="F1983" t="s">
        <v>1664</v>
      </c>
      <c r="G1983" t="s">
        <v>1704</v>
      </c>
      <c r="H1983" t="s">
        <v>1665</v>
      </c>
      <c r="I1983" t="s">
        <v>1634</v>
      </c>
      <c r="J1983" t="s">
        <v>10</v>
      </c>
      <c r="K1983">
        <v>7.0000000000000007E-2</v>
      </c>
      <c r="L1983">
        <v>0</v>
      </c>
      <c r="M1983" s="1">
        <v>7</v>
      </c>
      <c r="N1983">
        <v>0</v>
      </c>
      <c r="O1983">
        <v>0</v>
      </c>
      <c r="P1983">
        <v>0</v>
      </c>
      <c r="Q1983" s="1">
        <v>0</v>
      </c>
      <c r="R1983">
        <v>7.0000000000000007E-2</v>
      </c>
      <c r="S1983" s="2">
        <v>45777</v>
      </c>
      <c r="T1983" s="2">
        <v>44320</v>
      </c>
      <c r="U1983">
        <v>0</v>
      </c>
      <c r="V1983">
        <v>0</v>
      </c>
      <c r="W1983">
        <v>0</v>
      </c>
      <c r="X1983">
        <v>0</v>
      </c>
      <c r="Y1983">
        <v>0</v>
      </c>
      <c r="Z1983" s="8">
        <v>0</v>
      </c>
      <c r="AA1983">
        <v>0</v>
      </c>
      <c r="AB1983" t="s">
        <v>1635</v>
      </c>
      <c r="AC1983" t="s">
        <v>1635</v>
      </c>
      <c r="AD1983" s="1" t="s">
        <v>1635</v>
      </c>
      <c r="AE1983" s="2" t="s">
        <v>1635</v>
      </c>
      <c r="AF1983" s="2" t="s">
        <v>1635</v>
      </c>
      <c r="AG1983" s="2" t="s">
        <v>1635</v>
      </c>
      <c r="AH1983">
        <v>0</v>
      </c>
      <c r="AI1983" s="3" t="s">
        <v>1635</v>
      </c>
      <c r="AJ1983" s="1" t="s">
        <v>1635</v>
      </c>
      <c r="AK1983" s="2" t="s">
        <v>1635</v>
      </c>
      <c r="AL1983" s="4" t="s">
        <v>1658</v>
      </c>
      <c r="AM1983" s="5" t="s">
        <v>1658</v>
      </c>
      <c r="AN1983" s="4">
        <v>0</v>
      </c>
      <c r="AO1983" t="s">
        <v>1635</v>
      </c>
      <c r="AP1983" s="4" t="s">
        <v>1658</v>
      </c>
      <c r="AQ1983" t="s">
        <v>1619</v>
      </c>
      <c r="AR1983" t="s">
        <v>1620</v>
      </c>
      <c r="AT1983" s="16" t="str">
        <f>_xlfn.XLOOKUP(B1983,'SWiSH Demand Forecast Sep-26'!D:D,'SWiSH Demand Forecast Sep-26'!G:G,"Not Exist")</f>
        <v>Not Exist</v>
      </c>
    </row>
    <row r="1984" spans="1:46" x14ac:dyDescent="0.3">
      <c r="A1984">
        <v>104600101</v>
      </c>
      <c r="B1984" t="s">
        <v>3869</v>
      </c>
      <c r="C1984" t="s">
        <v>10</v>
      </c>
      <c r="D1984" t="s">
        <v>1675</v>
      </c>
      <c r="E1984" t="s">
        <v>1945</v>
      </c>
      <c r="F1984" t="s">
        <v>1946</v>
      </c>
      <c r="G1984" t="s">
        <v>1704</v>
      </c>
      <c r="H1984" t="s">
        <v>1945</v>
      </c>
      <c r="I1984" t="s">
        <v>1634</v>
      </c>
      <c r="J1984" t="e">
        <v>#N/A</v>
      </c>
      <c r="K1984">
        <v>2.488</v>
      </c>
      <c r="L1984">
        <v>355.78399999999999</v>
      </c>
      <c r="M1984" s="1">
        <v>15</v>
      </c>
      <c r="N1984">
        <v>0</v>
      </c>
      <c r="O1984">
        <v>0</v>
      </c>
      <c r="P1984">
        <v>143</v>
      </c>
      <c r="Q1984" s="1">
        <v>143</v>
      </c>
      <c r="R1984">
        <v>2.488</v>
      </c>
      <c r="S1984" s="2">
        <v>45566</v>
      </c>
      <c r="T1984" s="2">
        <v>45968</v>
      </c>
      <c r="U1984">
        <v>0</v>
      </c>
      <c r="V1984">
        <v>0</v>
      </c>
      <c r="W1984">
        <v>0</v>
      </c>
      <c r="X1984">
        <v>0</v>
      </c>
      <c r="Y1984">
        <v>0</v>
      </c>
      <c r="Z1984" s="8">
        <v>0</v>
      </c>
      <c r="AA1984">
        <v>0</v>
      </c>
      <c r="AB1984" t="s">
        <v>1635</v>
      </c>
      <c r="AC1984" t="s">
        <v>1635</v>
      </c>
      <c r="AD1984" s="1" t="s">
        <v>1635</v>
      </c>
      <c r="AE1984" s="2" t="s">
        <v>1635</v>
      </c>
      <c r="AF1984" s="2" t="s">
        <v>1635</v>
      </c>
      <c r="AG1984" s="2" t="s">
        <v>1635</v>
      </c>
      <c r="AH1984">
        <v>0</v>
      </c>
      <c r="AI1984" s="3" t="s">
        <v>1635</v>
      </c>
      <c r="AJ1984" s="1" t="s">
        <v>1635</v>
      </c>
      <c r="AK1984" s="2" t="s">
        <v>1635</v>
      </c>
      <c r="AL1984" s="4" t="s">
        <v>1658</v>
      </c>
      <c r="AM1984" s="5" t="s">
        <v>1658</v>
      </c>
      <c r="AN1984" s="4">
        <v>0</v>
      </c>
      <c r="AO1984" t="s">
        <v>1635</v>
      </c>
      <c r="AP1984" s="4" t="s">
        <v>1658</v>
      </c>
      <c r="AQ1984" t="s">
        <v>1619</v>
      </c>
      <c r="AR1984" t="s">
        <v>1620</v>
      </c>
      <c r="AT1984" s="16" t="str">
        <f>_xlfn.XLOOKUP(B1984,'SWiSH Demand Forecast Sep-26'!D:D,'SWiSH Demand Forecast Sep-26'!G:G,"Not Exist")</f>
        <v>Not Exist</v>
      </c>
    </row>
    <row r="1985" spans="1:46" x14ac:dyDescent="0.3">
      <c r="A1985">
        <v>104500001</v>
      </c>
      <c r="B1985" t="s">
        <v>3870</v>
      </c>
      <c r="C1985" t="s">
        <v>10</v>
      </c>
      <c r="D1985" t="s">
        <v>1675</v>
      </c>
      <c r="E1985" t="s">
        <v>1638</v>
      </c>
      <c r="F1985" t="s">
        <v>1946</v>
      </c>
      <c r="G1985" t="s">
        <v>1704</v>
      </c>
      <c r="H1985" t="s">
        <v>3871</v>
      </c>
      <c r="I1985" t="s">
        <v>1634</v>
      </c>
      <c r="J1985" t="e">
        <v>#N/A</v>
      </c>
      <c r="K1985">
        <v>1.38254722</v>
      </c>
      <c r="L1985">
        <v>255.77123570000001</v>
      </c>
      <c r="M1985" s="1">
        <v>15</v>
      </c>
      <c r="N1985">
        <v>0</v>
      </c>
      <c r="O1985">
        <v>0</v>
      </c>
      <c r="P1985">
        <v>185</v>
      </c>
      <c r="Q1985" s="1">
        <v>185</v>
      </c>
      <c r="R1985">
        <v>0</v>
      </c>
      <c r="S1985" s="2">
        <v>0</v>
      </c>
      <c r="T1985" s="2">
        <v>46054</v>
      </c>
      <c r="U1985">
        <v>0</v>
      </c>
      <c r="V1985">
        <v>0</v>
      </c>
      <c r="W1985">
        <v>0</v>
      </c>
      <c r="X1985">
        <v>0</v>
      </c>
      <c r="Y1985">
        <v>0</v>
      </c>
      <c r="Z1985" s="8">
        <v>0</v>
      </c>
      <c r="AA1985">
        <v>0</v>
      </c>
      <c r="AB1985" t="s">
        <v>1635</v>
      </c>
      <c r="AC1985" t="s">
        <v>1635</v>
      </c>
      <c r="AD1985" s="1" t="s">
        <v>1635</v>
      </c>
      <c r="AE1985" s="2" t="s">
        <v>1635</v>
      </c>
      <c r="AF1985" s="2" t="s">
        <v>1635</v>
      </c>
      <c r="AG1985" s="2" t="s">
        <v>1635</v>
      </c>
      <c r="AH1985">
        <v>0</v>
      </c>
      <c r="AI1985" s="3" t="s">
        <v>1635</v>
      </c>
      <c r="AJ1985" s="1" t="s">
        <v>1635</v>
      </c>
      <c r="AK1985" s="2" t="s">
        <v>1635</v>
      </c>
      <c r="AL1985" s="4" t="s">
        <v>1658</v>
      </c>
      <c r="AM1985" s="5" t="s">
        <v>1658</v>
      </c>
      <c r="AN1985" s="4">
        <v>0</v>
      </c>
      <c r="AO1985" t="s">
        <v>1635</v>
      </c>
      <c r="AP1985" s="4" t="s">
        <v>1658</v>
      </c>
      <c r="AQ1985" t="s">
        <v>1619</v>
      </c>
      <c r="AR1985" t="s">
        <v>1620</v>
      </c>
      <c r="AT1985" s="16" t="str">
        <f>_xlfn.XLOOKUP(B1985,'SWiSH Demand Forecast Sep-26'!D:D,'SWiSH Demand Forecast Sep-26'!G:G,"Not Exist")</f>
        <v>Not Exist</v>
      </c>
    </row>
    <row r="1986" spans="1:46" x14ac:dyDescent="0.3">
      <c r="A1986">
        <v>104500000</v>
      </c>
      <c r="B1986" t="s">
        <v>3872</v>
      </c>
      <c r="C1986" t="s">
        <v>10</v>
      </c>
      <c r="D1986" t="s">
        <v>1675</v>
      </c>
      <c r="E1986" t="s">
        <v>1638</v>
      </c>
      <c r="F1986" t="s">
        <v>1946</v>
      </c>
      <c r="G1986" t="s">
        <v>1704</v>
      </c>
      <c r="H1986" t="s">
        <v>3871</v>
      </c>
      <c r="I1986" t="s">
        <v>1634</v>
      </c>
      <c r="J1986" t="e">
        <v>#N/A</v>
      </c>
      <c r="K1986">
        <v>1.38397547</v>
      </c>
      <c r="L1986">
        <v>206.21234502999999</v>
      </c>
      <c r="M1986" s="1">
        <v>15</v>
      </c>
      <c r="N1986">
        <v>0</v>
      </c>
      <c r="O1986">
        <v>0</v>
      </c>
      <c r="P1986">
        <v>149</v>
      </c>
      <c r="Q1986" s="1">
        <v>149</v>
      </c>
      <c r="R1986">
        <v>0</v>
      </c>
      <c r="S1986" s="2">
        <v>0</v>
      </c>
      <c r="T1986" s="2">
        <v>46054</v>
      </c>
      <c r="U1986">
        <v>0</v>
      </c>
      <c r="V1986">
        <v>0</v>
      </c>
      <c r="W1986">
        <v>0</v>
      </c>
      <c r="X1986">
        <v>0</v>
      </c>
      <c r="Y1986">
        <v>0</v>
      </c>
      <c r="Z1986" s="8">
        <v>0</v>
      </c>
      <c r="AA1986">
        <v>0</v>
      </c>
      <c r="AB1986" t="s">
        <v>1635</v>
      </c>
      <c r="AC1986" t="s">
        <v>1635</v>
      </c>
      <c r="AD1986" s="1" t="s">
        <v>1635</v>
      </c>
      <c r="AE1986" s="2" t="s">
        <v>1635</v>
      </c>
      <c r="AF1986" s="2" t="s">
        <v>1635</v>
      </c>
      <c r="AG1986" s="2" t="s">
        <v>1635</v>
      </c>
      <c r="AH1986">
        <v>0</v>
      </c>
      <c r="AI1986" s="3" t="s">
        <v>1635</v>
      </c>
      <c r="AJ1986" s="1" t="s">
        <v>1635</v>
      </c>
      <c r="AK1986" s="2" t="s">
        <v>1635</v>
      </c>
      <c r="AL1986" s="4" t="s">
        <v>1658</v>
      </c>
      <c r="AM1986" s="5" t="s">
        <v>1658</v>
      </c>
      <c r="AN1986" s="4">
        <v>0</v>
      </c>
      <c r="AO1986" t="s">
        <v>1635</v>
      </c>
      <c r="AP1986" s="4" t="s">
        <v>1658</v>
      </c>
      <c r="AQ1986" t="s">
        <v>1619</v>
      </c>
      <c r="AR1986" t="s">
        <v>1620</v>
      </c>
      <c r="AT1986" s="16" t="str">
        <f>_xlfn.XLOOKUP(B1986,'SWiSH Demand Forecast Sep-26'!D:D,'SWiSH Demand Forecast Sep-26'!G:G,"Not Exist")</f>
        <v>Not Exist</v>
      </c>
    </row>
    <row r="1987" spans="1:46" x14ac:dyDescent="0.3">
      <c r="A1987">
        <v>106800124</v>
      </c>
      <c r="B1987" t="s">
        <v>3873</v>
      </c>
      <c r="C1987" t="s">
        <v>10</v>
      </c>
      <c r="D1987" t="s">
        <v>1675</v>
      </c>
      <c r="E1987" t="e">
        <v>#N/A</v>
      </c>
      <c r="F1987" t="s">
        <v>1664</v>
      </c>
      <c r="G1987" t="s">
        <v>1704</v>
      </c>
      <c r="H1987" t="s">
        <v>1665</v>
      </c>
      <c r="I1987" t="s">
        <v>1634</v>
      </c>
      <c r="J1987" t="s">
        <v>10</v>
      </c>
      <c r="K1987">
        <v>2.1669999999999998E-2</v>
      </c>
      <c r="L1987">
        <v>0</v>
      </c>
      <c r="M1987" s="1">
        <v>7</v>
      </c>
      <c r="N1987">
        <v>0</v>
      </c>
      <c r="O1987">
        <v>0</v>
      </c>
      <c r="P1987">
        <v>0</v>
      </c>
      <c r="Q1987" s="1">
        <v>0</v>
      </c>
      <c r="R1987">
        <v>2.1669999999999998E-2</v>
      </c>
      <c r="S1987" s="2">
        <v>45773</v>
      </c>
      <c r="T1987" s="2">
        <v>45258</v>
      </c>
      <c r="U1987">
        <v>0</v>
      </c>
      <c r="V1987">
        <v>0</v>
      </c>
      <c r="W1987">
        <v>0</v>
      </c>
      <c r="X1987">
        <v>0</v>
      </c>
      <c r="Y1987">
        <v>0</v>
      </c>
      <c r="Z1987" s="8">
        <v>0</v>
      </c>
      <c r="AA1987">
        <v>0</v>
      </c>
      <c r="AB1987" t="s">
        <v>1635</v>
      </c>
      <c r="AC1987" t="s">
        <v>1635</v>
      </c>
      <c r="AD1987" s="1" t="s">
        <v>1635</v>
      </c>
      <c r="AE1987" s="2" t="s">
        <v>1635</v>
      </c>
      <c r="AF1987" s="2" t="s">
        <v>1635</v>
      </c>
      <c r="AG1987" s="2" t="s">
        <v>1635</v>
      </c>
      <c r="AH1987">
        <v>0</v>
      </c>
      <c r="AI1987" s="3" t="s">
        <v>1635</v>
      </c>
      <c r="AJ1987" s="1" t="s">
        <v>1635</v>
      </c>
      <c r="AK1987" s="2" t="s">
        <v>1635</v>
      </c>
      <c r="AL1987" s="4" t="s">
        <v>1658</v>
      </c>
      <c r="AM1987" s="5" t="s">
        <v>1658</v>
      </c>
      <c r="AN1987" s="4">
        <v>0</v>
      </c>
      <c r="AO1987" t="s">
        <v>1635</v>
      </c>
      <c r="AP1987" s="4" t="s">
        <v>1658</v>
      </c>
      <c r="AQ1987" t="s">
        <v>1619</v>
      </c>
      <c r="AR1987" t="s">
        <v>1620</v>
      </c>
      <c r="AT1987" s="16" t="str">
        <f>_xlfn.XLOOKUP(B1987,'SWiSH Demand Forecast Sep-26'!D:D,'SWiSH Demand Forecast Sep-26'!G:G,"Not Exist")</f>
        <v>Not Exist</v>
      </c>
    </row>
    <row r="1988" spans="1:46" x14ac:dyDescent="0.3">
      <c r="A1988">
        <v>106800125</v>
      </c>
      <c r="B1988" t="s">
        <v>3874</v>
      </c>
      <c r="C1988" t="s">
        <v>10</v>
      </c>
      <c r="D1988" t="s">
        <v>1675</v>
      </c>
      <c r="E1988" t="e">
        <v>#N/A</v>
      </c>
      <c r="F1988" t="s">
        <v>1664</v>
      </c>
      <c r="G1988" t="s">
        <v>1704</v>
      </c>
      <c r="H1988" t="s">
        <v>1665</v>
      </c>
      <c r="I1988" t="s">
        <v>1634</v>
      </c>
      <c r="J1988" t="s">
        <v>10</v>
      </c>
      <c r="K1988">
        <v>2.1669999999999998E-2</v>
      </c>
      <c r="L1988">
        <v>0</v>
      </c>
      <c r="M1988" s="1">
        <v>7</v>
      </c>
      <c r="N1988">
        <v>0</v>
      </c>
      <c r="O1988">
        <v>0</v>
      </c>
      <c r="P1988">
        <v>0</v>
      </c>
      <c r="Q1988" s="1">
        <v>0</v>
      </c>
      <c r="R1988">
        <v>2.1669999999999998E-2</v>
      </c>
      <c r="S1988" s="2">
        <v>45773</v>
      </c>
      <c r="T1988" s="2">
        <v>45258</v>
      </c>
      <c r="U1988">
        <v>0</v>
      </c>
      <c r="V1988">
        <v>0</v>
      </c>
      <c r="W1988">
        <v>0</v>
      </c>
      <c r="X1988">
        <v>0</v>
      </c>
      <c r="Y1988">
        <v>0</v>
      </c>
      <c r="Z1988" s="8">
        <v>0</v>
      </c>
      <c r="AA1988">
        <v>0</v>
      </c>
      <c r="AB1988" t="s">
        <v>1635</v>
      </c>
      <c r="AC1988" t="s">
        <v>1635</v>
      </c>
      <c r="AD1988" s="1" t="s">
        <v>1635</v>
      </c>
      <c r="AE1988" s="2" t="s">
        <v>1635</v>
      </c>
      <c r="AF1988" s="2" t="s">
        <v>1635</v>
      </c>
      <c r="AG1988" s="2" t="s">
        <v>1635</v>
      </c>
      <c r="AH1988">
        <v>0</v>
      </c>
      <c r="AI1988" s="3" t="s">
        <v>1635</v>
      </c>
      <c r="AJ1988" s="1" t="s">
        <v>1635</v>
      </c>
      <c r="AK1988" s="2" t="s">
        <v>1635</v>
      </c>
      <c r="AL1988" s="4" t="s">
        <v>1658</v>
      </c>
      <c r="AM1988" s="5" t="s">
        <v>1658</v>
      </c>
      <c r="AN1988" s="4">
        <v>0</v>
      </c>
      <c r="AO1988" t="s">
        <v>1635</v>
      </c>
      <c r="AP1988" s="4" t="s">
        <v>1658</v>
      </c>
      <c r="AQ1988" t="s">
        <v>1619</v>
      </c>
      <c r="AR1988" t="s">
        <v>1620</v>
      </c>
      <c r="AT1988" s="16" t="str">
        <f>_xlfn.XLOOKUP(B1988,'SWiSH Demand Forecast Sep-26'!D:D,'SWiSH Demand Forecast Sep-26'!G:G,"Not Exist")</f>
        <v>Not Exist</v>
      </c>
    </row>
    <row r="1989" spans="1:46" x14ac:dyDescent="0.3">
      <c r="A1989">
        <v>106800149</v>
      </c>
      <c r="B1989" t="s">
        <v>3875</v>
      </c>
      <c r="C1989" t="s">
        <v>10</v>
      </c>
      <c r="D1989" t="s">
        <v>1629</v>
      </c>
      <c r="E1989" t="e">
        <v>#N/A</v>
      </c>
      <c r="F1989" t="s">
        <v>1631</v>
      </c>
      <c r="G1989" t="s">
        <v>1704</v>
      </c>
      <c r="H1989" t="s">
        <v>1665</v>
      </c>
      <c r="I1989" t="s">
        <v>1634</v>
      </c>
      <c r="J1989" t="s">
        <v>10</v>
      </c>
      <c r="K1989">
        <v>3.5000000000000001E-3</v>
      </c>
      <c r="L1989">
        <v>0</v>
      </c>
      <c r="M1989" s="1">
        <v>7</v>
      </c>
      <c r="N1989">
        <v>0</v>
      </c>
      <c r="O1989">
        <v>0</v>
      </c>
      <c r="P1989">
        <v>0</v>
      </c>
      <c r="Q1989" s="1">
        <v>0</v>
      </c>
      <c r="R1989">
        <v>0</v>
      </c>
      <c r="S1989" s="2">
        <v>45777</v>
      </c>
      <c r="T1989" s="2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 s="8">
        <v>0</v>
      </c>
      <c r="AA1989">
        <v>0</v>
      </c>
      <c r="AB1989" t="s">
        <v>1635</v>
      </c>
      <c r="AC1989" t="s">
        <v>1635</v>
      </c>
      <c r="AD1989" s="1" t="s">
        <v>1635</v>
      </c>
      <c r="AE1989" s="2" t="s">
        <v>1635</v>
      </c>
      <c r="AF1989" s="2" t="s">
        <v>1635</v>
      </c>
      <c r="AG1989" s="2" t="s">
        <v>1635</v>
      </c>
      <c r="AH1989">
        <v>0</v>
      </c>
      <c r="AI1989" s="3" t="s">
        <v>1635</v>
      </c>
      <c r="AJ1989" s="1" t="s">
        <v>1635</v>
      </c>
      <c r="AK1989" s="2" t="s">
        <v>1635</v>
      </c>
      <c r="AL1989" s="4" t="s">
        <v>1636</v>
      </c>
      <c r="AM1989" s="5" t="s">
        <v>1636</v>
      </c>
      <c r="AN1989" s="4">
        <v>0</v>
      </c>
      <c r="AO1989" t="s">
        <v>1635</v>
      </c>
      <c r="AP1989" s="4" t="s">
        <v>1636</v>
      </c>
      <c r="AQ1989" t="s">
        <v>1619</v>
      </c>
      <c r="AR1989" t="s">
        <v>1620</v>
      </c>
      <c r="AT1989" s="16" t="str">
        <f>_xlfn.XLOOKUP(B1989,'SWiSH Demand Forecast Sep-26'!D:D,'SWiSH Demand Forecast Sep-26'!G:G,"Not Exist")</f>
        <v>Not Exist</v>
      </c>
    </row>
    <row r="1990" spans="1:46" x14ac:dyDescent="0.3">
      <c r="A1990">
        <v>104600140</v>
      </c>
      <c r="B1990" t="s">
        <v>3876</v>
      </c>
      <c r="C1990" t="s">
        <v>10</v>
      </c>
      <c r="D1990" t="s">
        <v>1675</v>
      </c>
      <c r="E1990" t="s">
        <v>1945</v>
      </c>
      <c r="F1990" t="s">
        <v>1946</v>
      </c>
      <c r="G1990" t="s">
        <v>1704</v>
      </c>
      <c r="H1990" t="s">
        <v>1945</v>
      </c>
      <c r="I1990" t="s">
        <v>1634</v>
      </c>
      <c r="J1990" t="e">
        <v>#N/A</v>
      </c>
      <c r="K1990">
        <v>0.30848311</v>
      </c>
      <c r="L1990">
        <v>148.38037591</v>
      </c>
      <c r="M1990" s="1">
        <v>15</v>
      </c>
      <c r="N1990">
        <v>0</v>
      </c>
      <c r="O1990">
        <v>0</v>
      </c>
      <c r="P1990">
        <v>481</v>
      </c>
      <c r="Q1990" s="1">
        <v>481</v>
      </c>
      <c r="R1990">
        <v>0</v>
      </c>
      <c r="S1990" s="2">
        <v>0</v>
      </c>
      <c r="T1990" s="2">
        <v>45968</v>
      </c>
      <c r="U1990">
        <v>0</v>
      </c>
      <c r="V1990">
        <v>0</v>
      </c>
      <c r="W1990">
        <v>0</v>
      </c>
      <c r="X1990">
        <v>0</v>
      </c>
      <c r="Y1990">
        <v>0</v>
      </c>
      <c r="Z1990" s="8">
        <v>0</v>
      </c>
      <c r="AA1990">
        <v>0</v>
      </c>
      <c r="AB1990" t="s">
        <v>1635</v>
      </c>
      <c r="AC1990" t="s">
        <v>1635</v>
      </c>
      <c r="AD1990" s="1" t="s">
        <v>1635</v>
      </c>
      <c r="AE1990" s="2" t="s">
        <v>1635</v>
      </c>
      <c r="AF1990" s="2" t="s">
        <v>1635</v>
      </c>
      <c r="AG1990" s="2" t="s">
        <v>1635</v>
      </c>
      <c r="AH1990">
        <v>0</v>
      </c>
      <c r="AI1990" s="3" t="s">
        <v>1635</v>
      </c>
      <c r="AJ1990" s="1" t="s">
        <v>1635</v>
      </c>
      <c r="AK1990" s="2" t="s">
        <v>1635</v>
      </c>
      <c r="AL1990" s="4" t="s">
        <v>1658</v>
      </c>
      <c r="AM1990" s="5" t="s">
        <v>1658</v>
      </c>
      <c r="AN1990" s="4">
        <v>0</v>
      </c>
      <c r="AO1990" t="s">
        <v>1635</v>
      </c>
      <c r="AP1990" s="4" t="s">
        <v>1658</v>
      </c>
      <c r="AQ1990" t="s">
        <v>1619</v>
      </c>
      <c r="AR1990" t="s">
        <v>1620</v>
      </c>
      <c r="AT1990" s="16" t="str">
        <f>_xlfn.XLOOKUP(B1990,'SWiSH Demand Forecast Sep-26'!D:D,'SWiSH Demand Forecast Sep-26'!G:G,"Not Exist")</f>
        <v>Not Exist</v>
      </c>
    </row>
    <row r="1991" spans="1:46" x14ac:dyDescent="0.3">
      <c r="A1991">
        <v>101800003</v>
      </c>
      <c r="B1991" t="s">
        <v>3877</v>
      </c>
      <c r="C1991" t="s">
        <v>10</v>
      </c>
      <c r="D1991" t="s">
        <v>1629</v>
      </c>
      <c r="E1991" t="e">
        <v>#N/A</v>
      </c>
      <c r="F1991" t="s">
        <v>1631</v>
      </c>
      <c r="G1991" t="s">
        <v>1704</v>
      </c>
      <c r="H1991" t="s">
        <v>2144</v>
      </c>
      <c r="I1991" t="s">
        <v>1634</v>
      </c>
      <c r="J1991" t="s">
        <v>10</v>
      </c>
      <c r="K1991">
        <v>7.0000000000000001E-3</v>
      </c>
      <c r="L1991">
        <v>40.305999999999997</v>
      </c>
      <c r="M1991" s="1">
        <v>7</v>
      </c>
      <c r="N1991">
        <v>0</v>
      </c>
      <c r="O1991">
        <v>0</v>
      </c>
      <c r="P1991">
        <v>5758</v>
      </c>
      <c r="Q1991" s="1">
        <v>5758</v>
      </c>
      <c r="R1991">
        <v>7.0000000000000001E-3</v>
      </c>
      <c r="S1991" s="2">
        <v>45873</v>
      </c>
      <c r="T1991" s="2">
        <v>46145</v>
      </c>
      <c r="U1991">
        <v>0</v>
      </c>
      <c r="V1991">
        <v>0</v>
      </c>
      <c r="W1991">
        <v>0</v>
      </c>
      <c r="X1991">
        <v>0</v>
      </c>
      <c r="Y1991">
        <v>0</v>
      </c>
      <c r="Z1991" s="8">
        <v>0</v>
      </c>
      <c r="AA1991">
        <v>0</v>
      </c>
      <c r="AB1991" t="s">
        <v>1635</v>
      </c>
      <c r="AC1991" t="s">
        <v>1635</v>
      </c>
      <c r="AD1991" s="1" t="s">
        <v>1635</v>
      </c>
      <c r="AE1991" s="2" t="s">
        <v>1635</v>
      </c>
      <c r="AF1991" s="2" t="s">
        <v>1635</v>
      </c>
      <c r="AG1991" s="2" t="s">
        <v>1635</v>
      </c>
      <c r="AH1991">
        <v>0</v>
      </c>
      <c r="AI1991" s="3" t="s">
        <v>1635</v>
      </c>
      <c r="AJ1991" s="1" t="s">
        <v>1635</v>
      </c>
      <c r="AK1991" s="2" t="s">
        <v>1635</v>
      </c>
      <c r="AL1991" s="4" t="s">
        <v>1636</v>
      </c>
      <c r="AM1991" s="5" t="s">
        <v>1636</v>
      </c>
      <c r="AN1991" s="4">
        <v>0</v>
      </c>
      <c r="AO1991" t="s">
        <v>1635</v>
      </c>
      <c r="AP1991" s="4" t="s">
        <v>1636</v>
      </c>
      <c r="AQ1991" t="s">
        <v>1619</v>
      </c>
      <c r="AR1991" t="s">
        <v>1620</v>
      </c>
      <c r="AT1991" s="16" t="str">
        <f>_xlfn.XLOOKUP(B1991,'SWiSH Demand Forecast Sep-26'!D:D,'SWiSH Demand Forecast Sep-26'!G:G,"Not Exist")</f>
        <v>Not Exist</v>
      </c>
    </row>
    <row r="1992" spans="1:46" x14ac:dyDescent="0.3">
      <c r="A1992">
        <v>102200004</v>
      </c>
      <c r="B1992" t="s">
        <v>3878</v>
      </c>
      <c r="C1992" t="s">
        <v>10</v>
      </c>
      <c r="D1992" t="s">
        <v>1629</v>
      </c>
      <c r="E1992" t="s">
        <v>3232</v>
      </c>
      <c r="F1992" t="s">
        <v>1650</v>
      </c>
      <c r="G1992" t="s">
        <v>1690</v>
      </c>
      <c r="H1992" t="s">
        <v>2329</v>
      </c>
      <c r="I1992" t="s">
        <v>1634</v>
      </c>
      <c r="J1992" t="s">
        <v>1688</v>
      </c>
      <c r="K1992">
        <v>0.6</v>
      </c>
      <c r="L1992">
        <v>0</v>
      </c>
      <c r="M1992" s="1">
        <v>3</v>
      </c>
      <c r="N1992">
        <v>0</v>
      </c>
      <c r="O1992">
        <v>0</v>
      </c>
      <c r="P1992">
        <v>0</v>
      </c>
      <c r="Q1992" s="1">
        <v>0</v>
      </c>
      <c r="R1992">
        <v>7.2</v>
      </c>
      <c r="S1992" s="2">
        <v>45923</v>
      </c>
      <c r="T1992" s="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 s="8">
        <v>0</v>
      </c>
      <c r="AA1992">
        <v>0</v>
      </c>
      <c r="AB1992" t="s">
        <v>1635</v>
      </c>
      <c r="AC1992" t="s">
        <v>1635</v>
      </c>
      <c r="AD1992" s="1" t="s">
        <v>1635</v>
      </c>
      <c r="AE1992" s="2" t="s">
        <v>1635</v>
      </c>
      <c r="AF1992" s="2" t="s">
        <v>1635</v>
      </c>
      <c r="AG1992" s="2" t="s">
        <v>1635</v>
      </c>
      <c r="AH1992">
        <v>0</v>
      </c>
      <c r="AI1992" s="3" t="s">
        <v>1635</v>
      </c>
      <c r="AJ1992" s="1" t="s">
        <v>1635</v>
      </c>
      <c r="AK1992" s="2" t="s">
        <v>1635</v>
      </c>
      <c r="AL1992" s="4" t="s">
        <v>1636</v>
      </c>
      <c r="AM1992" s="5" t="s">
        <v>1636</v>
      </c>
      <c r="AN1992" s="4">
        <v>0</v>
      </c>
      <c r="AO1992" t="s">
        <v>1635</v>
      </c>
      <c r="AP1992" s="4" t="s">
        <v>1636</v>
      </c>
      <c r="AQ1992" t="s">
        <v>1619</v>
      </c>
      <c r="AR1992" t="s">
        <v>1620</v>
      </c>
      <c r="AT1992" s="16" t="str">
        <f>_xlfn.XLOOKUP(B1992,'SWiSH Demand Forecast Sep-26'!D:D,'SWiSH Demand Forecast Sep-26'!G:G,"Not Exist")</f>
        <v>Not Exist</v>
      </c>
    </row>
    <row r="1993" spans="1:46" x14ac:dyDescent="0.3">
      <c r="A1993">
        <v>107000008</v>
      </c>
      <c r="B1993" t="s">
        <v>3879</v>
      </c>
      <c r="C1993" t="s">
        <v>10</v>
      </c>
      <c r="D1993" t="s">
        <v>1629</v>
      </c>
      <c r="E1993" t="e">
        <v>#N/A</v>
      </c>
      <c r="F1993" t="s">
        <v>1631</v>
      </c>
      <c r="G1993" t="s">
        <v>1678</v>
      </c>
      <c r="H1993" t="s">
        <v>2305</v>
      </c>
      <c r="I1993" t="s">
        <v>1634</v>
      </c>
      <c r="J1993" t="s">
        <v>3880</v>
      </c>
      <c r="K1993">
        <v>2.8E-3</v>
      </c>
      <c r="L1993">
        <v>0</v>
      </c>
      <c r="M1993" s="1">
        <v>7</v>
      </c>
      <c r="N1993">
        <v>0</v>
      </c>
      <c r="O1993">
        <v>0</v>
      </c>
      <c r="P1993">
        <v>0</v>
      </c>
      <c r="Q1993" s="1">
        <v>0</v>
      </c>
      <c r="R1993">
        <v>0.7</v>
      </c>
      <c r="S1993" s="2">
        <v>45879</v>
      </c>
      <c r="T1993" s="2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 s="8">
        <v>0</v>
      </c>
      <c r="AA1993">
        <v>0</v>
      </c>
      <c r="AB1993" t="s">
        <v>1635</v>
      </c>
      <c r="AC1993" t="s">
        <v>1635</v>
      </c>
      <c r="AD1993" s="1" t="s">
        <v>1635</v>
      </c>
      <c r="AE1993" s="2" t="s">
        <v>1635</v>
      </c>
      <c r="AF1993" s="2" t="s">
        <v>1635</v>
      </c>
      <c r="AG1993" s="2" t="s">
        <v>1635</v>
      </c>
      <c r="AH1993">
        <v>0</v>
      </c>
      <c r="AI1993" s="3" t="s">
        <v>1635</v>
      </c>
      <c r="AJ1993" s="1" t="s">
        <v>1635</v>
      </c>
      <c r="AK1993" s="2" t="s">
        <v>1635</v>
      </c>
      <c r="AL1993" s="4" t="s">
        <v>1636</v>
      </c>
      <c r="AM1993" s="5" t="s">
        <v>1636</v>
      </c>
      <c r="AN1993" s="4">
        <v>0</v>
      </c>
      <c r="AO1993" t="s">
        <v>1635</v>
      </c>
      <c r="AP1993" s="4" t="s">
        <v>1636</v>
      </c>
      <c r="AQ1993" t="s">
        <v>1619</v>
      </c>
      <c r="AR1993" t="s">
        <v>1620</v>
      </c>
      <c r="AT1993" s="16" t="str">
        <f>_xlfn.XLOOKUP(B1993,'SWiSH Demand Forecast Sep-26'!D:D,'SWiSH Demand Forecast Sep-26'!G:G,"Not Exist")</f>
        <v>Not Exist</v>
      </c>
    </row>
    <row r="1994" spans="1:46" x14ac:dyDescent="0.3">
      <c r="A1994">
        <v>106800153</v>
      </c>
      <c r="B1994" t="s">
        <v>3881</v>
      </c>
      <c r="C1994" t="s">
        <v>10</v>
      </c>
      <c r="D1994" t="s">
        <v>1675</v>
      </c>
      <c r="E1994" t="e">
        <v>#N/A</v>
      </c>
      <c r="F1994" t="s">
        <v>1664</v>
      </c>
      <c r="G1994" t="s">
        <v>1704</v>
      </c>
      <c r="H1994" t="s">
        <v>1665</v>
      </c>
      <c r="I1994" t="s">
        <v>1634</v>
      </c>
      <c r="J1994" t="s">
        <v>10</v>
      </c>
      <c r="K1994">
        <v>9.5499999999999995E-3</v>
      </c>
      <c r="L1994">
        <v>0</v>
      </c>
      <c r="M1994" s="1">
        <v>7</v>
      </c>
      <c r="N1994">
        <v>0</v>
      </c>
      <c r="O1994">
        <v>0</v>
      </c>
      <c r="P1994">
        <v>0</v>
      </c>
      <c r="Q1994" s="1">
        <v>0</v>
      </c>
      <c r="R1994">
        <v>9.5499999999999995E-3</v>
      </c>
      <c r="S1994" s="2">
        <v>45777</v>
      </c>
      <c r="T1994" s="2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 s="8">
        <v>0</v>
      </c>
      <c r="AA1994">
        <v>0</v>
      </c>
      <c r="AB1994" t="s">
        <v>1635</v>
      </c>
      <c r="AC1994" t="s">
        <v>1635</v>
      </c>
      <c r="AD1994" s="1" t="s">
        <v>1635</v>
      </c>
      <c r="AE1994" s="2" t="s">
        <v>1635</v>
      </c>
      <c r="AF1994" s="2" t="s">
        <v>1635</v>
      </c>
      <c r="AG1994" s="2" t="s">
        <v>1635</v>
      </c>
      <c r="AH1994">
        <v>0</v>
      </c>
      <c r="AI1994" s="3" t="s">
        <v>1635</v>
      </c>
      <c r="AJ1994" s="1" t="s">
        <v>1635</v>
      </c>
      <c r="AK1994" s="2" t="s">
        <v>1635</v>
      </c>
      <c r="AL1994" s="4" t="s">
        <v>1658</v>
      </c>
      <c r="AM1994" s="5" t="s">
        <v>1658</v>
      </c>
      <c r="AN1994" s="4">
        <v>0</v>
      </c>
      <c r="AO1994" t="s">
        <v>1635</v>
      </c>
      <c r="AP1994" s="4" t="s">
        <v>1658</v>
      </c>
      <c r="AQ1994" t="s">
        <v>1619</v>
      </c>
      <c r="AR1994" t="s">
        <v>1620</v>
      </c>
      <c r="AT1994" s="16" t="str">
        <f>_xlfn.XLOOKUP(B1994,'SWiSH Demand Forecast Sep-26'!D:D,'SWiSH Demand Forecast Sep-26'!G:G,"Not Exist")</f>
        <v>Not Exist</v>
      </c>
    </row>
    <row r="1995" spans="1:46" x14ac:dyDescent="0.3">
      <c r="A1995">
        <v>103600004</v>
      </c>
      <c r="B1995" t="s">
        <v>3882</v>
      </c>
      <c r="C1995" t="s">
        <v>10</v>
      </c>
      <c r="D1995" t="s">
        <v>1675</v>
      </c>
      <c r="E1995" t="s">
        <v>1663</v>
      </c>
      <c r="F1995" t="s">
        <v>1946</v>
      </c>
      <c r="G1995" t="s">
        <v>1704</v>
      </c>
      <c r="H1995" t="s">
        <v>3352</v>
      </c>
      <c r="I1995" t="s">
        <v>1634</v>
      </c>
      <c r="J1995" t="s">
        <v>10</v>
      </c>
      <c r="K1995">
        <v>0.79427333</v>
      </c>
      <c r="L1995">
        <v>1538.5074402099999</v>
      </c>
      <c r="M1995" s="1">
        <v>15</v>
      </c>
      <c r="N1995">
        <v>0</v>
      </c>
      <c r="O1995">
        <v>0</v>
      </c>
      <c r="P1995">
        <v>1937</v>
      </c>
      <c r="Q1995" s="1">
        <v>1937</v>
      </c>
      <c r="R1995">
        <v>1.1914100000000001</v>
      </c>
      <c r="S1995" s="2">
        <v>44501</v>
      </c>
      <c r="T1995" s="2">
        <v>46054</v>
      </c>
      <c r="U1995">
        <v>0</v>
      </c>
      <c r="V1995">
        <v>0</v>
      </c>
      <c r="W1995">
        <v>0</v>
      </c>
      <c r="X1995">
        <v>0</v>
      </c>
      <c r="Y1995">
        <v>0</v>
      </c>
      <c r="Z1995" s="8">
        <v>0</v>
      </c>
      <c r="AA1995">
        <v>0</v>
      </c>
      <c r="AB1995" t="s">
        <v>1635</v>
      </c>
      <c r="AC1995" t="s">
        <v>1635</v>
      </c>
      <c r="AD1995" s="1" t="s">
        <v>1635</v>
      </c>
      <c r="AE1995" s="2" t="s">
        <v>1635</v>
      </c>
      <c r="AF1995" s="2" t="s">
        <v>1635</v>
      </c>
      <c r="AG1995" s="2" t="s">
        <v>1635</v>
      </c>
      <c r="AH1995">
        <v>0</v>
      </c>
      <c r="AI1995" s="3" t="s">
        <v>1635</v>
      </c>
      <c r="AJ1995" s="1" t="s">
        <v>1635</v>
      </c>
      <c r="AK1995" s="2" t="s">
        <v>1635</v>
      </c>
      <c r="AL1995" s="4" t="s">
        <v>1658</v>
      </c>
      <c r="AM1995" s="5" t="s">
        <v>1658</v>
      </c>
      <c r="AN1995" s="4">
        <v>0</v>
      </c>
      <c r="AO1995" t="s">
        <v>1635</v>
      </c>
      <c r="AP1995" s="4" t="s">
        <v>1658</v>
      </c>
      <c r="AQ1995" t="s">
        <v>1619</v>
      </c>
      <c r="AR1995" t="s">
        <v>1620</v>
      </c>
      <c r="AT1995" s="16" t="str">
        <f>_xlfn.XLOOKUP(B1995,'SWiSH Demand Forecast Sep-26'!D:D,'SWiSH Demand Forecast Sep-26'!G:G,"Not Exist")</f>
        <v>Not Exist</v>
      </c>
    </row>
    <row r="1996" spans="1:46" x14ac:dyDescent="0.3">
      <c r="A1996">
        <v>100400151</v>
      </c>
      <c r="B1996" t="s">
        <v>3883</v>
      </c>
      <c r="C1996" t="s">
        <v>10</v>
      </c>
      <c r="D1996" t="s">
        <v>1675</v>
      </c>
      <c r="E1996" t="s">
        <v>1796</v>
      </c>
      <c r="F1996" t="s">
        <v>1664</v>
      </c>
      <c r="G1996" t="s">
        <v>1704</v>
      </c>
      <c r="H1996" t="s">
        <v>1810</v>
      </c>
      <c r="I1996" t="s">
        <v>1634</v>
      </c>
      <c r="J1996" t="s">
        <v>10</v>
      </c>
      <c r="K1996">
        <v>0.11</v>
      </c>
      <c r="L1996">
        <v>0</v>
      </c>
      <c r="M1996" s="1">
        <v>30</v>
      </c>
      <c r="N1996">
        <v>0</v>
      </c>
      <c r="O1996">
        <v>0</v>
      </c>
      <c r="P1996">
        <v>0</v>
      </c>
      <c r="Q1996" s="1">
        <v>0</v>
      </c>
      <c r="R1996">
        <v>0.11</v>
      </c>
      <c r="S1996" s="2">
        <v>45773</v>
      </c>
      <c r="T1996" s="2">
        <v>45746</v>
      </c>
      <c r="U1996">
        <v>0</v>
      </c>
      <c r="V1996">
        <v>0</v>
      </c>
      <c r="W1996">
        <v>0</v>
      </c>
      <c r="X1996">
        <v>0</v>
      </c>
      <c r="Y1996">
        <v>0</v>
      </c>
      <c r="Z1996" s="8">
        <v>0</v>
      </c>
      <c r="AA1996">
        <v>0</v>
      </c>
      <c r="AB1996" t="s">
        <v>1635</v>
      </c>
      <c r="AC1996" t="s">
        <v>1635</v>
      </c>
      <c r="AD1996" s="1" t="s">
        <v>1635</v>
      </c>
      <c r="AE1996" s="2" t="s">
        <v>1635</v>
      </c>
      <c r="AF1996" s="2" t="s">
        <v>1635</v>
      </c>
      <c r="AG1996" s="2" t="s">
        <v>1635</v>
      </c>
      <c r="AH1996">
        <v>0</v>
      </c>
      <c r="AI1996" s="3" t="s">
        <v>1635</v>
      </c>
      <c r="AJ1996" s="1" t="s">
        <v>1635</v>
      </c>
      <c r="AK1996" s="2" t="s">
        <v>1635</v>
      </c>
      <c r="AL1996" s="4" t="s">
        <v>1658</v>
      </c>
      <c r="AM1996" s="5" t="s">
        <v>1658</v>
      </c>
      <c r="AN1996" s="4">
        <v>0</v>
      </c>
      <c r="AO1996" t="s">
        <v>1635</v>
      </c>
      <c r="AP1996" s="4" t="s">
        <v>1658</v>
      </c>
      <c r="AQ1996" t="s">
        <v>1619</v>
      </c>
      <c r="AR1996" t="s">
        <v>1620</v>
      </c>
      <c r="AT1996" s="16" t="str">
        <f>_xlfn.XLOOKUP(B1996,'SWiSH Demand Forecast Sep-26'!D:D,'SWiSH Demand Forecast Sep-26'!G:G,"Not Exist")</f>
        <v>Not Exist</v>
      </c>
    </row>
    <row r="1997" spans="1:46" x14ac:dyDescent="0.3">
      <c r="A1997">
        <v>107400048</v>
      </c>
      <c r="B1997" t="s">
        <v>3884</v>
      </c>
      <c r="C1997" t="s">
        <v>10</v>
      </c>
      <c r="D1997" t="s">
        <v>1675</v>
      </c>
      <c r="E1997" t="s">
        <v>1701</v>
      </c>
      <c r="F1997" t="s">
        <v>1664</v>
      </c>
      <c r="G1997" t="s">
        <v>1704</v>
      </c>
      <c r="H1997" t="s">
        <v>2016</v>
      </c>
      <c r="I1997" t="s">
        <v>1634</v>
      </c>
      <c r="J1997" t="s">
        <v>10</v>
      </c>
      <c r="K1997">
        <v>5.1999999999999998E-2</v>
      </c>
      <c r="L1997">
        <v>252.2</v>
      </c>
      <c r="M1997" s="1">
        <v>30</v>
      </c>
      <c r="N1997">
        <v>0</v>
      </c>
      <c r="O1997">
        <v>0</v>
      </c>
      <c r="P1997">
        <v>4850</v>
      </c>
      <c r="Q1997" s="1">
        <v>4850</v>
      </c>
      <c r="R1997">
        <v>5.1999999999999998E-2</v>
      </c>
      <c r="S1997" s="2">
        <v>45870</v>
      </c>
      <c r="T1997" s="2">
        <v>46054</v>
      </c>
      <c r="U1997">
        <v>0</v>
      </c>
      <c r="V1997">
        <v>0</v>
      </c>
      <c r="W1997">
        <v>0</v>
      </c>
      <c r="X1997">
        <v>0</v>
      </c>
      <c r="Y1997">
        <v>0</v>
      </c>
      <c r="Z1997" s="8">
        <v>0</v>
      </c>
      <c r="AA1997">
        <v>0</v>
      </c>
      <c r="AB1997" t="s">
        <v>1635</v>
      </c>
      <c r="AC1997" t="s">
        <v>1635</v>
      </c>
      <c r="AD1997" s="1" t="s">
        <v>1635</v>
      </c>
      <c r="AE1997" s="2" t="s">
        <v>1635</v>
      </c>
      <c r="AF1997" s="2" t="s">
        <v>1635</v>
      </c>
      <c r="AG1997" s="2" t="s">
        <v>1635</v>
      </c>
      <c r="AH1997">
        <v>0</v>
      </c>
      <c r="AI1997" s="3" t="s">
        <v>1635</v>
      </c>
      <c r="AJ1997" s="1" t="s">
        <v>1635</v>
      </c>
      <c r="AK1997" s="2" t="s">
        <v>1635</v>
      </c>
      <c r="AL1997" s="4" t="s">
        <v>1658</v>
      </c>
      <c r="AM1997" s="5" t="s">
        <v>1658</v>
      </c>
      <c r="AN1997" s="4">
        <v>0</v>
      </c>
      <c r="AO1997" t="s">
        <v>1635</v>
      </c>
      <c r="AP1997" s="4" t="s">
        <v>1658</v>
      </c>
      <c r="AQ1997" t="s">
        <v>1619</v>
      </c>
      <c r="AR1997" t="s">
        <v>1620</v>
      </c>
      <c r="AT1997" s="16" t="str">
        <f>_xlfn.XLOOKUP(B1997,'SWiSH Demand Forecast Sep-26'!D:D,'SWiSH Demand Forecast Sep-26'!G:G,"Not Exist")</f>
        <v>Not Exist</v>
      </c>
    </row>
    <row r="1998" spans="1:46" x14ac:dyDescent="0.3">
      <c r="A1998">
        <v>106700041</v>
      </c>
      <c r="B1998" t="s">
        <v>3885</v>
      </c>
      <c r="C1998" t="s">
        <v>10</v>
      </c>
      <c r="D1998" t="s">
        <v>1675</v>
      </c>
      <c r="E1998" t="s">
        <v>1643</v>
      </c>
      <c r="F1998" t="s">
        <v>1650</v>
      </c>
      <c r="G1998" t="s">
        <v>1704</v>
      </c>
      <c r="H1998" t="s">
        <v>1651</v>
      </c>
      <c r="I1998" t="s">
        <v>1634</v>
      </c>
      <c r="J1998" t="s">
        <v>10</v>
      </c>
      <c r="K1998">
        <v>0.04</v>
      </c>
      <c r="L1998">
        <v>110</v>
      </c>
      <c r="M1998" s="1">
        <v>3</v>
      </c>
      <c r="N1998">
        <v>0</v>
      </c>
      <c r="O1998">
        <v>0</v>
      </c>
      <c r="P1998">
        <v>2750</v>
      </c>
      <c r="Q1998" s="1">
        <v>2750</v>
      </c>
      <c r="R1998">
        <v>0.04</v>
      </c>
      <c r="S1998" s="2">
        <v>44416</v>
      </c>
      <c r="T1998" s="2">
        <v>45783</v>
      </c>
      <c r="U1998">
        <v>0</v>
      </c>
      <c r="V1998">
        <v>0</v>
      </c>
      <c r="W1998">
        <v>0</v>
      </c>
      <c r="X1998">
        <v>0</v>
      </c>
      <c r="Y1998">
        <v>0</v>
      </c>
      <c r="Z1998" s="8">
        <v>0</v>
      </c>
      <c r="AA1998">
        <v>0</v>
      </c>
      <c r="AB1998" t="s">
        <v>1635</v>
      </c>
      <c r="AC1998" t="s">
        <v>1635</v>
      </c>
      <c r="AD1998" s="1" t="s">
        <v>1635</v>
      </c>
      <c r="AE1998" s="2" t="s">
        <v>1635</v>
      </c>
      <c r="AF1998" s="2" t="s">
        <v>1635</v>
      </c>
      <c r="AG1998" s="2" t="s">
        <v>1635</v>
      </c>
      <c r="AH1998">
        <v>0</v>
      </c>
      <c r="AI1998" s="3" t="s">
        <v>1635</v>
      </c>
      <c r="AJ1998" s="1" t="s">
        <v>1635</v>
      </c>
      <c r="AK1998" s="2" t="s">
        <v>1635</v>
      </c>
      <c r="AL1998" s="4" t="s">
        <v>1658</v>
      </c>
      <c r="AM1998" s="5" t="s">
        <v>1658</v>
      </c>
      <c r="AN1998" s="4">
        <v>0</v>
      </c>
      <c r="AO1998" t="s">
        <v>1635</v>
      </c>
      <c r="AP1998" s="4" t="s">
        <v>1658</v>
      </c>
      <c r="AQ1998" t="s">
        <v>1619</v>
      </c>
      <c r="AR1998" t="s">
        <v>1620</v>
      </c>
      <c r="AT1998" s="16" t="str">
        <f>_xlfn.XLOOKUP(B1998,'SWiSH Demand Forecast Sep-26'!D:D,'SWiSH Demand Forecast Sep-26'!G:G,"Not Exist")</f>
        <v>Not Exist</v>
      </c>
    </row>
    <row r="1999" spans="1:46" x14ac:dyDescent="0.3">
      <c r="A1999">
        <v>106700042</v>
      </c>
      <c r="B1999" t="s">
        <v>3886</v>
      </c>
      <c r="C1999" t="s">
        <v>10</v>
      </c>
      <c r="D1999" t="s">
        <v>1675</v>
      </c>
      <c r="E1999" t="s">
        <v>1643</v>
      </c>
      <c r="F1999" t="s">
        <v>1650</v>
      </c>
      <c r="G1999" t="s">
        <v>1704</v>
      </c>
      <c r="H1999" t="s">
        <v>1651</v>
      </c>
      <c r="I1999" t="s">
        <v>1634</v>
      </c>
      <c r="J1999" t="s">
        <v>10</v>
      </c>
      <c r="K1999">
        <v>0.04</v>
      </c>
      <c r="L1999">
        <v>110</v>
      </c>
      <c r="M1999" s="1">
        <v>3</v>
      </c>
      <c r="N1999">
        <v>0</v>
      </c>
      <c r="O1999">
        <v>0</v>
      </c>
      <c r="P1999">
        <v>2750</v>
      </c>
      <c r="Q1999" s="1">
        <v>2750</v>
      </c>
      <c r="R1999">
        <v>0.04</v>
      </c>
      <c r="S1999" s="2">
        <v>44416</v>
      </c>
      <c r="T1999" s="2">
        <v>45777</v>
      </c>
      <c r="U1999">
        <v>0</v>
      </c>
      <c r="V1999">
        <v>0</v>
      </c>
      <c r="W1999">
        <v>0</v>
      </c>
      <c r="X1999">
        <v>0</v>
      </c>
      <c r="Y1999">
        <v>0</v>
      </c>
      <c r="Z1999" s="8">
        <v>0</v>
      </c>
      <c r="AA1999">
        <v>0</v>
      </c>
      <c r="AB1999" t="s">
        <v>1635</v>
      </c>
      <c r="AC1999" t="s">
        <v>1635</v>
      </c>
      <c r="AD1999" s="1" t="s">
        <v>1635</v>
      </c>
      <c r="AE1999" s="2" t="s">
        <v>1635</v>
      </c>
      <c r="AF1999" s="2" t="s">
        <v>1635</v>
      </c>
      <c r="AG1999" s="2" t="s">
        <v>1635</v>
      </c>
      <c r="AH1999">
        <v>0</v>
      </c>
      <c r="AI1999" s="3" t="s">
        <v>1635</v>
      </c>
      <c r="AJ1999" s="1" t="s">
        <v>1635</v>
      </c>
      <c r="AK1999" s="2" t="s">
        <v>1635</v>
      </c>
      <c r="AL1999" s="4" t="s">
        <v>1658</v>
      </c>
      <c r="AM1999" s="5" t="s">
        <v>1658</v>
      </c>
      <c r="AN1999" s="4">
        <v>0</v>
      </c>
      <c r="AO1999" t="s">
        <v>1635</v>
      </c>
      <c r="AP1999" s="4" t="s">
        <v>1658</v>
      </c>
      <c r="AQ1999" t="s">
        <v>1619</v>
      </c>
      <c r="AR1999" t="s">
        <v>1620</v>
      </c>
      <c r="AT1999" s="16" t="str">
        <f>_xlfn.XLOOKUP(B1999,'SWiSH Demand Forecast Sep-26'!D:D,'SWiSH Demand Forecast Sep-26'!G:G,"Not Exist")</f>
        <v>Not Exist</v>
      </c>
    </row>
    <row r="2000" spans="1:46" x14ac:dyDescent="0.3">
      <c r="A2000">
        <v>106700043</v>
      </c>
      <c r="B2000" t="s">
        <v>3887</v>
      </c>
      <c r="C2000" t="s">
        <v>10</v>
      </c>
      <c r="D2000" t="s">
        <v>1675</v>
      </c>
      <c r="E2000" t="s">
        <v>1926</v>
      </c>
      <c r="F2000" t="s">
        <v>1650</v>
      </c>
      <c r="G2000" t="s">
        <v>1704</v>
      </c>
      <c r="H2000" t="s">
        <v>1651</v>
      </c>
      <c r="I2000" t="s">
        <v>1634</v>
      </c>
      <c r="J2000" t="s">
        <v>10</v>
      </c>
      <c r="K2000">
        <v>0.04</v>
      </c>
      <c r="L2000">
        <v>110</v>
      </c>
      <c r="M2000" s="1">
        <v>3</v>
      </c>
      <c r="N2000">
        <v>0</v>
      </c>
      <c r="O2000">
        <v>0</v>
      </c>
      <c r="P2000">
        <v>2750</v>
      </c>
      <c r="Q2000" s="1">
        <v>2750</v>
      </c>
      <c r="R2000">
        <v>0</v>
      </c>
      <c r="S2000" s="2">
        <v>45777</v>
      </c>
      <c r="T2000" s="2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 s="8">
        <v>0</v>
      </c>
      <c r="AA2000">
        <v>0</v>
      </c>
      <c r="AB2000" t="s">
        <v>1635</v>
      </c>
      <c r="AC2000" t="s">
        <v>1635</v>
      </c>
      <c r="AD2000" s="1" t="s">
        <v>1635</v>
      </c>
      <c r="AE2000" s="2" t="s">
        <v>1635</v>
      </c>
      <c r="AF2000" s="2" t="s">
        <v>1635</v>
      </c>
      <c r="AG2000" s="2" t="s">
        <v>1635</v>
      </c>
      <c r="AH2000">
        <v>0</v>
      </c>
      <c r="AI2000" s="3" t="s">
        <v>1635</v>
      </c>
      <c r="AJ2000" s="1" t="s">
        <v>1635</v>
      </c>
      <c r="AK2000" s="2" t="s">
        <v>1635</v>
      </c>
      <c r="AL2000" s="4" t="s">
        <v>1658</v>
      </c>
      <c r="AM2000" s="5" t="s">
        <v>1658</v>
      </c>
      <c r="AN2000" s="4">
        <v>0</v>
      </c>
      <c r="AO2000" t="s">
        <v>1635</v>
      </c>
      <c r="AP2000" s="4" t="s">
        <v>1658</v>
      </c>
      <c r="AQ2000" t="s">
        <v>1619</v>
      </c>
      <c r="AR2000" t="s">
        <v>1620</v>
      </c>
      <c r="AT2000" s="16" t="str">
        <f>_xlfn.XLOOKUP(B2000,'SWiSH Demand Forecast Sep-26'!D:D,'SWiSH Demand Forecast Sep-26'!G:G,"Not Exist")</f>
        <v>Not Exist</v>
      </c>
    </row>
    <row r="2001" spans="1:46" x14ac:dyDescent="0.3">
      <c r="A2001">
        <v>100400040</v>
      </c>
      <c r="B2001" t="s">
        <v>3888</v>
      </c>
      <c r="C2001" t="s">
        <v>10</v>
      </c>
      <c r="D2001" t="s">
        <v>1675</v>
      </c>
      <c r="E2001" t="s">
        <v>1796</v>
      </c>
      <c r="F2001" t="s">
        <v>1664</v>
      </c>
      <c r="G2001" t="s">
        <v>1704</v>
      </c>
      <c r="H2001" t="s">
        <v>1810</v>
      </c>
      <c r="I2001" t="s">
        <v>1634</v>
      </c>
      <c r="J2001" t="s">
        <v>10</v>
      </c>
      <c r="K2001">
        <v>0.22932</v>
      </c>
      <c r="L2001">
        <v>91.727999999999994</v>
      </c>
      <c r="M2001" s="1">
        <v>30</v>
      </c>
      <c r="N2001">
        <v>0</v>
      </c>
      <c r="O2001">
        <v>0</v>
      </c>
      <c r="P2001">
        <v>400</v>
      </c>
      <c r="Q2001" s="1">
        <v>400</v>
      </c>
      <c r="R2001">
        <v>0.22932</v>
      </c>
      <c r="S2001" s="2">
        <v>45773</v>
      </c>
      <c r="T2001" s="2">
        <v>45258</v>
      </c>
      <c r="U2001">
        <v>0</v>
      </c>
      <c r="V2001">
        <v>0</v>
      </c>
      <c r="W2001">
        <v>0</v>
      </c>
      <c r="X2001">
        <v>0</v>
      </c>
      <c r="Y2001">
        <v>0</v>
      </c>
      <c r="Z2001" s="8">
        <v>0</v>
      </c>
      <c r="AA2001">
        <v>0</v>
      </c>
      <c r="AB2001" t="s">
        <v>1635</v>
      </c>
      <c r="AC2001" t="s">
        <v>1635</v>
      </c>
      <c r="AD2001" s="1" t="s">
        <v>1635</v>
      </c>
      <c r="AE2001" s="2" t="s">
        <v>1635</v>
      </c>
      <c r="AF2001" s="2" t="s">
        <v>1635</v>
      </c>
      <c r="AG2001" s="2" t="s">
        <v>1635</v>
      </c>
      <c r="AH2001">
        <v>0</v>
      </c>
      <c r="AI2001" s="3" t="s">
        <v>1635</v>
      </c>
      <c r="AJ2001" s="1" t="s">
        <v>1635</v>
      </c>
      <c r="AK2001" s="2" t="s">
        <v>1635</v>
      </c>
      <c r="AL2001" s="4" t="s">
        <v>1658</v>
      </c>
      <c r="AM2001" s="5" t="s">
        <v>1658</v>
      </c>
      <c r="AN2001" s="4">
        <v>0</v>
      </c>
      <c r="AO2001" t="s">
        <v>1635</v>
      </c>
      <c r="AP2001" s="4" t="s">
        <v>1658</v>
      </c>
      <c r="AQ2001" t="s">
        <v>1619</v>
      </c>
      <c r="AR2001" t="s">
        <v>1620</v>
      </c>
      <c r="AT2001" s="16" t="str">
        <f>_xlfn.XLOOKUP(B2001,'SWiSH Demand Forecast Sep-26'!D:D,'SWiSH Demand Forecast Sep-26'!G:G,"Not Exist")</f>
        <v>Not Exist</v>
      </c>
    </row>
    <row r="2002" spans="1:46" x14ac:dyDescent="0.3">
      <c r="A2002">
        <v>101600015</v>
      </c>
      <c r="B2002" t="s">
        <v>3889</v>
      </c>
      <c r="C2002" t="s">
        <v>10</v>
      </c>
      <c r="D2002" t="s">
        <v>1675</v>
      </c>
      <c r="E2002" t="s">
        <v>1732</v>
      </c>
      <c r="F2002" t="s">
        <v>1631</v>
      </c>
      <c r="G2002" t="s">
        <v>1704</v>
      </c>
      <c r="H2002" t="s">
        <v>1768</v>
      </c>
      <c r="I2002" t="s">
        <v>1634</v>
      </c>
      <c r="J2002" t="e">
        <v>#N/A</v>
      </c>
      <c r="K2002">
        <v>7.3333299999999999E-3</v>
      </c>
      <c r="L2002">
        <v>0</v>
      </c>
      <c r="M2002" s="1">
        <v>3</v>
      </c>
      <c r="N2002">
        <v>0</v>
      </c>
      <c r="O2002">
        <v>0</v>
      </c>
      <c r="P2002">
        <v>0</v>
      </c>
      <c r="Q2002" s="1">
        <v>0</v>
      </c>
      <c r="R2002">
        <v>22</v>
      </c>
      <c r="S2002" s="2">
        <v>44613</v>
      </c>
      <c r="T2002" s="2">
        <v>45777</v>
      </c>
      <c r="U2002">
        <v>0</v>
      </c>
      <c r="V2002">
        <v>0</v>
      </c>
      <c r="W2002">
        <v>0</v>
      </c>
      <c r="X2002">
        <v>0</v>
      </c>
      <c r="Y2002">
        <v>0</v>
      </c>
      <c r="Z2002" s="8">
        <v>0</v>
      </c>
      <c r="AA2002">
        <v>0</v>
      </c>
      <c r="AB2002" t="s">
        <v>1635</v>
      </c>
      <c r="AC2002" t="s">
        <v>1635</v>
      </c>
      <c r="AD2002" s="1" t="s">
        <v>1635</v>
      </c>
      <c r="AE2002" s="2" t="s">
        <v>1635</v>
      </c>
      <c r="AF2002" s="2" t="s">
        <v>1635</v>
      </c>
      <c r="AG2002" s="2" t="s">
        <v>1635</v>
      </c>
      <c r="AH2002">
        <v>0</v>
      </c>
      <c r="AI2002" s="3" t="s">
        <v>1635</v>
      </c>
      <c r="AJ2002" s="1" t="s">
        <v>1635</v>
      </c>
      <c r="AK2002" s="2" t="s">
        <v>1635</v>
      </c>
      <c r="AL2002" s="4" t="s">
        <v>1658</v>
      </c>
      <c r="AM2002" s="5" t="s">
        <v>1658</v>
      </c>
      <c r="AN2002" s="4">
        <v>0</v>
      </c>
      <c r="AO2002" t="s">
        <v>1635</v>
      </c>
      <c r="AP2002" s="4" t="s">
        <v>1658</v>
      </c>
      <c r="AQ2002" t="s">
        <v>1619</v>
      </c>
      <c r="AR2002" t="s">
        <v>1620</v>
      </c>
      <c r="AT2002" s="16" t="str">
        <f>_xlfn.XLOOKUP(B2002,'SWiSH Demand Forecast Sep-26'!D:D,'SWiSH Demand Forecast Sep-26'!G:G,"Not Exist")</f>
        <v>Not Exist</v>
      </c>
    </row>
    <row r="2003" spans="1:46" x14ac:dyDescent="0.3">
      <c r="A2003">
        <v>100400218</v>
      </c>
      <c r="B2003" t="s">
        <v>3890</v>
      </c>
      <c r="C2003" t="s">
        <v>10</v>
      </c>
      <c r="D2003" t="s">
        <v>1675</v>
      </c>
      <c r="E2003" t="s">
        <v>1796</v>
      </c>
      <c r="F2003" t="s">
        <v>1664</v>
      </c>
      <c r="G2003" t="s">
        <v>1704</v>
      </c>
      <c r="H2003" t="s">
        <v>1810</v>
      </c>
      <c r="I2003" t="s">
        <v>1634</v>
      </c>
      <c r="J2003" t="s">
        <v>10</v>
      </c>
      <c r="K2003">
        <v>1.6670000000000001E-2</v>
      </c>
      <c r="L2003">
        <v>158.36500000000001</v>
      </c>
      <c r="M2003" s="1">
        <v>30</v>
      </c>
      <c r="N2003">
        <v>0</v>
      </c>
      <c r="O2003">
        <v>0</v>
      </c>
      <c r="P2003">
        <v>9500</v>
      </c>
      <c r="Q2003" s="1">
        <v>9500</v>
      </c>
      <c r="R2003">
        <v>1.6670000000000001E-2</v>
      </c>
      <c r="S2003" s="2">
        <v>45773</v>
      </c>
      <c r="T2003" s="2">
        <v>45741</v>
      </c>
      <c r="U2003">
        <v>0</v>
      </c>
      <c r="V2003">
        <v>0</v>
      </c>
      <c r="W2003">
        <v>0</v>
      </c>
      <c r="X2003">
        <v>0</v>
      </c>
      <c r="Y2003">
        <v>0</v>
      </c>
      <c r="Z2003" s="8">
        <v>0</v>
      </c>
      <c r="AA2003">
        <v>0</v>
      </c>
      <c r="AB2003" t="s">
        <v>1635</v>
      </c>
      <c r="AC2003" t="s">
        <v>1635</v>
      </c>
      <c r="AD2003" s="1" t="s">
        <v>1635</v>
      </c>
      <c r="AE2003" s="2" t="s">
        <v>1635</v>
      </c>
      <c r="AF2003" s="2" t="s">
        <v>1635</v>
      </c>
      <c r="AG2003" s="2" t="s">
        <v>1635</v>
      </c>
      <c r="AH2003">
        <v>0</v>
      </c>
      <c r="AI2003" s="3" t="s">
        <v>1635</v>
      </c>
      <c r="AJ2003" s="1" t="s">
        <v>1635</v>
      </c>
      <c r="AK2003" s="2" t="s">
        <v>1635</v>
      </c>
      <c r="AL2003" s="4" t="s">
        <v>1658</v>
      </c>
      <c r="AM2003" s="5" t="s">
        <v>1658</v>
      </c>
      <c r="AN2003" s="4">
        <v>0</v>
      </c>
      <c r="AO2003" t="s">
        <v>1635</v>
      </c>
      <c r="AP2003" s="4" t="s">
        <v>1658</v>
      </c>
      <c r="AQ2003" t="s">
        <v>1619</v>
      </c>
      <c r="AR2003" t="s">
        <v>1620</v>
      </c>
      <c r="AT2003" s="16" t="str">
        <f>_xlfn.XLOOKUP(B2003,'SWiSH Demand Forecast Sep-26'!D:D,'SWiSH Demand Forecast Sep-26'!G:G,"Not Exist")</f>
        <v>Not Exist</v>
      </c>
    </row>
    <row r="2004" spans="1:46" x14ac:dyDescent="0.3">
      <c r="A2004">
        <v>107200087</v>
      </c>
      <c r="B2004" t="s">
        <v>3891</v>
      </c>
      <c r="C2004" t="s">
        <v>10</v>
      </c>
      <c r="D2004" t="s">
        <v>1675</v>
      </c>
      <c r="E2004" t="s">
        <v>3892</v>
      </c>
      <c r="F2004" t="s">
        <v>1656</v>
      </c>
      <c r="G2004" t="s">
        <v>1704</v>
      </c>
      <c r="H2004" t="s">
        <v>1657</v>
      </c>
      <c r="I2004" t="s">
        <v>1634</v>
      </c>
      <c r="J2004" t="s">
        <v>10</v>
      </c>
      <c r="K2004">
        <v>3.3024499999999999</v>
      </c>
      <c r="L2004">
        <v>0</v>
      </c>
      <c r="M2004" s="1">
        <v>15</v>
      </c>
      <c r="N2004">
        <v>0</v>
      </c>
      <c r="O2004">
        <v>0</v>
      </c>
      <c r="P2004">
        <v>0</v>
      </c>
      <c r="Q2004" s="1">
        <v>0</v>
      </c>
      <c r="R2004">
        <v>3.3024499999999999</v>
      </c>
      <c r="S2004" s="2">
        <v>45848</v>
      </c>
      <c r="T2004" s="2">
        <v>46054</v>
      </c>
      <c r="U2004">
        <v>0</v>
      </c>
      <c r="V2004">
        <v>0</v>
      </c>
      <c r="W2004">
        <v>0</v>
      </c>
      <c r="X2004">
        <v>0</v>
      </c>
      <c r="Y2004">
        <v>0</v>
      </c>
      <c r="Z2004" s="8">
        <v>0</v>
      </c>
      <c r="AA2004">
        <v>0</v>
      </c>
      <c r="AB2004" t="s">
        <v>1635</v>
      </c>
      <c r="AC2004" t="s">
        <v>1635</v>
      </c>
      <c r="AD2004" s="1" t="s">
        <v>1635</v>
      </c>
      <c r="AE2004" s="2" t="s">
        <v>1635</v>
      </c>
      <c r="AF2004" s="2" t="s">
        <v>1635</v>
      </c>
      <c r="AG2004" s="2" t="s">
        <v>1635</v>
      </c>
      <c r="AH2004">
        <v>0</v>
      </c>
      <c r="AI2004" s="3" t="s">
        <v>1635</v>
      </c>
      <c r="AJ2004" s="1" t="s">
        <v>1635</v>
      </c>
      <c r="AK2004" s="2" t="s">
        <v>1635</v>
      </c>
      <c r="AL2004" s="4" t="s">
        <v>1658</v>
      </c>
      <c r="AM2004" s="5" t="s">
        <v>1658</v>
      </c>
      <c r="AN2004" s="4">
        <v>0</v>
      </c>
      <c r="AO2004" t="s">
        <v>1635</v>
      </c>
      <c r="AP2004" s="4" t="s">
        <v>1658</v>
      </c>
      <c r="AQ2004" t="s">
        <v>1619</v>
      </c>
      <c r="AR2004" t="s">
        <v>1620</v>
      </c>
      <c r="AT2004" s="16" t="str">
        <f>_xlfn.XLOOKUP(B2004,'SWiSH Demand Forecast Sep-26'!D:D,'SWiSH Demand Forecast Sep-26'!G:G,"Not Exist")</f>
        <v>Not Exist</v>
      </c>
    </row>
    <row r="2005" spans="1:46" x14ac:dyDescent="0.3">
      <c r="A2005">
        <v>105300028</v>
      </c>
      <c r="B2005" t="s">
        <v>3893</v>
      </c>
      <c r="C2005" t="s">
        <v>10</v>
      </c>
      <c r="D2005" t="s">
        <v>1675</v>
      </c>
      <c r="E2005" t="s">
        <v>1638</v>
      </c>
      <c r="F2005" t="s">
        <v>1664</v>
      </c>
      <c r="G2005" t="s">
        <v>1704</v>
      </c>
      <c r="H2005" t="s">
        <v>1978</v>
      </c>
      <c r="I2005" t="s">
        <v>1634</v>
      </c>
      <c r="J2005" t="s">
        <v>10</v>
      </c>
      <c r="K2005">
        <v>1.4E-2</v>
      </c>
      <c r="L2005">
        <v>0</v>
      </c>
      <c r="M2005" s="1">
        <v>30</v>
      </c>
      <c r="N2005">
        <v>0</v>
      </c>
      <c r="O2005">
        <v>0</v>
      </c>
      <c r="P2005">
        <v>0</v>
      </c>
      <c r="Q2005" s="1">
        <v>0</v>
      </c>
      <c r="R2005">
        <v>2.8000000000000001E-2</v>
      </c>
      <c r="S2005" s="2">
        <v>45962</v>
      </c>
      <c r="T2005" s="2">
        <v>45968</v>
      </c>
      <c r="U2005">
        <v>0</v>
      </c>
      <c r="V2005">
        <v>0</v>
      </c>
      <c r="W2005">
        <v>0</v>
      </c>
      <c r="X2005">
        <v>0</v>
      </c>
      <c r="Y2005">
        <v>0</v>
      </c>
      <c r="Z2005" s="8">
        <v>0</v>
      </c>
      <c r="AA2005">
        <v>0</v>
      </c>
      <c r="AB2005" t="s">
        <v>1635</v>
      </c>
      <c r="AC2005" t="s">
        <v>1635</v>
      </c>
      <c r="AD2005" s="1" t="s">
        <v>1635</v>
      </c>
      <c r="AE2005" s="2" t="s">
        <v>1635</v>
      </c>
      <c r="AF2005" s="2" t="s">
        <v>1635</v>
      </c>
      <c r="AG2005" s="2" t="s">
        <v>1635</v>
      </c>
      <c r="AH2005">
        <v>0</v>
      </c>
      <c r="AI2005" s="3" t="s">
        <v>1635</v>
      </c>
      <c r="AJ2005" s="1" t="s">
        <v>1635</v>
      </c>
      <c r="AK2005" s="2" t="s">
        <v>1635</v>
      </c>
      <c r="AL2005" s="4" t="s">
        <v>1658</v>
      </c>
      <c r="AM2005" s="5" t="s">
        <v>1658</v>
      </c>
      <c r="AN2005" s="4">
        <v>0</v>
      </c>
      <c r="AO2005" t="s">
        <v>1635</v>
      </c>
      <c r="AP2005" s="4" t="s">
        <v>1658</v>
      </c>
      <c r="AQ2005" t="s">
        <v>1619</v>
      </c>
      <c r="AR2005" t="s">
        <v>1620</v>
      </c>
      <c r="AT2005" s="16" t="str">
        <f>_xlfn.XLOOKUP(B2005,'SWiSH Demand Forecast Sep-26'!D:D,'SWiSH Demand Forecast Sep-26'!G:G,"Not Exist")</f>
        <v>Not Exist</v>
      </c>
    </row>
    <row r="2006" spans="1:46" x14ac:dyDescent="0.3">
      <c r="A2006">
        <v>107200169</v>
      </c>
      <c r="B2006" t="s">
        <v>3894</v>
      </c>
      <c r="C2006" t="s">
        <v>10</v>
      </c>
      <c r="D2006" t="s">
        <v>1675</v>
      </c>
      <c r="E2006" t="s">
        <v>1796</v>
      </c>
      <c r="F2006" t="s">
        <v>1656</v>
      </c>
      <c r="G2006" t="s">
        <v>1704</v>
      </c>
      <c r="H2006" t="s">
        <v>1657</v>
      </c>
      <c r="I2006" t="s">
        <v>1634</v>
      </c>
      <c r="J2006" t="s">
        <v>10</v>
      </c>
      <c r="K2006">
        <v>3.25</v>
      </c>
      <c r="L2006">
        <v>0</v>
      </c>
      <c r="M2006" s="1">
        <v>15</v>
      </c>
      <c r="N2006">
        <v>0</v>
      </c>
      <c r="O2006">
        <v>0</v>
      </c>
      <c r="P2006">
        <v>0</v>
      </c>
      <c r="Q2006" s="1">
        <v>0</v>
      </c>
      <c r="R2006">
        <v>3.25</v>
      </c>
      <c r="S2006" s="2">
        <v>45291</v>
      </c>
      <c r="T2006" s="2">
        <v>45807</v>
      </c>
      <c r="U2006">
        <v>0</v>
      </c>
      <c r="V2006">
        <v>0</v>
      </c>
      <c r="W2006">
        <v>0</v>
      </c>
      <c r="X2006">
        <v>0</v>
      </c>
      <c r="Y2006">
        <v>0</v>
      </c>
      <c r="Z2006" s="8">
        <v>0</v>
      </c>
      <c r="AA2006">
        <v>0</v>
      </c>
      <c r="AB2006" t="s">
        <v>1635</v>
      </c>
      <c r="AC2006" t="s">
        <v>1635</v>
      </c>
      <c r="AD2006" s="1" t="s">
        <v>1635</v>
      </c>
      <c r="AE2006" s="2" t="s">
        <v>1635</v>
      </c>
      <c r="AF2006" s="2" t="s">
        <v>1635</v>
      </c>
      <c r="AG2006" s="2" t="s">
        <v>1635</v>
      </c>
      <c r="AH2006">
        <v>0</v>
      </c>
      <c r="AI2006" s="3" t="s">
        <v>1635</v>
      </c>
      <c r="AJ2006" s="1" t="s">
        <v>1635</v>
      </c>
      <c r="AK2006" s="2" t="s">
        <v>1635</v>
      </c>
      <c r="AL2006" s="4" t="s">
        <v>1658</v>
      </c>
      <c r="AM2006" s="5" t="s">
        <v>1658</v>
      </c>
      <c r="AN2006" s="4">
        <v>0</v>
      </c>
      <c r="AO2006" t="s">
        <v>1635</v>
      </c>
      <c r="AP2006" s="4" t="s">
        <v>1658</v>
      </c>
      <c r="AQ2006" t="s">
        <v>1619</v>
      </c>
      <c r="AR2006" t="s">
        <v>1620</v>
      </c>
      <c r="AT2006" s="16" t="str">
        <f>_xlfn.XLOOKUP(B2006,'SWiSH Demand Forecast Sep-26'!D:D,'SWiSH Demand Forecast Sep-26'!G:G,"Not Exist")</f>
        <v>Not Exist</v>
      </c>
    </row>
    <row r="2007" spans="1:46" hidden="1" x14ac:dyDescent="0.3">
      <c r="A2007">
        <v>105300037</v>
      </c>
      <c r="B2007" t="s">
        <v>921</v>
      </c>
      <c r="C2007" t="s">
        <v>10</v>
      </c>
      <c r="D2007" t="s">
        <v>1629</v>
      </c>
      <c r="E2007" t="s">
        <v>1638</v>
      </c>
      <c r="F2007" t="s">
        <v>1664</v>
      </c>
      <c r="G2007" t="e">
        <v>#N/A</v>
      </c>
      <c r="H2007" t="s">
        <v>1978</v>
      </c>
      <c r="I2007" t="s">
        <v>1634</v>
      </c>
      <c r="J2007" t="s">
        <v>10</v>
      </c>
      <c r="K2007" t="e">
        <v>#N/A</v>
      </c>
      <c r="L2007" t="e">
        <v>#N/A</v>
      </c>
      <c r="M2007" s="1">
        <v>30</v>
      </c>
      <c r="N2007">
        <v>0</v>
      </c>
      <c r="O2007">
        <v>0</v>
      </c>
      <c r="P2007">
        <v>0</v>
      </c>
      <c r="Q2007" s="1">
        <v>0</v>
      </c>
      <c r="R2007">
        <v>2.1000000000000001E-2</v>
      </c>
      <c r="S2007" s="2">
        <v>45917</v>
      </c>
      <c r="T2007" s="2">
        <v>46201</v>
      </c>
      <c r="U2007">
        <v>0</v>
      </c>
      <c r="V2007">
        <v>0</v>
      </c>
      <c r="W2007">
        <v>0</v>
      </c>
      <c r="X2007">
        <v>0</v>
      </c>
      <c r="Y2007">
        <v>0</v>
      </c>
      <c r="Z2007" s="8">
        <v>0</v>
      </c>
      <c r="AA2007">
        <v>0</v>
      </c>
      <c r="AB2007" t="s">
        <v>1635</v>
      </c>
      <c r="AC2007" t="s">
        <v>1635</v>
      </c>
      <c r="AD2007" s="1" t="s">
        <v>1635</v>
      </c>
      <c r="AE2007" s="2" t="s">
        <v>1635</v>
      </c>
      <c r="AF2007" s="2" t="s">
        <v>1635</v>
      </c>
      <c r="AG2007" s="2" t="s">
        <v>1635</v>
      </c>
      <c r="AH2007">
        <v>0</v>
      </c>
      <c r="AI2007" s="3" t="s">
        <v>1635</v>
      </c>
      <c r="AJ2007" s="1" t="s">
        <v>1635</v>
      </c>
      <c r="AK2007" s="2" t="s">
        <v>1635</v>
      </c>
      <c r="AL2007" s="4" t="s">
        <v>1636</v>
      </c>
      <c r="AM2007" s="5" t="s">
        <v>1636</v>
      </c>
      <c r="AN2007" s="4">
        <v>0</v>
      </c>
      <c r="AO2007" t="s">
        <v>1635</v>
      </c>
      <c r="AP2007" s="4" t="s">
        <v>1636</v>
      </c>
      <c r="AQ2007" t="s">
        <v>1619</v>
      </c>
      <c r="AR2007" t="s">
        <v>1620</v>
      </c>
      <c r="AT2007" s="16">
        <f>_xlfn.XLOOKUP(B2007,'SWiSH Demand Forecast Sep-26'!D:D,'SWiSH Demand Forecast Sep-26'!G:G,"Not Exist")</f>
        <v>223</v>
      </c>
    </row>
    <row r="2008" spans="1:46" x14ac:dyDescent="0.3">
      <c r="A2008">
        <v>106900011</v>
      </c>
      <c r="B2008" t="s">
        <v>3895</v>
      </c>
      <c r="C2008" t="s">
        <v>10</v>
      </c>
      <c r="D2008" t="s">
        <v>1675</v>
      </c>
      <c r="E2008" t="s">
        <v>1775</v>
      </c>
      <c r="F2008" t="s">
        <v>1664</v>
      </c>
      <c r="G2008" t="s">
        <v>1704</v>
      </c>
      <c r="H2008" t="s">
        <v>3721</v>
      </c>
      <c r="I2008" t="s">
        <v>1634</v>
      </c>
      <c r="J2008" t="s">
        <v>10</v>
      </c>
      <c r="K2008">
        <v>7.0000000000000001E-3</v>
      </c>
      <c r="L2008">
        <v>0</v>
      </c>
      <c r="M2008" s="1">
        <v>15</v>
      </c>
      <c r="N2008">
        <v>0</v>
      </c>
      <c r="O2008">
        <v>0</v>
      </c>
      <c r="P2008">
        <v>0</v>
      </c>
      <c r="Q2008" s="1">
        <v>0</v>
      </c>
      <c r="R2008">
        <v>7.0000000000000001E-3</v>
      </c>
      <c r="S2008" s="2">
        <v>45017</v>
      </c>
      <c r="T2008" s="2">
        <v>45804</v>
      </c>
      <c r="U2008">
        <v>0</v>
      </c>
      <c r="V2008">
        <v>0</v>
      </c>
      <c r="W2008">
        <v>0</v>
      </c>
      <c r="X2008">
        <v>0</v>
      </c>
      <c r="Y2008">
        <v>0</v>
      </c>
      <c r="Z2008" s="8">
        <v>0</v>
      </c>
      <c r="AA2008">
        <v>0</v>
      </c>
      <c r="AB2008" t="s">
        <v>1635</v>
      </c>
      <c r="AC2008" t="s">
        <v>1635</v>
      </c>
      <c r="AD2008" s="1" t="s">
        <v>1635</v>
      </c>
      <c r="AE2008" s="2" t="s">
        <v>1635</v>
      </c>
      <c r="AF2008" s="2" t="s">
        <v>1635</v>
      </c>
      <c r="AG2008" s="2" t="s">
        <v>1635</v>
      </c>
      <c r="AH2008">
        <v>0</v>
      </c>
      <c r="AI2008" s="3" t="s">
        <v>1635</v>
      </c>
      <c r="AJ2008" s="1" t="s">
        <v>1635</v>
      </c>
      <c r="AK2008" s="2" t="s">
        <v>1635</v>
      </c>
      <c r="AL2008" s="4" t="s">
        <v>1658</v>
      </c>
      <c r="AM2008" s="5" t="s">
        <v>1658</v>
      </c>
      <c r="AN2008" s="4">
        <v>0</v>
      </c>
      <c r="AO2008" t="s">
        <v>1635</v>
      </c>
      <c r="AP2008" s="4" t="s">
        <v>1658</v>
      </c>
      <c r="AQ2008" t="s">
        <v>1619</v>
      </c>
      <c r="AR2008" t="s">
        <v>1620</v>
      </c>
      <c r="AT2008" s="16" t="str">
        <f>_xlfn.XLOOKUP(B2008,'SWiSH Demand Forecast Sep-26'!D:D,'SWiSH Demand Forecast Sep-26'!G:G,"Not Exist")</f>
        <v>Not Exist</v>
      </c>
    </row>
    <row r="2009" spans="1:46" x14ac:dyDescent="0.3">
      <c r="A2009">
        <v>106800002</v>
      </c>
      <c r="B2009" t="s">
        <v>3896</v>
      </c>
      <c r="C2009" t="s">
        <v>10</v>
      </c>
      <c r="D2009" t="s">
        <v>1675</v>
      </c>
      <c r="E2009" t="s">
        <v>2483</v>
      </c>
      <c r="F2009" t="s">
        <v>1664</v>
      </c>
      <c r="G2009" t="s">
        <v>1704</v>
      </c>
      <c r="H2009" t="s">
        <v>1665</v>
      </c>
      <c r="I2009" t="s">
        <v>1634</v>
      </c>
      <c r="J2009" t="s">
        <v>10</v>
      </c>
      <c r="K2009">
        <v>1.2500000000000001E-2</v>
      </c>
      <c r="L2009">
        <v>0</v>
      </c>
      <c r="M2009" s="1">
        <v>7</v>
      </c>
      <c r="N2009">
        <v>0</v>
      </c>
      <c r="O2009">
        <v>0</v>
      </c>
      <c r="P2009">
        <v>0</v>
      </c>
      <c r="Q2009" s="1">
        <v>0</v>
      </c>
      <c r="R2009">
        <v>1.2500000000000001E-2</v>
      </c>
      <c r="S2009" s="2">
        <v>44052</v>
      </c>
      <c r="T2009" s="2">
        <v>45777</v>
      </c>
      <c r="U2009">
        <v>0</v>
      </c>
      <c r="V2009">
        <v>0</v>
      </c>
      <c r="W2009">
        <v>0</v>
      </c>
      <c r="X2009">
        <v>0</v>
      </c>
      <c r="Y2009">
        <v>0</v>
      </c>
      <c r="Z2009" s="8">
        <v>0</v>
      </c>
      <c r="AA2009">
        <v>0</v>
      </c>
      <c r="AB2009" t="s">
        <v>1635</v>
      </c>
      <c r="AC2009" t="s">
        <v>1635</v>
      </c>
      <c r="AD2009" s="1" t="s">
        <v>1635</v>
      </c>
      <c r="AE2009" s="2" t="s">
        <v>1635</v>
      </c>
      <c r="AF2009" s="2" t="s">
        <v>1635</v>
      </c>
      <c r="AG2009" s="2" t="s">
        <v>1635</v>
      </c>
      <c r="AH2009">
        <v>0</v>
      </c>
      <c r="AI2009" s="3" t="s">
        <v>1635</v>
      </c>
      <c r="AJ2009" s="1" t="s">
        <v>1635</v>
      </c>
      <c r="AK2009" s="2" t="s">
        <v>1635</v>
      </c>
      <c r="AL2009" s="4" t="s">
        <v>1658</v>
      </c>
      <c r="AM2009" s="5" t="s">
        <v>1658</v>
      </c>
      <c r="AN2009" s="4">
        <v>0</v>
      </c>
      <c r="AO2009" t="s">
        <v>1635</v>
      </c>
      <c r="AP2009" s="4" t="s">
        <v>1658</v>
      </c>
      <c r="AQ2009" t="s">
        <v>1619</v>
      </c>
      <c r="AR2009" t="s">
        <v>1620</v>
      </c>
      <c r="AT2009" s="16" t="str">
        <f>_xlfn.XLOOKUP(B2009,'SWiSH Demand Forecast Sep-26'!D:D,'SWiSH Demand Forecast Sep-26'!G:G,"Not Exist")</f>
        <v>Not Exist</v>
      </c>
    </row>
    <row r="2010" spans="1:46" x14ac:dyDescent="0.3">
      <c r="A2010">
        <v>106900004</v>
      </c>
      <c r="B2010" t="s">
        <v>3897</v>
      </c>
      <c r="C2010" t="s">
        <v>10</v>
      </c>
      <c r="D2010" t="s">
        <v>1675</v>
      </c>
      <c r="E2010" t="s">
        <v>1949</v>
      </c>
      <c r="F2010" t="s">
        <v>1664</v>
      </c>
      <c r="G2010" t="s">
        <v>1704</v>
      </c>
      <c r="H2010" t="s">
        <v>3721</v>
      </c>
      <c r="I2010" t="s">
        <v>1634</v>
      </c>
      <c r="J2010" t="s">
        <v>10</v>
      </c>
      <c r="K2010">
        <v>0.01</v>
      </c>
      <c r="L2010">
        <v>0</v>
      </c>
      <c r="M2010" s="1">
        <v>15</v>
      </c>
      <c r="N2010">
        <v>0</v>
      </c>
      <c r="O2010">
        <v>0</v>
      </c>
      <c r="P2010">
        <v>0</v>
      </c>
      <c r="Q2010" s="1">
        <v>0</v>
      </c>
      <c r="R2010">
        <v>0.01</v>
      </c>
      <c r="S2010" s="2">
        <v>44978</v>
      </c>
      <c r="T2010" s="2">
        <v>45804</v>
      </c>
      <c r="U2010">
        <v>0</v>
      </c>
      <c r="V2010">
        <v>0</v>
      </c>
      <c r="W2010">
        <v>0</v>
      </c>
      <c r="X2010">
        <v>0</v>
      </c>
      <c r="Y2010">
        <v>0</v>
      </c>
      <c r="Z2010" s="8">
        <v>0</v>
      </c>
      <c r="AA2010">
        <v>0</v>
      </c>
      <c r="AB2010" t="s">
        <v>1635</v>
      </c>
      <c r="AC2010" t="s">
        <v>1635</v>
      </c>
      <c r="AD2010" s="1" t="s">
        <v>1635</v>
      </c>
      <c r="AE2010" s="2" t="s">
        <v>1635</v>
      </c>
      <c r="AF2010" s="2" t="s">
        <v>1635</v>
      </c>
      <c r="AG2010" s="2" t="s">
        <v>1635</v>
      </c>
      <c r="AH2010">
        <v>0</v>
      </c>
      <c r="AI2010" s="3" t="s">
        <v>1635</v>
      </c>
      <c r="AJ2010" s="1" t="s">
        <v>1635</v>
      </c>
      <c r="AK2010" s="2" t="s">
        <v>1635</v>
      </c>
      <c r="AL2010" s="4" t="s">
        <v>1658</v>
      </c>
      <c r="AM2010" s="5" t="s">
        <v>1658</v>
      </c>
      <c r="AN2010" s="4">
        <v>0</v>
      </c>
      <c r="AO2010" t="s">
        <v>1635</v>
      </c>
      <c r="AP2010" s="4" t="s">
        <v>1658</v>
      </c>
      <c r="AQ2010" t="s">
        <v>1619</v>
      </c>
      <c r="AR2010" t="s">
        <v>1620</v>
      </c>
      <c r="AT2010" s="16" t="str">
        <f>_xlfn.XLOOKUP(B2010,'SWiSH Demand Forecast Sep-26'!D:D,'SWiSH Demand Forecast Sep-26'!G:G,"Not Exist")</f>
        <v>Not Exist</v>
      </c>
    </row>
    <row r="2011" spans="1:46" x14ac:dyDescent="0.3">
      <c r="A2011">
        <v>106800181</v>
      </c>
      <c r="B2011" t="s">
        <v>3898</v>
      </c>
      <c r="C2011" t="s">
        <v>10</v>
      </c>
      <c r="D2011" t="s">
        <v>1629</v>
      </c>
      <c r="E2011" t="s">
        <v>1638</v>
      </c>
      <c r="F2011" t="s">
        <v>1664</v>
      </c>
      <c r="G2011" t="e">
        <v>#N/A</v>
      </c>
      <c r="H2011" t="s">
        <v>1665</v>
      </c>
      <c r="I2011" t="s">
        <v>1634</v>
      </c>
      <c r="J2011" t="s">
        <v>10</v>
      </c>
      <c r="K2011" t="e">
        <v>#N/A</v>
      </c>
      <c r="L2011" t="e">
        <v>#N/A</v>
      </c>
      <c r="M2011" s="1">
        <v>7</v>
      </c>
      <c r="N2011">
        <v>0</v>
      </c>
      <c r="O2011">
        <v>0</v>
      </c>
      <c r="P2011">
        <v>0</v>
      </c>
      <c r="Q2011" s="1">
        <v>0</v>
      </c>
      <c r="R2011">
        <v>5.0000000000000001E-3</v>
      </c>
      <c r="S2011" s="2">
        <v>45559</v>
      </c>
      <c r="T2011" s="2">
        <v>45894</v>
      </c>
      <c r="U2011">
        <v>0</v>
      </c>
      <c r="V2011">
        <v>0</v>
      </c>
      <c r="W2011">
        <v>0</v>
      </c>
      <c r="X2011">
        <v>0</v>
      </c>
      <c r="Y2011">
        <v>0</v>
      </c>
      <c r="Z2011" s="8">
        <v>0</v>
      </c>
      <c r="AA2011">
        <v>0</v>
      </c>
      <c r="AB2011" t="s">
        <v>1635</v>
      </c>
      <c r="AC2011" t="s">
        <v>1635</v>
      </c>
      <c r="AD2011" s="1" t="s">
        <v>1635</v>
      </c>
      <c r="AE2011" s="2" t="s">
        <v>1635</v>
      </c>
      <c r="AF2011" s="2" t="s">
        <v>1635</v>
      </c>
      <c r="AG2011" s="2" t="s">
        <v>1635</v>
      </c>
      <c r="AH2011">
        <v>0</v>
      </c>
      <c r="AI2011" s="3" t="s">
        <v>1635</v>
      </c>
      <c r="AJ2011" s="1" t="s">
        <v>1635</v>
      </c>
      <c r="AK2011" s="2" t="s">
        <v>1635</v>
      </c>
      <c r="AL2011" s="4" t="s">
        <v>1636</v>
      </c>
      <c r="AM2011" s="5" t="s">
        <v>1636</v>
      </c>
      <c r="AN2011" s="4">
        <v>0</v>
      </c>
      <c r="AO2011" t="s">
        <v>1635</v>
      </c>
      <c r="AP2011" s="4" t="s">
        <v>1636</v>
      </c>
      <c r="AQ2011" t="s">
        <v>1619</v>
      </c>
      <c r="AR2011" t="s">
        <v>1620</v>
      </c>
      <c r="AT2011" s="16" t="str">
        <f>_xlfn.XLOOKUP(B2011,'SWiSH Demand Forecast Sep-26'!D:D,'SWiSH Demand Forecast Sep-26'!G:G,"Not Exist")</f>
        <v>Not Exist</v>
      </c>
    </row>
    <row r="2012" spans="1:46" x14ac:dyDescent="0.3">
      <c r="A2012">
        <v>106900006</v>
      </c>
      <c r="B2012" t="s">
        <v>3899</v>
      </c>
      <c r="C2012" t="s">
        <v>10</v>
      </c>
      <c r="D2012" t="s">
        <v>1675</v>
      </c>
      <c r="E2012" t="s">
        <v>1949</v>
      </c>
      <c r="F2012" t="s">
        <v>1664</v>
      </c>
      <c r="G2012" t="s">
        <v>1704</v>
      </c>
      <c r="H2012" t="s">
        <v>3721</v>
      </c>
      <c r="I2012" t="s">
        <v>1634</v>
      </c>
      <c r="J2012" t="s">
        <v>10</v>
      </c>
      <c r="K2012">
        <v>0.01</v>
      </c>
      <c r="L2012">
        <v>0</v>
      </c>
      <c r="M2012" s="1">
        <v>15</v>
      </c>
      <c r="N2012">
        <v>0</v>
      </c>
      <c r="O2012">
        <v>0</v>
      </c>
      <c r="P2012">
        <v>0</v>
      </c>
      <c r="Q2012" s="1">
        <v>0</v>
      </c>
      <c r="R2012">
        <v>0.01</v>
      </c>
      <c r="S2012" s="2">
        <v>44978</v>
      </c>
      <c r="T2012" s="2">
        <v>45804</v>
      </c>
      <c r="U2012">
        <v>0</v>
      </c>
      <c r="V2012">
        <v>0</v>
      </c>
      <c r="W2012">
        <v>0</v>
      </c>
      <c r="X2012">
        <v>0</v>
      </c>
      <c r="Y2012">
        <v>0</v>
      </c>
      <c r="Z2012" s="8">
        <v>0</v>
      </c>
      <c r="AA2012">
        <v>0</v>
      </c>
      <c r="AB2012" t="s">
        <v>1635</v>
      </c>
      <c r="AC2012" t="s">
        <v>1635</v>
      </c>
      <c r="AD2012" s="1" t="s">
        <v>1635</v>
      </c>
      <c r="AE2012" s="2" t="s">
        <v>1635</v>
      </c>
      <c r="AF2012" s="2" t="s">
        <v>1635</v>
      </c>
      <c r="AG2012" s="2" t="s">
        <v>1635</v>
      </c>
      <c r="AH2012">
        <v>0</v>
      </c>
      <c r="AI2012" s="3" t="s">
        <v>1635</v>
      </c>
      <c r="AJ2012" s="1" t="s">
        <v>1635</v>
      </c>
      <c r="AK2012" s="2" t="s">
        <v>1635</v>
      </c>
      <c r="AL2012" s="4" t="s">
        <v>1658</v>
      </c>
      <c r="AM2012" s="5" t="s">
        <v>1658</v>
      </c>
      <c r="AN2012" s="4">
        <v>0</v>
      </c>
      <c r="AO2012" t="s">
        <v>1635</v>
      </c>
      <c r="AP2012" s="4" t="s">
        <v>1658</v>
      </c>
      <c r="AQ2012" t="s">
        <v>1619</v>
      </c>
      <c r="AR2012" t="s">
        <v>1620</v>
      </c>
      <c r="AT2012" s="16" t="str">
        <f>_xlfn.XLOOKUP(B2012,'SWiSH Demand Forecast Sep-26'!D:D,'SWiSH Demand Forecast Sep-26'!G:G,"Not Exist")</f>
        <v>Not Exist</v>
      </c>
    </row>
    <row r="2013" spans="1:46" x14ac:dyDescent="0.3">
      <c r="A2013">
        <v>106900007</v>
      </c>
      <c r="B2013" t="s">
        <v>3900</v>
      </c>
      <c r="C2013" t="s">
        <v>10</v>
      </c>
      <c r="D2013" t="s">
        <v>1675</v>
      </c>
      <c r="E2013" t="s">
        <v>1949</v>
      </c>
      <c r="F2013" t="s">
        <v>1664</v>
      </c>
      <c r="G2013" t="s">
        <v>1704</v>
      </c>
      <c r="H2013" t="s">
        <v>3721</v>
      </c>
      <c r="I2013" t="s">
        <v>1634</v>
      </c>
      <c r="J2013" t="s">
        <v>10</v>
      </c>
      <c r="K2013">
        <v>0.01</v>
      </c>
      <c r="L2013">
        <v>0</v>
      </c>
      <c r="M2013" s="1">
        <v>15</v>
      </c>
      <c r="N2013">
        <v>0</v>
      </c>
      <c r="O2013">
        <v>0</v>
      </c>
      <c r="P2013">
        <v>0</v>
      </c>
      <c r="Q2013" s="1">
        <v>0</v>
      </c>
      <c r="R2013">
        <v>0.01</v>
      </c>
      <c r="S2013" s="2">
        <v>44978</v>
      </c>
      <c r="T2013" s="2">
        <v>45804</v>
      </c>
      <c r="U2013">
        <v>0</v>
      </c>
      <c r="V2013">
        <v>0</v>
      </c>
      <c r="W2013">
        <v>0</v>
      </c>
      <c r="X2013">
        <v>0</v>
      </c>
      <c r="Y2013">
        <v>0</v>
      </c>
      <c r="Z2013" s="8">
        <v>0</v>
      </c>
      <c r="AA2013">
        <v>0</v>
      </c>
      <c r="AB2013" t="s">
        <v>1635</v>
      </c>
      <c r="AC2013" t="s">
        <v>1635</v>
      </c>
      <c r="AD2013" s="1" t="s">
        <v>1635</v>
      </c>
      <c r="AE2013" s="2" t="s">
        <v>1635</v>
      </c>
      <c r="AF2013" s="2" t="s">
        <v>1635</v>
      </c>
      <c r="AG2013" s="2" t="s">
        <v>1635</v>
      </c>
      <c r="AH2013">
        <v>0</v>
      </c>
      <c r="AI2013" s="3" t="s">
        <v>1635</v>
      </c>
      <c r="AJ2013" s="1" t="s">
        <v>1635</v>
      </c>
      <c r="AK2013" s="2" t="s">
        <v>1635</v>
      </c>
      <c r="AL2013" s="4" t="s">
        <v>1658</v>
      </c>
      <c r="AM2013" s="5" t="s">
        <v>1658</v>
      </c>
      <c r="AN2013" s="4">
        <v>0</v>
      </c>
      <c r="AO2013" t="s">
        <v>1635</v>
      </c>
      <c r="AP2013" s="4" t="s">
        <v>1658</v>
      </c>
      <c r="AQ2013" t="s">
        <v>1619</v>
      </c>
      <c r="AR2013" t="s">
        <v>1620</v>
      </c>
      <c r="AT2013" s="16" t="str">
        <f>_xlfn.XLOOKUP(B2013,'SWiSH Demand Forecast Sep-26'!D:D,'SWiSH Demand Forecast Sep-26'!G:G,"Not Exist")</f>
        <v>Not Exist</v>
      </c>
    </row>
    <row r="2014" spans="1:46" x14ac:dyDescent="0.3">
      <c r="A2014">
        <v>106900000</v>
      </c>
      <c r="B2014" t="s">
        <v>3901</v>
      </c>
      <c r="C2014" t="s">
        <v>10</v>
      </c>
      <c r="D2014" t="s">
        <v>1675</v>
      </c>
      <c r="E2014" t="s">
        <v>1638</v>
      </c>
      <c r="F2014" t="s">
        <v>1664</v>
      </c>
      <c r="G2014" t="s">
        <v>1704</v>
      </c>
      <c r="H2014" t="s">
        <v>3721</v>
      </c>
      <c r="I2014" t="s">
        <v>1634</v>
      </c>
      <c r="J2014" t="s">
        <v>10</v>
      </c>
      <c r="K2014">
        <v>7.4999999999999997E-3</v>
      </c>
      <c r="L2014">
        <v>0</v>
      </c>
      <c r="M2014" s="1">
        <v>15</v>
      </c>
      <c r="N2014">
        <v>0</v>
      </c>
      <c r="O2014">
        <v>0</v>
      </c>
      <c r="P2014">
        <v>0</v>
      </c>
      <c r="Q2014" s="1">
        <v>0</v>
      </c>
      <c r="R2014">
        <v>7.4999999999999997E-3</v>
      </c>
      <c r="S2014" s="2">
        <v>44999</v>
      </c>
      <c r="T2014" s="2">
        <v>45804</v>
      </c>
      <c r="U2014">
        <v>0</v>
      </c>
      <c r="V2014">
        <v>0</v>
      </c>
      <c r="W2014">
        <v>0</v>
      </c>
      <c r="X2014">
        <v>0</v>
      </c>
      <c r="Y2014">
        <v>0</v>
      </c>
      <c r="Z2014" s="8">
        <v>0</v>
      </c>
      <c r="AA2014">
        <v>0</v>
      </c>
      <c r="AB2014" t="s">
        <v>1635</v>
      </c>
      <c r="AC2014" t="s">
        <v>1635</v>
      </c>
      <c r="AD2014" s="1" t="s">
        <v>1635</v>
      </c>
      <c r="AE2014" s="2" t="s">
        <v>1635</v>
      </c>
      <c r="AF2014" s="2" t="s">
        <v>1635</v>
      </c>
      <c r="AG2014" s="2" t="s">
        <v>1635</v>
      </c>
      <c r="AH2014">
        <v>0</v>
      </c>
      <c r="AI2014" s="3" t="s">
        <v>1635</v>
      </c>
      <c r="AJ2014" s="1" t="s">
        <v>1635</v>
      </c>
      <c r="AK2014" s="2" t="s">
        <v>1635</v>
      </c>
      <c r="AL2014" s="4" t="s">
        <v>1658</v>
      </c>
      <c r="AM2014" s="5" t="s">
        <v>1658</v>
      </c>
      <c r="AN2014" s="4">
        <v>0</v>
      </c>
      <c r="AO2014" t="s">
        <v>1635</v>
      </c>
      <c r="AP2014" s="4" t="s">
        <v>1658</v>
      </c>
      <c r="AQ2014" t="s">
        <v>1619</v>
      </c>
      <c r="AR2014" t="s">
        <v>1620</v>
      </c>
      <c r="AT2014" s="16" t="str">
        <f>_xlfn.XLOOKUP(B2014,'SWiSH Demand Forecast Sep-26'!D:D,'SWiSH Demand Forecast Sep-26'!G:G,"Not Exist")</f>
        <v>Not Exist</v>
      </c>
    </row>
    <row r="2015" spans="1:46" x14ac:dyDescent="0.3">
      <c r="A2015">
        <v>106800177</v>
      </c>
      <c r="B2015" t="s">
        <v>3902</v>
      </c>
      <c r="C2015" t="s">
        <v>10</v>
      </c>
      <c r="D2015" t="s">
        <v>1629</v>
      </c>
      <c r="E2015" t="s">
        <v>1732</v>
      </c>
      <c r="F2015" t="s">
        <v>1664</v>
      </c>
      <c r="G2015" t="e">
        <v>#N/A</v>
      </c>
      <c r="H2015" t="s">
        <v>1665</v>
      </c>
      <c r="I2015" t="s">
        <v>1634</v>
      </c>
      <c r="J2015" t="s">
        <v>10</v>
      </c>
      <c r="K2015" t="e">
        <v>#N/A</v>
      </c>
      <c r="L2015" t="e">
        <v>#N/A</v>
      </c>
      <c r="M2015" s="1">
        <v>7</v>
      </c>
      <c r="N2015">
        <v>0</v>
      </c>
      <c r="O2015">
        <v>0</v>
      </c>
      <c r="P2015">
        <v>0</v>
      </c>
      <c r="Q2015" s="1">
        <v>0</v>
      </c>
      <c r="R2015">
        <v>6.4999999999999997E-3</v>
      </c>
      <c r="S2015" s="2">
        <v>45773</v>
      </c>
      <c r="T2015" s="2">
        <v>45258</v>
      </c>
      <c r="U2015">
        <v>0</v>
      </c>
      <c r="V2015">
        <v>0</v>
      </c>
      <c r="W2015">
        <v>0</v>
      </c>
      <c r="X2015">
        <v>0</v>
      </c>
      <c r="Y2015">
        <v>0</v>
      </c>
      <c r="Z2015" s="8">
        <v>0</v>
      </c>
      <c r="AA2015">
        <v>0</v>
      </c>
      <c r="AB2015" t="s">
        <v>1635</v>
      </c>
      <c r="AC2015" t="s">
        <v>1635</v>
      </c>
      <c r="AD2015" s="1" t="s">
        <v>1635</v>
      </c>
      <c r="AE2015" s="2" t="s">
        <v>1635</v>
      </c>
      <c r="AF2015" s="2" t="s">
        <v>1635</v>
      </c>
      <c r="AG2015" s="2" t="s">
        <v>1635</v>
      </c>
      <c r="AH2015">
        <v>0</v>
      </c>
      <c r="AI2015" s="3" t="s">
        <v>1635</v>
      </c>
      <c r="AJ2015" s="1" t="s">
        <v>1635</v>
      </c>
      <c r="AK2015" s="2" t="s">
        <v>1635</v>
      </c>
      <c r="AL2015" s="4" t="s">
        <v>1636</v>
      </c>
      <c r="AM2015" s="5" t="s">
        <v>1636</v>
      </c>
      <c r="AN2015" s="4">
        <v>0</v>
      </c>
      <c r="AO2015" t="s">
        <v>1635</v>
      </c>
      <c r="AP2015" s="4" t="s">
        <v>1636</v>
      </c>
      <c r="AQ2015" t="s">
        <v>1619</v>
      </c>
      <c r="AR2015" t="s">
        <v>1620</v>
      </c>
      <c r="AT2015" s="16" t="str">
        <f>_xlfn.XLOOKUP(B2015,'SWiSH Demand Forecast Sep-26'!D:D,'SWiSH Demand Forecast Sep-26'!G:G,"Not Exist")</f>
        <v>Not Exist</v>
      </c>
    </row>
    <row r="2016" spans="1:46" x14ac:dyDescent="0.3">
      <c r="A2016">
        <v>106800305</v>
      </c>
      <c r="B2016" t="s">
        <v>3903</v>
      </c>
      <c r="C2016" t="s">
        <v>10</v>
      </c>
      <c r="D2016" t="s">
        <v>1675</v>
      </c>
      <c r="E2016" t="s">
        <v>1701</v>
      </c>
      <c r="F2016" t="s">
        <v>1664</v>
      </c>
      <c r="G2016" t="e">
        <v>#N/A</v>
      </c>
      <c r="H2016" t="s">
        <v>1665</v>
      </c>
      <c r="I2016" t="s">
        <v>1634</v>
      </c>
      <c r="J2016" t="s">
        <v>10</v>
      </c>
      <c r="K2016" t="e">
        <v>#N/A</v>
      </c>
      <c r="L2016" t="e">
        <v>#N/A</v>
      </c>
      <c r="M2016" s="1">
        <v>7</v>
      </c>
      <c r="N2016">
        <v>0</v>
      </c>
      <c r="O2016">
        <v>0</v>
      </c>
      <c r="P2016">
        <v>0</v>
      </c>
      <c r="Q2016" s="1">
        <v>0</v>
      </c>
      <c r="R2016">
        <v>1.4999999999999999E-2</v>
      </c>
      <c r="S2016" s="2">
        <v>45870</v>
      </c>
      <c r="T2016" s="2">
        <v>46088</v>
      </c>
      <c r="U2016">
        <v>0</v>
      </c>
      <c r="V2016">
        <v>0</v>
      </c>
      <c r="W2016">
        <v>0</v>
      </c>
      <c r="X2016">
        <v>0</v>
      </c>
      <c r="Y2016">
        <v>0</v>
      </c>
      <c r="Z2016" s="8">
        <v>0</v>
      </c>
      <c r="AA2016">
        <v>0</v>
      </c>
      <c r="AB2016" t="s">
        <v>1635</v>
      </c>
      <c r="AC2016" t="s">
        <v>1635</v>
      </c>
      <c r="AD2016" s="1" t="s">
        <v>1635</v>
      </c>
      <c r="AE2016" s="2" t="s">
        <v>1635</v>
      </c>
      <c r="AF2016" s="2" t="s">
        <v>1635</v>
      </c>
      <c r="AG2016" s="2" t="s">
        <v>1635</v>
      </c>
      <c r="AH2016">
        <v>0</v>
      </c>
      <c r="AI2016" s="3" t="s">
        <v>1635</v>
      </c>
      <c r="AJ2016" s="1" t="s">
        <v>1635</v>
      </c>
      <c r="AK2016" s="2" t="s">
        <v>1635</v>
      </c>
      <c r="AL2016" s="4" t="s">
        <v>1658</v>
      </c>
      <c r="AM2016" s="5" t="s">
        <v>1658</v>
      </c>
      <c r="AN2016" s="4">
        <v>0</v>
      </c>
      <c r="AO2016" t="s">
        <v>1635</v>
      </c>
      <c r="AP2016" s="4" t="s">
        <v>1658</v>
      </c>
      <c r="AQ2016" t="s">
        <v>1619</v>
      </c>
      <c r="AR2016" t="s">
        <v>1620</v>
      </c>
      <c r="AT2016" s="16" t="str">
        <f>_xlfn.XLOOKUP(B2016,'SWiSH Demand Forecast Sep-26'!D:D,'SWiSH Demand Forecast Sep-26'!G:G,"Not Exist")</f>
        <v>Not Exist</v>
      </c>
    </row>
    <row r="2017" spans="1:46" x14ac:dyDescent="0.3">
      <c r="A2017">
        <v>106900002</v>
      </c>
      <c r="B2017" t="s">
        <v>3904</v>
      </c>
      <c r="C2017" t="s">
        <v>10</v>
      </c>
      <c r="D2017" t="s">
        <v>1675</v>
      </c>
      <c r="E2017" t="s">
        <v>1638</v>
      </c>
      <c r="F2017" t="s">
        <v>1664</v>
      </c>
      <c r="G2017" t="s">
        <v>1704</v>
      </c>
      <c r="H2017" t="s">
        <v>3721</v>
      </c>
      <c r="I2017" t="s">
        <v>1634</v>
      </c>
      <c r="J2017" t="s">
        <v>10</v>
      </c>
      <c r="K2017">
        <v>4.4620800000000002E-3</v>
      </c>
      <c r="L2017">
        <v>0</v>
      </c>
      <c r="M2017" s="1">
        <v>15</v>
      </c>
      <c r="N2017">
        <v>0</v>
      </c>
      <c r="O2017">
        <v>0</v>
      </c>
      <c r="P2017">
        <v>0</v>
      </c>
      <c r="Q2017" s="1">
        <v>0</v>
      </c>
      <c r="R2017">
        <v>8.0000000000000002E-3</v>
      </c>
      <c r="S2017" s="2">
        <v>44922</v>
      </c>
      <c r="T2017" s="2">
        <v>45804</v>
      </c>
      <c r="U2017">
        <v>0</v>
      </c>
      <c r="V2017">
        <v>0</v>
      </c>
      <c r="W2017">
        <v>0</v>
      </c>
      <c r="X2017">
        <v>0</v>
      </c>
      <c r="Y2017">
        <v>0</v>
      </c>
      <c r="Z2017" s="8">
        <v>0</v>
      </c>
      <c r="AA2017">
        <v>0</v>
      </c>
      <c r="AB2017" t="s">
        <v>1635</v>
      </c>
      <c r="AC2017" t="s">
        <v>1635</v>
      </c>
      <c r="AD2017" s="1" t="s">
        <v>1635</v>
      </c>
      <c r="AE2017" s="2" t="s">
        <v>1635</v>
      </c>
      <c r="AF2017" s="2" t="s">
        <v>1635</v>
      </c>
      <c r="AG2017" s="2" t="s">
        <v>1635</v>
      </c>
      <c r="AH2017">
        <v>0</v>
      </c>
      <c r="AI2017" s="3" t="s">
        <v>1635</v>
      </c>
      <c r="AJ2017" s="1" t="s">
        <v>1635</v>
      </c>
      <c r="AK2017" s="2" t="s">
        <v>1635</v>
      </c>
      <c r="AL2017" s="4" t="s">
        <v>1658</v>
      </c>
      <c r="AM2017" s="5" t="s">
        <v>1658</v>
      </c>
      <c r="AN2017" s="4">
        <v>0</v>
      </c>
      <c r="AO2017" t="s">
        <v>1635</v>
      </c>
      <c r="AP2017" s="4" t="s">
        <v>1658</v>
      </c>
      <c r="AQ2017" t="s">
        <v>1619</v>
      </c>
      <c r="AR2017" t="s">
        <v>1620</v>
      </c>
      <c r="AT2017" s="16" t="str">
        <f>_xlfn.XLOOKUP(B2017,'SWiSH Demand Forecast Sep-26'!D:D,'SWiSH Demand Forecast Sep-26'!G:G,"Not Exist")</f>
        <v>Not Exist</v>
      </c>
    </row>
    <row r="2018" spans="1:46" hidden="1" x14ac:dyDescent="0.3">
      <c r="A2018">
        <v>106800234</v>
      </c>
      <c r="B2018" t="s">
        <v>555</v>
      </c>
      <c r="C2018" t="s">
        <v>10</v>
      </c>
      <c r="D2018" t="s">
        <v>1675</v>
      </c>
      <c r="E2018" t="s">
        <v>1663</v>
      </c>
      <c r="F2018" t="s">
        <v>1664</v>
      </c>
      <c r="G2018" t="s">
        <v>1704</v>
      </c>
      <c r="H2018" t="s">
        <v>1665</v>
      </c>
      <c r="I2018" t="s">
        <v>1634</v>
      </c>
      <c r="J2018" t="s">
        <v>10</v>
      </c>
      <c r="K2018">
        <v>6.0000000000000001E-3</v>
      </c>
      <c r="L2018">
        <v>0</v>
      </c>
      <c r="M2018" s="1">
        <v>7</v>
      </c>
      <c r="N2018">
        <v>0</v>
      </c>
      <c r="O2018">
        <v>0</v>
      </c>
      <c r="P2018">
        <v>0</v>
      </c>
      <c r="Q2018" s="1">
        <v>0</v>
      </c>
      <c r="R2018">
        <v>6.0000000000000001E-3</v>
      </c>
      <c r="S2018" s="2">
        <v>44745</v>
      </c>
      <c r="T2018" s="2">
        <v>46053</v>
      </c>
      <c r="U2018">
        <v>0</v>
      </c>
      <c r="V2018">
        <v>0</v>
      </c>
      <c r="W2018">
        <v>0</v>
      </c>
      <c r="X2018">
        <v>0</v>
      </c>
      <c r="Y2018">
        <v>0</v>
      </c>
      <c r="Z2018" s="8">
        <v>0</v>
      </c>
      <c r="AA2018">
        <v>0</v>
      </c>
      <c r="AB2018" t="s">
        <v>1635</v>
      </c>
      <c r="AC2018" t="s">
        <v>1635</v>
      </c>
      <c r="AD2018" s="1" t="s">
        <v>1635</v>
      </c>
      <c r="AE2018" s="2" t="s">
        <v>1635</v>
      </c>
      <c r="AF2018" s="2" t="s">
        <v>1635</v>
      </c>
      <c r="AG2018" s="2" t="s">
        <v>1635</v>
      </c>
      <c r="AH2018">
        <v>0</v>
      </c>
      <c r="AI2018" s="3" t="s">
        <v>1635</v>
      </c>
      <c r="AJ2018" s="1" t="s">
        <v>1635</v>
      </c>
      <c r="AK2018" s="2" t="s">
        <v>1635</v>
      </c>
      <c r="AL2018" s="4" t="s">
        <v>1658</v>
      </c>
      <c r="AM2018" s="5" t="s">
        <v>1658</v>
      </c>
      <c r="AN2018" s="4">
        <v>0</v>
      </c>
      <c r="AO2018" t="s">
        <v>1635</v>
      </c>
      <c r="AP2018" s="4" t="s">
        <v>1658</v>
      </c>
      <c r="AQ2018" t="s">
        <v>1619</v>
      </c>
      <c r="AR2018" t="s">
        <v>1620</v>
      </c>
      <c r="AT2018" s="16">
        <f>_xlfn.XLOOKUP(B2018,'SWiSH Demand Forecast Sep-26'!D:D,'SWiSH Demand Forecast Sep-26'!G:G,"Not Exist")</f>
        <v>1234</v>
      </c>
    </row>
    <row r="2019" spans="1:46" x14ac:dyDescent="0.3">
      <c r="A2019">
        <v>105200064</v>
      </c>
      <c r="B2019" t="s">
        <v>3905</v>
      </c>
      <c r="C2019" t="s">
        <v>10</v>
      </c>
      <c r="D2019" t="s">
        <v>1629</v>
      </c>
      <c r="E2019" t="s">
        <v>1685</v>
      </c>
      <c r="F2019" t="s">
        <v>1664</v>
      </c>
      <c r="G2019" t="s">
        <v>1690</v>
      </c>
      <c r="H2019" t="s">
        <v>1779</v>
      </c>
      <c r="I2019" t="s">
        <v>1634</v>
      </c>
      <c r="J2019" t="s">
        <v>10</v>
      </c>
      <c r="K2019">
        <v>2.1999999999999999E-2</v>
      </c>
      <c r="L2019">
        <v>0</v>
      </c>
      <c r="M2019" s="1">
        <v>30</v>
      </c>
      <c r="N2019">
        <v>0</v>
      </c>
      <c r="O2019">
        <v>0</v>
      </c>
      <c r="P2019">
        <v>0</v>
      </c>
      <c r="Q2019" s="1">
        <v>0</v>
      </c>
      <c r="R2019">
        <v>2.1999999999999999E-2</v>
      </c>
      <c r="S2019" s="2">
        <v>45957</v>
      </c>
      <c r="T2019" s="2">
        <v>45883</v>
      </c>
      <c r="U2019">
        <v>0</v>
      </c>
      <c r="V2019">
        <v>0</v>
      </c>
      <c r="W2019">
        <v>0</v>
      </c>
      <c r="X2019">
        <v>0</v>
      </c>
      <c r="Y2019">
        <v>0</v>
      </c>
      <c r="Z2019" s="8">
        <v>0</v>
      </c>
      <c r="AA2019">
        <v>0</v>
      </c>
      <c r="AB2019" t="s">
        <v>1635</v>
      </c>
      <c r="AC2019" t="s">
        <v>1635</v>
      </c>
      <c r="AD2019" s="1" t="s">
        <v>1635</v>
      </c>
      <c r="AE2019" s="2" t="s">
        <v>1635</v>
      </c>
      <c r="AF2019" s="2" t="s">
        <v>1635</v>
      </c>
      <c r="AG2019" s="2" t="s">
        <v>1635</v>
      </c>
      <c r="AH2019">
        <v>0</v>
      </c>
      <c r="AI2019" s="3" t="s">
        <v>1635</v>
      </c>
      <c r="AJ2019" s="1" t="s">
        <v>1635</v>
      </c>
      <c r="AK2019" s="2" t="s">
        <v>1635</v>
      </c>
      <c r="AL2019" s="4" t="s">
        <v>1636</v>
      </c>
      <c r="AM2019" s="5" t="s">
        <v>1636</v>
      </c>
      <c r="AN2019" s="4">
        <v>0</v>
      </c>
      <c r="AO2019" t="s">
        <v>1635</v>
      </c>
      <c r="AP2019" s="4" t="s">
        <v>1636</v>
      </c>
      <c r="AQ2019" t="s">
        <v>1619</v>
      </c>
      <c r="AR2019" t="s">
        <v>1620</v>
      </c>
      <c r="AT2019" s="16" t="str">
        <f>_xlfn.XLOOKUP(B2019,'SWiSH Demand Forecast Sep-26'!D:D,'SWiSH Demand Forecast Sep-26'!G:G,"Not Exist")</f>
        <v>Not Exist</v>
      </c>
    </row>
    <row r="2020" spans="1:46" x14ac:dyDescent="0.3">
      <c r="A2020">
        <v>105900015</v>
      </c>
      <c r="B2020" t="s">
        <v>3906</v>
      </c>
      <c r="C2020" t="s">
        <v>10</v>
      </c>
      <c r="D2020" t="s">
        <v>1675</v>
      </c>
      <c r="E2020" t="s">
        <v>1638</v>
      </c>
      <c r="F2020" t="s">
        <v>1664</v>
      </c>
      <c r="G2020" t="s">
        <v>1704</v>
      </c>
      <c r="H2020" t="s">
        <v>1729</v>
      </c>
      <c r="I2020" t="s">
        <v>1634</v>
      </c>
      <c r="J2020" t="s">
        <v>10</v>
      </c>
      <c r="K2020">
        <v>7.8238200000000004E-3</v>
      </c>
      <c r="L2020">
        <v>0</v>
      </c>
      <c r="M2020" s="1">
        <v>90</v>
      </c>
      <c r="N2020">
        <v>0</v>
      </c>
      <c r="O2020">
        <v>0</v>
      </c>
      <c r="P2020">
        <v>0</v>
      </c>
      <c r="Q2020" s="1">
        <v>0</v>
      </c>
      <c r="R2020">
        <v>7.8238200000000004</v>
      </c>
      <c r="S2020" s="2">
        <v>45258</v>
      </c>
      <c r="T2020" s="2">
        <v>45777</v>
      </c>
      <c r="U2020">
        <v>0</v>
      </c>
      <c r="V2020">
        <v>0</v>
      </c>
      <c r="W2020">
        <v>0</v>
      </c>
      <c r="X2020">
        <v>0</v>
      </c>
      <c r="Y2020">
        <v>0</v>
      </c>
      <c r="Z2020" s="8">
        <v>0</v>
      </c>
      <c r="AA2020">
        <v>0</v>
      </c>
      <c r="AB2020" t="s">
        <v>1635</v>
      </c>
      <c r="AC2020" t="s">
        <v>1635</v>
      </c>
      <c r="AD2020" s="1" t="s">
        <v>1635</v>
      </c>
      <c r="AE2020" s="2" t="s">
        <v>1635</v>
      </c>
      <c r="AF2020" s="2" t="s">
        <v>1635</v>
      </c>
      <c r="AG2020" s="2" t="s">
        <v>1635</v>
      </c>
      <c r="AH2020">
        <v>0</v>
      </c>
      <c r="AI2020" s="3" t="s">
        <v>1635</v>
      </c>
      <c r="AJ2020" s="1" t="s">
        <v>1635</v>
      </c>
      <c r="AK2020" s="2" t="s">
        <v>1635</v>
      </c>
      <c r="AL2020" s="4" t="s">
        <v>1658</v>
      </c>
      <c r="AM2020" s="5" t="s">
        <v>1658</v>
      </c>
      <c r="AN2020" s="4">
        <v>0</v>
      </c>
      <c r="AO2020" t="s">
        <v>1635</v>
      </c>
      <c r="AP2020" s="4" t="s">
        <v>1658</v>
      </c>
      <c r="AQ2020" t="s">
        <v>1619</v>
      </c>
      <c r="AR2020" t="s">
        <v>1620</v>
      </c>
      <c r="AT2020" s="16" t="str">
        <f>_xlfn.XLOOKUP(B2020,'SWiSH Demand Forecast Sep-26'!D:D,'SWiSH Demand Forecast Sep-26'!G:G,"Not Exist")</f>
        <v>Not Exist</v>
      </c>
    </row>
    <row r="2021" spans="1:46" x14ac:dyDescent="0.3">
      <c r="A2021">
        <v>105900054</v>
      </c>
      <c r="B2021" t="s">
        <v>3907</v>
      </c>
      <c r="C2021" t="s">
        <v>10</v>
      </c>
      <c r="D2021" t="s">
        <v>1675</v>
      </c>
      <c r="E2021" t="s">
        <v>1796</v>
      </c>
      <c r="F2021" t="s">
        <v>1664</v>
      </c>
      <c r="G2021" t="s">
        <v>1704</v>
      </c>
      <c r="H2021" t="s">
        <v>1729</v>
      </c>
      <c r="I2021" t="s">
        <v>1634</v>
      </c>
      <c r="J2021" t="s">
        <v>10</v>
      </c>
      <c r="K2021">
        <v>8.5000000000000006E-3</v>
      </c>
      <c r="L2021">
        <v>0</v>
      </c>
      <c r="M2021" s="1">
        <v>90</v>
      </c>
      <c r="N2021">
        <v>0</v>
      </c>
      <c r="O2021">
        <v>0</v>
      </c>
      <c r="P2021">
        <v>0</v>
      </c>
      <c r="Q2021" s="1">
        <v>0</v>
      </c>
      <c r="R2021">
        <v>8.5000000000000006E-3</v>
      </c>
      <c r="S2021" s="2">
        <v>45773</v>
      </c>
      <c r="T2021" s="2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 s="8">
        <v>0</v>
      </c>
      <c r="AA2021">
        <v>0</v>
      </c>
      <c r="AB2021" t="s">
        <v>1635</v>
      </c>
      <c r="AC2021" t="s">
        <v>1635</v>
      </c>
      <c r="AD2021" s="1" t="s">
        <v>1635</v>
      </c>
      <c r="AE2021" s="2" t="s">
        <v>1635</v>
      </c>
      <c r="AF2021" s="2" t="s">
        <v>1635</v>
      </c>
      <c r="AG2021" s="2" t="s">
        <v>1635</v>
      </c>
      <c r="AH2021">
        <v>0</v>
      </c>
      <c r="AI2021" s="3" t="s">
        <v>1635</v>
      </c>
      <c r="AJ2021" s="1" t="s">
        <v>1635</v>
      </c>
      <c r="AK2021" s="2" t="s">
        <v>1635</v>
      </c>
      <c r="AL2021" s="4" t="s">
        <v>1658</v>
      </c>
      <c r="AM2021" s="5" t="s">
        <v>1658</v>
      </c>
      <c r="AN2021" s="4">
        <v>0</v>
      </c>
      <c r="AO2021" t="s">
        <v>1635</v>
      </c>
      <c r="AP2021" s="4" t="s">
        <v>1658</v>
      </c>
      <c r="AQ2021" t="s">
        <v>1619</v>
      </c>
      <c r="AR2021" t="s">
        <v>1620</v>
      </c>
      <c r="AT2021" s="16" t="str">
        <f>_xlfn.XLOOKUP(B2021,'SWiSH Demand Forecast Sep-26'!D:D,'SWiSH Demand Forecast Sep-26'!G:G,"Not Exist")</f>
        <v>Not Exist</v>
      </c>
    </row>
    <row r="2022" spans="1:46" x14ac:dyDescent="0.3">
      <c r="A2022">
        <v>105900017</v>
      </c>
      <c r="B2022" t="s">
        <v>3908</v>
      </c>
      <c r="C2022" t="s">
        <v>10</v>
      </c>
      <c r="D2022" t="s">
        <v>1675</v>
      </c>
      <c r="E2022" t="s">
        <v>1638</v>
      </c>
      <c r="F2022" t="s">
        <v>1664</v>
      </c>
      <c r="G2022" t="s">
        <v>1704</v>
      </c>
      <c r="H2022" t="s">
        <v>1729</v>
      </c>
      <c r="I2022" t="s">
        <v>1634</v>
      </c>
      <c r="J2022" t="s">
        <v>10</v>
      </c>
      <c r="K2022">
        <v>7.9054099999999999E-3</v>
      </c>
      <c r="L2022">
        <v>0</v>
      </c>
      <c r="M2022" s="1">
        <v>90</v>
      </c>
      <c r="N2022">
        <v>0</v>
      </c>
      <c r="O2022">
        <v>0</v>
      </c>
      <c r="P2022">
        <v>0</v>
      </c>
      <c r="Q2022" s="1">
        <v>0</v>
      </c>
      <c r="R2022">
        <v>7.9054099999999998</v>
      </c>
      <c r="S2022" s="2">
        <v>45258</v>
      </c>
      <c r="T2022" s="2">
        <v>45777</v>
      </c>
      <c r="U2022">
        <v>0</v>
      </c>
      <c r="V2022">
        <v>0</v>
      </c>
      <c r="W2022">
        <v>0</v>
      </c>
      <c r="X2022">
        <v>0</v>
      </c>
      <c r="Y2022">
        <v>0</v>
      </c>
      <c r="Z2022" s="8">
        <v>0</v>
      </c>
      <c r="AA2022">
        <v>0</v>
      </c>
      <c r="AB2022" t="s">
        <v>1635</v>
      </c>
      <c r="AC2022" t="s">
        <v>1635</v>
      </c>
      <c r="AD2022" s="1" t="s">
        <v>1635</v>
      </c>
      <c r="AE2022" s="2" t="s">
        <v>1635</v>
      </c>
      <c r="AF2022" s="2" t="s">
        <v>1635</v>
      </c>
      <c r="AG2022" s="2" t="s">
        <v>1635</v>
      </c>
      <c r="AH2022">
        <v>0</v>
      </c>
      <c r="AI2022" s="3" t="s">
        <v>1635</v>
      </c>
      <c r="AJ2022" s="1" t="s">
        <v>1635</v>
      </c>
      <c r="AK2022" s="2" t="s">
        <v>1635</v>
      </c>
      <c r="AL2022" s="4" t="s">
        <v>1658</v>
      </c>
      <c r="AM2022" s="5" t="s">
        <v>1658</v>
      </c>
      <c r="AN2022" s="4">
        <v>0</v>
      </c>
      <c r="AO2022" t="s">
        <v>1635</v>
      </c>
      <c r="AP2022" s="4" t="s">
        <v>1658</v>
      </c>
      <c r="AQ2022" t="s">
        <v>1619</v>
      </c>
      <c r="AR2022" t="s">
        <v>1620</v>
      </c>
      <c r="AT2022" s="16" t="str">
        <f>_xlfn.XLOOKUP(B2022,'SWiSH Demand Forecast Sep-26'!D:D,'SWiSH Demand Forecast Sep-26'!G:G,"Not Exist")</f>
        <v>Not Exist</v>
      </c>
    </row>
    <row r="2023" spans="1:46" x14ac:dyDescent="0.3">
      <c r="A2023">
        <v>106800214</v>
      </c>
      <c r="B2023" t="s">
        <v>3909</v>
      </c>
      <c r="C2023" t="s">
        <v>10</v>
      </c>
      <c r="D2023" t="s">
        <v>1629</v>
      </c>
      <c r="E2023" t="s">
        <v>2075</v>
      </c>
      <c r="F2023" t="s">
        <v>1664</v>
      </c>
      <c r="G2023" t="e">
        <v>#N/A</v>
      </c>
      <c r="H2023" t="s">
        <v>1665</v>
      </c>
      <c r="I2023" t="s">
        <v>1634</v>
      </c>
      <c r="J2023" t="s">
        <v>10</v>
      </c>
      <c r="K2023" t="e">
        <v>#N/A</v>
      </c>
      <c r="L2023" t="e">
        <v>#N/A</v>
      </c>
      <c r="M2023" s="1">
        <v>7</v>
      </c>
      <c r="N2023">
        <v>0</v>
      </c>
      <c r="O2023">
        <v>0</v>
      </c>
      <c r="P2023">
        <v>0</v>
      </c>
      <c r="Q2023" s="1">
        <v>0</v>
      </c>
      <c r="R2023">
        <v>2.2499999999999999E-2</v>
      </c>
      <c r="S2023" s="2">
        <v>45966</v>
      </c>
      <c r="T2023" s="2">
        <v>45968</v>
      </c>
      <c r="U2023">
        <v>0</v>
      </c>
      <c r="V2023">
        <v>0</v>
      </c>
      <c r="W2023">
        <v>0</v>
      </c>
      <c r="X2023">
        <v>0</v>
      </c>
      <c r="Y2023">
        <v>0</v>
      </c>
      <c r="Z2023" s="8">
        <v>0</v>
      </c>
      <c r="AA2023">
        <v>0</v>
      </c>
      <c r="AB2023" t="s">
        <v>1635</v>
      </c>
      <c r="AC2023" t="s">
        <v>1635</v>
      </c>
      <c r="AD2023" s="1" t="s">
        <v>1635</v>
      </c>
      <c r="AE2023" s="2" t="s">
        <v>1635</v>
      </c>
      <c r="AF2023" s="2" t="s">
        <v>1635</v>
      </c>
      <c r="AG2023" s="2" t="s">
        <v>1635</v>
      </c>
      <c r="AH2023">
        <v>0</v>
      </c>
      <c r="AI2023" s="3" t="s">
        <v>1635</v>
      </c>
      <c r="AJ2023" s="1" t="s">
        <v>1635</v>
      </c>
      <c r="AK2023" s="2" t="s">
        <v>1635</v>
      </c>
      <c r="AL2023" s="4" t="s">
        <v>1636</v>
      </c>
      <c r="AM2023" s="5" t="s">
        <v>1636</v>
      </c>
      <c r="AN2023" s="4">
        <v>0</v>
      </c>
      <c r="AO2023" t="s">
        <v>1635</v>
      </c>
      <c r="AP2023" s="4" t="s">
        <v>1636</v>
      </c>
      <c r="AQ2023" t="s">
        <v>1619</v>
      </c>
      <c r="AR2023" t="s">
        <v>1620</v>
      </c>
      <c r="AT2023" s="16" t="str">
        <f>_xlfn.XLOOKUP(B2023,'SWiSH Demand Forecast Sep-26'!D:D,'SWiSH Demand Forecast Sep-26'!G:G,"Not Exist")</f>
        <v>Not Exist</v>
      </c>
    </row>
    <row r="2024" spans="1:46" x14ac:dyDescent="0.3">
      <c r="A2024">
        <v>105900026</v>
      </c>
      <c r="B2024" t="s">
        <v>3910</v>
      </c>
      <c r="C2024" t="s">
        <v>10</v>
      </c>
      <c r="D2024" t="s">
        <v>1675</v>
      </c>
      <c r="E2024" t="s">
        <v>1638</v>
      </c>
      <c r="F2024" t="s">
        <v>1664</v>
      </c>
      <c r="G2024" t="s">
        <v>1704</v>
      </c>
      <c r="H2024" t="s">
        <v>1729</v>
      </c>
      <c r="I2024" t="s">
        <v>1634</v>
      </c>
      <c r="J2024" t="s">
        <v>10</v>
      </c>
      <c r="K2024">
        <v>9.1621900000000006E-3</v>
      </c>
      <c r="L2024">
        <v>0</v>
      </c>
      <c r="M2024" s="1">
        <v>90</v>
      </c>
      <c r="N2024">
        <v>0</v>
      </c>
      <c r="O2024">
        <v>0</v>
      </c>
      <c r="P2024">
        <v>0</v>
      </c>
      <c r="Q2024" s="1">
        <v>0</v>
      </c>
      <c r="R2024">
        <v>9.1621900000000007</v>
      </c>
      <c r="S2024" s="2">
        <v>45258</v>
      </c>
      <c r="T2024" s="2">
        <v>45777</v>
      </c>
      <c r="U2024">
        <v>0</v>
      </c>
      <c r="V2024">
        <v>0</v>
      </c>
      <c r="W2024">
        <v>0</v>
      </c>
      <c r="X2024">
        <v>0</v>
      </c>
      <c r="Y2024">
        <v>0</v>
      </c>
      <c r="Z2024" s="8">
        <v>0</v>
      </c>
      <c r="AA2024">
        <v>0</v>
      </c>
      <c r="AB2024" t="s">
        <v>1635</v>
      </c>
      <c r="AC2024" t="s">
        <v>1635</v>
      </c>
      <c r="AD2024" s="1" t="s">
        <v>1635</v>
      </c>
      <c r="AE2024" s="2" t="s">
        <v>1635</v>
      </c>
      <c r="AF2024" s="2" t="s">
        <v>1635</v>
      </c>
      <c r="AG2024" s="2" t="s">
        <v>1635</v>
      </c>
      <c r="AH2024">
        <v>0</v>
      </c>
      <c r="AI2024" s="3" t="s">
        <v>1635</v>
      </c>
      <c r="AJ2024" s="1" t="s">
        <v>1635</v>
      </c>
      <c r="AK2024" s="2" t="s">
        <v>1635</v>
      </c>
      <c r="AL2024" s="4" t="s">
        <v>1658</v>
      </c>
      <c r="AM2024" s="5" t="s">
        <v>1658</v>
      </c>
      <c r="AN2024" s="4">
        <v>0</v>
      </c>
      <c r="AO2024" t="s">
        <v>1635</v>
      </c>
      <c r="AP2024" s="4" t="s">
        <v>1658</v>
      </c>
      <c r="AQ2024" t="s">
        <v>1619</v>
      </c>
      <c r="AR2024" t="s">
        <v>1620</v>
      </c>
      <c r="AT2024" s="16" t="str">
        <f>_xlfn.XLOOKUP(B2024,'SWiSH Demand Forecast Sep-26'!D:D,'SWiSH Demand Forecast Sep-26'!G:G,"Not Exist")</f>
        <v>Not Exist</v>
      </c>
    </row>
    <row r="2025" spans="1:46" x14ac:dyDescent="0.3">
      <c r="A2025">
        <v>105900056</v>
      </c>
      <c r="B2025" t="s">
        <v>3911</v>
      </c>
      <c r="C2025" t="s">
        <v>10</v>
      </c>
      <c r="D2025" t="s">
        <v>1675</v>
      </c>
      <c r="E2025" t="s">
        <v>1638</v>
      </c>
      <c r="F2025" t="s">
        <v>1664</v>
      </c>
      <c r="G2025" t="s">
        <v>1704</v>
      </c>
      <c r="H2025" t="s">
        <v>1729</v>
      </c>
      <c r="I2025" t="s">
        <v>1634</v>
      </c>
      <c r="J2025" t="s">
        <v>10</v>
      </c>
      <c r="K2025">
        <v>9.0822000000000003E-3</v>
      </c>
      <c r="L2025">
        <v>0</v>
      </c>
      <c r="M2025" s="1">
        <v>90</v>
      </c>
      <c r="N2025">
        <v>0</v>
      </c>
      <c r="O2025">
        <v>0</v>
      </c>
      <c r="P2025">
        <v>0</v>
      </c>
      <c r="Q2025" s="1">
        <v>0</v>
      </c>
      <c r="R2025">
        <v>9.0822000000000003</v>
      </c>
      <c r="S2025" s="2">
        <v>45258</v>
      </c>
      <c r="T2025" s="2">
        <v>46054</v>
      </c>
      <c r="U2025">
        <v>0</v>
      </c>
      <c r="V2025">
        <v>0</v>
      </c>
      <c r="W2025">
        <v>0</v>
      </c>
      <c r="X2025">
        <v>0</v>
      </c>
      <c r="Y2025">
        <v>0</v>
      </c>
      <c r="Z2025" s="8">
        <v>0</v>
      </c>
      <c r="AA2025">
        <v>0</v>
      </c>
      <c r="AB2025" t="s">
        <v>1635</v>
      </c>
      <c r="AC2025" t="s">
        <v>1635</v>
      </c>
      <c r="AD2025" s="1" t="s">
        <v>1635</v>
      </c>
      <c r="AE2025" s="2" t="s">
        <v>1635</v>
      </c>
      <c r="AF2025" s="2" t="s">
        <v>1635</v>
      </c>
      <c r="AG2025" s="2" t="s">
        <v>1635</v>
      </c>
      <c r="AH2025">
        <v>0</v>
      </c>
      <c r="AI2025" s="3" t="s">
        <v>1635</v>
      </c>
      <c r="AJ2025" s="1" t="s">
        <v>1635</v>
      </c>
      <c r="AK2025" s="2" t="s">
        <v>1635</v>
      </c>
      <c r="AL2025" s="4" t="s">
        <v>1658</v>
      </c>
      <c r="AM2025" s="5" t="s">
        <v>1658</v>
      </c>
      <c r="AN2025" s="4">
        <v>0</v>
      </c>
      <c r="AO2025" t="s">
        <v>1635</v>
      </c>
      <c r="AP2025" s="4" t="s">
        <v>1658</v>
      </c>
      <c r="AQ2025" t="s">
        <v>1619</v>
      </c>
      <c r="AR2025" t="s">
        <v>1620</v>
      </c>
      <c r="AT2025" s="16" t="str">
        <f>_xlfn.XLOOKUP(B2025,'SWiSH Demand Forecast Sep-26'!D:D,'SWiSH Demand Forecast Sep-26'!G:G,"Not Exist")</f>
        <v>Not Exist</v>
      </c>
    </row>
    <row r="2026" spans="1:46" x14ac:dyDescent="0.3">
      <c r="A2026">
        <v>106800320</v>
      </c>
      <c r="B2026" t="s">
        <v>3912</v>
      </c>
      <c r="C2026" t="s">
        <v>10</v>
      </c>
      <c r="D2026" t="s">
        <v>1789</v>
      </c>
      <c r="E2026" t="s">
        <v>1701</v>
      </c>
      <c r="F2026" t="s">
        <v>1664</v>
      </c>
      <c r="G2026" t="s">
        <v>1704</v>
      </c>
      <c r="H2026" t="s">
        <v>1665</v>
      </c>
      <c r="I2026" t="s">
        <v>1634</v>
      </c>
      <c r="J2026" t="s">
        <v>10</v>
      </c>
      <c r="K2026">
        <v>0.02</v>
      </c>
      <c r="L2026">
        <v>200</v>
      </c>
      <c r="M2026" s="1">
        <v>7</v>
      </c>
      <c r="N2026">
        <v>0</v>
      </c>
      <c r="O2026">
        <v>0</v>
      </c>
      <c r="P2026">
        <v>10000</v>
      </c>
      <c r="Q2026" s="1">
        <v>10000</v>
      </c>
      <c r="R2026">
        <v>0.02</v>
      </c>
      <c r="S2026" s="2">
        <v>45870</v>
      </c>
      <c r="T2026" s="2">
        <v>46107</v>
      </c>
      <c r="U2026">
        <v>0</v>
      </c>
      <c r="V2026">
        <v>0</v>
      </c>
      <c r="W2026">
        <v>0</v>
      </c>
      <c r="X2026">
        <v>0</v>
      </c>
      <c r="Y2026">
        <v>0</v>
      </c>
      <c r="Z2026" s="8">
        <v>0</v>
      </c>
      <c r="AA2026">
        <v>0</v>
      </c>
      <c r="AB2026" t="s">
        <v>1635</v>
      </c>
      <c r="AC2026" t="s">
        <v>1635</v>
      </c>
      <c r="AD2026" s="1" t="s">
        <v>1635</v>
      </c>
      <c r="AE2026" s="2" t="s">
        <v>1635</v>
      </c>
      <c r="AF2026" s="2" t="s">
        <v>1635</v>
      </c>
      <c r="AG2026" s="2" t="s">
        <v>1635</v>
      </c>
      <c r="AH2026">
        <v>0</v>
      </c>
      <c r="AI2026" s="3" t="s">
        <v>1635</v>
      </c>
      <c r="AJ2026" s="1" t="s">
        <v>1635</v>
      </c>
      <c r="AK2026" s="2" t="s">
        <v>1635</v>
      </c>
      <c r="AL2026" s="4" t="s">
        <v>1658</v>
      </c>
      <c r="AM2026" s="5" t="s">
        <v>1658</v>
      </c>
      <c r="AN2026" s="4">
        <v>0</v>
      </c>
      <c r="AO2026" t="s">
        <v>1635</v>
      </c>
      <c r="AP2026" s="4" t="s">
        <v>1658</v>
      </c>
      <c r="AQ2026" t="s">
        <v>1619</v>
      </c>
      <c r="AR2026" t="s">
        <v>1620</v>
      </c>
      <c r="AT2026" s="16" t="str">
        <f>_xlfn.XLOOKUP(B2026,'SWiSH Demand Forecast Sep-26'!D:D,'SWiSH Demand Forecast Sep-26'!G:G,"Not Exist")</f>
        <v>Not Exist</v>
      </c>
    </row>
    <row r="2027" spans="1:46" x14ac:dyDescent="0.3">
      <c r="A2027">
        <v>105200073</v>
      </c>
      <c r="B2027" t="s">
        <v>3913</v>
      </c>
      <c r="C2027" t="s">
        <v>10</v>
      </c>
      <c r="D2027" t="s">
        <v>1675</v>
      </c>
      <c r="E2027" t="s">
        <v>1638</v>
      </c>
      <c r="F2027" t="s">
        <v>1664</v>
      </c>
      <c r="G2027" t="s">
        <v>1704</v>
      </c>
      <c r="H2027" t="s">
        <v>1779</v>
      </c>
      <c r="I2027" t="s">
        <v>1634</v>
      </c>
      <c r="J2027" t="s">
        <v>10</v>
      </c>
      <c r="K2027">
        <v>0.1</v>
      </c>
      <c r="L2027">
        <v>0</v>
      </c>
      <c r="M2027" s="1">
        <v>30</v>
      </c>
      <c r="N2027">
        <v>0</v>
      </c>
      <c r="O2027">
        <v>0</v>
      </c>
      <c r="P2027">
        <v>0</v>
      </c>
      <c r="Q2027" s="1">
        <v>0</v>
      </c>
      <c r="R2027">
        <v>0.1</v>
      </c>
      <c r="S2027" s="2">
        <v>45721</v>
      </c>
      <c r="T2027" s="2">
        <v>45777</v>
      </c>
      <c r="U2027">
        <v>0</v>
      </c>
      <c r="V2027">
        <v>0</v>
      </c>
      <c r="W2027">
        <v>0</v>
      </c>
      <c r="X2027">
        <v>0</v>
      </c>
      <c r="Y2027">
        <v>0</v>
      </c>
      <c r="Z2027" s="8">
        <v>0</v>
      </c>
      <c r="AA2027">
        <v>0</v>
      </c>
      <c r="AB2027" t="s">
        <v>1635</v>
      </c>
      <c r="AC2027" t="s">
        <v>1635</v>
      </c>
      <c r="AD2027" s="1" t="s">
        <v>1635</v>
      </c>
      <c r="AE2027" s="2" t="s">
        <v>1635</v>
      </c>
      <c r="AF2027" s="2" t="s">
        <v>1635</v>
      </c>
      <c r="AG2027" s="2" t="s">
        <v>1635</v>
      </c>
      <c r="AH2027">
        <v>0</v>
      </c>
      <c r="AI2027" s="3" t="s">
        <v>1635</v>
      </c>
      <c r="AJ2027" s="1" t="s">
        <v>1635</v>
      </c>
      <c r="AK2027" s="2" t="s">
        <v>1635</v>
      </c>
      <c r="AL2027" s="4" t="s">
        <v>1658</v>
      </c>
      <c r="AM2027" s="5" t="s">
        <v>1658</v>
      </c>
      <c r="AN2027" s="4">
        <v>0</v>
      </c>
      <c r="AO2027" t="s">
        <v>1635</v>
      </c>
      <c r="AP2027" s="4" t="s">
        <v>1658</v>
      </c>
      <c r="AQ2027" t="s">
        <v>1619</v>
      </c>
      <c r="AR2027" t="s">
        <v>1620</v>
      </c>
      <c r="AT2027" s="16" t="str">
        <f>_xlfn.XLOOKUP(B2027,'SWiSH Demand Forecast Sep-26'!D:D,'SWiSH Demand Forecast Sep-26'!G:G,"Not Exist")</f>
        <v>Not Exist</v>
      </c>
    </row>
    <row r="2028" spans="1:46" x14ac:dyDescent="0.3">
      <c r="A2028">
        <v>105300032</v>
      </c>
      <c r="B2028" t="s">
        <v>3914</v>
      </c>
      <c r="C2028" t="s">
        <v>10</v>
      </c>
      <c r="D2028" t="s">
        <v>1675</v>
      </c>
      <c r="E2028" t="s">
        <v>1638</v>
      </c>
      <c r="F2028" t="s">
        <v>1664</v>
      </c>
      <c r="G2028" t="s">
        <v>1704</v>
      </c>
      <c r="H2028" t="s">
        <v>1978</v>
      </c>
      <c r="I2028" t="s">
        <v>1634</v>
      </c>
      <c r="J2028" t="s">
        <v>10</v>
      </c>
      <c r="K2028">
        <v>6.6000000000000003E-2</v>
      </c>
      <c r="L2028">
        <v>0</v>
      </c>
      <c r="M2028" s="1">
        <v>30</v>
      </c>
      <c r="N2028">
        <v>0</v>
      </c>
      <c r="O2028">
        <v>0</v>
      </c>
      <c r="P2028">
        <v>0</v>
      </c>
      <c r="Q2028" s="1">
        <v>0</v>
      </c>
      <c r="R2028">
        <v>4.8000000000000001E-2</v>
      </c>
      <c r="S2028" s="2">
        <v>45719</v>
      </c>
      <c r="T2028" s="2">
        <v>45777</v>
      </c>
      <c r="U2028">
        <v>0</v>
      </c>
      <c r="V2028">
        <v>0</v>
      </c>
      <c r="W2028">
        <v>0</v>
      </c>
      <c r="X2028">
        <v>0</v>
      </c>
      <c r="Y2028">
        <v>0</v>
      </c>
      <c r="Z2028" s="8">
        <v>0</v>
      </c>
      <c r="AA2028">
        <v>0</v>
      </c>
      <c r="AB2028" t="s">
        <v>1635</v>
      </c>
      <c r="AC2028" t="s">
        <v>1635</v>
      </c>
      <c r="AD2028" s="1" t="s">
        <v>1635</v>
      </c>
      <c r="AE2028" s="2" t="s">
        <v>1635</v>
      </c>
      <c r="AF2028" s="2" t="s">
        <v>1635</v>
      </c>
      <c r="AG2028" s="2" t="s">
        <v>1635</v>
      </c>
      <c r="AH2028">
        <v>0</v>
      </c>
      <c r="AI2028" s="3" t="s">
        <v>1635</v>
      </c>
      <c r="AJ2028" s="1" t="s">
        <v>1635</v>
      </c>
      <c r="AK2028" s="2" t="s">
        <v>1635</v>
      </c>
      <c r="AL2028" s="4" t="s">
        <v>1658</v>
      </c>
      <c r="AM2028" s="5" t="s">
        <v>1658</v>
      </c>
      <c r="AN2028" s="4">
        <v>0</v>
      </c>
      <c r="AO2028" t="s">
        <v>1635</v>
      </c>
      <c r="AP2028" s="4" t="s">
        <v>1658</v>
      </c>
      <c r="AQ2028" t="s">
        <v>1619</v>
      </c>
      <c r="AR2028" t="s">
        <v>1620</v>
      </c>
      <c r="AT2028" s="16" t="str">
        <f>_xlfn.XLOOKUP(B2028,'SWiSH Demand Forecast Sep-26'!D:D,'SWiSH Demand Forecast Sep-26'!G:G,"Not Exist")</f>
        <v>Not Exist</v>
      </c>
    </row>
    <row r="2029" spans="1:46" x14ac:dyDescent="0.3">
      <c r="A2029">
        <v>106800007</v>
      </c>
      <c r="B2029" t="s">
        <v>3915</v>
      </c>
      <c r="C2029" t="s">
        <v>10</v>
      </c>
      <c r="D2029" t="s">
        <v>1675</v>
      </c>
      <c r="E2029" t="s">
        <v>1926</v>
      </c>
      <c r="F2029" t="s">
        <v>1664</v>
      </c>
      <c r="G2029" t="s">
        <v>1704</v>
      </c>
      <c r="H2029" t="s">
        <v>1665</v>
      </c>
      <c r="I2029" t="s">
        <v>1634</v>
      </c>
      <c r="J2029" t="s">
        <v>10</v>
      </c>
      <c r="K2029">
        <v>3.5000000000000003E-2</v>
      </c>
      <c r="L2029">
        <v>0</v>
      </c>
      <c r="M2029" s="1">
        <v>7</v>
      </c>
      <c r="N2029">
        <v>0</v>
      </c>
      <c r="O2029">
        <v>0</v>
      </c>
      <c r="P2029">
        <v>0</v>
      </c>
      <c r="Q2029" s="1">
        <v>0</v>
      </c>
      <c r="R2029">
        <v>3.5000000000000003E-2</v>
      </c>
      <c r="S2029" s="2">
        <v>45777</v>
      </c>
      <c r="T2029" s="2">
        <v>44320</v>
      </c>
      <c r="U2029">
        <v>0</v>
      </c>
      <c r="V2029">
        <v>0</v>
      </c>
      <c r="W2029">
        <v>0</v>
      </c>
      <c r="X2029">
        <v>0</v>
      </c>
      <c r="Y2029">
        <v>0</v>
      </c>
      <c r="Z2029" s="8">
        <v>0</v>
      </c>
      <c r="AA2029">
        <v>0</v>
      </c>
      <c r="AB2029" t="s">
        <v>1635</v>
      </c>
      <c r="AC2029" t="s">
        <v>1635</v>
      </c>
      <c r="AD2029" s="1" t="s">
        <v>1635</v>
      </c>
      <c r="AE2029" s="2" t="s">
        <v>1635</v>
      </c>
      <c r="AF2029" s="2" t="s">
        <v>1635</v>
      </c>
      <c r="AG2029" s="2" t="s">
        <v>1635</v>
      </c>
      <c r="AH2029">
        <v>0</v>
      </c>
      <c r="AI2029" s="3" t="s">
        <v>1635</v>
      </c>
      <c r="AJ2029" s="1" t="s">
        <v>1635</v>
      </c>
      <c r="AK2029" s="2" t="s">
        <v>1635</v>
      </c>
      <c r="AL2029" s="4" t="s">
        <v>1658</v>
      </c>
      <c r="AM2029" s="5" t="s">
        <v>1658</v>
      </c>
      <c r="AN2029" s="4">
        <v>0</v>
      </c>
      <c r="AO2029" t="s">
        <v>1635</v>
      </c>
      <c r="AP2029" s="4" t="s">
        <v>1658</v>
      </c>
      <c r="AQ2029" t="s">
        <v>1619</v>
      </c>
      <c r="AR2029" t="s">
        <v>1620</v>
      </c>
      <c r="AT2029" s="16" t="str">
        <f>_xlfn.XLOOKUP(B2029,'SWiSH Demand Forecast Sep-26'!D:D,'SWiSH Demand Forecast Sep-26'!G:G,"Not Exist")</f>
        <v>Not Exist</v>
      </c>
    </row>
    <row r="2030" spans="1:46" x14ac:dyDescent="0.3">
      <c r="A2030">
        <v>105700001</v>
      </c>
      <c r="B2030" t="s">
        <v>3916</v>
      </c>
      <c r="C2030" t="s">
        <v>10</v>
      </c>
      <c r="D2030" t="s">
        <v>1675</v>
      </c>
      <c r="E2030" t="s">
        <v>1685</v>
      </c>
      <c r="F2030" t="s">
        <v>1631</v>
      </c>
      <c r="G2030" t="s">
        <v>1704</v>
      </c>
      <c r="H2030" t="s">
        <v>2574</v>
      </c>
      <c r="I2030" t="s">
        <v>1634</v>
      </c>
      <c r="J2030" t="s">
        <v>10</v>
      </c>
      <c r="K2030">
        <v>5.0000000000000001E-3</v>
      </c>
      <c r="L2030">
        <v>0</v>
      </c>
      <c r="M2030" s="1">
        <v>15</v>
      </c>
      <c r="N2030">
        <v>0</v>
      </c>
      <c r="O2030">
        <v>0</v>
      </c>
      <c r="P2030">
        <v>0</v>
      </c>
      <c r="Q2030" s="1">
        <v>0</v>
      </c>
      <c r="R2030">
        <v>5.0000000000000001E-3</v>
      </c>
      <c r="S2030" s="2">
        <v>45774</v>
      </c>
      <c r="T2030" s="2">
        <v>45326</v>
      </c>
      <c r="U2030">
        <v>0</v>
      </c>
      <c r="V2030">
        <v>0</v>
      </c>
      <c r="W2030">
        <v>0</v>
      </c>
      <c r="X2030">
        <v>0</v>
      </c>
      <c r="Y2030">
        <v>0</v>
      </c>
      <c r="Z2030" s="8">
        <v>0</v>
      </c>
      <c r="AA2030">
        <v>0</v>
      </c>
      <c r="AB2030" t="s">
        <v>1635</v>
      </c>
      <c r="AC2030" t="s">
        <v>1635</v>
      </c>
      <c r="AD2030" s="1" t="s">
        <v>1635</v>
      </c>
      <c r="AE2030" s="2" t="s">
        <v>1635</v>
      </c>
      <c r="AF2030" s="2" t="s">
        <v>1635</v>
      </c>
      <c r="AG2030" s="2" t="s">
        <v>1635</v>
      </c>
      <c r="AH2030">
        <v>0</v>
      </c>
      <c r="AI2030" s="3" t="s">
        <v>1635</v>
      </c>
      <c r="AJ2030" s="1" t="s">
        <v>1635</v>
      </c>
      <c r="AK2030" s="2" t="s">
        <v>1635</v>
      </c>
      <c r="AL2030" s="4" t="s">
        <v>1658</v>
      </c>
      <c r="AM2030" s="5" t="s">
        <v>1658</v>
      </c>
      <c r="AN2030" s="4">
        <v>0</v>
      </c>
      <c r="AO2030" t="s">
        <v>1635</v>
      </c>
      <c r="AP2030" s="4" t="s">
        <v>1658</v>
      </c>
      <c r="AQ2030" t="s">
        <v>1619</v>
      </c>
      <c r="AR2030" t="s">
        <v>1620</v>
      </c>
      <c r="AT2030" s="16" t="str">
        <f>_xlfn.XLOOKUP(B2030,'SWiSH Demand Forecast Sep-26'!D:D,'SWiSH Demand Forecast Sep-26'!G:G,"Not Exist")</f>
        <v>Not Exist</v>
      </c>
    </row>
    <row r="2031" spans="1:46" x14ac:dyDescent="0.3">
      <c r="A2031">
        <v>104200048</v>
      </c>
      <c r="B2031" t="s">
        <v>3917</v>
      </c>
      <c r="C2031" t="s">
        <v>10</v>
      </c>
      <c r="D2031" t="s">
        <v>1675</v>
      </c>
      <c r="E2031" t="s">
        <v>1732</v>
      </c>
      <c r="F2031" t="s">
        <v>1644</v>
      </c>
      <c r="G2031" t="s">
        <v>1616</v>
      </c>
      <c r="H2031" t="s">
        <v>1633</v>
      </c>
      <c r="I2031" t="s">
        <v>1634</v>
      </c>
      <c r="J2031" t="e">
        <v>#N/A</v>
      </c>
      <c r="K2031">
        <v>3.5000000000000003E-2</v>
      </c>
      <c r="L2031">
        <v>0</v>
      </c>
      <c r="M2031" s="1">
        <v>3</v>
      </c>
      <c r="N2031">
        <v>0</v>
      </c>
      <c r="O2031">
        <v>0</v>
      </c>
      <c r="P2031">
        <v>0</v>
      </c>
      <c r="Q2031" s="1">
        <v>0</v>
      </c>
      <c r="R2031">
        <v>0</v>
      </c>
      <c r="S2031" s="2">
        <v>0</v>
      </c>
      <c r="T2031" s="2">
        <v>46054</v>
      </c>
      <c r="U2031">
        <v>0</v>
      </c>
      <c r="V2031">
        <v>0</v>
      </c>
      <c r="W2031">
        <v>0</v>
      </c>
      <c r="X2031">
        <v>0</v>
      </c>
      <c r="Y2031">
        <v>0</v>
      </c>
      <c r="Z2031" s="8">
        <v>0</v>
      </c>
      <c r="AA2031">
        <v>0</v>
      </c>
      <c r="AB2031" t="s">
        <v>1635</v>
      </c>
      <c r="AC2031" t="s">
        <v>1635</v>
      </c>
      <c r="AD2031" s="1" t="s">
        <v>1635</v>
      </c>
      <c r="AE2031" s="2" t="s">
        <v>1635</v>
      </c>
      <c r="AF2031" s="2" t="s">
        <v>1635</v>
      </c>
      <c r="AG2031" s="2" t="s">
        <v>1635</v>
      </c>
      <c r="AH2031">
        <v>0</v>
      </c>
      <c r="AI2031" s="3" t="s">
        <v>1635</v>
      </c>
      <c r="AJ2031" s="1" t="s">
        <v>1635</v>
      </c>
      <c r="AK2031" s="2" t="s">
        <v>1635</v>
      </c>
      <c r="AL2031" s="4" t="s">
        <v>1658</v>
      </c>
      <c r="AM2031" s="5" t="s">
        <v>1658</v>
      </c>
      <c r="AN2031" s="4">
        <v>0</v>
      </c>
      <c r="AO2031" t="s">
        <v>1635</v>
      </c>
      <c r="AP2031" s="4" t="s">
        <v>1658</v>
      </c>
      <c r="AQ2031" t="s">
        <v>1619</v>
      </c>
      <c r="AR2031" t="s">
        <v>1620</v>
      </c>
      <c r="AT2031" s="16" t="str">
        <f>_xlfn.XLOOKUP(B2031,'SWiSH Demand Forecast Sep-26'!D:D,'SWiSH Demand Forecast Sep-26'!G:G,"Not Exist")</f>
        <v>Not Exist</v>
      </c>
    </row>
    <row r="2032" spans="1:46" x14ac:dyDescent="0.3">
      <c r="A2032">
        <v>101600039</v>
      </c>
      <c r="B2032" t="s">
        <v>3918</v>
      </c>
      <c r="C2032" t="s">
        <v>10</v>
      </c>
      <c r="D2032" t="s">
        <v>1629</v>
      </c>
      <c r="E2032" t="e">
        <v>#N/A</v>
      </c>
      <c r="F2032" t="s">
        <v>1631</v>
      </c>
      <c r="G2032" t="s">
        <v>1624</v>
      </c>
      <c r="H2032" t="s">
        <v>1768</v>
      </c>
      <c r="I2032" t="s">
        <v>1634</v>
      </c>
      <c r="J2032" t="s">
        <v>10</v>
      </c>
      <c r="K2032">
        <v>8.301E-2</v>
      </c>
      <c r="L2032">
        <v>0</v>
      </c>
      <c r="M2032" s="1">
        <v>7</v>
      </c>
      <c r="N2032">
        <v>0</v>
      </c>
      <c r="O2032">
        <v>0</v>
      </c>
      <c r="P2032">
        <v>0</v>
      </c>
      <c r="Q2032" s="1">
        <v>0</v>
      </c>
      <c r="R2032">
        <v>0</v>
      </c>
      <c r="S2032" s="2">
        <v>45879</v>
      </c>
      <c r="T2032" s="2">
        <v>46054</v>
      </c>
      <c r="U2032">
        <v>0</v>
      </c>
      <c r="V2032">
        <v>0</v>
      </c>
      <c r="W2032">
        <v>0</v>
      </c>
      <c r="X2032">
        <v>0</v>
      </c>
      <c r="Y2032">
        <v>0</v>
      </c>
      <c r="Z2032" s="8">
        <v>0</v>
      </c>
      <c r="AA2032">
        <v>0</v>
      </c>
      <c r="AB2032" t="s">
        <v>1635</v>
      </c>
      <c r="AC2032" t="s">
        <v>1635</v>
      </c>
      <c r="AD2032" s="1" t="s">
        <v>1635</v>
      </c>
      <c r="AE2032" s="2" t="s">
        <v>1635</v>
      </c>
      <c r="AF2032" s="2" t="s">
        <v>1635</v>
      </c>
      <c r="AG2032" s="2" t="s">
        <v>1635</v>
      </c>
      <c r="AH2032">
        <v>0</v>
      </c>
      <c r="AI2032" s="3" t="s">
        <v>1635</v>
      </c>
      <c r="AJ2032" s="1" t="s">
        <v>1635</v>
      </c>
      <c r="AK2032" s="2" t="s">
        <v>1635</v>
      </c>
      <c r="AL2032" s="4" t="s">
        <v>1636</v>
      </c>
      <c r="AM2032" s="5" t="s">
        <v>1636</v>
      </c>
      <c r="AN2032" s="4">
        <v>0</v>
      </c>
      <c r="AO2032" t="s">
        <v>1635</v>
      </c>
      <c r="AP2032" s="4" t="s">
        <v>1636</v>
      </c>
      <c r="AQ2032" t="s">
        <v>1619</v>
      </c>
      <c r="AR2032" t="s">
        <v>1620</v>
      </c>
      <c r="AT2032" s="16" t="str">
        <f>_xlfn.XLOOKUP(B2032,'SWiSH Demand Forecast Sep-26'!D:D,'SWiSH Demand Forecast Sep-26'!G:G,"Not Exist")</f>
        <v>Not Exist</v>
      </c>
    </row>
    <row r="2033" spans="1:46" x14ac:dyDescent="0.3">
      <c r="A2033">
        <v>106800006</v>
      </c>
      <c r="B2033" t="s">
        <v>3919</v>
      </c>
      <c r="C2033" t="s">
        <v>10</v>
      </c>
      <c r="D2033" t="s">
        <v>1629</v>
      </c>
      <c r="E2033" t="s">
        <v>1745</v>
      </c>
      <c r="F2033" t="s">
        <v>1664</v>
      </c>
      <c r="G2033" t="e">
        <v>#N/A</v>
      </c>
      <c r="H2033" t="s">
        <v>1665</v>
      </c>
      <c r="I2033" t="s">
        <v>1634</v>
      </c>
      <c r="J2033" t="s">
        <v>10</v>
      </c>
      <c r="K2033" t="e">
        <v>#N/A</v>
      </c>
      <c r="L2033" t="e">
        <v>#N/A</v>
      </c>
      <c r="M2033" s="1">
        <v>7</v>
      </c>
      <c r="N2033">
        <v>0</v>
      </c>
      <c r="O2033">
        <v>0</v>
      </c>
      <c r="P2033">
        <v>0</v>
      </c>
      <c r="Q2033" s="1">
        <v>0</v>
      </c>
      <c r="R2033">
        <v>3.5000000000000003E-2</v>
      </c>
      <c r="S2033" s="2">
        <v>45777</v>
      </c>
      <c r="T2033" s="2">
        <v>44272</v>
      </c>
      <c r="U2033">
        <v>0</v>
      </c>
      <c r="V2033">
        <v>0</v>
      </c>
      <c r="W2033">
        <v>0</v>
      </c>
      <c r="X2033">
        <v>0</v>
      </c>
      <c r="Y2033">
        <v>0</v>
      </c>
      <c r="Z2033" s="8">
        <v>0</v>
      </c>
      <c r="AA2033">
        <v>0</v>
      </c>
      <c r="AB2033" t="s">
        <v>1635</v>
      </c>
      <c r="AC2033" t="s">
        <v>1635</v>
      </c>
      <c r="AD2033" s="1" t="s">
        <v>1635</v>
      </c>
      <c r="AE2033" s="2" t="s">
        <v>1635</v>
      </c>
      <c r="AF2033" s="2" t="s">
        <v>1635</v>
      </c>
      <c r="AG2033" s="2" t="s">
        <v>1635</v>
      </c>
      <c r="AH2033">
        <v>0</v>
      </c>
      <c r="AI2033" s="3" t="s">
        <v>1635</v>
      </c>
      <c r="AJ2033" s="1" t="s">
        <v>1635</v>
      </c>
      <c r="AK2033" s="2" t="s">
        <v>1635</v>
      </c>
      <c r="AL2033" s="4" t="s">
        <v>1636</v>
      </c>
      <c r="AM2033" s="5" t="s">
        <v>1636</v>
      </c>
      <c r="AN2033" s="4">
        <v>0</v>
      </c>
      <c r="AO2033" t="s">
        <v>1635</v>
      </c>
      <c r="AP2033" s="4" t="s">
        <v>1636</v>
      </c>
      <c r="AQ2033" t="s">
        <v>1619</v>
      </c>
      <c r="AR2033" t="s">
        <v>1620</v>
      </c>
      <c r="AT2033" s="16" t="str">
        <f>_xlfn.XLOOKUP(B2033,'SWiSH Demand Forecast Sep-26'!D:D,'SWiSH Demand Forecast Sep-26'!G:G,"Not Exist")</f>
        <v>Not Exist</v>
      </c>
    </row>
    <row r="2034" spans="1:46" x14ac:dyDescent="0.3">
      <c r="A2034">
        <v>106800118</v>
      </c>
      <c r="B2034" t="s">
        <v>3920</v>
      </c>
      <c r="C2034" t="s">
        <v>10</v>
      </c>
      <c r="D2034" t="s">
        <v>1629</v>
      </c>
      <c r="E2034" t="s">
        <v>1745</v>
      </c>
      <c r="F2034" t="s">
        <v>1664</v>
      </c>
      <c r="G2034" t="e">
        <v>#N/A</v>
      </c>
      <c r="H2034" t="s">
        <v>1665</v>
      </c>
      <c r="I2034" t="s">
        <v>1634</v>
      </c>
      <c r="J2034" t="s">
        <v>10</v>
      </c>
      <c r="K2034" t="e">
        <v>#N/A</v>
      </c>
      <c r="L2034" t="e">
        <v>#N/A</v>
      </c>
      <c r="M2034" s="1">
        <v>7</v>
      </c>
      <c r="N2034">
        <v>0</v>
      </c>
      <c r="O2034">
        <v>0</v>
      </c>
      <c r="P2034">
        <v>0</v>
      </c>
      <c r="Q2034" s="1">
        <v>0</v>
      </c>
      <c r="R2034">
        <v>7.0000000000000007E-2</v>
      </c>
      <c r="S2034" s="2">
        <v>45777</v>
      </c>
      <c r="T2034" s="2">
        <v>44325</v>
      </c>
      <c r="U2034">
        <v>0</v>
      </c>
      <c r="V2034">
        <v>0</v>
      </c>
      <c r="W2034">
        <v>0</v>
      </c>
      <c r="X2034">
        <v>0</v>
      </c>
      <c r="Y2034">
        <v>0</v>
      </c>
      <c r="Z2034" s="8">
        <v>0</v>
      </c>
      <c r="AA2034">
        <v>0</v>
      </c>
      <c r="AB2034" t="s">
        <v>1635</v>
      </c>
      <c r="AC2034" t="s">
        <v>1635</v>
      </c>
      <c r="AD2034" s="1" t="s">
        <v>1635</v>
      </c>
      <c r="AE2034" s="2" t="s">
        <v>1635</v>
      </c>
      <c r="AF2034" s="2" t="s">
        <v>1635</v>
      </c>
      <c r="AG2034" s="2" t="s">
        <v>1635</v>
      </c>
      <c r="AH2034">
        <v>0</v>
      </c>
      <c r="AI2034" s="3" t="s">
        <v>1635</v>
      </c>
      <c r="AJ2034" s="1" t="s">
        <v>1635</v>
      </c>
      <c r="AK2034" s="2" t="s">
        <v>1635</v>
      </c>
      <c r="AL2034" s="4" t="s">
        <v>1636</v>
      </c>
      <c r="AM2034" s="5" t="s">
        <v>1636</v>
      </c>
      <c r="AN2034" s="4">
        <v>0</v>
      </c>
      <c r="AO2034" t="s">
        <v>1635</v>
      </c>
      <c r="AP2034" s="4" t="s">
        <v>1636</v>
      </c>
      <c r="AQ2034" t="s">
        <v>1619</v>
      </c>
      <c r="AR2034" t="s">
        <v>1620</v>
      </c>
      <c r="AT2034" s="16" t="str">
        <f>_xlfn.XLOOKUP(B2034,'SWiSH Demand Forecast Sep-26'!D:D,'SWiSH Demand Forecast Sep-26'!G:G,"Not Exist")</f>
        <v>Not Exist</v>
      </c>
    </row>
    <row r="2035" spans="1:46" x14ac:dyDescent="0.3">
      <c r="A2035">
        <v>105200077</v>
      </c>
      <c r="B2035" t="s">
        <v>3921</v>
      </c>
      <c r="C2035" t="s">
        <v>10</v>
      </c>
      <c r="D2035" t="s">
        <v>1629</v>
      </c>
      <c r="E2035" t="s">
        <v>3731</v>
      </c>
      <c r="F2035" t="s">
        <v>1664</v>
      </c>
      <c r="G2035" t="e">
        <v>#N/A</v>
      </c>
      <c r="H2035" t="s">
        <v>1779</v>
      </c>
      <c r="I2035" t="s">
        <v>1634</v>
      </c>
      <c r="J2035" t="s">
        <v>10</v>
      </c>
      <c r="K2035" t="e">
        <v>#N/A</v>
      </c>
      <c r="L2035" t="e">
        <v>#N/A</v>
      </c>
      <c r="M2035" s="1">
        <v>30</v>
      </c>
      <c r="N2035">
        <v>0</v>
      </c>
      <c r="O2035">
        <v>0</v>
      </c>
      <c r="P2035">
        <v>0</v>
      </c>
      <c r="Q2035" s="1">
        <v>0</v>
      </c>
      <c r="R2035">
        <v>0.18182000000000001</v>
      </c>
      <c r="S2035" s="2">
        <v>45383</v>
      </c>
      <c r="T2035" s="2">
        <v>45777</v>
      </c>
      <c r="U2035">
        <v>0</v>
      </c>
      <c r="V2035">
        <v>0</v>
      </c>
      <c r="W2035">
        <v>0</v>
      </c>
      <c r="X2035">
        <v>0</v>
      </c>
      <c r="Y2035">
        <v>0</v>
      </c>
      <c r="Z2035" s="8">
        <v>0</v>
      </c>
      <c r="AA2035">
        <v>0</v>
      </c>
      <c r="AB2035" t="s">
        <v>1635</v>
      </c>
      <c r="AC2035" t="s">
        <v>1635</v>
      </c>
      <c r="AD2035" s="1" t="s">
        <v>1635</v>
      </c>
      <c r="AE2035" s="2" t="s">
        <v>1635</v>
      </c>
      <c r="AF2035" s="2" t="s">
        <v>1635</v>
      </c>
      <c r="AG2035" s="2" t="s">
        <v>1635</v>
      </c>
      <c r="AH2035">
        <v>0</v>
      </c>
      <c r="AI2035" s="3" t="s">
        <v>1635</v>
      </c>
      <c r="AJ2035" s="1" t="s">
        <v>1635</v>
      </c>
      <c r="AK2035" s="2" t="s">
        <v>1635</v>
      </c>
      <c r="AL2035" s="4" t="s">
        <v>1636</v>
      </c>
      <c r="AM2035" s="5" t="s">
        <v>1636</v>
      </c>
      <c r="AN2035" s="4">
        <v>0</v>
      </c>
      <c r="AO2035" t="s">
        <v>1635</v>
      </c>
      <c r="AP2035" s="4" t="s">
        <v>1636</v>
      </c>
      <c r="AQ2035" t="s">
        <v>1619</v>
      </c>
      <c r="AR2035" t="s">
        <v>1620</v>
      </c>
      <c r="AT2035" s="16" t="str">
        <f>_xlfn.XLOOKUP(B2035,'SWiSH Demand Forecast Sep-26'!D:D,'SWiSH Demand Forecast Sep-26'!G:G,"Not Exist")</f>
        <v>Not Exist</v>
      </c>
    </row>
    <row r="2036" spans="1:46" x14ac:dyDescent="0.3">
      <c r="A2036">
        <v>105200074</v>
      </c>
      <c r="B2036" t="s">
        <v>3922</v>
      </c>
      <c r="C2036" t="s">
        <v>10</v>
      </c>
      <c r="D2036" t="s">
        <v>1675</v>
      </c>
      <c r="E2036" t="s">
        <v>1638</v>
      </c>
      <c r="F2036" t="s">
        <v>1664</v>
      </c>
      <c r="G2036" t="s">
        <v>1704</v>
      </c>
      <c r="H2036" t="s">
        <v>1779</v>
      </c>
      <c r="I2036" t="s">
        <v>1634</v>
      </c>
      <c r="J2036" t="s">
        <v>10</v>
      </c>
      <c r="K2036">
        <v>7.4999999999999997E-2</v>
      </c>
      <c r="L2036">
        <v>0</v>
      </c>
      <c r="M2036" s="1">
        <v>30</v>
      </c>
      <c r="N2036">
        <v>0</v>
      </c>
      <c r="O2036">
        <v>0</v>
      </c>
      <c r="P2036">
        <v>0</v>
      </c>
      <c r="Q2036" s="1">
        <v>0</v>
      </c>
      <c r="R2036">
        <v>7.4999999999999997E-2</v>
      </c>
      <c r="S2036" s="2">
        <v>45721</v>
      </c>
      <c r="T2036" s="2">
        <v>45777</v>
      </c>
      <c r="U2036">
        <v>0</v>
      </c>
      <c r="V2036">
        <v>0</v>
      </c>
      <c r="W2036">
        <v>0</v>
      </c>
      <c r="X2036">
        <v>0</v>
      </c>
      <c r="Y2036">
        <v>0</v>
      </c>
      <c r="Z2036" s="8">
        <v>0</v>
      </c>
      <c r="AA2036">
        <v>0</v>
      </c>
      <c r="AB2036" t="s">
        <v>1635</v>
      </c>
      <c r="AC2036" t="s">
        <v>1635</v>
      </c>
      <c r="AD2036" s="1" t="s">
        <v>1635</v>
      </c>
      <c r="AE2036" s="2" t="s">
        <v>1635</v>
      </c>
      <c r="AF2036" s="2" t="s">
        <v>1635</v>
      </c>
      <c r="AG2036" s="2" t="s">
        <v>1635</v>
      </c>
      <c r="AH2036">
        <v>0</v>
      </c>
      <c r="AI2036" s="3" t="s">
        <v>1635</v>
      </c>
      <c r="AJ2036" s="1" t="s">
        <v>1635</v>
      </c>
      <c r="AK2036" s="2" t="s">
        <v>1635</v>
      </c>
      <c r="AL2036" s="4" t="s">
        <v>1658</v>
      </c>
      <c r="AM2036" s="5" t="s">
        <v>1658</v>
      </c>
      <c r="AN2036" s="4">
        <v>0</v>
      </c>
      <c r="AO2036" t="s">
        <v>1635</v>
      </c>
      <c r="AP2036" s="4" t="s">
        <v>1658</v>
      </c>
      <c r="AQ2036" t="s">
        <v>1619</v>
      </c>
      <c r="AR2036" t="s">
        <v>1620</v>
      </c>
      <c r="AT2036" s="16" t="str">
        <f>_xlfn.XLOOKUP(B2036,'SWiSH Demand Forecast Sep-26'!D:D,'SWiSH Demand Forecast Sep-26'!G:G,"Not Exist")</f>
        <v>Not Exist</v>
      </c>
    </row>
    <row r="2037" spans="1:46" x14ac:dyDescent="0.3">
      <c r="A2037">
        <v>106700121</v>
      </c>
      <c r="B2037" t="s">
        <v>3923</v>
      </c>
      <c r="C2037" t="s">
        <v>10</v>
      </c>
      <c r="D2037" t="s">
        <v>1675</v>
      </c>
      <c r="E2037" t="s">
        <v>3232</v>
      </c>
      <c r="F2037" t="s">
        <v>1650</v>
      </c>
      <c r="G2037" t="s">
        <v>1632</v>
      </c>
      <c r="H2037" t="s">
        <v>1651</v>
      </c>
      <c r="I2037" t="s">
        <v>1634</v>
      </c>
      <c r="J2037" t="s">
        <v>10</v>
      </c>
      <c r="K2037">
        <v>19</v>
      </c>
      <c r="L2037">
        <v>0</v>
      </c>
      <c r="M2037" s="1">
        <v>3</v>
      </c>
      <c r="N2037">
        <v>0</v>
      </c>
      <c r="O2037">
        <v>0</v>
      </c>
      <c r="P2037">
        <v>0</v>
      </c>
      <c r="Q2037" s="1">
        <v>0</v>
      </c>
      <c r="R2037">
        <v>19</v>
      </c>
      <c r="S2037" s="2">
        <v>45936</v>
      </c>
      <c r="T2037" s="2">
        <v>46055</v>
      </c>
      <c r="U2037">
        <v>0</v>
      </c>
      <c r="V2037">
        <v>0</v>
      </c>
      <c r="W2037">
        <v>0</v>
      </c>
      <c r="X2037">
        <v>0</v>
      </c>
      <c r="Y2037">
        <v>0</v>
      </c>
      <c r="Z2037" s="8">
        <v>0</v>
      </c>
      <c r="AA2037">
        <v>0</v>
      </c>
      <c r="AB2037" t="s">
        <v>1635</v>
      </c>
      <c r="AC2037" t="s">
        <v>1635</v>
      </c>
      <c r="AD2037" s="1" t="s">
        <v>1635</v>
      </c>
      <c r="AE2037" s="2" t="s">
        <v>1635</v>
      </c>
      <c r="AF2037" s="2" t="s">
        <v>1635</v>
      </c>
      <c r="AG2037" s="2" t="s">
        <v>1635</v>
      </c>
      <c r="AH2037">
        <v>0</v>
      </c>
      <c r="AI2037" s="3" t="s">
        <v>1635</v>
      </c>
      <c r="AJ2037" s="1" t="s">
        <v>1635</v>
      </c>
      <c r="AK2037" s="2" t="s">
        <v>1635</v>
      </c>
      <c r="AL2037" s="4" t="s">
        <v>1658</v>
      </c>
      <c r="AM2037" s="5" t="s">
        <v>1658</v>
      </c>
      <c r="AN2037" s="4">
        <v>0</v>
      </c>
      <c r="AO2037" t="s">
        <v>1635</v>
      </c>
      <c r="AP2037" s="4" t="s">
        <v>1658</v>
      </c>
      <c r="AQ2037" t="s">
        <v>1619</v>
      </c>
      <c r="AR2037" t="s">
        <v>1620</v>
      </c>
      <c r="AT2037" s="16" t="str">
        <f>_xlfn.XLOOKUP(B2037,'SWiSH Demand Forecast Sep-26'!D:D,'SWiSH Demand Forecast Sep-26'!G:G,"Not Exist")</f>
        <v>Not Exist</v>
      </c>
    </row>
    <row r="2038" spans="1:46" x14ac:dyDescent="0.3">
      <c r="A2038">
        <v>105700012</v>
      </c>
      <c r="B2038" t="s">
        <v>3924</v>
      </c>
      <c r="C2038" t="s">
        <v>10</v>
      </c>
      <c r="D2038" t="s">
        <v>1675</v>
      </c>
      <c r="E2038" t="s">
        <v>1638</v>
      </c>
      <c r="F2038" t="s">
        <v>1664</v>
      </c>
      <c r="G2038" t="s">
        <v>1704</v>
      </c>
      <c r="H2038" t="s">
        <v>2574</v>
      </c>
      <c r="I2038" t="s">
        <v>1634</v>
      </c>
      <c r="J2038" t="s">
        <v>10</v>
      </c>
      <c r="K2038">
        <v>3.9E-2</v>
      </c>
      <c r="L2038">
        <v>46.8</v>
      </c>
      <c r="M2038" s="1">
        <v>15</v>
      </c>
      <c r="N2038">
        <v>0</v>
      </c>
      <c r="O2038">
        <v>0</v>
      </c>
      <c r="P2038">
        <v>1200</v>
      </c>
      <c r="Q2038" s="1">
        <v>1200</v>
      </c>
      <c r="R2038">
        <v>3.9E-2</v>
      </c>
      <c r="S2038" s="2">
        <v>45451</v>
      </c>
      <c r="T2038" s="2">
        <v>46055</v>
      </c>
      <c r="U2038">
        <v>0</v>
      </c>
      <c r="V2038">
        <v>0</v>
      </c>
      <c r="W2038">
        <v>0</v>
      </c>
      <c r="X2038">
        <v>0</v>
      </c>
      <c r="Y2038">
        <v>0</v>
      </c>
      <c r="Z2038" s="8">
        <v>0</v>
      </c>
      <c r="AA2038">
        <v>0</v>
      </c>
      <c r="AB2038" t="s">
        <v>1635</v>
      </c>
      <c r="AC2038" t="s">
        <v>1635</v>
      </c>
      <c r="AD2038" s="1" t="s">
        <v>1635</v>
      </c>
      <c r="AE2038" s="2" t="s">
        <v>1635</v>
      </c>
      <c r="AF2038" s="2" t="s">
        <v>1635</v>
      </c>
      <c r="AG2038" s="2" t="s">
        <v>1635</v>
      </c>
      <c r="AH2038">
        <v>0</v>
      </c>
      <c r="AI2038" s="3" t="s">
        <v>1635</v>
      </c>
      <c r="AJ2038" s="1" t="s">
        <v>1635</v>
      </c>
      <c r="AK2038" s="2" t="s">
        <v>1635</v>
      </c>
      <c r="AL2038" s="4" t="s">
        <v>1658</v>
      </c>
      <c r="AM2038" s="5" t="s">
        <v>1658</v>
      </c>
      <c r="AN2038" s="4">
        <v>0</v>
      </c>
      <c r="AO2038" t="s">
        <v>1635</v>
      </c>
      <c r="AP2038" s="4" t="s">
        <v>1658</v>
      </c>
      <c r="AQ2038" t="s">
        <v>1619</v>
      </c>
      <c r="AR2038" t="s">
        <v>1620</v>
      </c>
      <c r="AT2038" s="16" t="str">
        <f>_xlfn.XLOOKUP(B2038,'SWiSH Demand Forecast Sep-26'!D:D,'SWiSH Demand Forecast Sep-26'!G:G,"Not Exist")</f>
        <v>Not Exist</v>
      </c>
    </row>
    <row r="2039" spans="1:46" x14ac:dyDescent="0.3">
      <c r="A2039">
        <v>101100042</v>
      </c>
      <c r="B2039" t="s">
        <v>3925</v>
      </c>
      <c r="C2039" t="s">
        <v>10</v>
      </c>
      <c r="D2039" t="s">
        <v>1675</v>
      </c>
      <c r="E2039" t="s">
        <v>2602</v>
      </c>
      <c r="F2039" t="s">
        <v>1650</v>
      </c>
      <c r="G2039" t="s">
        <v>1624</v>
      </c>
      <c r="H2039" t="s">
        <v>1953</v>
      </c>
      <c r="I2039" t="s">
        <v>1634</v>
      </c>
      <c r="J2039" t="s">
        <v>10</v>
      </c>
      <c r="K2039">
        <v>5.75</v>
      </c>
      <c r="L2039">
        <v>0</v>
      </c>
      <c r="M2039" s="1">
        <v>3</v>
      </c>
      <c r="N2039">
        <v>0</v>
      </c>
      <c r="O2039">
        <v>0</v>
      </c>
      <c r="P2039">
        <v>0</v>
      </c>
      <c r="Q2039" s="1">
        <v>0</v>
      </c>
      <c r="R2039">
        <v>11.5</v>
      </c>
      <c r="S2039" s="2">
        <v>46025</v>
      </c>
      <c r="T2039" s="2">
        <v>46259</v>
      </c>
      <c r="U2039">
        <v>0</v>
      </c>
      <c r="V2039">
        <v>0</v>
      </c>
      <c r="W2039">
        <v>0</v>
      </c>
      <c r="X2039">
        <v>0</v>
      </c>
      <c r="Y2039">
        <v>0</v>
      </c>
      <c r="Z2039" s="8">
        <v>0</v>
      </c>
      <c r="AA2039">
        <v>0</v>
      </c>
      <c r="AB2039" t="s">
        <v>1635</v>
      </c>
      <c r="AC2039" t="s">
        <v>1635</v>
      </c>
      <c r="AD2039" s="1" t="s">
        <v>1635</v>
      </c>
      <c r="AE2039" s="2" t="s">
        <v>1635</v>
      </c>
      <c r="AF2039" s="2" t="s">
        <v>1635</v>
      </c>
      <c r="AG2039" s="2" t="s">
        <v>1635</v>
      </c>
      <c r="AH2039">
        <v>2</v>
      </c>
      <c r="AI2039" s="3" t="s">
        <v>1635</v>
      </c>
      <c r="AJ2039" s="1">
        <v>0</v>
      </c>
      <c r="AK2039" s="2">
        <v>46263</v>
      </c>
      <c r="AL2039" s="4" t="s">
        <v>1658</v>
      </c>
      <c r="AM2039" s="5" t="s">
        <v>1658</v>
      </c>
      <c r="AN2039" s="4">
        <v>0</v>
      </c>
      <c r="AO2039" t="s">
        <v>1635</v>
      </c>
      <c r="AP2039" s="4" t="s">
        <v>1658</v>
      </c>
      <c r="AQ2039" t="s">
        <v>1619</v>
      </c>
      <c r="AR2039" t="s">
        <v>2626</v>
      </c>
      <c r="AT2039" s="16" t="str">
        <f>_xlfn.XLOOKUP(B2039,'SWiSH Demand Forecast Sep-26'!D:D,'SWiSH Demand Forecast Sep-26'!G:G,"Not Exist")</f>
        <v>Not Exist</v>
      </c>
    </row>
    <row r="2040" spans="1:46" x14ac:dyDescent="0.3">
      <c r="A2040">
        <v>101100041</v>
      </c>
      <c r="B2040" t="s">
        <v>3926</v>
      </c>
      <c r="C2040" t="s">
        <v>10</v>
      </c>
      <c r="D2040" t="s">
        <v>1675</v>
      </c>
      <c r="E2040" t="s">
        <v>2602</v>
      </c>
      <c r="F2040" t="s">
        <v>1650</v>
      </c>
      <c r="G2040" t="s">
        <v>1624</v>
      </c>
      <c r="H2040" t="s">
        <v>1953</v>
      </c>
      <c r="I2040" t="s">
        <v>1634</v>
      </c>
      <c r="J2040" t="s">
        <v>10</v>
      </c>
      <c r="K2040">
        <v>5.75</v>
      </c>
      <c r="L2040">
        <v>0</v>
      </c>
      <c r="M2040" s="1">
        <v>3</v>
      </c>
      <c r="N2040">
        <v>0</v>
      </c>
      <c r="O2040">
        <v>0</v>
      </c>
      <c r="P2040">
        <v>0</v>
      </c>
      <c r="Q2040" s="1">
        <v>0</v>
      </c>
      <c r="R2040">
        <v>11.5</v>
      </c>
      <c r="S2040" s="2">
        <v>45925</v>
      </c>
      <c r="T2040" s="2">
        <v>46259</v>
      </c>
      <c r="U2040">
        <v>0</v>
      </c>
      <c r="V2040">
        <v>0</v>
      </c>
      <c r="W2040">
        <v>0</v>
      </c>
      <c r="X2040">
        <v>0</v>
      </c>
      <c r="Y2040">
        <v>0</v>
      </c>
      <c r="Z2040" s="8">
        <v>0</v>
      </c>
      <c r="AA2040">
        <v>0</v>
      </c>
      <c r="AB2040" t="s">
        <v>1635</v>
      </c>
      <c r="AC2040" t="s">
        <v>1635</v>
      </c>
      <c r="AD2040" s="1" t="s">
        <v>1635</v>
      </c>
      <c r="AE2040" s="2" t="s">
        <v>1635</v>
      </c>
      <c r="AF2040" s="2" t="s">
        <v>1635</v>
      </c>
      <c r="AG2040" s="2" t="s">
        <v>1635</v>
      </c>
      <c r="AH2040">
        <v>1</v>
      </c>
      <c r="AI2040" s="3" t="s">
        <v>1635</v>
      </c>
      <c r="AJ2040" s="1">
        <v>0</v>
      </c>
      <c r="AK2040" s="2">
        <v>46263</v>
      </c>
      <c r="AL2040" s="4" t="s">
        <v>1658</v>
      </c>
      <c r="AM2040" s="5" t="s">
        <v>1658</v>
      </c>
      <c r="AN2040" s="4">
        <v>0</v>
      </c>
      <c r="AO2040" t="s">
        <v>1635</v>
      </c>
      <c r="AP2040" s="4" t="s">
        <v>1658</v>
      </c>
      <c r="AQ2040" t="s">
        <v>1619</v>
      </c>
      <c r="AR2040" t="s">
        <v>1620</v>
      </c>
      <c r="AT2040" s="16" t="str">
        <f>_xlfn.XLOOKUP(B2040,'SWiSH Demand Forecast Sep-26'!D:D,'SWiSH Demand Forecast Sep-26'!G:G,"Not Exist")</f>
        <v>Not Exist</v>
      </c>
    </row>
    <row r="2041" spans="1:46" x14ac:dyDescent="0.3">
      <c r="A2041">
        <v>101100040</v>
      </c>
      <c r="B2041" t="s">
        <v>3927</v>
      </c>
      <c r="C2041" t="s">
        <v>10</v>
      </c>
      <c r="D2041" t="s">
        <v>1675</v>
      </c>
      <c r="E2041" t="s">
        <v>2602</v>
      </c>
      <c r="F2041" t="s">
        <v>1650</v>
      </c>
      <c r="G2041" t="s">
        <v>1624</v>
      </c>
      <c r="H2041" t="s">
        <v>1953</v>
      </c>
      <c r="I2041" t="s">
        <v>1634</v>
      </c>
      <c r="J2041" t="s">
        <v>10</v>
      </c>
      <c r="K2041">
        <v>5.75</v>
      </c>
      <c r="L2041">
        <v>17.25</v>
      </c>
      <c r="M2041" s="1">
        <v>3</v>
      </c>
      <c r="N2041">
        <v>0</v>
      </c>
      <c r="O2041">
        <v>0</v>
      </c>
      <c r="P2041">
        <v>3</v>
      </c>
      <c r="Q2041" s="1">
        <v>3</v>
      </c>
      <c r="R2041">
        <v>11.5</v>
      </c>
      <c r="S2041" s="2">
        <v>46025</v>
      </c>
      <c r="T2041" s="2">
        <v>46259</v>
      </c>
      <c r="U2041">
        <v>0</v>
      </c>
      <c r="V2041">
        <v>0</v>
      </c>
      <c r="W2041">
        <v>0</v>
      </c>
      <c r="X2041">
        <v>0</v>
      </c>
      <c r="Y2041">
        <v>0</v>
      </c>
      <c r="Z2041" s="8">
        <v>0</v>
      </c>
      <c r="AA2041">
        <v>0</v>
      </c>
      <c r="AB2041" t="s">
        <v>1635</v>
      </c>
      <c r="AC2041" t="s">
        <v>1635</v>
      </c>
      <c r="AD2041" s="1" t="s">
        <v>1635</v>
      </c>
      <c r="AE2041" s="2" t="s">
        <v>1635</v>
      </c>
      <c r="AF2041" s="2" t="s">
        <v>1635</v>
      </c>
      <c r="AG2041" s="2" t="s">
        <v>1635</v>
      </c>
      <c r="AH2041">
        <v>3</v>
      </c>
      <c r="AI2041" s="3" t="s">
        <v>1635</v>
      </c>
      <c r="AJ2041" s="1">
        <v>29</v>
      </c>
      <c r="AK2041" s="2">
        <v>46292</v>
      </c>
      <c r="AL2041" s="4" t="s">
        <v>1658</v>
      </c>
      <c r="AM2041" s="5" t="s">
        <v>1658</v>
      </c>
      <c r="AN2041" s="4">
        <v>29</v>
      </c>
      <c r="AO2041" t="s">
        <v>1635</v>
      </c>
      <c r="AP2041" s="4" t="s">
        <v>1658</v>
      </c>
      <c r="AQ2041" t="s">
        <v>1619</v>
      </c>
      <c r="AR2041" t="s">
        <v>1620</v>
      </c>
      <c r="AT2041" s="16" t="str">
        <f>_xlfn.XLOOKUP(B2041,'SWiSH Demand Forecast Sep-26'!D:D,'SWiSH Demand Forecast Sep-26'!G:G,"Not Exist")</f>
        <v>Not Exist</v>
      </c>
    </row>
    <row r="2042" spans="1:46" x14ac:dyDescent="0.3">
      <c r="A2042">
        <v>106600009</v>
      </c>
      <c r="B2042" t="s">
        <v>3928</v>
      </c>
      <c r="C2042" t="s">
        <v>10</v>
      </c>
      <c r="D2042" t="s">
        <v>1675</v>
      </c>
      <c r="E2042" t="e">
        <v>#N/A</v>
      </c>
      <c r="F2042" t="s">
        <v>1664</v>
      </c>
      <c r="G2042" t="s">
        <v>1704</v>
      </c>
      <c r="H2042" t="s">
        <v>1723</v>
      </c>
      <c r="I2042" t="s">
        <v>1634</v>
      </c>
      <c r="J2042" t="s">
        <v>10</v>
      </c>
      <c r="K2042">
        <v>2.6669999999999999E-2</v>
      </c>
      <c r="L2042">
        <v>80.009999999999991</v>
      </c>
      <c r="M2042" s="1">
        <v>15</v>
      </c>
      <c r="N2042">
        <v>0</v>
      </c>
      <c r="O2042">
        <v>0</v>
      </c>
      <c r="P2042">
        <v>3000</v>
      </c>
      <c r="Q2042" s="1">
        <v>3000</v>
      </c>
      <c r="R2042">
        <v>2.6669999999999999E-2</v>
      </c>
      <c r="S2042" s="2">
        <v>45773</v>
      </c>
      <c r="T2042" s="2">
        <v>45258</v>
      </c>
      <c r="U2042">
        <v>0</v>
      </c>
      <c r="V2042">
        <v>0</v>
      </c>
      <c r="W2042">
        <v>0</v>
      </c>
      <c r="X2042">
        <v>0</v>
      </c>
      <c r="Y2042">
        <v>0</v>
      </c>
      <c r="Z2042" s="8">
        <v>0</v>
      </c>
      <c r="AA2042">
        <v>0</v>
      </c>
      <c r="AB2042" t="s">
        <v>1635</v>
      </c>
      <c r="AC2042" t="s">
        <v>1635</v>
      </c>
      <c r="AD2042" s="1" t="s">
        <v>1635</v>
      </c>
      <c r="AE2042" s="2" t="s">
        <v>1635</v>
      </c>
      <c r="AF2042" s="2" t="s">
        <v>1635</v>
      </c>
      <c r="AG2042" s="2" t="s">
        <v>1635</v>
      </c>
      <c r="AH2042">
        <v>0</v>
      </c>
      <c r="AI2042" s="3" t="s">
        <v>1635</v>
      </c>
      <c r="AJ2042" s="1" t="s">
        <v>1635</v>
      </c>
      <c r="AK2042" s="2" t="s">
        <v>1635</v>
      </c>
      <c r="AL2042" s="4" t="s">
        <v>1658</v>
      </c>
      <c r="AM2042" s="5" t="s">
        <v>1658</v>
      </c>
      <c r="AN2042" s="4">
        <v>0</v>
      </c>
      <c r="AO2042" t="s">
        <v>1635</v>
      </c>
      <c r="AP2042" s="4" t="s">
        <v>1658</v>
      </c>
      <c r="AQ2042" t="s">
        <v>1619</v>
      </c>
      <c r="AR2042" t="s">
        <v>1620</v>
      </c>
      <c r="AT2042" s="16" t="str">
        <f>_xlfn.XLOOKUP(B2042,'SWiSH Demand Forecast Sep-26'!D:D,'SWiSH Demand Forecast Sep-26'!G:G,"Not Exist")</f>
        <v>Not Exist</v>
      </c>
    </row>
    <row r="2043" spans="1:46" x14ac:dyDescent="0.3">
      <c r="A2043">
        <v>106800109</v>
      </c>
      <c r="B2043" t="s">
        <v>3929</v>
      </c>
      <c r="C2043" t="s">
        <v>10</v>
      </c>
      <c r="D2043" t="s">
        <v>1675</v>
      </c>
      <c r="E2043" t="s">
        <v>2483</v>
      </c>
      <c r="F2043" t="s">
        <v>1664</v>
      </c>
      <c r="G2043" t="s">
        <v>1704</v>
      </c>
      <c r="H2043" t="s">
        <v>1665</v>
      </c>
      <c r="I2043" t="s">
        <v>1634</v>
      </c>
      <c r="J2043" t="s">
        <v>10</v>
      </c>
      <c r="K2043">
        <v>1.2500000000000001E-2</v>
      </c>
      <c r="L2043">
        <v>0</v>
      </c>
      <c r="M2043" s="1">
        <v>7</v>
      </c>
      <c r="N2043">
        <v>0</v>
      </c>
      <c r="O2043">
        <v>0</v>
      </c>
      <c r="P2043">
        <v>0</v>
      </c>
      <c r="Q2043" s="1">
        <v>0</v>
      </c>
      <c r="R2043">
        <v>1.2500000000000001E-2</v>
      </c>
      <c r="S2043" s="2">
        <v>44052</v>
      </c>
      <c r="T2043" s="2">
        <v>45777</v>
      </c>
      <c r="U2043">
        <v>0</v>
      </c>
      <c r="V2043">
        <v>0</v>
      </c>
      <c r="W2043">
        <v>0</v>
      </c>
      <c r="X2043">
        <v>0</v>
      </c>
      <c r="Y2043">
        <v>0</v>
      </c>
      <c r="Z2043" s="8">
        <v>0</v>
      </c>
      <c r="AA2043">
        <v>0</v>
      </c>
      <c r="AB2043" t="s">
        <v>1635</v>
      </c>
      <c r="AC2043" t="s">
        <v>1635</v>
      </c>
      <c r="AD2043" s="1" t="s">
        <v>1635</v>
      </c>
      <c r="AE2043" s="2" t="s">
        <v>1635</v>
      </c>
      <c r="AF2043" s="2" t="s">
        <v>1635</v>
      </c>
      <c r="AG2043" s="2" t="s">
        <v>1635</v>
      </c>
      <c r="AH2043">
        <v>0</v>
      </c>
      <c r="AI2043" s="3" t="s">
        <v>1635</v>
      </c>
      <c r="AJ2043" s="1" t="s">
        <v>1635</v>
      </c>
      <c r="AK2043" s="2" t="s">
        <v>1635</v>
      </c>
      <c r="AL2043" s="4" t="s">
        <v>1658</v>
      </c>
      <c r="AM2043" s="5" t="s">
        <v>1658</v>
      </c>
      <c r="AN2043" s="4">
        <v>0</v>
      </c>
      <c r="AO2043" t="s">
        <v>1635</v>
      </c>
      <c r="AP2043" s="4" t="s">
        <v>1658</v>
      </c>
      <c r="AQ2043" t="s">
        <v>1619</v>
      </c>
      <c r="AR2043" t="s">
        <v>1620</v>
      </c>
      <c r="AT2043" s="16" t="str">
        <f>_xlfn.XLOOKUP(B2043,'SWiSH Demand Forecast Sep-26'!D:D,'SWiSH Demand Forecast Sep-26'!G:G,"Not Exist")</f>
        <v>Not Exist</v>
      </c>
    </row>
    <row r="2044" spans="1:46" x14ac:dyDescent="0.3">
      <c r="A2044">
        <v>105300006</v>
      </c>
      <c r="B2044" t="s">
        <v>3930</v>
      </c>
      <c r="C2044" t="s">
        <v>10</v>
      </c>
      <c r="D2044" t="s">
        <v>1675</v>
      </c>
      <c r="E2044" t="e">
        <v>#N/A</v>
      </c>
      <c r="F2044" t="s">
        <v>1664</v>
      </c>
      <c r="G2044" t="s">
        <v>1704</v>
      </c>
      <c r="H2044" t="s">
        <v>1978</v>
      </c>
      <c r="I2044" t="s">
        <v>1634</v>
      </c>
      <c r="J2044" t="s">
        <v>10</v>
      </c>
      <c r="K2044">
        <v>0.04</v>
      </c>
      <c r="L2044">
        <v>120</v>
      </c>
      <c r="M2044" s="1">
        <v>30</v>
      </c>
      <c r="N2044">
        <v>0</v>
      </c>
      <c r="O2044">
        <v>0</v>
      </c>
      <c r="P2044">
        <v>3000</v>
      </c>
      <c r="Q2044" s="1">
        <v>3000</v>
      </c>
      <c r="R2044">
        <v>20</v>
      </c>
      <c r="S2044" s="2">
        <v>44758</v>
      </c>
      <c r="T2044" s="2">
        <v>45777</v>
      </c>
      <c r="U2044">
        <v>0</v>
      </c>
      <c r="V2044">
        <v>0</v>
      </c>
      <c r="W2044">
        <v>0</v>
      </c>
      <c r="X2044">
        <v>0</v>
      </c>
      <c r="Y2044">
        <v>0</v>
      </c>
      <c r="Z2044" s="8">
        <v>0</v>
      </c>
      <c r="AA2044">
        <v>0</v>
      </c>
      <c r="AB2044" t="s">
        <v>1635</v>
      </c>
      <c r="AC2044" t="s">
        <v>1635</v>
      </c>
      <c r="AD2044" s="1" t="s">
        <v>1635</v>
      </c>
      <c r="AE2044" s="2" t="s">
        <v>1635</v>
      </c>
      <c r="AF2044" s="2" t="s">
        <v>1635</v>
      </c>
      <c r="AG2044" s="2" t="s">
        <v>1635</v>
      </c>
      <c r="AH2044">
        <v>0</v>
      </c>
      <c r="AI2044" s="3" t="s">
        <v>1635</v>
      </c>
      <c r="AJ2044" s="1" t="s">
        <v>1635</v>
      </c>
      <c r="AK2044" s="2" t="s">
        <v>1635</v>
      </c>
      <c r="AL2044" s="4" t="s">
        <v>1658</v>
      </c>
      <c r="AM2044" s="5" t="s">
        <v>1658</v>
      </c>
      <c r="AN2044" s="4">
        <v>0</v>
      </c>
      <c r="AO2044" t="s">
        <v>1635</v>
      </c>
      <c r="AP2044" s="4" t="s">
        <v>1658</v>
      </c>
      <c r="AQ2044" t="s">
        <v>1619</v>
      </c>
      <c r="AR2044" t="s">
        <v>1620</v>
      </c>
      <c r="AT2044" s="16" t="str">
        <f>_xlfn.XLOOKUP(B2044,'SWiSH Demand Forecast Sep-26'!D:D,'SWiSH Demand Forecast Sep-26'!G:G,"Not Exist")</f>
        <v>Not Exist</v>
      </c>
    </row>
    <row r="2045" spans="1:46" hidden="1" x14ac:dyDescent="0.3">
      <c r="A2045">
        <v>106900016</v>
      </c>
      <c r="B2045" t="s">
        <v>367</v>
      </c>
      <c r="C2045" t="s">
        <v>10</v>
      </c>
      <c r="D2045" t="s">
        <v>1675</v>
      </c>
      <c r="E2045" t="s">
        <v>1663</v>
      </c>
      <c r="F2045" t="s">
        <v>1664</v>
      </c>
      <c r="G2045" t="s">
        <v>1704</v>
      </c>
      <c r="H2045" t="s">
        <v>3721</v>
      </c>
      <c r="I2045" t="s">
        <v>1634</v>
      </c>
      <c r="J2045" t="s">
        <v>10</v>
      </c>
      <c r="K2045">
        <v>7.0000000000000001E-3</v>
      </c>
      <c r="L2045">
        <v>0</v>
      </c>
      <c r="M2045" s="1">
        <v>15</v>
      </c>
      <c r="N2045">
        <v>0</v>
      </c>
      <c r="O2045">
        <v>0</v>
      </c>
      <c r="P2045">
        <v>0</v>
      </c>
      <c r="Q2045" s="1">
        <v>0</v>
      </c>
      <c r="R2045">
        <v>7.0000000000000001E-3</v>
      </c>
      <c r="S2045" s="2">
        <v>44997</v>
      </c>
      <c r="T2045" s="2">
        <v>45258</v>
      </c>
      <c r="U2045">
        <v>0</v>
      </c>
      <c r="V2045">
        <v>0</v>
      </c>
      <c r="W2045">
        <v>0</v>
      </c>
      <c r="X2045">
        <v>0</v>
      </c>
      <c r="Y2045">
        <v>0</v>
      </c>
      <c r="Z2045" s="8">
        <v>0</v>
      </c>
      <c r="AA2045">
        <v>0</v>
      </c>
      <c r="AB2045" t="s">
        <v>1635</v>
      </c>
      <c r="AC2045" t="s">
        <v>1635</v>
      </c>
      <c r="AD2045" s="1" t="s">
        <v>1635</v>
      </c>
      <c r="AE2045" s="2" t="s">
        <v>1635</v>
      </c>
      <c r="AF2045" s="2" t="s">
        <v>1635</v>
      </c>
      <c r="AG2045" s="2" t="s">
        <v>1635</v>
      </c>
      <c r="AH2045">
        <v>0</v>
      </c>
      <c r="AI2045" s="3" t="s">
        <v>1635</v>
      </c>
      <c r="AJ2045" s="1" t="s">
        <v>1635</v>
      </c>
      <c r="AK2045" s="2" t="s">
        <v>1635</v>
      </c>
      <c r="AL2045" s="4" t="s">
        <v>1658</v>
      </c>
      <c r="AM2045" s="5" t="s">
        <v>1658</v>
      </c>
      <c r="AN2045" s="4">
        <v>0</v>
      </c>
      <c r="AO2045" t="s">
        <v>1635</v>
      </c>
      <c r="AP2045" s="4" t="s">
        <v>1658</v>
      </c>
      <c r="AQ2045" t="s">
        <v>1619</v>
      </c>
      <c r="AR2045" t="s">
        <v>1620</v>
      </c>
      <c r="AT2045" s="16">
        <f>_xlfn.XLOOKUP(B2045,'SWiSH Demand Forecast Sep-26'!D:D,'SWiSH Demand Forecast Sep-26'!G:G,"Not Exist")</f>
        <v>3272</v>
      </c>
    </row>
    <row r="2046" spans="1:46" x14ac:dyDescent="0.3">
      <c r="A2046">
        <v>106600131</v>
      </c>
      <c r="B2046" t="s">
        <v>3931</v>
      </c>
      <c r="C2046" t="s">
        <v>10</v>
      </c>
      <c r="D2046" t="s">
        <v>1675</v>
      </c>
      <c r="E2046" t="e">
        <v>#N/A</v>
      </c>
      <c r="F2046" t="s">
        <v>1664</v>
      </c>
      <c r="G2046" t="s">
        <v>1704</v>
      </c>
      <c r="H2046" t="s">
        <v>1723</v>
      </c>
      <c r="I2046" t="s">
        <v>1634</v>
      </c>
      <c r="J2046" t="s">
        <v>10</v>
      </c>
      <c r="K2046">
        <v>2.6669999999999999E-2</v>
      </c>
      <c r="L2046">
        <v>80.009999999999991</v>
      </c>
      <c r="M2046" s="1">
        <v>15</v>
      </c>
      <c r="N2046">
        <v>0</v>
      </c>
      <c r="O2046">
        <v>0</v>
      </c>
      <c r="P2046">
        <v>3000</v>
      </c>
      <c r="Q2046" s="1">
        <v>3000</v>
      </c>
      <c r="R2046">
        <v>2.6669999999999999E-2</v>
      </c>
      <c r="S2046" s="2">
        <v>45773</v>
      </c>
      <c r="T2046" s="2">
        <v>45258</v>
      </c>
      <c r="U2046">
        <v>0</v>
      </c>
      <c r="V2046">
        <v>0</v>
      </c>
      <c r="W2046">
        <v>0</v>
      </c>
      <c r="X2046">
        <v>0</v>
      </c>
      <c r="Y2046">
        <v>0</v>
      </c>
      <c r="Z2046" s="8">
        <v>0</v>
      </c>
      <c r="AA2046">
        <v>0</v>
      </c>
      <c r="AB2046" t="s">
        <v>1635</v>
      </c>
      <c r="AC2046" t="s">
        <v>1635</v>
      </c>
      <c r="AD2046" s="1" t="s">
        <v>1635</v>
      </c>
      <c r="AE2046" s="2" t="s">
        <v>1635</v>
      </c>
      <c r="AF2046" s="2" t="s">
        <v>1635</v>
      </c>
      <c r="AG2046" s="2" t="s">
        <v>1635</v>
      </c>
      <c r="AH2046">
        <v>0</v>
      </c>
      <c r="AI2046" s="3" t="s">
        <v>1635</v>
      </c>
      <c r="AJ2046" s="1" t="s">
        <v>1635</v>
      </c>
      <c r="AK2046" s="2" t="s">
        <v>1635</v>
      </c>
      <c r="AL2046" s="4" t="s">
        <v>1658</v>
      </c>
      <c r="AM2046" s="5" t="s">
        <v>1658</v>
      </c>
      <c r="AN2046" s="4">
        <v>0</v>
      </c>
      <c r="AO2046" t="s">
        <v>1635</v>
      </c>
      <c r="AP2046" s="4" t="s">
        <v>1658</v>
      </c>
      <c r="AQ2046" t="s">
        <v>1619</v>
      </c>
      <c r="AR2046" t="s">
        <v>1620</v>
      </c>
      <c r="AT2046" s="16" t="str">
        <f>_xlfn.XLOOKUP(B2046,'SWiSH Demand Forecast Sep-26'!D:D,'SWiSH Demand Forecast Sep-26'!G:G,"Not Exist")</f>
        <v>Not Exist</v>
      </c>
    </row>
    <row r="2047" spans="1:46" x14ac:dyDescent="0.3">
      <c r="A2047">
        <v>106800103</v>
      </c>
      <c r="B2047" t="s">
        <v>3932</v>
      </c>
      <c r="C2047" t="s">
        <v>10</v>
      </c>
      <c r="D2047" t="s">
        <v>1789</v>
      </c>
      <c r="E2047" t="s">
        <v>1655</v>
      </c>
      <c r="F2047" t="s">
        <v>1664</v>
      </c>
      <c r="G2047" t="s">
        <v>1704</v>
      </c>
      <c r="H2047" t="s">
        <v>1665</v>
      </c>
      <c r="I2047" t="s">
        <v>1634</v>
      </c>
      <c r="J2047" t="s">
        <v>10</v>
      </c>
      <c r="K2047">
        <v>5.0000000000000001E-3</v>
      </c>
      <c r="L2047">
        <v>40</v>
      </c>
      <c r="M2047" s="1">
        <v>7</v>
      </c>
      <c r="N2047">
        <v>0</v>
      </c>
      <c r="O2047">
        <v>0</v>
      </c>
      <c r="P2047">
        <v>8000</v>
      </c>
      <c r="Q2047" s="1">
        <v>8000</v>
      </c>
      <c r="R2047">
        <v>5.0000000000000001E-3</v>
      </c>
      <c r="S2047" s="2">
        <v>45870</v>
      </c>
      <c r="T2047" s="2">
        <v>46170</v>
      </c>
      <c r="U2047">
        <v>0</v>
      </c>
      <c r="V2047">
        <v>0</v>
      </c>
      <c r="W2047">
        <v>0</v>
      </c>
      <c r="X2047">
        <v>0</v>
      </c>
      <c r="Y2047">
        <v>0</v>
      </c>
      <c r="Z2047" s="8">
        <v>0</v>
      </c>
      <c r="AA2047">
        <v>0</v>
      </c>
      <c r="AB2047" t="s">
        <v>1635</v>
      </c>
      <c r="AC2047" t="s">
        <v>1635</v>
      </c>
      <c r="AD2047" s="1" t="s">
        <v>1635</v>
      </c>
      <c r="AE2047" s="2" t="s">
        <v>1635</v>
      </c>
      <c r="AF2047" s="2" t="s">
        <v>1635</v>
      </c>
      <c r="AG2047" s="2" t="s">
        <v>1635</v>
      </c>
      <c r="AH2047">
        <v>0</v>
      </c>
      <c r="AI2047" s="3" t="s">
        <v>1635</v>
      </c>
      <c r="AJ2047" s="1" t="s">
        <v>1635</v>
      </c>
      <c r="AK2047" s="2" t="s">
        <v>1635</v>
      </c>
      <c r="AL2047" s="4" t="s">
        <v>1658</v>
      </c>
      <c r="AM2047" s="5" t="s">
        <v>1658</v>
      </c>
      <c r="AN2047" s="4">
        <v>0</v>
      </c>
      <c r="AO2047" t="s">
        <v>1635</v>
      </c>
      <c r="AP2047" s="4" t="s">
        <v>1658</v>
      </c>
      <c r="AQ2047" t="s">
        <v>1619</v>
      </c>
      <c r="AR2047" t="s">
        <v>1620</v>
      </c>
      <c r="AT2047" s="16" t="str">
        <f>_xlfn.XLOOKUP(B2047,'SWiSH Demand Forecast Sep-26'!D:D,'SWiSH Demand Forecast Sep-26'!G:G,"Not Exist")</f>
        <v>Not Exist</v>
      </c>
    </row>
    <row r="2048" spans="1:46" x14ac:dyDescent="0.3">
      <c r="A2048">
        <v>106800094</v>
      </c>
      <c r="B2048" t="s">
        <v>3933</v>
      </c>
      <c r="C2048" t="s">
        <v>10</v>
      </c>
      <c r="D2048" t="s">
        <v>1955</v>
      </c>
      <c r="E2048" t="s">
        <v>1655</v>
      </c>
      <c r="F2048" t="s">
        <v>1664</v>
      </c>
      <c r="G2048" t="s">
        <v>1704</v>
      </c>
      <c r="H2048" t="s">
        <v>1665</v>
      </c>
      <c r="I2048" t="s">
        <v>1634</v>
      </c>
      <c r="J2048" t="s">
        <v>10</v>
      </c>
      <c r="K2048">
        <v>0.02</v>
      </c>
      <c r="L2048">
        <v>0</v>
      </c>
      <c r="M2048" s="1">
        <v>7</v>
      </c>
      <c r="N2048">
        <v>0</v>
      </c>
      <c r="O2048">
        <v>0</v>
      </c>
      <c r="P2048">
        <v>0</v>
      </c>
      <c r="Q2048" s="1">
        <v>0</v>
      </c>
      <c r="R2048">
        <v>0</v>
      </c>
      <c r="S2048" s="2">
        <v>45873</v>
      </c>
      <c r="T2048" s="2">
        <v>45978</v>
      </c>
      <c r="U2048">
        <v>0</v>
      </c>
      <c r="V2048">
        <v>0</v>
      </c>
      <c r="W2048">
        <v>0</v>
      </c>
      <c r="X2048">
        <v>0</v>
      </c>
      <c r="Y2048">
        <v>0</v>
      </c>
      <c r="Z2048" s="8">
        <v>0</v>
      </c>
      <c r="AA2048">
        <v>0</v>
      </c>
      <c r="AB2048" t="s">
        <v>1635</v>
      </c>
      <c r="AC2048" t="s">
        <v>1635</v>
      </c>
      <c r="AD2048" s="1" t="s">
        <v>1635</v>
      </c>
      <c r="AE2048" s="2" t="s">
        <v>1635</v>
      </c>
      <c r="AF2048" s="2" t="s">
        <v>1635</v>
      </c>
      <c r="AG2048" s="2" t="s">
        <v>1635</v>
      </c>
      <c r="AH2048">
        <v>0</v>
      </c>
      <c r="AI2048" s="3" t="s">
        <v>1635</v>
      </c>
      <c r="AJ2048" s="1" t="s">
        <v>1635</v>
      </c>
      <c r="AK2048" s="2" t="s">
        <v>1635</v>
      </c>
      <c r="AL2048" s="4" t="s">
        <v>1658</v>
      </c>
      <c r="AM2048" s="5" t="s">
        <v>1658</v>
      </c>
      <c r="AN2048" s="4">
        <v>0</v>
      </c>
      <c r="AO2048" t="s">
        <v>1635</v>
      </c>
      <c r="AP2048" s="4" t="s">
        <v>1658</v>
      </c>
      <c r="AQ2048" t="s">
        <v>1619</v>
      </c>
      <c r="AR2048" t="s">
        <v>1620</v>
      </c>
      <c r="AT2048" s="16" t="str">
        <f>_xlfn.XLOOKUP(B2048,'SWiSH Demand Forecast Sep-26'!D:D,'SWiSH Demand Forecast Sep-26'!G:G,"Not Exist")</f>
        <v>Not Exist</v>
      </c>
    </row>
    <row r="2049" spans="1:46" x14ac:dyDescent="0.3">
      <c r="A2049">
        <v>106800095</v>
      </c>
      <c r="B2049" t="s">
        <v>3934</v>
      </c>
      <c r="C2049" t="s">
        <v>10</v>
      </c>
      <c r="D2049" t="s">
        <v>1955</v>
      </c>
      <c r="E2049" t="s">
        <v>1655</v>
      </c>
      <c r="F2049" t="s">
        <v>1664</v>
      </c>
      <c r="G2049" t="s">
        <v>1704</v>
      </c>
      <c r="H2049" t="s">
        <v>1665</v>
      </c>
      <c r="I2049" t="s">
        <v>1634</v>
      </c>
      <c r="J2049" t="s">
        <v>10</v>
      </c>
      <c r="K2049">
        <v>1.7999999999999999E-2</v>
      </c>
      <c r="L2049">
        <v>0</v>
      </c>
      <c r="M2049" s="1">
        <v>7</v>
      </c>
      <c r="N2049">
        <v>0</v>
      </c>
      <c r="O2049">
        <v>0</v>
      </c>
      <c r="P2049">
        <v>0</v>
      </c>
      <c r="Q2049" s="1">
        <v>0</v>
      </c>
      <c r="R2049">
        <v>0</v>
      </c>
      <c r="S2049" s="2">
        <v>45873</v>
      </c>
      <c r="T2049" s="2">
        <v>45978</v>
      </c>
      <c r="U2049">
        <v>0</v>
      </c>
      <c r="V2049">
        <v>0</v>
      </c>
      <c r="W2049">
        <v>0</v>
      </c>
      <c r="X2049">
        <v>0</v>
      </c>
      <c r="Y2049">
        <v>0</v>
      </c>
      <c r="Z2049" s="8">
        <v>0</v>
      </c>
      <c r="AA2049">
        <v>0</v>
      </c>
      <c r="AB2049" t="s">
        <v>1635</v>
      </c>
      <c r="AC2049" t="s">
        <v>1635</v>
      </c>
      <c r="AD2049" s="1" t="s">
        <v>1635</v>
      </c>
      <c r="AE2049" s="2" t="s">
        <v>1635</v>
      </c>
      <c r="AF2049" s="2" t="s">
        <v>1635</v>
      </c>
      <c r="AG2049" s="2" t="s">
        <v>1635</v>
      </c>
      <c r="AH2049">
        <v>0</v>
      </c>
      <c r="AI2049" s="3" t="s">
        <v>1635</v>
      </c>
      <c r="AJ2049" s="1" t="s">
        <v>1635</v>
      </c>
      <c r="AK2049" s="2" t="s">
        <v>1635</v>
      </c>
      <c r="AL2049" s="4" t="s">
        <v>1658</v>
      </c>
      <c r="AM2049" s="5" t="s">
        <v>1658</v>
      </c>
      <c r="AN2049" s="4">
        <v>0</v>
      </c>
      <c r="AO2049" t="s">
        <v>1635</v>
      </c>
      <c r="AP2049" s="4" t="s">
        <v>1658</v>
      </c>
      <c r="AQ2049" t="s">
        <v>1619</v>
      </c>
      <c r="AR2049" t="s">
        <v>1620</v>
      </c>
      <c r="AT2049" s="16" t="str">
        <f>_xlfn.XLOOKUP(B2049,'SWiSH Demand Forecast Sep-26'!D:D,'SWiSH Demand Forecast Sep-26'!G:G,"Not Exist")</f>
        <v>Not Exist</v>
      </c>
    </row>
    <row r="2050" spans="1:46" x14ac:dyDescent="0.3">
      <c r="A2050">
        <v>105200068</v>
      </c>
      <c r="B2050" t="s">
        <v>3935</v>
      </c>
      <c r="C2050" t="s">
        <v>10</v>
      </c>
      <c r="D2050" t="s">
        <v>1675</v>
      </c>
      <c r="E2050" t="s">
        <v>1638</v>
      </c>
      <c r="F2050" t="s">
        <v>1664</v>
      </c>
      <c r="G2050" t="s">
        <v>1704</v>
      </c>
      <c r="H2050" t="s">
        <v>1779</v>
      </c>
      <c r="I2050" t="s">
        <v>1634</v>
      </c>
      <c r="J2050" t="s">
        <v>10</v>
      </c>
      <c r="K2050">
        <v>0.32</v>
      </c>
      <c r="L2050">
        <v>0</v>
      </c>
      <c r="M2050" s="1">
        <v>30</v>
      </c>
      <c r="N2050">
        <v>0</v>
      </c>
      <c r="O2050">
        <v>0</v>
      </c>
      <c r="P2050">
        <v>0</v>
      </c>
      <c r="Q2050" s="1">
        <v>0</v>
      </c>
      <c r="R2050">
        <v>0.32</v>
      </c>
      <c r="S2050" s="2">
        <v>45726</v>
      </c>
      <c r="T2050" s="2">
        <v>45777</v>
      </c>
      <c r="U2050">
        <v>0</v>
      </c>
      <c r="V2050">
        <v>0</v>
      </c>
      <c r="W2050">
        <v>0</v>
      </c>
      <c r="X2050">
        <v>0</v>
      </c>
      <c r="Y2050">
        <v>0</v>
      </c>
      <c r="Z2050" s="8">
        <v>0</v>
      </c>
      <c r="AA2050">
        <v>0</v>
      </c>
      <c r="AB2050" t="s">
        <v>1635</v>
      </c>
      <c r="AC2050" t="s">
        <v>1635</v>
      </c>
      <c r="AD2050" s="1" t="s">
        <v>1635</v>
      </c>
      <c r="AE2050" s="2" t="s">
        <v>1635</v>
      </c>
      <c r="AF2050" s="2" t="s">
        <v>1635</v>
      </c>
      <c r="AG2050" s="2" t="s">
        <v>1635</v>
      </c>
      <c r="AH2050">
        <v>0</v>
      </c>
      <c r="AI2050" s="3" t="s">
        <v>1635</v>
      </c>
      <c r="AJ2050" s="1" t="s">
        <v>1635</v>
      </c>
      <c r="AK2050" s="2" t="s">
        <v>1635</v>
      </c>
      <c r="AL2050" s="4" t="s">
        <v>1658</v>
      </c>
      <c r="AM2050" s="5" t="s">
        <v>1658</v>
      </c>
      <c r="AN2050" s="4">
        <v>0</v>
      </c>
      <c r="AO2050" t="s">
        <v>1635</v>
      </c>
      <c r="AP2050" s="4" t="s">
        <v>1658</v>
      </c>
      <c r="AQ2050" t="s">
        <v>1619</v>
      </c>
      <c r="AR2050" t="s">
        <v>1620</v>
      </c>
      <c r="AT2050" s="16" t="str">
        <f>_xlfn.XLOOKUP(B2050,'SWiSH Demand Forecast Sep-26'!D:D,'SWiSH Demand Forecast Sep-26'!G:G,"Not Exist")</f>
        <v>Not Exist</v>
      </c>
    </row>
    <row r="2051" spans="1:46" x14ac:dyDescent="0.3">
      <c r="A2051">
        <v>106800282</v>
      </c>
      <c r="B2051" t="s">
        <v>3936</v>
      </c>
      <c r="C2051" t="s">
        <v>10</v>
      </c>
      <c r="D2051" t="s">
        <v>1629</v>
      </c>
      <c r="E2051" t="s">
        <v>1949</v>
      </c>
      <c r="F2051" t="s">
        <v>1664</v>
      </c>
      <c r="G2051" t="e">
        <v>#N/A</v>
      </c>
      <c r="H2051" t="s">
        <v>1665</v>
      </c>
      <c r="I2051" t="s">
        <v>1634</v>
      </c>
      <c r="J2051" t="s">
        <v>10</v>
      </c>
      <c r="K2051" t="e">
        <v>#N/A</v>
      </c>
      <c r="L2051" t="e">
        <v>#N/A</v>
      </c>
      <c r="M2051" s="1">
        <v>7</v>
      </c>
      <c r="N2051">
        <v>0</v>
      </c>
      <c r="O2051">
        <v>0</v>
      </c>
      <c r="P2051">
        <v>0</v>
      </c>
      <c r="Q2051" s="1">
        <v>0</v>
      </c>
      <c r="R2051">
        <v>6.6699999999999997E-3</v>
      </c>
      <c r="S2051" s="2">
        <v>45610</v>
      </c>
      <c r="T2051" s="2">
        <v>46055</v>
      </c>
      <c r="U2051">
        <v>0</v>
      </c>
      <c r="V2051">
        <v>0</v>
      </c>
      <c r="W2051">
        <v>0</v>
      </c>
      <c r="X2051">
        <v>0</v>
      </c>
      <c r="Y2051">
        <v>0</v>
      </c>
      <c r="Z2051" s="8">
        <v>0</v>
      </c>
      <c r="AA2051">
        <v>0</v>
      </c>
      <c r="AB2051" t="s">
        <v>1635</v>
      </c>
      <c r="AC2051" t="s">
        <v>1635</v>
      </c>
      <c r="AD2051" s="1" t="s">
        <v>1635</v>
      </c>
      <c r="AE2051" s="2" t="s">
        <v>1635</v>
      </c>
      <c r="AF2051" s="2" t="s">
        <v>1635</v>
      </c>
      <c r="AG2051" s="2" t="s">
        <v>1635</v>
      </c>
      <c r="AH2051">
        <v>0</v>
      </c>
      <c r="AI2051" s="3" t="s">
        <v>1635</v>
      </c>
      <c r="AJ2051" s="1" t="s">
        <v>1635</v>
      </c>
      <c r="AK2051" s="2" t="s">
        <v>1635</v>
      </c>
      <c r="AL2051" s="4" t="s">
        <v>1636</v>
      </c>
      <c r="AM2051" s="5" t="s">
        <v>1636</v>
      </c>
      <c r="AN2051" s="4">
        <v>0</v>
      </c>
      <c r="AO2051" t="s">
        <v>1635</v>
      </c>
      <c r="AP2051" s="4" t="s">
        <v>1636</v>
      </c>
      <c r="AQ2051" t="s">
        <v>1619</v>
      </c>
      <c r="AR2051" t="s">
        <v>1620</v>
      </c>
      <c r="AT2051" s="16" t="str">
        <f>_xlfn.XLOOKUP(B2051,'SWiSH Demand Forecast Sep-26'!D:D,'SWiSH Demand Forecast Sep-26'!G:G,"Not Exist")</f>
        <v>Not Exist</v>
      </c>
    </row>
    <row r="2052" spans="1:46" x14ac:dyDescent="0.3">
      <c r="A2052">
        <v>106800174</v>
      </c>
      <c r="B2052" t="s">
        <v>3937</v>
      </c>
      <c r="C2052" t="s">
        <v>10</v>
      </c>
      <c r="D2052" t="s">
        <v>1675</v>
      </c>
      <c r="E2052" t="s">
        <v>1796</v>
      </c>
      <c r="F2052" t="s">
        <v>1664</v>
      </c>
      <c r="G2052" t="s">
        <v>1704</v>
      </c>
      <c r="H2052" t="s">
        <v>1665</v>
      </c>
      <c r="I2052" t="s">
        <v>1634</v>
      </c>
      <c r="J2052" t="s">
        <v>10</v>
      </c>
      <c r="K2052">
        <v>5.0000000000000001E-3</v>
      </c>
      <c r="L2052">
        <v>0</v>
      </c>
      <c r="M2052" s="1">
        <v>7</v>
      </c>
      <c r="N2052">
        <v>0</v>
      </c>
      <c r="O2052">
        <v>0</v>
      </c>
      <c r="P2052">
        <v>0</v>
      </c>
      <c r="Q2052" s="1">
        <v>0</v>
      </c>
      <c r="R2052">
        <v>5.0000000000000001E-3</v>
      </c>
      <c r="S2052" s="2">
        <v>45773</v>
      </c>
      <c r="T2052" s="2">
        <v>45258</v>
      </c>
      <c r="U2052">
        <v>0</v>
      </c>
      <c r="V2052">
        <v>0</v>
      </c>
      <c r="W2052">
        <v>0</v>
      </c>
      <c r="X2052">
        <v>0</v>
      </c>
      <c r="Y2052">
        <v>0</v>
      </c>
      <c r="Z2052" s="8">
        <v>0</v>
      </c>
      <c r="AA2052">
        <v>0</v>
      </c>
      <c r="AB2052" t="s">
        <v>1635</v>
      </c>
      <c r="AC2052" t="s">
        <v>1635</v>
      </c>
      <c r="AD2052" s="1" t="s">
        <v>1635</v>
      </c>
      <c r="AE2052" s="2" t="s">
        <v>1635</v>
      </c>
      <c r="AF2052" s="2" t="s">
        <v>1635</v>
      </c>
      <c r="AG2052" s="2" t="s">
        <v>1635</v>
      </c>
      <c r="AH2052">
        <v>0</v>
      </c>
      <c r="AI2052" s="3" t="s">
        <v>1635</v>
      </c>
      <c r="AJ2052" s="1" t="s">
        <v>1635</v>
      </c>
      <c r="AK2052" s="2" t="s">
        <v>1635</v>
      </c>
      <c r="AL2052" s="4" t="s">
        <v>1658</v>
      </c>
      <c r="AM2052" s="5" t="s">
        <v>1658</v>
      </c>
      <c r="AN2052" s="4">
        <v>0</v>
      </c>
      <c r="AO2052" t="s">
        <v>1635</v>
      </c>
      <c r="AP2052" s="4" t="s">
        <v>1658</v>
      </c>
      <c r="AQ2052" t="s">
        <v>1619</v>
      </c>
      <c r="AR2052" t="s">
        <v>1620</v>
      </c>
      <c r="AT2052" s="16" t="str">
        <f>_xlfn.XLOOKUP(B2052,'SWiSH Demand Forecast Sep-26'!D:D,'SWiSH Demand Forecast Sep-26'!G:G,"Not Exist")</f>
        <v>Not Exist</v>
      </c>
    </row>
    <row r="2053" spans="1:46" x14ac:dyDescent="0.3">
      <c r="A2053">
        <v>105600031</v>
      </c>
      <c r="B2053" t="s">
        <v>3938</v>
      </c>
      <c r="C2053" t="s">
        <v>10</v>
      </c>
      <c r="D2053" t="s">
        <v>1675</v>
      </c>
      <c r="E2053" t="s">
        <v>1832</v>
      </c>
      <c r="F2053" t="s">
        <v>1631</v>
      </c>
      <c r="G2053" t="s">
        <v>1624</v>
      </c>
      <c r="H2053" t="s">
        <v>1679</v>
      </c>
      <c r="I2053" t="s">
        <v>1634</v>
      </c>
      <c r="J2053" t="s">
        <v>2145</v>
      </c>
      <c r="K2053">
        <v>1.0999999999999999E-2</v>
      </c>
      <c r="L2053">
        <v>55</v>
      </c>
      <c r="M2053" s="1">
        <v>30</v>
      </c>
      <c r="N2053">
        <v>0</v>
      </c>
      <c r="O2053">
        <v>0</v>
      </c>
      <c r="P2053">
        <v>5000</v>
      </c>
      <c r="Q2053" s="1">
        <v>5000</v>
      </c>
      <c r="R2053">
        <v>11</v>
      </c>
      <c r="S2053" s="2">
        <v>45925</v>
      </c>
      <c r="T2053" s="2">
        <v>46181</v>
      </c>
      <c r="U2053">
        <v>0</v>
      </c>
      <c r="V2053">
        <v>0</v>
      </c>
      <c r="W2053">
        <v>0</v>
      </c>
      <c r="X2053">
        <v>0</v>
      </c>
      <c r="Y2053">
        <v>0</v>
      </c>
      <c r="Z2053" s="8">
        <v>0</v>
      </c>
      <c r="AA2053">
        <v>0</v>
      </c>
      <c r="AB2053" t="s">
        <v>1635</v>
      </c>
      <c r="AC2053" t="s">
        <v>1635</v>
      </c>
      <c r="AD2053" s="1" t="s">
        <v>1635</v>
      </c>
      <c r="AE2053" s="2" t="s">
        <v>1635</v>
      </c>
      <c r="AF2053" s="2" t="s">
        <v>1635</v>
      </c>
      <c r="AG2053" s="2" t="s">
        <v>1635</v>
      </c>
      <c r="AH2053">
        <v>0</v>
      </c>
      <c r="AI2053" s="3" t="s">
        <v>1635</v>
      </c>
      <c r="AJ2053" s="1" t="s">
        <v>1635</v>
      </c>
      <c r="AK2053" s="2" t="s">
        <v>1635</v>
      </c>
      <c r="AL2053" s="4" t="s">
        <v>1658</v>
      </c>
      <c r="AM2053" s="5" t="s">
        <v>1658</v>
      </c>
      <c r="AN2053" s="4">
        <v>0</v>
      </c>
      <c r="AO2053" t="s">
        <v>1635</v>
      </c>
      <c r="AP2053" s="4" t="s">
        <v>1658</v>
      </c>
      <c r="AQ2053" t="s">
        <v>1619</v>
      </c>
      <c r="AR2053" t="s">
        <v>1620</v>
      </c>
      <c r="AT2053" s="16" t="str">
        <f>_xlfn.XLOOKUP(B2053,'SWiSH Demand Forecast Sep-26'!D:D,'SWiSH Demand Forecast Sep-26'!G:G,"Not Exist")</f>
        <v>Not Exist</v>
      </c>
    </row>
    <row r="2054" spans="1:46" x14ac:dyDescent="0.3">
      <c r="A2054">
        <v>101100015</v>
      </c>
      <c r="B2054" t="s">
        <v>3939</v>
      </c>
      <c r="C2054" t="s">
        <v>10</v>
      </c>
      <c r="D2054" t="s">
        <v>1675</v>
      </c>
      <c r="E2054" t="s">
        <v>1643</v>
      </c>
      <c r="F2054" t="s">
        <v>1650</v>
      </c>
      <c r="G2054" t="s">
        <v>1624</v>
      </c>
      <c r="H2054" t="s">
        <v>1953</v>
      </c>
      <c r="I2054" t="s">
        <v>1634</v>
      </c>
      <c r="J2054" t="s">
        <v>10</v>
      </c>
      <c r="K2054">
        <v>8.25</v>
      </c>
      <c r="L2054">
        <v>8.25</v>
      </c>
      <c r="M2054" s="1">
        <v>3</v>
      </c>
      <c r="N2054">
        <v>0</v>
      </c>
      <c r="O2054">
        <v>0</v>
      </c>
      <c r="P2054">
        <v>1</v>
      </c>
      <c r="Q2054" s="1">
        <v>1</v>
      </c>
      <c r="R2054">
        <v>16.5</v>
      </c>
      <c r="S2054" s="2">
        <v>45811</v>
      </c>
      <c r="T2054" s="2">
        <v>46080</v>
      </c>
      <c r="U2054">
        <v>0</v>
      </c>
      <c r="V2054">
        <v>0</v>
      </c>
      <c r="W2054">
        <v>0</v>
      </c>
      <c r="X2054">
        <v>0</v>
      </c>
      <c r="Y2054">
        <v>0</v>
      </c>
      <c r="Z2054" s="8">
        <v>0</v>
      </c>
      <c r="AA2054">
        <v>0</v>
      </c>
      <c r="AB2054" t="s">
        <v>1635</v>
      </c>
      <c r="AC2054" t="s">
        <v>1635</v>
      </c>
      <c r="AD2054" s="1" t="s">
        <v>1635</v>
      </c>
      <c r="AE2054" s="2" t="s">
        <v>1635</v>
      </c>
      <c r="AF2054" s="2" t="s">
        <v>1635</v>
      </c>
      <c r="AG2054" s="2" t="s">
        <v>1635</v>
      </c>
      <c r="AH2054">
        <v>0</v>
      </c>
      <c r="AI2054" s="3" t="s">
        <v>1635</v>
      </c>
      <c r="AJ2054" s="1" t="s">
        <v>1635</v>
      </c>
      <c r="AK2054" s="2" t="s">
        <v>1635</v>
      </c>
      <c r="AL2054" s="4" t="s">
        <v>1658</v>
      </c>
      <c r="AM2054" s="5" t="s">
        <v>1658</v>
      </c>
      <c r="AN2054" s="4">
        <v>0</v>
      </c>
      <c r="AO2054" t="s">
        <v>1635</v>
      </c>
      <c r="AP2054" s="4" t="s">
        <v>1658</v>
      </c>
      <c r="AQ2054" t="s">
        <v>1619</v>
      </c>
      <c r="AR2054" t="s">
        <v>2626</v>
      </c>
      <c r="AT2054" s="16" t="str">
        <f>_xlfn.XLOOKUP(B2054,'SWiSH Demand Forecast Sep-26'!D:D,'SWiSH Demand Forecast Sep-26'!G:G,"Not Exist")</f>
        <v>Not Exist</v>
      </c>
    </row>
    <row r="2055" spans="1:46" x14ac:dyDescent="0.3">
      <c r="A2055">
        <v>101100018</v>
      </c>
      <c r="B2055" t="s">
        <v>3940</v>
      </c>
      <c r="C2055" t="s">
        <v>10</v>
      </c>
      <c r="D2055" t="s">
        <v>1675</v>
      </c>
      <c r="E2055" t="s">
        <v>1643</v>
      </c>
      <c r="F2055" t="s">
        <v>1650</v>
      </c>
      <c r="G2055" t="s">
        <v>1624</v>
      </c>
      <c r="H2055" t="s">
        <v>1953</v>
      </c>
      <c r="I2055" t="s">
        <v>1634</v>
      </c>
      <c r="J2055" t="s">
        <v>10</v>
      </c>
      <c r="K2055">
        <v>8.25</v>
      </c>
      <c r="L2055">
        <v>8.25</v>
      </c>
      <c r="M2055" s="1">
        <v>3</v>
      </c>
      <c r="N2055">
        <v>0</v>
      </c>
      <c r="O2055">
        <v>0</v>
      </c>
      <c r="P2055">
        <v>1</v>
      </c>
      <c r="Q2055" s="1">
        <v>1</v>
      </c>
      <c r="R2055">
        <v>16.5</v>
      </c>
      <c r="S2055" s="2">
        <v>45811</v>
      </c>
      <c r="T2055" s="2">
        <v>46080</v>
      </c>
      <c r="U2055">
        <v>0</v>
      </c>
      <c r="V2055">
        <v>0</v>
      </c>
      <c r="W2055">
        <v>0</v>
      </c>
      <c r="X2055">
        <v>0</v>
      </c>
      <c r="Y2055">
        <v>0</v>
      </c>
      <c r="Z2055" s="8">
        <v>0</v>
      </c>
      <c r="AA2055">
        <v>0</v>
      </c>
      <c r="AB2055" t="s">
        <v>1635</v>
      </c>
      <c r="AC2055" t="s">
        <v>1635</v>
      </c>
      <c r="AD2055" s="1" t="s">
        <v>1635</v>
      </c>
      <c r="AE2055" s="2" t="s">
        <v>1635</v>
      </c>
      <c r="AF2055" s="2" t="s">
        <v>1635</v>
      </c>
      <c r="AG2055" s="2" t="s">
        <v>1635</v>
      </c>
      <c r="AH2055">
        <v>0</v>
      </c>
      <c r="AI2055" s="3" t="s">
        <v>1635</v>
      </c>
      <c r="AJ2055" s="1" t="s">
        <v>1635</v>
      </c>
      <c r="AK2055" s="2" t="s">
        <v>1635</v>
      </c>
      <c r="AL2055" s="4" t="s">
        <v>1658</v>
      </c>
      <c r="AM2055" s="5" t="s">
        <v>1658</v>
      </c>
      <c r="AN2055" s="4">
        <v>0</v>
      </c>
      <c r="AO2055" t="s">
        <v>1635</v>
      </c>
      <c r="AP2055" s="4" t="s">
        <v>1658</v>
      </c>
      <c r="AQ2055" t="s">
        <v>1619</v>
      </c>
      <c r="AR2055" t="s">
        <v>1620</v>
      </c>
      <c r="AT2055" s="16" t="str">
        <f>_xlfn.XLOOKUP(B2055,'SWiSH Demand Forecast Sep-26'!D:D,'SWiSH Demand Forecast Sep-26'!G:G,"Not Exist")</f>
        <v>Not Exist</v>
      </c>
    </row>
    <row r="2056" spans="1:46" x14ac:dyDescent="0.3">
      <c r="A2056">
        <v>101100017</v>
      </c>
      <c r="B2056" t="s">
        <v>3941</v>
      </c>
      <c r="C2056" t="s">
        <v>10</v>
      </c>
      <c r="D2056" t="s">
        <v>1675</v>
      </c>
      <c r="E2056" t="s">
        <v>3232</v>
      </c>
      <c r="F2056" t="s">
        <v>1650</v>
      </c>
      <c r="G2056" t="s">
        <v>1624</v>
      </c>
      <c r="H2056" t="s">
        <v>1953</v>
      </c>
      <c r="I2056" t="s">
        <v>1634</v>
      </c>
      <c r="J2056" t="s">
        <v>10</v>
      </c>
      <c r="K2056">
        <v>16.5</v>
      </c>
      <c r="L2056">
        <v>16.5</v>
      </c>
      <c r="M2056" s="1">
        <v>3</v>
      </c>
      <c r="N2056">
        <v>0</v>
      </c>
      <c r="O2056">
        <v>0</v>
      </c>
      <c r="P2056">
        <v>1</v>
      </c>
      <c r="Q2056" s="1">
        <v>1</v>
      </c>
      <c r="R2056">
        <v>16.5</v>
      </c>
      <c r="S2056" s="2">
        <v>45811</v>
      </c>
      <c r="T2056" s="2">
        <v>46055</v>
      </c>
      <c r="U2056">
        <v>0</v>
      </c>
      <c r="V2056">
        <v>0</v>
      </c>
      <c r="W2056">
        <v>0</v>
      </c>
      <c r="X2056">
        <v>0</v>
      </c>
      <c r="Y2056">
        <v>0</v>
      </c>
      <c r="Z2056" s="8">
        <v>0</v>
      </c>
      <c r="AA2056">
        <v>0</v>
      </c>
      <c r="AB2056" t="s">
        <v>1635</v>
      </c>
      <c r="AC2056" t="s">
        <v>1635</v>
      </c>
      <c r="AD2056" s="1" t="s">
        <v>1635</v>
      </c>
      <c r="AE2056" s="2" t="s">
        <v>1635</v>
      </c>
      <c r="AF2056" s="2" t="s">
        <v>1635</v>
      </c>
      <c r="AG2056" s="2" t="s">
        <v>1635</v>
      </c>
      <c r="AH2056">
        <v>0</v>
      </c>
      <c r="AI2056" s="3" t="s">
        <v>1635</v>
      </c>
      <c r="AJ2056" s="1" t="s">
        <v>1635</v>
      </c>
      <c r="AK2056" s="2" t="s">
        <v>1635</v>
      </c>
      <c r="AL2056" s="4" t="s">
        <v>1658</v>
      </c>
      <c r="AM2056" s="5" t="s">
        <v>1658</v>
      </c>
      <c r="AN2056" s="4">
        <v>0</v>
      </c>
      <c r="AO2056" t="s">
        <v>1635</v>
      </c>
      <c r="AP2056" s="4" t="s">
        <v>1658</v>
      </c>
      <c r="AQ2056" t="s">
        <v>1619</v>
      </c>
      <c r="AR2056" t="s">
        <v>1620</v>
      </c>
      <c r="AT2056" s="16" t="str">
        <f>_xlfn.XLOOKUP(B2056,'SWiSH Demand Forecast Sep-26'!D:D,'SWiSH Demand Forecast Sep-26'!G:G,"Not Exist")</f>
        <v>Not Exist</v>
      </c>
    </row>
    <row r="2057" spans="1:46" x14ac:dyDescent="0.3">
      <c r="A2057">
        <v>106700097</v>
      </c>
      <c r="B2057" t="s">
        <v>3942</v>
      </c>
      <c r="C2057" t="s">
        <v>10</v>
      </c>
      <c r="D2057" t="s">
        <v>1675</v>
      </c>
      <c r="E2057" t="s">
        <v>3232</v>
      </c>
      <c r="F2057" t="s">
        <v>1650</v>
      </c>
      <c r="G2057" t="s">
        <v>1624</v>
      </c>
      <c r="H2057" t="s">
        <v>1651</v>
      </c>
      <c r="I2057" t="s">
        <v>1634</v>
      </c>
      <c r="J2057" t="s">
        <v>10</v>
      </c>
      <c r="K2057">
        <v>0.25</v>
      </c>
      <c r="L2057">
        <v>0.25</v>
      </c>
      <c r="M2057" s="1">
        <v>3</v>
      </c>
      <c r="N2057">
        <v>0</v>
      </c>
      <c r="O2057">
        <v>0</v>
      </c>
      <c r="P2057">
        <v>1</v>
      </c>
      <c r="Q2057" s="1">
        <v>1</v>
      </c>
      <c r="R2057">
        <v>0.5</v>
      </c>
      <c r="S2057" s="2">
        <v>45754</v>
      </c>
      <c r="T2057" s="2">
        <v>46055</v>
      </c>
      <c r="U2057">
        <v>0</v>
      </c>
      <c r="V2057">
        <v>0</v>
      </c>
      <c r="W2057">
        <v>0</v>
      </c>
      <c r="X2057">
        <v>0</v>
      </c>
      <c r="Y2057">
        <v>0</v>
      </c>
      <c r="Z2057" s="8">
        <v>0</v>
      </c>
      <c r="AA2057">
        <v>0</v>
      </c>
      <c r="AB2057" t="s">
        <v>1635</v>
      </c>
      <c r="AC2057" t="s">
        <v>1635</v>
      </c>
      <c r="AD2057" s="1" t="s">
        <v>1635</v>
      </c>
      <c r="AE2057" s="2" t="s">
        <v>1635</v>
      </c>
      <c r="AF2057" s="2" t="s">
        <v>1635</v>
      </c>
      <c r="AG2057" s="2" t="s">
        <v>1635</v>
      </c>
      <c r="AH2057">
        <v>0</v>
      </c>
      <c r="AI2057" s="3" t="s">
        <v>1635</v>
      </c>
      <c r="AJ2057" s="1" t="s">
        <v>1635</v>
      </c>
      <c r="AK2057" s="2" t="s">
        <v>1635</v>
      </c>
      <c r="AL2057" s="4" t="s">
        <v>1658</v>
      </c>
      <c r="AM2057" s="5" t="s">
        <v>1658</v>
      </c>
      <c r="AN2057" s="4">
        <v>0</v>
      </c>
      <c r="AO2057" t="s">
        <v>1635</v>
      </c>
      <c r="AP2057" s="4" t="s">
        <v>1658</v>
      </c>
      <c r="AQ2057" t="s">
        <v>1619</v>
      </c>
      <c r="AR2057" t="s">
        <v>1620</v>
      </c>
      <c r="AT2057" s="16" t="str">
        <f>_xlfn.XLOOKUP(B2057,'SWiSH Demand Forecast Sep-26'!D:D,'SWiSH Demand Forecast Sep-26'!G:G,"Not Exist")</f>
        <v>Not Exist</v>
      </c>
    </row>
    <row r="2058" spans="1:46" x14ac:dyDescent="0.3">
      <c r="A2058">
        <v>101100031</v>
      </c>
      <c r="B2058" t="s">
        <v>3943</v>
      </c>
      <c r="C2058" t="s">
        <v>10</v>
      </c>
      <c r="D2058" t="s">
        <v>1675</v>
      </c>
      <c r="E2058" t="s">
        <v>3232</v>
      </c>
      <c r="F2058" t="s">
        <v>1650</v>
      </c>
      <c r="G2058" t="s">
        <v>1624</v>
      </c>
      <c r="H2058" t="s">
        <v>1953</v>
      </c>
      <c r="I2058" t="s">
        <v>1634</v>
      </c>
      <c r="J2058" t="e">
        <v>#N/A</v>
      </c>
      <c r="K2058">
        <v>6.5</v>
      </c>
      <c r="L2058">
        <v>19.5</v>
      </c>
      <c r="M2058" s="1">
        <v>3</v>
      </c>
      <c r="N2058">
        <v>0</v>
      </c>
      <c r="O2058">
        <v>0</v>
      </c>
      <c r="P2058">
        <v>3</v>
      </c>
      <c r="Q2058" s="1">
        <v>3</v>
      </c>
      <c r="R2058">
        <v>6.5</v>
      </c>
      <c r="S2058" s="2">
        <v>44682</v>
      </c>
      <c r="T2058" s="2">
        <v>46055</v>
      </c>
      <c r="U2058">
        <v>0</v>
      </c>
      <c r="V2058">
        <v>0</v>
      </c>
      <c r="W2058">
        <v>0</v>
      </c>
      <c r="X2058">
        <v>0</v>
      </c>
      <c r="Y2058">
        <v>0</v>
      </c>
      <c r="Z2058" s="8">
        <v>0</v>
      </c>
      <c r="AA2058">
        <v>0</v>
      </c>
      <c r="AB2058" t="s">
        <v>1635</v>
      </c>
      <c r="AC2058" t="s">
        <v>1635</v>
      </c>
      <c r="AD2058" s="1" t="s">
        <v>1635</v>
      </c>
      <c r="AE2058" s="2" t="s">
        <v>1635</v>
      </c>
      <c r="AF2058" s="2" t="s">
        <v>1635</v>
      </c>
      <c r="AG2058" s="2" t="s">
        <v>1635</v>
      </c>
      <c r="AH2058">
        <v>0</v>
      </c>
      <c r="AI2058" s="3" t="s">
        <v>1635</v>
      </c>
      <c r="AJ2058" s="1" t="s">
        <v>1635</v>
      </c>
      <c r="AK2058" s="2" t="s">
        <v>1635</v>
      </c>
      <c r="AL2058" s="4" t="s">
        <v>1658</v>
      </c>
      <c r="AM2058" s="5" t="s">
        <v>1658</v>
      </c>
      <c r="AN2058" s="4">
        <v>0</v>
      </c>
      <c r="AO2058" t="s">
        <v>1635</v>
      </c>
      <c r="AP2058" s="4" t="s">
        <v>1658</v>
      </c>
      <c r="AQ2058" t="s">
        <v>1619</v>
      </c>
      <c r="AR2058" t="s">
        <v>1620</v>
      </c>
      <c r="AT2058" s="16" t="str">
        <f>_xlfn.XLOOKUP(B2058,'SWiSH Demand Forecast Sep-26'!D:D,'SWiSH Demand Forecast Sep-26'!G:G,"Not Exist")</f>
        <v>Not Exist</v>
      </c>
    </row>
    <row r="2059" spans="1:46" x14ac:dyDescent="0.3">
      <c r="A2059">
        <v>101100032</v>
      </c>
      <c r="B2059" t="s">
        <v>3944</v>
      </c>
      <c r="C2059" t="s">
        <v>10</v>
      </c>
      <c r="D2059" t="s">
        <v>1675</v>
      </c>
      <c r="E2059" t="s">
        <v>3232</v>
      </c>
      <c r="F2059" t="s">
        <v>1650</v>
      </c>
      <c r="G2059" t="s">
        <v>1624</v>
      </c>
      <c r="H2059" t="s">
        <v>1953</v>
      </c>
      <c r="I2059" t="s">
        <v>1634</v>
      </c>
      <c r="J2059" t="e">
        <v>#N/A</v>
      </c>
      <c r="K2059">
        <v>4.5</v>
      </c>
      <c r="L2059">
        <v>9</v>
      </c>
      <c r="M2059" s="1">
        <v>3</v>
      </c>
      <c r="N2059">
        <v>0</v>
      </c>
      <c r="O2059">
        <v>0</v>
      </c>
      <c r="P2059">
        <v>2</v>
      </c>
      <c r="Q2059" s="1">
        <v>2</v>
      </c>
      <c r="R2059">
        <v>4.5</v>
      </c>
      <c r="S2059" s="2">
        <v>44682</v>
      </c>
      <c r="T2059" s="2">
        <v>46055</v>
      </c>
      <c r="U2059">
        <v>0</v>
      </c>
      <c r="V2059">
        <v>0</v>
      </c>
      <c r="W2059">
        <v>0</v>
      </c>
      <c r="X2059">
        <v>0</v>
      </c>
      <c r="Y2059">
        <v>0</v>
      </c>
      <c r="Z2059" s="8">
        <v>0</v>
      </c>
      <c r="AA2059">
        <v>0</v>
      </c>
      <c r="AB2059" t="s">
        <v>1635</v>
      </c>
      <c r="AC2059" t="s">
        <v>1635</v>
      </c>
      <c r="AD2059" s="1" t="s">
        <v>1635</v>
      </c>
      <c r="AE2059" s="2" t="s">
        <v>1635</v>
      </c>
      <c r="AF2059" s="2" t="s">
        <v>1635</v>
      </c>
      <c r="AG2059" s="2" t="s">
        <v>1635</v>
      </c>
      <c r="AH2059">
        <v>0</v>
      </c>
      <c r="AI2059" s="3" t="s">
        <v>1635</v>
      </c>
      <c r="AJ2059" s="1" t="s">
        <v>1635</v>
      </c>
      <c r="AK2059" s="2" t="s">
        <v>1635</v>
      </c>
      <c r="AL2059" s="4" t="s">
        <v>1658</v>
      </c>
      <c r="AM2059" s="5" t="s">
        <v>1658</v>
      </c>
      <c r="AN2059" s="4">
        <v>0</v>
      </c>
      <c r="AO2059" t="s">
        <v>1635</v>
      </c>
      <c r="AP2059" s="4" t="s">
        <v>1658</v>
      </c>
      <c r="AQ2059" t="s">
        <v>1619</v>
      </c>
      <c r="AR2059" t="s">
        <v>1620</v>
      </c>
      <c r="AT2059" s="16" t="str">
        <f>_xlfn.XLOOKUP(B2059,'SWiSH Demand Forecast Sep-26'!D:D,'SWiSH Demand Forecast Sep-26'!G:G,"Not Exist")</f>
        <v>Not Exist</v>
      </c>
    </row>
    <row r="2060" spans="1:46" x14ac:dyDescent="0.3">
      <c r="A2060">
        <v>101100034</v>
      </c>
      <c r="B2060" t="s">
        <v>3945</v>
      </c>
      <c r="C2060" t="s">
        <v>10</v>
      </c>
      <c r="D2060" t="s">
        <v>1675</v>
      </c>
      <c r="E2060" t="s">
        <v>3232</v>
      </c>
      <c r="F2060" t="s">
        <v>1650</v>
      </c>
      <c r="G2060" t="s">
        <v>1624</v>
      </c>
      <c r="H2060" t="s">
        <v>1953</v>
      </c>
      <c r="I2060" t="s">
        <v>1634</v>
      </c>
      <c r="J2060" t="e">
        <v>#N/A</v>
      </c>
      <c r="K2060">
        <v>4.5</v>
      </c>
      <c r="L2060">
        <v>9</v>
      </c>
      <c r="M2060" s="1">
        <v>3</v>
      </c>
      <c r="N2060">
        <v>0</v>
      </c>
      <c r="O2060">
        <v>0</v>
      </c>
      <c r="P2060">
        <v>2</v>
      </c>
      <c r="Q2060" s="1">
        <v>2</v>
      </c>
      <c r="R2060">
        <v>4.5</v>
      </c>
      <c r="S2060" s="2">
        <v>44682</v>
      </c>
      <c r="T2060" s="2">
        <v>46055</v>
      </c>
      <c r="U2060">
        <v>0</v>
      </c>
      <c r="V2060">
        <v>0</v>
      </c>
      <c r="W2060">
        <v>0</v>
      </c>
      <c r="X2060">
        <v>0</v>
      </c>
      <c r="Y2060">
        <v>0</v>
      </c>
      <c r="Z2060" s="8">
        <v>0</v>
      </c>
      <c r="AA2060">
        <v>0</v>
      </c>
      <c r="AB2060" t="s">
        <v>1635</v>
      </c>
      <c r="AC2060" t="s">
        <v>1635</v>
      </c>
      <c r="AD2060" s="1" t="s">
        <v>1635</v>
      </c>
      <c r="AE2060" s="2" t="s">
        <v>1635</v>
      </c>
      <c r="AF2060" s="2" t="s">
        <v>1635</v>
      </c>
      <c r="AG2060" s="2" t="s">
        <v>1635</v>
      </c>
      <c r="AH2060">
        <v>0</v>
      </c>
      <c r="AI2060" s="3" t="s">
        <v>1635</v>
      </c>
      <c r="AJ2060" s="1" t="s">
        <v>1635</v>
      </c>
      <c r="AK2060" s="2" t="s">
        <v>1635</v>
      </c>
      <c r="AL2060" s="4" t="s">
        <v>1658</v>
      </c>
      <c r="AM2060" s="5" t="s">
        <v>1658</v>
      </c>
      <c r="AN2060" s="4">
        <v>0</v>
      </c>
      <c r="AO2060" t="s">
        <v>1635</v>
      </c>
      <c r="AP2060" s="4" t="s">
        <v>1658</v>
      </c>
      <c r="AQ2060" t="s">
        <v>1619</v>
      </c>
      <c r="AR2060" t="s">
        <v>1620</v>
      </c>
      <c r="AT2060" s="16" t="str">
        <f>_xlfn.XLOOKUP(B2060,'SWiSH Demand Forecast Sep-26'!D:D,'SWiSH Demand Forecast Sep-26'!G:G,"Not Exist")</f>
        <v>Not Exist</v>
      </c>
    </row>
    <row r="2061" spans="1:46" x14ac:dyDescent="0.3">
      <c r="A2061">
        <v>106800299</v>
      </c>
      <c r="B2061" t="s">
        <v>3946</v>
      </c>
      <c r="C2061" t="s">
        <v>10</v>
      </c>
      <c r="D2061" t="s">
        <v>1675</v>
      </c>
      <c r="E2061" t="s">
        <v>1926</v>
      </c>
      <c r="F2061" t="s">
        <v>1664</v>
      </c>
      <c r="G2061" t="s">
        <v>1704</v>
      </c>
      <c r="H2061" t="s">
        <v>1665</v>
      </c>
      <c r="I2061" t="s">
        <v>1634</v>
      </c>
      <c r="J2061" t="s">
        <v>10</v>
      </c>
      <c r="K2061">
        <v>0.18995999999999999</v>
      </c>
      <c r="L2061">
        <v>0</v>
      </c>
      <c r="M2061" s="1">
        <v>7</v>
      </c>
      <c r="N2061">
        <v>0</v>
      </c>
      <c r="O2061">
        <v>0</v>
      </c>
      <c r="P2061">
        <v>0</v>
      </c>
      <c r="Q2061" s="1">
        <v>0</v>
      </c>
      <c r="R2061">
        <v>0.18995999999999999</v>
      </c>
      <c r="S2061" s="2">
        <v>45777</v>
      </c>
      <c r="T2061" s="2">
        <v>44320</v>
      </c>
      <c r="U2061">
        <v>0</v>
      </c>
      <c r="V2061">
        <v>0</v>
      </c>
      <c r="W2061">
        <v>0</v>
      </c>
      <c r="X2061">
        <v>0</v>
      </c>
      <c r="Y2061">
        <v>0</v>
      </c>
      <c r="Z2061" s="8">
        <v>0</v>
      </c>
      <c r="AA2061">
        <v>0</v>
      </c>
      <c r="AB2061" t="s">
        <v>1635</v>
      </c>
      <c r="AC2061" t="s">
        <v>1635</v>
      </c>
      <c r="AD2061" s="1" t="s">
        <v>1635</v>
      </c>
      <c r="AE2061" s="2" t="s">
        <v>1635</v>
      </c>
      <c r="AF2061" s="2" t="s">
        <v>1635</v>
      </c>
      <c r="AG2061" s="2" t="s">
        <v>1635</v>
      </c>
      <c r="AH2061">
        <v>0</v>
      </c>
      <c r="AI2061" s="3" t="s">
        <v>1635</v>
      </c>
      <c r="AJ2061" s="1" t="s">
        <v>1635</v>
      </c>
      <c r="AK2061" s="2" t="s">
        <v>1635</v>
      </c>
      <c r="AL2061" s="4" t="s">
        <v>1658</v>
      </c>
      <c r="AM2061" s="5" t="s">
        <v>1658</v>
      </c>
      <c r="AN2061" s="4">
        <v>0</v>
      </c>
      <c r="AO2061" t="s">
        <v>1635</v>
      </c>
      <c r="AP2061" s="4" t="s">
        <v>1658</v>
      </c>
      <c r="AQ2061" t="s">
        <v>1619</v>
      </c>
      <c r="AR2061" t="s">
        <v>1620</v>
      </c>
      <c r="AT2061" s="16" t="str">
        <f>_xlfn.XLOOKUP(B2061,'SWiSH Demand Forecast Sep-26'!D:D,'SWiSH Demand Forecast Sep-26'!G:G,"Not Exist")</f>
        <v>Not Exist</v>
      </c>
    </row>
    <row r="2062" spans="1:46" x14ac:dyDescent="0.3">
      <c r="A2062">
        <v>106800264</v>
      </c>
      <c r="B2062" t="s">
        <v>3947</v>
      </c>
      <c r="C2062" t="s">
        <v>10</v>
      </c>
      <c r="D2062" t="s">
        <v>1789</v>
      </c>
      <c r="E2062" t="s">
        <v>1655</v>
      </c>
      <c r="F2062" t="s">
        <v>1664</v>
      </c>
      <c r="G2062" t="s">
        <v>1704</v>
      </c>
      <c r="H2062" t="s">
        <v>1665</v>
      </c>
      <c r="I2062" t="s">
        <v>1634</v>
      </c>
      <c r="J2062" t="s">
        <v>10</v>
      </c>
      <c r="K2062">
        <v>5.0000000000000001E-3</v>
      </c>
      <c r="L2062">
        <v>375</v>
      </c>
      <c r="M2062" s="1">
        <v>7</v>
      </c>
      <c r="N2062">
        <v>0</v>
      </c>
      <c r="O2062">
        <v>0</v>
      </c>
      <c r="P2062">
        <v>75000</v>
      </c>
      <c r="Q2062" s="1">
        <v>75000</v>
      </c>
      <c r="R2062">
        <v>0</v>
      </c>
      <c r="S2062" s="2">
        <v>45873</v>
      </c>
      <c r="T2062" s="2">
        <v>46239</v>
      </c>
      <c r="U2062">
        <v>0</v>
      </c>
      <c r="V2062">
        <v>0</v>
      </c>
      <c r="W2062">
        <v>0</v>
      </c>
      <c r="X2062">
        <v>0</v>
      </c>
      <c r="Y2062">
        <v>0</v>
      </c>
      <c r="Z2062" s="8">
        <v>0</v>
      </c>
      <c r="AA2062">
        <v>0</v>
      </c>
      <c r="AB2062" t="s">
        <v>1635</v>
      </c>
      <c r="AC2062" t="s">
        <v>1635</v>
      </c>
      <c r="AD2062" s="1" t="s">
        <v>1635</v>
      </c>
      <c r="AE2062" s="2" t="s">
        <v>1635</v>
      </c>
      <c r="AF2062" s="2" t="s">
        <v>1635</v>
      </c>
      <c r="AG2062" s="2" t="s">
        <v>1635</v>
      </c>
      <c r="AH2062">
        <v>0</v>
      </c>
      <c r="AI2062" s="3" t="s">
        <v>1635</v>
      </c>
      <c r="AJ2062" s="1" t="s">
        <v>1635</v>
      </c>
      <c r="AK2062" s="2" t="s">
        <v>1635</v>
      </c>
      <c r="AL2062" s="4" t="s">
        <v>1658</v>
      </c>
      <c r="AM2062" s="5" t="s">
        <v>1658</v>
      </c>
      <c r="AN2062" s="4">
        <v>0</v>
      </c>
      <c r="AO2062" t="s">
        <v>1635</v>
      </c>
      <c r="AP2062" s="4" t="s">
        <v>1658</v>
      </c>
      <c r="AQ2062" t="s">
        <v>1619</v>
      </c>
      <c r="AR2062" t="s">
        <v>1620</v>
      </c>
      <c r="AT2062" s="16" t="str">
        <f>_xlfn.XLOOKUP(B2062,'SWiSH Demand Forecast Sep-26'!D:D,'SWiSH Demand Forecast Sep-26'!G:G,"Not Exist")</f>
        <v>Not Exist</v>
      </c>
    </row>
    <row r="2063" spans="1:46" x14ac:dyDescent="0.3">
      <c r="A2063">
        <v>104800016</v>
      </c>
      <c r="B2063" t="s">
        <v>3948</v>
      </c>
      <c r="C2063" t="s">
        <v>240</v>
      </c>
      <c r="D2063" t="s">
        <v>1629</v>
      </c>
      <c r="E2063" t="s">
        <v>1643</v>
      </c>
      <c r="F2063" t="s">
        <v>1639</v>
      </c>
      <c r="G2063" t="s">
        <v>1632</v>
      </c>
      <c r="H2063" t="s">
        <v>1687</v>
      </c>
      <c r="I2063" t="s">
        <v>1618</v>
      </c>
      <c r="J2063" t="s">
        <v>3949</v>
      </c>
      <c r="K2063">
        <v>4.5999999999999999E-2</v>
      </c>
      <c r="L2063">
        <v>0</v>
      </c>
      <c r="M2063" s="1">
        <v>3</v>
      </c>
      <c r="N2063">
        <v>0</v>
      </c>
      <c r="O2063">
        <v>0</v>
      </c>
      <c r="P2063">
        <v>0</v>
      </c>
      <c r="Q2063" s="1">
        <v>0</v>
      </c>
      <c r="R2063">
        <v>0</v>
      </c>
      <c r="S2063" s="2">
        <v>0</v>
      </c>
      <c r="T2063" s="2">
        <v>46054</v>
      </c>
      <c r="U2063">
        <v>0</v>
      </c>
      <c r="V2063">
        <v>0</v>
      </c>
      <c r="W2063">
        <v>0</v>
      </c>
      <c r="X2063">
        <v>0</v>
      </c>
      <c r="Y2063">
        <v>0</v>
      </c>
      <c r="Z2063" s="8">
        <v>0</v>
      </c>
      <c r="AA2063">
        <v>0</v>
      </c>
      <c r="AB2063" t="s">
        <v>1635</v>
      </c>
      <c r="AC2063" t="s">
        <v>1635</v>
      </c>
      <c r="AD2063" s="1" t="s">
        <v>1635</v>
      </c>
      <c r="AE2063" s="2" t="s">
        <v>1635</v>
      </c>
      <c r="AF2063" s="2" t="s">
        <v>1635</v>
      </c>
      <c r="AG2063" s="2" t="s">
        <v>1635</v>
      </c>
      <c r="AH2063">
        <v>0</v>
      </c>
      <c r="AI2063" s="3" t="s">
        <v>1635</v>
      </c>
      <c r="AJ2063" s="1" t="s">
        <v>1635</v>
      </c>
      <c r="AK2063" s="2" t="s">
        <v>1635</v>
      </c>
      <c r="AL2063" s="4" t="s">
        <v>1636</v>
      </c>
      <c r="AM2063" s="5" t="s">
        <v>1636</v>
      </c>
      <c r="AN2063" s="4">
        <v>0</v>
      </c>
      <c r="AO2063" t="s">
        <v>1635</v>
      </c>
      <c r="AP2063" s="4" t="s">
        <v>1636</v>
      </c>
      <c r="AQ2063" t="s">
        <v>1619</v>
      </c>
      <c r="AR2063" t="s">
        <v>1620</v>
      </c>
      <c r="AT2063" s="16" t="str">
        <f>_xlfn.XLOOKUP(B2063,'SWiSH Demand Forecast Sep-26'!D:D,'SWiSH Demand Forecast Sep-26'!G:G,"Not Exist")</f>
        <v>Not Exist</v>
      </c>
    </row>
    <row r="2064" spans="1:46" x14ac:dyDescent="0.3">
      <c r="A2064">
        <v>105300045</v>
      </c>
      <c r="B2064" t="s">
        <v>3950</v>
      </c>
      <c r="C2064" t="s">
        <v>10</v>
      </c>
      <c r="D2064" t="s">
        <v>1675</v>
      </c>
      <c r="E2064" t="s">
        <v>1638</v>
      </c>
      <c r="F2064" t="s">
        <v>1664</v>
      </c>
      <c r="G2064" t="s">
        <v>1704</v>
      </c>
      <c r="H2064" t="s">
        <v>1978</v>
      </c>
      <c r="I2064" t="s">
        <v>1634</v>
      </c>
      <c r="J2064" t="s">
        <v>10</v>
      </c>
      <c r="K2064">
        <v>2.4E-2</v>
      </c>
      <c r="L2064">
        <v>0</v>
      </c>
      <c r="M2064" s="1">
        <v>30</v>
      </c>
      <c r="N2064">
        <v>0</v>
      </c>
      <c r="O2064">
        <v>0</v>
      </c>
      <c r="P2064">
        <v>0</v>
      </c>
      <c r="Q2064" s="1">
        <v>0</v>
      </c>
      <c r="R2064">
        <v>2.4E-2</v>
      </c>
      <c r="S2064" s="2">
        <v>44888</v>
      </c>
      <c r="T2064" s="2">
        <v>45804</v>
      </c>
      <c r="U2064">
        <v>0</v>
      </c>
      <c r="V2064">
        <v>0</v>
      </c>
      <c r="W2064">
        <v>0</v>
      </c>
      <c r="X2064">
        <v>0</v>
      </c>
      <c r="Y2064">
        <v>0</v>
      </c>
      <c r="Z2064" s="8">
        <v>0</v>
      </c>
      <c r="AA2064">
        <v>0</v>
      </c>
      <c r="AB2064" t="s">
        <v>1635</v>
      </c>
      <c r="AC2064" t="s">
        <v>1635</v>
      </c>
      <c r="AD2064" s="1" t="s">
        <v>1635</v>
      </c>
      <c r="AE2064" s="2" t="s">
        <v>1635</v>
      </c>
      <c r="AF2064" s="2" t="s">
        <v>1635</v>
      </c>
      <c r="AG2064" s="2" t="s">
        <v>1635</v>
      </c>
      <c r="AH2064">
        <v>0</v>
      </c>
      <c r="AI2064" s="3" t="s">
        <v>1635</v>
      </c>
      <c r="AJ2064" s="1" t="s">
        <v>1635</v>
      </c>
      <c r="AK2064" s="2" t="s">
        <v>1635</v>
      </c>
      <c r="AL2064" s="4" t="s">
        <v>1658</v>
      </c>
      <c r="AM2064" s="5" t="s">
        <v>1658</v>
      </c>
      <c r="AN2064" s="4">
        <v>0</v>
      </c>
      <c r="AO2064" t="s">
        <v>1635</v>
      </c>
      <c r="AP2064" s="4" t="s">
        <v>1658</v>
      </c>
      <c r="AQ2064" t="s">
        <v>1619</v>
      </c>
      <c r="AR2064" t="s">
        <v>1620</v>
      </c>
      <c r="AT2064" s="16" t="str">
        <f>_xlfn.XLOOKUP(B2064,'SWiSH Demand Forecast Sep-26'!D:D,'SWiSH Demand Forecast Sep-26'!G:G,"Not Exist")</f>
        <v>Not Exist</v>
      </c>
    </row>
    <row r="2065" spans="1:46" x14ac:dyDescent="0.3">
      <c r="A2065">
        <v>106600094</v>
      </c>
      <c r="B2065" t="s">
        <v>3951</v>
      </c>
      <c r="C2065" t="s">
        <v>10</v>
      </c>
      <c r="D2065" t="s">
        <v>1629</v>
      </c>
      <c r="E2065" t="s">
        <v>1926</v>
      </c>
      <c r="F2065" t="s">
        <v>1664</v>
      </c>
      <c r="G2065" t="s">
        <v>1690</v>
      </c>
      <c r="H2065" t="s">
        <v>1723</v>
      </c>
      <c r="I2065" t="s">
        <v>1634</v>
      </c>
      <c r="J2065" t="s">
        <v>10</v>
      </c>
      <c r="K2065">
        <v>4.0200000000000001E-3</v>
      </c>
      <c r="L2065">
        <v>0</v>
      </c>
      <c r="M2065" s="1">
        <v>15</v>
      </c>
      <c r="N2065">
        <v>0</v>
      </c>
      <c r="O2065">
        <v>0</v>
      </c>
      <c r="P2065">
        <v>0</v>
      </c>
      <c r="Q2065" s="1">
        <v>0</v>
      </c>
      <c r="R2065">
        <v>5.0000000000000001E-3</v>
      </c>
      <c r="S2065" s="2">
        <v>45777</v>
      </c>
      <c r="T2065" s="2">
        <v>45922</v>
      </c>
      <c r="U2065">
        <v>0</v>
      </c>
      <c r="V2065">
        <v>0</v>
      </c>
      <c r="W2065">
        <v>0</v>
      </c>
      <c r="X2065">
        <v>0</v>
      </c>
      <c r="Y2065">
        <v>0</v>
      </c>
      <c r="Z2065" s="8">
        <v>0</v>
      </c>
      <c r="AA2065">
        <v>0</v>
      </c>
      <c r="AB2065" t="s">
        <v>1635</v>
      </c>
      <c r="AC2065" t="s">
        <v>1635</v>
      </c>
      <c r="AD2065" s="1" t="s">
        <v>1635</v>
      </c>
      <c r="AE2065" s="2" t="s">
        <v>1635</v>
      </c>
      <c r="AF2065" s="2" t="s">
        <v>1635</v>
      </c>
      <c r="AG2065" s="2" t="s">
        <v>1635</v>
      </c>
      <c r="AH2065">
        <v>0</v>
      </c>
      <c r="AI2065" s="3" t="s">
        <v>1635</v>
      </c>
      <c r="AJ2065" s="1" t="s">
        <v>1635</v>
      </c>
      <c r="AK2065" s="2" t="s">
        <v>1635</v>
      </c>
      <c r="AL2065" s="4" t="s">
        <v>1636</v>
      </c>
      <c r="AM2065" s="5" t="s">
        <v>1636</v>
      </c>
      <c r="AN2065" s="4">
        <v>0</v>
      </c>
      <c r="AO2065" t="s">
        <v>1635</v>
      </c>
      <c r="AP2065" s="4" t="s">
        <v>1636</v>
      </c>
      <c r="AQ2065" t="s">
        <v>1619</v>
      </c>
      <c r="AR2065" t="s">
        <v>1620</v>
      </c>
      <c r="AT2065" s="16" t="str">
        <f>_xlfn.XLOOKUP(B2065,'SWiSH Demand Forecast Sep-26'!D:D,'SWiSH Demand Forecast Sep-26'!G:G,"Not Exist")</f>
        <v>Not Exist</v>
      </c>
    </row>
    <row r="2066" spans="1:46" x14ac:dyDescent="0.3">
      <c r="A2066">
        <v>106800265</v>
      </c>
      <c r="B2066" t="s">
        <v>3952</v>
      </c>
      <c r="C2066" t="s">
        <v>10</v>
      </c>
      <c r="D2066" t="s">
        <v>1675</v>
      </c>
      <c r="E2066" t="s">
        <v>1926</v>
      </c>
      <c r="F2066" t="s">
        <v>1664</v>
      </c>
      <c r="G2066" t="e">
        <v>#N/A</v>
      </c>
      <c r="H2066" t="s">
        <v>1665</v>
      </c>
      <c r="I2066" t="s">
        <v>1634</v>
      </c>
      <c r="J2066" t="s">
        <v>10</v>
      </c>
      <c r="K2066" t="e">
        <v>#N/A</v>
      </c>
      <c r="L2066" t="e">
        <v>#N/A</v>
      </c>
      <c r="M2066" s="1">
        <v>7</v>
      </c>
      <c r="N2066">
        <v>0</v>
      </c>
      <c r="O2066">
        <v>0</v>
      </c>
      <c r="P2066">
        <v>0</v>
      </c>
      <c r="Q2066" s="1">
        <v>0</v>
      </c>
      <c r="R2066">
        <v>0</v>
      </c>
      <c r="S2066" s="2">
        <v>45777</v>
      </c>
      <c r="T2066" s="2">
        <v>46143</v>
      </c>
      <c r="U2066">
        <v>0</v>
      </c>
      <c r="V2066">
        <v>0</v>
      </c>
      <c r="W2066">
        <v>0</v>
      </c>
      <c r="X2066">
        <v>0</v>
      </c>
      <c r="Y2066">
        <v>0</v>
      </c>
      <c r="Z2066" s="8">
        <v>0</v>
      </c>
      <c r="AA2066">
        <v>0</v>
      </c>
      <c r="AB2066" t="s">
        <v>1635</v>
      </c>
      <c r="AC2066" t="s">
        <v>1635</v>
      </c>
      <c r="AD2066" s="1" t="s">
        <v>1635</v>
      </c>
      <c r="AE2066" s="2" t="s">
        <v>1635</v>
      </c>
      <c r="AF2066" s="2" t="s">
        <v>1635</v>
      </c>
      <c r="AG2066" s="2" t="s">
        <v>1635</v>
      </c>
      <c r="AH2066">
        <v>0</v>
      </c>
      <c r="AI2066" s="3" t="s">
        <v>1635</v>
      </c>
      <c r="AJ2066" s="1" t="s">
        <v>1635</v>
      </c>
      <c r="AK2066" s="2" t="s">
        <v>1635</v>
      </c>
      <c r="AL2066" s="4" t="s">
        <v>1658</v>
      </c>
      <c r="AM2066" s="5" t="s">
        <v>1658</v>
      </c>
      <c r="AN2066" s="4">
        <v>0</v>
      </c>
      <c r="AO2066" t="s">
        <v>1635</v>
      </c>
      <c r="AP2066" s="4" t="s">
        <v>1658</v>
      </c>
      <c r="AQ2066" t="s">
        <v>1619</v>
      </c>
      <c r="AR2066" t="s">
        <v>1620</v>
      </c>
      <c r="AT2066" s="16" t="str">
        <f>_xlfn.XLOOKUP(B2066,'SWiSH Demand Forecast Sep-26'!D:D,'SWiSH Demand Forecast Sep-26'!G:G,"Not Exist")</f>
        <v>Not Exist</v>
      </c>
    </row>
    <row r="2067" spans="1:46" x14ac:dyDescent="0.3">
      <c r="A2067">
        <v>105600001</v>
      </c>
      <c r="B2067" t="s">
        <v>3953</v>
      </c>
      <c r="C2067" t="s">
        <v>136</v>
      </c>
      <c r="D2067" t="s">
        <v>1629</v>
      </c>
      <c r="E2067" t="s">
        <v>2483</v>
      </c>
      <c r="F2067" t="s">
        <v>1664</v>
      </c>
      <c r="G2067" t="s">
        <v>1690</v>
      </c>
      <c r="H2067" t="s">
        <v>1679</v>
      </c>
      <c r="I2067" t="s">
        <v>1634</v>
      </c>
      <c r="J2067" t="s">
        <v>136</v>
      </c>
      <c r="K2067">
        <v>0.7</v>
      </c>
      <c r="L2067">
        <v>0</v>
      </c>
      <c r="M2067" s="1">
        <v>30</v>
      </c>
      <c r="N2067">
        <v>0</v>
      </c>
      <c r="O2067">
        <v>0</v>
      </c>
      <c r="P2067">
        <v>0</v>
      </c>
      <c r="Q2067" s="1">
        <v>0</v>
      </c>
      <c r="R2067">
        <v>0.7</v>
      </c>
      <c r="S2067" s="2">
        <v>44068</v>
      </c>
      <c r="T2067" s="2">
        <v>45822</v>
      </c>
      <c r="U2067">
        <v>0</v>
      </c>
      <c r="V2067">
        <v>0</v>
      </c>
      <c r="W2067">
        <v>0</v>
      </c>
      <c r="X2067">
        <v>0</v>
      </c>
      <c r="Y2067">
        <v>0</v>
      </c>
      <c r="Z2067" s="8">
        <v>0</v>
      </c>
      <c r="AA2067">
        <v>0</v>
      </c>
      <c r="AB2067" t="s">
        <v>1635</v>
      </c>
      <c r="AC2067" t="s">
        <v>1635</v>
      </c>
      <c r="AD2067" s="1" t="s">
        <v>1635</v>
      </c>
      <c r="AE2067" s="2" t="s">
        <v>1635</v>
      </c>
      <c r="AF2067" s="2" t="s">
        <v>1635</v>
      </c>
      <c r="AG2067" s="2" t="s">
        <v>1635</v>
      </c>
      <c r="AH2067">
        <v>0</v>
      </c>
      <c r="AI2067" s="3" t="s">
        <v>1635</v>
      </c>
      <c r="AJ2067" s="1" t="s">
        <v>1635</v>
      </c>
      <c r="AK2067" s="2" t="s">
        <v>1635</v>
      </c>
      <c r="AL2067" s="4" t="s">
        <v>1636</v>
      </c>
      <c r="AM2067" s="5" t="s">
        <v>1636</v>
      </c>
      <c r="AN2067" s="4">
        <v>0</v>
      </c>
      <c r="AO2067" t="s">
        <v>1635</v>
      </c>
      <c r="AP2067" s="4" t="s">
        <v>1636</v>
      </c>
      <c r="AQ2067" t="s">
        <v>1619</v>
      </c>
      <c r="AR2067" t="s">
        <v>1620</v>
      </c>
      <c r="AT2067" s="16" t="str">
        <f>_xlfn.XLOOKUP(B2067,'SWiSH Demand Forecast Sep-26'!D:D,'SWiSH Demand Forecast Sep-26'!G:G,"Not Exist")</f>
        <v>Not Exist</v>
      </c>
    </row>
    <row r="2068" spans="1:46" x14ac:dyDescent="0.3">
      <c r="A2068">
        <v>101100004</v>
      </c>
      <c r="B2068" t="s">
        <v>3954</v>
      </c>
      <c r="C2068" t="s">
        <v>10</v>
      </c>
      <c r="D2068" t="s">
        <v>1675</v>
      </c>
      <c r="E2068" t="s">
        <v>3232</v>
      </c>
      <c r="F2068" t="s">
        <v>1650</v>
      </c>
      <c r="G2068" t="s">
        <v>1624</v>
      </c>
      <c r="H2068" t="s">
        <v>1953</v>
      </c>
      <c r="I2068" t="s">
        <v>1634</v>
      </c>
      <c r="J2068" t="e">
        <v>#N/A</v>
      </c>
      <c r="K2068">
        <v>16.5</v>
      </c>
      <c r="L2068">
        <v>66</v>
      </c>
      <c r="M2068" s="1">
        <v>3</v>
      </c>
      <c r="N2068">
        <v>0</v>
      </c>
      <c r="O2068">
        <v>0</v>
      </c>
      <c r="P2068">
        <v>4</v>
      </c>
      <c r="Q2068" s="1">
        <v>4</v>
      </c>
      <c r="R2068">
        <v>16.5</v>
      </c>
      <c r="S2068" s="2">
        <v>45599</v>
      </c>
      <c r="T2068" s="2">
        <v>46055</v>
      </c>
      <c r="U2068">
        <v>0</v>
      </c>
      <c r="V2068">
        <v>0</v>
      </c>
      <c r="W2068">
        <v>0</v>
      </c>
      <c r="X2068">
        <v>0</v>
      </c>
      <c r="Y2068">
        <v>0</v>
      </c>
      <c r="Z2068" s="8">
        <v>0</v>
      </c>
      <c r="AA2068">
        <v>0</v>
      </c>
      <c r="AB2068" t="s">
        <v>1635</v>
      </c>
      <c r="AC2068" t="s">
        <v>1635</v>
      </c>
      <c r="AD2068" s="1" t="s">
        <v>1635</v>
      </c>
      <c r="AE2068" s="2" t="s">
        <v>1635</v>
      </c>
      <c r="AF2068" s="2" t="s">
        <v>1635</v>
      </c>
      <c r="AG2068" s="2" t="s">
        <v>1635</v>
      </c>
      <c r="AH2068">
        <v>0</v>
      </c>
      <c r="AI2068" s="3" t="s">
        <v>1635</v>
      </c>
      <c r="AJ2068" s="1" t="s">
        <v>1635</v>
      </c>
      <c r="AK2068" s="2" t="s">
        <v>1635</v>
      </c>
      <c r="AL2068" s="4" t="s">
        <v>1658</v>
      </c>
      <c r="AM2068" s="5" t="s">
        <v>1658</v>
      </c>
      <c r="AN2068" s="4">
        <v>0</v>
      </c>
      <c r="AO2068" t="s">
        <v>1635</v>
      </c>
      <c r="AP2068" s="4" t="s">
        <v>1658</v>
      </c>
      <c r="AQ2068" t="s">
        <v>1619</v>
      </c>
      <c r="AR2068" t="s">
        <v>1620</v>
      </c>
      <c r="AT2068" s="16" t="str">
        <f>_xlfn.XLOOKUP(B2068,'SWiSH Demand Forecast Sep-26'!D:D,'SWiSH Demand Forecast Sep-26'!G:G,"Not Exist")</f>
        <v>Not Exist</v>
      </c>
    </row>
    <row r="2069" spans="1:46" x14ac:dyDescent="0.3">
      <c r="A2069">
        <v>106600038</v>
      </c>
      <c r="B2069" t="s">
        <v>3955</v>
      </c>
      <c r="C2069" t="s">
        <v>10</v>
      </c>
      <c r="D2069" t="s">
        <v>1675</v>
      </c>
      <c r="E2069" t="s">
        <v>1685</v>
      </c>
      <c r="F2069" t="s">
        <v>1664</v>
      </c>
      <c r="G2069" t="s">
        <v>1704</v>
      </c>
      <c r="H2069" t="s">
        <v>1723</v>
      </c>
      <c r="I2069" t="s">
        <v>1634</v>
      </c>
      <c r="J2069" t="s">
        <v>10</v>
      </c>
      <c r="K2069">
        <v>1.2E-2</v>
      </c>
      <c r="L2069">
        <v>168</v>
      </c>
      <c r="M2069" s="1">
        <v>15</v>
      </c>
      <c r="N2069">
        <v>0</v>
      </c>
      <c r="O2069">
        <v>0</v>
      </c>
      <c r="P2069">
        <v>14000</v>
      </c>
      <c r="Q2069" s="1">
        <v>14000</v>
      </c>
      <c r="R2069">
        <v>1.2E-2</v>
      </c>
      <c r="S2069" s="2">
        <v>45829</v>
      </c>
      <c r="T2069" s="2">
        <v>46107</v>
      </c>
      <c r="U2069">
        <v>0</v>
      </c>
      <c r="V2069">
        <v>0</v>
      </c>
      <c r="W2069">
        <v>0</v>
      </c>
      <c r="X2069">
        <v>0</v>
      </c>
      <c r="Y2069">
        <v>0</v>
      </c>
      <c r="Z2069" s="8">
        <v>0</v>
      </c>
      <c r="AA2069">
        <v>0</v>
      </c>
      <c r="AB2069" t="s">
        <v>1635</v>
      </c>
      <c r="AC2069" t="s">
        <v>1635</v>
      </c>
      <c r="AD2069" s="1" t="s">
        <v>1635</v>
      </c>
      <c r="AE2069" s="2" t="s">
        <v>1635</v>
      </c>
      <c r="AF2069" s="2" t="s">
        <v>1635</v>
      </c>
      <c r="AG2069" s="2" t="s">
        <v>1635</v>
      </c>
      <c r="AH2069">
        <v>0</v>
      </c>
      <c r="AI2069" s="3" t="s">
        <v>1635</v>
      </c>
      <c r="AJ2069" s="1" t="s">
        <v>1635</v>
      </c>
      <c r="AK2069" s="2" t="s">
        <v>1635</v>
      </c>
      <c r="AL2069" s="4" t="s">
        <v>1658</v>
      </c>
      <c r="AM2069" s="5" t="s">
        <v>1658</v>
      </c>
      <c r="AN2069" s="4">
        <v>0</v>
      </c>
      <c r="AO2069" t="s">
        <v>1635</v>
      </c>
      <c r="AP2069" s="4" t="s">
        <v>1658</v>
      </c>
      <c r="AQ2069" t="s">
        <v>1619</v>
      </c>
      <c r="AR2069" t="s">
        <v>1620</v>
      </c>
      <c r="AT2069" s="16" t="str">
        <f>_xlfn.XLOOKUP(B2069,'SWiSH Demand Forecast Sep-26'!D:D,'SWiSH Demand Forecast Sep-26'!G:G,"Not Exist")</f>
        <v>Not Exist</v>
      </c>
    </row>
    <row r="2070" spans="1:46" x14ac:dyDescent="0.3">
      <c r="A2070">
        <v>106600048</v>
      </c>
      <c r="B2070" t="s">
        <v>3956</v>
      </c>
      <c r="C2070" t="s">
        <v>10</v>
      </c>
      <c r="D2070" t="s">
        <v>1675</v>
      </c>
      <c r="E2070" t="s">
        <v>1685</v>
      </c>
      <c r="F2070" t="s">
        <v>1664</v>
      </c>
      <c r="G2070" t="s">
        <v>1704</v>
      </c>
      <c r="H2070" t="s">
        <v>1723</v>
      </c>
      <c r="I2070" t="s">
        <v>1634</v>
      </c>
      <c r="J2070" t="s">
        <v>10</v>
      </c>
      <c r="K2070">
        <v>1.2E-2</v>
      </c>
      <c r="L2070">
        <v>0</v>
      </c>
      <c r="M2070" s="1">
        <v>15</v>
      </c>
      <c r="N2070">
        <v>0</v>
      </c>
      <c r="O2070">
        <v>0</v>
      </c>
      <c r="P2070">
        <v>0</v>
      </c>
      <c r="Q2070" s="1">
        <v>0</v>
      </c>
      <c r="R2070">
        <v>1.2E-2</v>
      </c>
      <c r="S2070" s="2">
        <v>45829</v>
      </c>
      <c r="T2070" s="2">
        <v>46107</v>
      </c>
      <c r="U2070">
        <v>0</v>
      </c>
      <c r="V2070">
        <v>0</v>
      </c>
      <c r="W2070">
        <v>0</v>
      </c>
      <c r="X2070">
        <v>0</v>
      </c>
      <c r="Y2070">
        <v>0</v>
      </c>
      <c r="Z2070" s="8">
        <v>0</v>
      </c>
      <c r="AA2070">
        <v>0</v>
      </c>
      <c r="AB2070" t="s">
        <v>1635</v>
      </c>
      <c r="AC2070" t="s">
        <v>1635</v>
      </c>
      <c r="AD2070" s="1" t="s">
        <v>1635</v>
      </c>
      <c r="AE2070" s="2" t="s">
        <v>1635</v>
      </c>
      <c r="AF2070" s="2" t="s">
        <v>1635</v>
      </c>
      <c r="AG2070" s="2" t="s">
        <v>1635</v>
      </c>
      <c r="AH2070">
        <v>0</v>
      </c>
      <c r="AI2070" s="3" t="s">
        <v>1635</v>
      </c>
      <c r="AJ2070" s="1" t="s">
        <v>1635</v>
      </c>
      <c r="AK2070" s="2" t="s">
        <v>1635</v>
      </c>
      <c r="AL2070" s="4" t="s">
        <v>1658</v>
      </c>
      <c r="AM2070" s="5" t="s">
        <v>1658</v>
      </c>
      <c r="AN2070" s="4">
        <v>0</v>
      </c>
      <c r="AO2070" t="s">
        <v>1635</v>
      </c>
      <c r="AP2070" s="4" t="s">
        <v>1658</v>
      </c>
      <c r="AQ2070" t="s">
        <v>1619</v>
      </c>
      <c r="AR2070" t="s">
        <v>1620</v>
      </c>
      <c r="AT2070" s="16" t="str">
        <f>_xlfn.XLOOKUP(B2070,'SWiSH Demand Forecast Sep-26'!D:D,'SWiSH Demand Forecast Sep-26'!G:G,"Not Exist")</f>
        <v>Not Exist</v>
      </c>
    </row>
    <row r="2071" spans="1:46" x14ac:dyDescent="0.3">
      <c r="A2071">
        <v>104200007</v>
      </c>
      <c r="B2071" t="s">
        <v>3957</v>
      </c>
      <c r="C2071" t="s">
        <v>10</v>
      </c>
      <c r="D2071" t="s">
        <v>1675</v>
      </c>
      <c r="E2071" t="s">
        <v>3958</v>
      </c>
      <c r="F2071" t="s">
        <v>1656</v>
      </c>
      <c r="G2071" t="s">
        <v>1632</v>
      </c>
      <c r="H2071" t="s">
        <v>1633</v>
      </c>
      <c r="I2071" t="s">
        <v>1634</v>
      </c>
      <c r="J2071" t="s">
        <v>10</v>
      </c>
      <c r="K2071">
        <v>0.02</v>
      </c>
      <c r="L2071">
        <v>0</v>
      </c>
      <c r="M2071" s="1">
        <v>3</v>
      </c>
      <c r="N2071">
        <v>0</v>
      </c>
      <c r="O2071">
        <v>0</v>
      </c>
      <c r="P2071">
        <v>0</v>
      </c>
      <c r="Q2071" s="1">
        <v>0</v>
      </c>
      <c r="R2071">
        <v>0</v>
      </c>
      <c r="S2071" s="2">
        <v>43647</v>
      </c>
      <c r="T2071" s="2">
        <v>45258</v>
      </c>
      <c r="U2071">
        <v>0</v>
      </c>
      <c r="V2071">
        <v>0</v>
      </c>
      <c r="W2071">
        <v>0</v>
      </c>
      <c r="X2071">
        <v>0</v>
      </c>
      <c r="Y2071">
        <v>0</v>
      </c>
      <c r="Z2071" s="8">
        <v>0</v>
      </c>
      <c r="AA2071">
        <v>0</v>
      </c>
      <c r="AB2071" t="s">
        <v>1635</v>
      </c>
      <c r="AC2071" t="s">
        <v>1635</v>
      </c>
      <c r="AD2071" s="1" t="s">
        <v>1635</v>
      </c>
      <c r="AE2071" s="2" t="s">
        <v>1635</v>
      </c>
      <c r="AF2071" s="2" t="s">
        <v>1635</v>
      </c>
      <c r="AG2071" s="2" t="s">
        <v>1635</v>
      </c>
      <c r="AH2071">
        <v>0</v>
      </c>
      <c r="AI2071" s="3" t="s">
        <v>1635</v>
      </c>
      <c r="AJ2071" s="1" t="s">
        <v>1635</v>
      </c>
      <c r="AK2071" s="2" t="s">
        <v>1635</v>
      </c>
      <c r="AL2071" s="4" t="s">
        <v>1658</v>
      </c>
      <c r="AM2071" s="5" t="s">
        <v>1658</v>
      </c>
      <c r="AN2071" s="4">
        <v>0</v>
      </c>
      <c r="AO2071" t="s">
        <v>1635</v>
      </c>
      <c r="AP2071" s="4" t="s">
        <v>1658</v>
      </c>
      <c r="AQ2071" t="s">
        <v>1619</v>
      </c>
      <c r="AR2071" t="s">
        <v>1620</v>
      </c>
      <c r="AT2071" s="16" t="str">
        <f>_xlfn.XLOOKUP(B2071,'SWiSH Demand Forecast Sep-26'!D:D,'SWiSH Demand Forecast Sep-26'!G:G,"Not Exist")</f>
        <v>Not Exist</v>
      </c>
    </row>
    <row r="2072" spans="1:46" x14ac:dyDescent="0.3">
      <c r="A2072">
        <v>106800298</v>
      </c>
      <c r="B2072" t="s">
        <v>3959</v>
      </c>
      <c r="C2072" t="s">
        <v>10</v>
      </c>
      <c r="D2072" t="s">
        <v>1629</v>
      </c>
      <c r="E2072" t="s">
        <v>1745</v>
      </c>
      <c r="F2072" t="s">
        <v>1664</v>
      </c>
      <c r="G2072" t="e">
        <v>#N/A</v>
      </c>
      <c r="H2072" t="s">
        <v>1665</v>
      </c>
      <c r="I2072" t="s">
        <v>1634</v>
      </c>
      <c r="J2072" t="s">
        <v>10</v>
      </c>
      <c r="K2072" t="e">
        <v>#N/A</v>
      </c>
      <c r="L2072" t="e">
        <v>#N/A</v>
      </c>
      <c r="M2072" s="1">
        <v>7</v>
      </c>
      <c r="N2072">
        <v>0</v>
      </c>
      <c r="O2072">
        <v>0</v>
      </c>
      <c r="P2072">
        <v>0</v>
      </c>
      <c r="Q2072" s="1">
        <v>0</v>
      </c>
      <c r="R2072">
        <v>0.18756</v>
      </c>
      <c r="S2072" s="2">
        <v>45777</v>
      </c>
      <c r="T2072" s="2">
        <v>44325</v>
      </c>
      <c r="U2072">
        <v>0</v>
      </c>
      <c r="V2072">
        <v>0</v>
      </c>
      <c r="W2072">
        <v>0</v>
      </c>
      <c r="X2072">
        <v>0</v>
      </c>
      <c r="Y2072">
        <v>0</v>
      </c>
      <c r="Z2072" s="8">
        <v>0</v>
      </c>
      <c r="AA2072">
        <v>0</v>
      </c>
      <c r="AB2072" t="s">
        <v>1635</v>
      </c>
      <c r="AC2072" t="s">
        <v>1635</v>
      </c>
      <c r="AD2072" s="1" t="s">
        <v>1635</v>
      </c>
      <c r="AE2072" s="2" t="s">
        <v>1635</v>
      </c>
      <c r="AF2072" s="2" t="s">
        <v>1635</v>
      </c>
      <c r="AG2072" s="2" t="s">
        <v>1635</v>
      </c>
      <c r="AH2072">
        <v>0</v>
      </c>
      <c r="AI2072" s="3" t="s">
        <v>1635</v>
      </c>
      <c r="AJ2072" s="1" t="s">
        <v>1635</v>
      </c>
      <c r="AK2072" s="2" t="s">
        <v>1635</v>
      </c>
      <c r="AL2072" s="4" t="s">
        <v>1636</v>
      </c>
      <c r="AM2072" s="5" t="s">
        <v>1636</v>
      </c>
      <c r="AN2072" s="4">
        <v>0</v>
      </c>
      <c r="AO2072" t="s">
        <v>1635</v>
      </c>
      <c r="AP2072" s="4" t="s">
        <v>1636</v>
      </c>
      <c r="AQ2072" t="s">
        <v>1619</v>
      </c>
      <c r="AR2072" t="s">
        <v>1620</v>
      </c>
      <c r="AT2072" s="16" t="str">
        <f>_xlfn.XLOOKUP(B2072,'SWiSH Demand Forecast Sep-26'!D:D,'SWiSH Demand Forecast Sep-26'!G:G,"Not Exist")</f>
        <v>Not Exist</v>
      </c>
    </row>
    <row r="2073" spans="1:46" x14ac:dyDescent="0.3">
      <c r="A2073">
        <v>105300023</v>
      </c>
      <c r="B2073" t="s">
        <v>3960</v>
      </c>
      <c r="C2073" t="s">
        <v>10</v>
      </c>
      <c r="D2073" t="s">
        <v>1675</v>
      </c>
      <c r="E2073" t="s">
        <v>2483</v>
      </c>
      <c r="F2073" t="s">
        <v>1664</v>
      </c>
      <c r="G2073" t="s">
        <v>1704</v>
      </c>
      <c r="H2073" t="s">
        <v>1978</v>
      </c>
      <c r="I2073" t="s">
        <v>1634</v>
      </c>
      <c r="J2073" t="s">
        <v>10</v>
      </c>
      <c r="K2073">
        <v>1.7000000000000001E-2</v>
      </c>
      <c r="L2073">
        <v>0</v>
      </c>
      <c r="M2073" s="1">
        <v>30</v>
      </c>
      <c r="N2073">
        <v>0</v>
      </c>
      <c r="O2073">
        <v>0</v>
      </c>
      <c r="P2073">
        <v>0</v>
      </c>
      <c r="Q2073" s="1">
        <v>0</v>
      </c>
      <c r="R2073">
        <v>3.4000000000000002E-2</v>
      </c>
      <c r="S2073" s="2">
        <v>45693</v>
      </c>
      <c r="T2073" s="2">
        <v>46081</v>
      </c>
      <c r="U2073">
        <v>0</v>
      </c>
      <c r="V2073">
        <v>0</v>
      </c>
      <c r="W2073">
        <v>0</v>
      </c>
      <c r="X2073">
        <v>0</v>
      </c>
      <c r="Y2073">
        <v>0</v>
      </c>
      <c r="Z2073" s="8">
        <v>0</v>
      </c>
      <c r="AA2073">
        <v>0</v>
      </c>
      <c r="AB2073" t="s">
        <v>1635</v>
      </c>
      <c r="AC2073" t="s">
        <v>1635</v>
      </c>
      <c r="AD2073" s="1" t="s">
        <v>1635</v>
      </c>
      <c r="AE2073" s="2" t="s">
        <v>1635</v>
      </c>
      <c r="AF2073" s="2" t="s">
        <v>1635</v>
      </c>
      <c r="AG2073" s="2" t="s">
        <v>1635</v>
      </c>
      <c r="AH2073">
        <v>0</v>
      </c>
      <c r="AI2073" s="3" t="s">
        <v>1635</v>
      </c>
      <c r="AJ2073" s="1" t="s">
        <v>1635</v>
      </c>
      <c r="AK2073" s="2" t="s">
        <v>1635</v>
      </c>
      <c r="AL2073" s="4" t="s">
        <v>1658</v>
      </c>
      <c r="AM2073" s="5" t="s">
        <v>1658</v>
      </c>
      <c r="AN2073" s="4">
        <v>0</v>
      </c>
      <c r="AO2073" t="s">
        <v>1635</v>
      </c>
      <c r="AP2073" s="4" t="s">
        <v>1658</v>
      </c>
      <c r="AQ2073" t="s">
        <v>1619</v>
      </c>
      <c r="AR2073" t="s">
        <v>1620</v>
      </c>
      <c r="AT2073" s="16" t="str">
        <f>_xlfn.XLOOKUP(B2073,'SWiSH Demand Forecast Sep-26'!D:D,'SWiSH Demand Forecast Sep-26'!G:G,"Not Exist")</f>
        <v>Not Exist</v>
      </c>
    </row>
    <row r="2074" spans="1:46" x14ac:dyDescent="0.3">
      <c r="A2074">
        <v>101100023</v>
      </c>
      <c r="B2074" t="s">
        <v>3961</v>
      </c>
      <c r="C2074" t="s">
        <v>10</v>
      </c>
      <c r="D2074" t="s">
        <v>1675</v>
      </c>
      <c r="E2074" t="s">
        <v>3232</v>
      </c>
      <c r="F2074" t="s">
        <v>1650</v>
      </c>
      <c r="G2074" t="s">
        <v>1624</v>
      </c>
      <c r="H2074" t="s">
        <v>1953</v>
      </c>
      <c r="I2074" t="s">
        <v>1634</v>
      </c>
      <c r="J2074" t="e">
        <v>#N/A</v>
      </c>
      <c r="K2074">
        <v>3.9</v>
      </c>
      <c r="L2074">
        <v>19.5</v>
      </c>
      <c r="M2074" s="1">
        <v>3</v>
      </c>
      <c r="N2074">
        <v>0</v>
      </c>
      <c r="O2074">
        <v>0</v>
      </c>
      <c r="P2074">
        <v>5</v>
      </c>
      <c r="Q2074" s="1">
        <v>5</v>
      </c>
      <c r="R2074">
        <v>3.9</v>
      </c>
      <c r="S2074" s="2">
        <v>44808</v>
      </c>
      <c r="T2074" s="2">
        <v>46055</v>
      </c>
      <c r="U2074">
        <v>0</v>
      </c>
      <c r="V2074">
        <v>0</v>
      </c>
      <c r="W2074">
        <v>0</v>
      </c>
      <c r="X2074">
        <v>0</v>
      </c>
      <c r="Y2074">
        <v>0</v>
      </c>
      <c r="Z2074" s="8">
        <v>0</v>
      </c>
      <c r="AA2074">
        <v>0</v>
      </c>
      <c r="AB2074" t="s">
        <v>1635</v>
      </c>
      <c r="AC2074" t="s">
        <v>1635</v>
      </c>
      <c r="AD2074" s="1" t="s">
        <v>1635</v>
      </c>
      <c r="AE2074" s="2" t="s">
        <v>1635</v>
      </c>
      <c r="AF2074" s="2" t="s">
        <v>1635</v>
      </c>
      <c r="AG2074" s="2" t="s">
        <v>1635</v>
      </c>
      <c r="AH2074">
        <v>0</v>
      </c>
      <c r="AI2074" s="3" t="s">
        <v>1635</v>
      </c>
      <c r="AJ2074" s="1" t="s">
        <v>1635</v>
      </c>
      <c r="AK2074" s="2" t="s">
        <v>1635</v>
      </c>
      <c r="AL2074" s="4" t="s">
        <v>1658</v>
      </c>
      <c r="AM2074" s="5" t="s">
        <v>1658</v>
      </c>
      <c r="AN2074" s="4">
        <v>0</v>
      </c>
      <c r="AO2074" t="s">
        <v>1635</v>
      </c>
      <c r="AP2074" s="4" t="s">
        <v>1658</v>
      </c>
      <c r="AQ2074" t="s">
        <v>1619</v>
      </c>
      <c r="AR2074" t="s">
        <v>1620</v>
      </c>
      <c r="AT2074" s="16" t="str">
        <f>_xlfn.XLOOKUP(B2074,'SWiSH Demand Forecast Sep-26'!D:D,'SWiSH Demand Forecast Sep-26'!G:G,"Not Exist")</f>
        <v>Not Exist</v>
      </c>
    </row>
    <row r="2075" spans="1:46" x14ac:dyDescent="0.3">
      <c r="A2075">
        <v>101100029</v>
      </c>
      <c r="B2075" t="s">
        <v>3962</v>
      </c>
      <c r="C2075" t="s">
        <v>10</v>
      </c>
      <c r="D2075" t="s">
        <v>1675</v>
      </c>
      <c r="E2075" t="s">
        <v>3232</v>
      </c>
      <c r="F2075" t="s">
        <v>1650</v>
      </c>
      <c r="G2075" t="s">
        <v>1624</v>
      </c>
      <c r="H2075" t="s">
        <v>1953</v>
      </c>
      <c r="I2075" t="s">
        <v>1634</v>
      </c>
      <c r="J2075" t="e">
        <v>#N/A</v>
      </c>
      <c r="K2075">
        <v>17.5</v>
      </c>
      <c r="L2075">
        <v>87.5</v>
      </c>
      <c r="M2075" s="1">
        <v>3</v>
      </c>
      <c r="N2075">
        <v>0</v>
      </c>
      <c r="O2075">
        <v>0</v>
      </c>
      <c r="P2075">
        <v>5</v>
      </c>
      <c r="Q2075" s="1">
        <v>5</v>
      </c>
      <c r="R2075">
        <v>0</v>
      </c>
      <c r="S2075" s="2">
        <v>43647</v>
      </c>
      <c r="T2075" s="2">
        <v>46055</v>
      </c>
      <c r="U2075">
        <v>0</v>
      </c>
      <c r="V2075">
        <v>0</v>
      </c>
      <c r="W2075">
        <v>0</v>
      </c>
      <c r="X2075">
        <v>0</v>
      </c>
      <c r="Y2075">
        <v>0</v>
      </c>
      <c r="Z2075" s="8">
        <v>0</v>
      </c>
      <c r="AA2075">
        <v>0</v>
      </c>
      <c r="AB2075" t="s">
        <v>1635</v>
      </c>
      <c r="AC2075" t="s">
        <v>1635</v>
      </c>
      <c r="AD2075" s="1" t="s">
        <v>1635</v>
      </c>
      <c r="AE2075" s="2" t="s">
        <v>1635</v>
      </c>
      <c r="AF2075" s="2" t="s">
        <v>1635</v>
      </c>
      <c r="AG2075" s="2" t="s">
        <v>1635</v>
      </c>
      <c r="AH2075">
        <v>0</v>
      </c>
      <c r="AI2075" s="3" t="s">
        <v>1635</v>
      </c>
      <c r="AJ2075" s="1" t="s">
        <v>1635</v>
      </c>
      <c r="AK2075" s="2" t="s">
        <v>1635</v>
      </c>
      <c r="AL2075" s="4" t="s">
        <v>1658</v>
      </c>
      <c r="AM2075" s="5" t="s">
        <v>1658</v>
      </c>
      <c r="AN2075" s="4">
        <v>0</v>
      </c>
      <c r="AO2075" t="s">
        <v>1635</v>
      </c>
      <c r="AP2075" s="4" t="s">
        <v>1658</v>
      </c>
      <c r="AQ2075" t="s">
        <v>1619</v>
      </c>
      <c r="AR2075" t="s">
        <v>1620</v>
      </c>
      <c r="AT2075" s="16" t="str">
        <f>_xlfn.XLOOKUP(B2075,'SWiSH Demand Forecast Sep-26'!D:D,'SWiSH Demand Forecast Sep-26'!G:G,"Not Exist")</f>
        <v>Not Exist</v>
      </c>
    </row>
    <row r="2076" spans="1:46" x14ac:dyDescent="0.3">
      <c r="A2076">
        <v>106800283</v>
      </c>
      <c r="B2076" t="s">
        <v>3963</v>
      </c>
      <c r="C2076" t="s">
        <v>10</v>
      </c>
      <c r="D2076" t="s">
        <v>1629</v>
      </c>
      <c r="E2076" t="s">
        <v>1775</v>
      </c>
      <c r="F2076" t="s">
        <v>1664</v>
      </c>
      <c r="G2076" t="e">
        <v>#N/A</v>
      </c>
      <c r="H2076" t="s">
        <v>1665</v>
      </c>
      <c r="I2076" t="s">
        <v>1634</v>
      </c>
      <c r="J2076" t="s">
        <v>10</v>
      </c>
      <c r="K2076" t="e">
        <v>#N/A</v>
      </c>
      <c r="L2076" t="e">
        <v>#N/A</v>
      </c>
      <c r="M2076" s="1">
        <v>7</v>
      </c>
      <c r="N2076">
        <v>0</v>
      </c>
      <c r="O2076">
        <v>0</v>
      </c>
      <c r="P2076">
        <v>0</v>
      </c>
      <c r="Q2076" s="1">
        <v>0</v>
      </c>
      <c r="R2076">
        <v>8.0000000000000002E-3</v>
      </c>
      <c r="S2076" s="2">
        <v>45470</v>
      </c>
      <c r="T2076" s="2">
        <v>45818</v>
      </c>
      <c r="U2076">
        <v>0</v>
      </c>
      <c r="V2076">
        <v>0</v>
      </c>
      <c r="W2076">
        <v>0</v>
      </c>
      <c r="X2076">
        <v>0</v>
      </c>
      <c r="Y2076">
        <v>0</v>
      </c>
      <c r="Z2076" s="8">
        <v>0</v>
      </c>
      <c r="AA2076">
        <v>0</v>
      </c>
      <c r="AB2076" t="s">
        <v>1635</v>
      </c>
      <c r="AC2076" t="s">
        <v>1635</v>
      </c>
      <c r="AD2076" s="1" t="s">
        <v>1635</v>
      </c>
      <c r="AE2076" s="2" t="s">
        <v>1635</v>
      </c>
      <c r="AF2076" s="2" t="s">
        <v>1635</v>
      </c>
      <c r="AG2076" s="2" t="s">
        <v>1635</v>
      </c>
      <c r="AH2076">
        <v>0</v>
      </c>
      <c r="AI2076" s="3" t="s">
        <v>1635</v>
      </c>
      <c r="AJ2076" s="1" t="s">
        <v>1635</v>
      </c>
      <c r="AK2076" s="2" t="s">
        <v>1635</v>
      </c>
      <c r="AL2076" s="4" t="s">
        <v>1636</v>
      </c>
      <c r="AM2076" s="5" t="s">
        <v>1636</v>
      </c>
      <c r="AN2076" s="4">
        <v>0</v>
      </c>
      <c r="AO2076" t="s">
        <v>1635</v>
      </c>
      <c r="AP2076" s="4" t="s">
        <v>1636</v>
      </c>
      <c r="AQ2076" t="s">
        <v>1619</v>
      </c>
      <c r="AR2076" t="s">
        <v>1620</v>
      </c>
      <c r="AT2076" s="16" t="str">
        <f>_xlfn.XLOOKUP(B2076,'SWiSH Demand Forecast Sep-26'!D:D,'SWiSH Demand Forecast Sep-26'!G:G,"Not Exist")</f>
        <v>Not Exist</v>
      </c>
    </row>
    <row r="2077" spans="1:46" x14ac:dyDescent="0.3">
      <c r="A2077">
        <v>106700104</v>
      </c>
      <c r="B2077" t="s">
        <v>3964</v>
      </c>
      <c r="C2077" t="s">
        <v>10</v>
      </c>
      <c r="D2077" t="s">
        <v>1675</v>
      </c>
      <c r="E2077" t="s">
        <v>3232</v>
      </c>
      <c r="F2077" t="s">
        <v>1650</v>
      </c>
      <c r="G2077" t="s">
        <v>1624</v>
      </c>
      <c r="H2077" t="s">
        <v>1651</v>
      </c>
      <c r="I2077" t="s">
        <v>1634</v>
      </c>
      <c r="J2077" t="e">
        <v>#N/A</v>
      </c>
      <c r="K2077">
        <v>0.75</v>
      </c>
      <c r="L2077">
        <v>3.75</v>
      </c>
      <c r="M2077" s="1">
        <v>3</v>
      </c>
      <c r="N2077">
        <v>0</v>
      </c>
      <c r="O2077">
        <v>0</v>
      </c>
      <c r="P2077">
        <v>5</v>
      </c>
      <c r="Q2077" s="1">
        <v>5</v>
      </c>
      <c r="R2077">
        <v>0.75</v>
      </c>
      <c r="S2077" s="2">
        <v>45006</v>
      </c>
      <c r="T2077" s="2">
        <v>46055</v>
      </c>
      <c r="U2077">
        <v>0</v>
      </c>
      <c r="V2077">
        <v>0</v>
      </c>
      <c r="W2077">
        <v>0</v>
      </c>
      <c r="X2077">
        <v>0</v>
      </c>
      <c r="Y2077">
        <v>0</v>
      </c>
      <c r="Z2077" s="8">
        <v>0</v>
      </c>
      <c r="AA2077">
        <v>0</v>
      </c>
      <c r="AB2077" t="s">
        <v>1635</v>
      </c>
      <c r="AC2077" t="s">
        <v>1635</v>
      </c>
      <c r="AD2077" s="1" t="s">
        <v>1635</v>
      </c>
      <c r="AE2077" s="2" t="s">
        <v>1635</v>
      </c>
      <c r="AF2077" s="2" t="s">
        <v>1635</v>
      </c>
      <c r="AG2077" s="2" t="s">
        <v>1635</v>
      </c>
      <c r="AH2077">
        <v>0</v>
      </c>
      <c r="AI2077" s="3" t="s">
        <v>1635</v>
      </c>
      <c r="AJ2077" s="1" t="s">
        <v>1635</v>
      </c>
      <c r="AK2077" s="2" t="s">
        <v>1635</v>
      </c>
      <c r="AL2077" s="4" t="s">
        <v>1658</v>
      </c>
      <c r="AM2077" s="5" t="s">
        <v>1658</v>
      </c>
      <c r="AN2077" s="4">
        <v>0</v>
      </c>
      <c r="AO2077" t="s">
        <v>1635</v>
      </c>
      <c r="AP2077" s="4" t="s">
        <v>1658</v>
      </c>
      <c r="AQ2077" t="s">
        <v>1619</v>
      </c>
      <c r="AR2077" t="s">
        <v>1620</v>
      </c>
      <c r="AT2077" s="16" t="str">
        <f>_xlfn.XLOOKUP(B2077,'SWiSH Demand Forecast Sep-26'!D:D,'SWiSH Demand Forecast Sep-26'!G:G,"Not Exist")</f>
        <v>Not Exist</v>
      </c>
    </row>
    <row r="2078" spans="1:46" x14ac:dyDescent="0.3">
      <c r="A2078">
        <v>106700055</v>
      </c>
      <c r="B2078" t="s">
        <v>3965</v>
      </c>
      <c r="C2078" t="s">
        <v>10</v>
      </c>
      <c r="D2078" t="s">
        <v>1675</v>
      </c>
      <c r="E2078" t="s">
        <v>3232</v>
      </c>
      <c r="F2078" t="s">
        <v>1650</v>
      </c>
      <c r="G2078" t="s">
        <v>1624</v>
      </c>
      <c r="H2078" t="s">
        <v>1651</v>
      </c>
      <c r="I2078" t="s">
        <v>1634</v>
      </c>
      <c r="J2078" t="s">
        <v>10</v>
      </c>
      <c r="K2078">
        <v>0.35</v>
      </c>
      <c r="L2078">
        <v>1.75</v>
      </c>
      <c r="M2078" s="1">
        <v>3</v>
      </c>
      <c r="N2078">
        <v>0</v>
      </c>
      <c r="O2078">
        <v>0</v>
      </c>
      <c r="P2078">
        <v>5</v>
      </c>
      <c r="Q2078" s="1">
        <v>5</v>
      </c>
      <c r="R2078">
        <v>0.35</v>
      </c>
      <c r="S2078" s="2">
        <v>45691</v>
      </c>
      <c r="T2078" s="2">
        <v>46055</v>
      </c>
      <c r="U2078">
        <v>0</v>
      </c>
      <c r="V2078">
        <v>0</v>
      </c>
      <c r="W2078">
        <v>0</v>
      </c>
      <c r="X2078">
        <v>0</v>
      </c>
      <c r="Y2078">
        <v>0</v>
      </c>
      <c r="Z2078" s="8">
        <v>0</v>
      </c>
      <c r="AA2078">
        <v>0</v>
      </c>
      <c r="AB2078" t="s">
        <v>1635</v>
      </c>
      <c r="AC2078" t="s">
        <v>1635</v>
      </c>
      <c r="AD2078" s="1" t="s">
        <v>1635</v>
      </c>
      <c r="AE2078" s="2" t="s">
        <v>1635</v>
      </c>
      <c r="AF2078" s="2" t="s">
        <v>1635</v>
      </c>
      <c r="AG2078" s="2" t="s">
        <v>1635</v>
      </c>
      <c r="AH2078">
        <v>0</v>
      </c>
      <c r="AI2078" s="3" t="s">
        <v>1635</v>
      </c>
      <c r="AJ2078" s="1" t="s">
        <v>1635</v>
      </c>
      <c r="AK2078" s="2" t="s">
        <v>1635</v>
      </c>
      <c r="AL2078" s="4" t="s">
        <v>1658</v>
      </c>
      <c r="AM2078" s="5" t="s">
        <v>1658</v>
      </c>
      <c r="AN2078" s="4">
        <v>0</v>
      </c>
      <c r="AO2078" t="s">
        <v>1635</v>
      </c>
      <c r="AP2078" s="4" t="s">
        <v>1658</v>
      </c>
      <c r="AQ2078" t="s">
        <v>1619</v>
      </c>
      <c r="AR2078" t="s">
        <v>1620</v>
      </c>
      <c r="AT2078" s="16" t="str">
        <f>_xlfn.XLOOKUP(B2078,'SWiSH Demand Forecast Sep-26'!D:D,'SWiSH Demand Forecast Sep-26'!G:G,"Not Exist")</f>
        <v>Not Exist</v>
      </c>
    </row>
    <row r="2079" spans="1:46" x14ac:dyDescent="0.3">
      <c r="A2079">
        <v>106600044</v>
      </c>
      <c r="B2079" t="s">
        <v>3966</v>
      </c>
      <c r="C2079" t="s">
        <v>10</v>
      </c>
      <c r="D2079" t="s">
        <v>1675</v>
      </c>
      <c r="E2079" t="s">
        <v>1685</v>
      </c>
      <c r="F2079" t="s">
        <v>1664</v>
      </c>
      <c r="G2079" t="s">
        <v>1704</v>
      </c>
      <c r="H2079" t="s">
        <v>1723</v>
      </c>
      <c r="I2079" t="s">
        <v>1634</v>
      </c>
      <c r="J2079" t="s">
        <v>10</v>
      </c>
      <c r="K2079">
        <v>1.2E-2</v>
      </c>
      <c r="L2079">
        <v>234</v>
      </c>
      <c r="M2079" s="1">
        <v>15</v>
      </c>
      <c r="N2079">
        <v>0</v>
      </c>
      <c r="O2079">
        <v>0</v>
      </c>
      <c r="P2079">
        <v>19500</v>
      </c>
      <c r="Q2079" s="1">
        <v>19500</v>
      </c>
      <c r="R2079">
        <v>1.2E-2</v>
      </c>
      <c r="S2079" s="2">
        <v>45829</v>
      </c>
      <c r="T2079" s="2">
        <v>46107</v>
      </c>
      <c r="U2079">
        <v>0</v>
      </c>
      <c r="V2079">
        <v>0</v>
      </c>
      <c r="W2079">
        <v>0</v>
      </c>
      <c r="X2079">
        <v>0</v>
      </c>
      <c r="Y2079">
        <v>0</v>
      </c>
      <c r="Z2079" s="8">
        <v>0</v>
      </c>
      <c r="AA2079">
        <v>0</v>
      </c>
      <c r="AB2079" t="s">
        <v>1635</v>
      </c>
      <c r="AC2079" t="s">
        <v>1635</v>
      </c>
      <c r="AD2079" s="1" t="s">
        <v>1635</v>
      </c>
      <c r="AE2079" s="2" t="s">
        <v>1635</v>
      </c>
      <c r="AF2079" s="2" t="s">
        <v>1635</v>
      </c>
      <c r="AG2079" s="2" t="s">
        <v>1635</v>
      </c>
      <c r="AH2079">
        <v>0</v>
      </c>
      <c r="AI2079" s="3" t="s">
        <v>1635</v>
      </c>
      <c r="AJ2079" s="1" t="s">
        <v>1635</v>
      </c>
      <c r="AK2079" s="2" t="s">
        <v>1635</v>
      </c>
      <c r="AL2079" s="4" t="s">
        <v>1658</v>
      </c>
      <c r="AM2079" s="5" t="s">
        <v>1658</v>
      </c>
      <c r="AN2079" s="4">
        <v>0</v>
      </c>
      <c r="AO2079" t="s">
        <v>1635</v>
      </c>
      <c r="AP2079" s="4" t="s">
        <v>1658</v>
      </c>
      <c r="AQ2079" t="s">
        <v>1619</v>
      </c>
      <c r="AR2079" t="s">
        <v>1620</v>
      </c>
      <c r="AT2079" s="16" t="str">
        <f>_xlfn.XLOOKUP(B2079,'SWiSH Demand Forecast Sep-26'!D:D,'SWiSH Demand Forecast Sep-26'!G:G,"Not Exist")</f>
        <v>Not Exist</v>
      </c>
    </row>
    <row r="2080" spans="1:46" x14ac:dyDescent="0.3">
      <c r="A2080">
        <v>106500001</v>
      </c>
      <c r="B2080" t="s">
        <v>3967</v>
      </c>
      <c r="C2080" t="s">
        <v>136</v>
      </c>
      <c r="D2080" t="s">
        <v>1675</v>
      </c>
      <c r="E2080" t="s">
        <v>2177</v>
      </c>
      <c r="F2080" t="s">
        <v>1752</v>
      </c>
      <c r="G2080" t="s">
        <v>1632</v>
      </c>
      <c r="H2080" t="s">
        <v>1974</v>
      </c>
      <c r="I2080" t="s">
        <v>1754</v>
      </c>
      <c r="J2080" t="s">
        <v>2456</v>
      </c>
      <c r="K2080">
        <v>2.0499999999999998</v>
      </c>
      <c r="L2080">
        <v>0</v>
      </c>
      <c r="M2080" s="1">
        <v>3</v>
      </c>
      <c r="N2080">
        <v>0</v>
      </c>
      <c r="O2080">
        <v>0</v>
      </c>
      <c r="P2080">
        <v>0</v>
      </c>
      <c r="Q2080" s="1">
        <v>0</v>
      </c>
      <c r="R2080">
        <v>20.5</v>
      </c>
      <c r="S2080" s="2">
        <v>45886</v>
      </c>
      <c r="T2080" s="2">
        <v>46166</v>
      </c>
      <c r="U2080">
        <v>0</v>
      </c>
      <c r="V2080">
        <v>0</v>
      </c>
      <c r="W2080">
        <v>0</v>
      </c>
      <c r="X2080">
        <v>0</v>
      </c>
      <c r="Y2080">
        <v>0</v>
      </c>
      <c r="Z2080" s="8">
        <v>0</v>
      </c>
      <c r="AA2080">
        <v>0</v>
      </c>
      <c r="AB2080" t="s">
        <v>1635</v>
      </c>
      <c r="AC2080" t="s">
        <v>1635</v>
      </c>
      <c r="AD2080" s="1" t="s">
        <v>1635</v>
      </c>
      <c r="AE2080" s="2" t="s">
        <v>1635</v>
      </c>
      <c r="AF2080" s="2" t="s">
        <v>1635</v>
      </c>
      <c r="AG2080" s="2" t="s">
        <v>1635</v>
      </c>
      <c r="AH2080">
        <v>0</v>
      </c>
      <c r="AI2080" s="3" t="s">
        <v>1635</v>
      </c>
      <c r="AJ2080" s="1" t="s">
        <v>1635</v>
      </c>
      <c r="AK2080" s="2" t="s">
        <v>1635</v>
      </c>
      <c r="AL2080" s="4" t="s">
        <v>1658</v>
      </c>
      <c r="AM2080" s="5" t="s">
        <v>1658</v>
      </c>
      <c r="AN2080" s="4">
        <v>0</v>
      </c>
      <c r="AO2080" t="s">
        <v>1635</v>
      </c>
      <c r="AP2080" s="4" t="s">
        <v>1658</v>
      </c>
      <c r="AQ2080" t="s">
        <v>1619</v>
      </c>
      <c r="AR2080" t="s">
        <v>1620</v>
      </c>
      <c r="AT2080" s="16" t="str">
        <f>_xlfn.XLOOKUP(B2080,'SWiSH Demand Forecast Sep-26'!D:D,'SWiSH Demand Forecast Sep-26'!G:G,"Not Exist")</f>
        <v>Not Exist</v>
      </c>
    </row>
    <row r="2081" spans="1:46" x14ac:dyDescent="0.3">
      <c r="A2081">
        <v>107200063</v>
      </c>
      <c r="B2081" t="s">
        <v>3968</v>
      </c>
      <c r="C2081" t="s">
        <v>10</v>
      </c>
      <c r="D2081" t="s">
        <v>1675</v>
      </c>
      <c r="E2081" t="s">
        <v>1638</v>
      </c>
      <c r="F2081" t="s">
        <v>1656</v>
      </c>
      <c r="G2081" t="s">
        <v>1704</v>
      </c>
      <c r="H2081" t="s">
        <v>1657</v>
      </c>
      <c r="I2081" t="s">
        <v>1634</v>
      </c>
      <c r="J2081" t="s">
        <v>10</v>
      </c>
      <c r="K2081">
        <v>10.154</v>
      </c>
      <c r="L2081">
        <v>40.616</v>
      </c>
      <c r="M2081" s="1">
        <v>15</v>
      </c>
      <c r="N2081">
        <v>0</v>
      </c>
      <c r="O2081">
        <v>0</v>
      </c>
      <c r="P2081">
        <v>4</v>
      </c>
      <c r="Q2081" s="1">
        <v>4</v>
      </c>
      <c r="R2081">
        <v>10.154</v>
      </c>
      <c r="S2081" s="2">
        <v>44194</v>
      </c>
      <c r="T2081" s="2">
        <v>46221</v>
      </c>
      <c r="U2081">
        <v>0</v>
      </c>
      <c r="V2081">
        <v>0</v>
      </c>
      <c r="W2081">
        <v>0</v>
      </c>
      <c r="X2081">
        <v>0</v>
      </c>
      <c r="Y2081">
        <v>0</v>
      </c>
      <c r="Z2081" s="8">
        <v>0</v>
      </c>
      <c r="AA2081">
        <v>0</v>
      </c>
      <c r="AB2081" t="s">
        <v>1635</v>
      </c>
      <c r="AC2081" t="s">
        <v>1635</v>
      </c>
      <c r="AD2081" s="1" t="s">
        <v>1635</v>
      </c>
      <c r="AE2081" s="2" t="s">
        <v>1635</v>
      </c>
      <c r="AF2081" s="2" t="s">
        <v>1635</v>
      </c>
      <c r="AG2081" s="2" t="s">
        <v>1635</v>
      </c>
      <c r="AH2081">
        <v>0</v>
      </c>
      <c r="AI2081" s="3" t="s">
        <v>1635</v>
      </c>
      <c r="AJ2081" s="1" t="s">
        <v>1635</v>
      </c>
      <c r="AK2081" s="2" t="s">
        <v>1635</v>
      </c>
      <c r="AL2081" s="4" t="s">
        <v>1658</v>
      </c>
      <c r="AM2081" s="5" t="s">
        <v>1658</v>
      </c>
      <c r="AN2081" s="4">
        <v>0</v>
      </c>
      <c r="AO2081" t="s">
        <v>1635</v>
      </c>
      <c r="AP2081" s="4" t="s">
        <v>1658</v>
      </c>
      <c r="AQ2081" t="s">
        <v>1619</v>
      </c>
      <c r="AR2081" t="s">
        <v>1620</v>
      </c>
      <c r="AT2081" s="16" t="str">
        <f>_xlfn.XLOOKUP(B2081,'SWiSH Demand Forecast Sep-26'!D:D,'SWiSH Demand Forecast Sep-26'!G:G,"Not Exist")</f>
        <v>Not Exist</v>
      </c>
    </row>
    <row r="2082" spans="1:46" x14ac:dyDescent="0.3">
      <c r="A2082">
        <v>105300031</v>
      </c>
      <c r="B2082" t="s">
        <v>3969</v>
      </c>
      <c r="C2082" t="s">
        <v>10</v>
      </c>
      <c r="D2082" t="s">
        <v>1675</v>
      </c>
      <c r="E2082" t="s">
        <v>1638</v>
      </c>
      <c r="F2082" t="s">
        <v>1664</v>
      </c>
      <c r="G2082" t="s">
        <v>1704</v>
      </c>
      <c r="H2082" t="s">
        <v>1978</v>
      </c>
      <c r="I2082" t="s">
        <v>1634</v>
      </c>
      <c r="J2082" t="s">
        <v>10</v>
      </c>
      <c r="K2082">
        <v>6.6000000000000003E-2</v>
      </c>
      <c r="L2082">
        <v>0</v>
      </c>
      <c r="M2082" s="1">
        <v>30</v>
      </c>
      <c r="N2082">
        <v>0</v>
      </c>
      <c r="O2082">
        <v>0</v>
      </c>
      <c r="P2082">
        <v>0</v>
      </c>
      <c r="Q2082" s="1">
        <v>0</v>
      </c>
      <c r="R2082">
        <v>4.8000000000000001E-2</v>
      </c>
      <c r="S2082" s="2">
        <v>45719</v>
      </c>
      <c r="T2082" s="2">
        <v>45777</v>
      </c>
      <c r="U2082">
        <v>0</v>
      </c>
      <c r="V2082">
        <v>0</v>
      </c>
      <c r="W2082">
        <v>0</v>
      </c>
      <c r="X2082">
        <v>0</v>
      </c>
      <c r="Y2082">
        <v>0</v>
      </c>
      <c r="Z2082" s="8">
        <v>0</v>
      </c>
      <c r="AA2082">
        <v>0</v>
      </c>
      <c r="AB2082" t="s">
        <v>1635</v>
      </c>
      <c r="AC2082" t="s">
        <v>1635</v>
      </c>
      <c r="AD2082" s="1" t="s">
        <v>1635</v>
      </c>
      <c r="AE2082" s="2" t="s">
        <v>1635</v>
      </c>
      <c r="AF2082" s="2" t="s">
        <v>1635</v>
      </c>
      <c r="AG2082" s="2" t="s">
        <v>1635</v>
      </c>
      <c r="AH2082">
        <v>0</v>
      </c>
      <c r="AI2082" s="3" t="s">
        <v>1635</v>
      </c>
      <c r="AJ2082" s="1" t="s">
        <v>1635</v>
      </c>
      <c r="AK2082" s="2" t="s">
        <v>1635</v>
      </c>
      <c r="AL2082" s="4" t="s">
        <v>1658</v>
      </c>
      <c r="AM2082" s="5" t="s">
        <v>1658</v>
      </c>
      <c r="AN2082" s="4">
        <v>0</v>
      </c>
      <c r="AO2082" t="s">
        <v>1635</v>
      </c>
      <c r="AP2082" s="4" t="s">
        <v>1658</v>
      </c>
      <c r="AQ2082" t="s">
        <v>1619</v>
      </c>
      <c r="AR2082" t="s">
        <v>1620</v>
      </c>
      <c r="AT2082" s="16" t="str">
        <f>_xlfn.XLOOKUP(B2082,'SWiSH Demand Forecast Sep-26'!D:D,'SWiSH Demand Forecast Sep-26'!G:G,"Not Exist")</f>
        <v>Not Exist</v>
      </c>
    </row>
    <row r="2083" spans="1:46" x14ac:dyDescent="0.3">
      <c r="A2083">
        <v>106800151</v>
      </c>
      <c r="B2083" t="s">
        <v>3970</v>
      </c>
      <c r="C2083" t="s">
        <v>10</v>
      </c>
      <c r="D2083" t="s">
        <v>1675</v>
      </c>
      <c r="E2083" t="s">
        <v>1796</v>
      </c>
      <c r="F2083" t="s">
        <v>1664</v>
      </c>
      <c r="G2083" t="s">
        <v>1704</v>
      </c>
      <c r="H2083" t="s">
        <v>1665</v>
      </c>
      <c r="I2083" t="s">
        <v>1634</v>
      </c>
      <c r="J2083" t="s">
        <v>10</v>
      </c>
      <c r="K2083">
        <v>1.04E-2</v>
      </c>
      <c r="L2083">
        <v>0</v>
      </c>
      <c r="M2083" s="1">
        <v>7</v>
      </c>
      <c r="N2083">
        <v>0</v>
      </c>
      <c r="O2083">
        <v>0</v>
      </c>
      <c r="P2083">
        <v>0</v>
      </c>
      <c r="Q2083" s="1">
        <v>0</v>
      </c>
      <c r="R2083">
        <v>1.04E-2</v>
      </c>
      <c r="S2083" s="2">
        <v>45773</v>
      </c>
      <c r="T2083" s="2">
        <v>45258</v>
      </c>
      <c r="U2083">
        <v>0</v>
      </c>
      <c r="V2083">
        <v>0</v>
      </c>
      <c r="W2083">
        <v>0</v>
      </c>
      <c r="X2083">
        <v>0</v>
      </c>
      <c r="Y2083">
        <v>0</v>
      </c>
      <c r="Z2083" s="8">
        <v>0</v>
      </c>
      <c r="AA2083">
        <v>0</v>
      </c>
      <c r="AB2083" t="s">
        <v>1635</v>
      </c>
      <c r="AC2083" t="s">
        <v>1635</v>
      </c>
      <c r="AD2083" s="1" t="s">
        <v>1635</v>
      </c>
      <c r="AE2083" s="2" t="s">
        <v>1635</v>
      </c>
      <c r="AF2083" s="2" t="s">
        <v>1635</v>
      </c>
      <c r="AG2083" s="2" t="s">
        <v>1635</v>
      </c>
      <c r="AH2083">
        <v>0</v>
      </c>
      <c r="AI2083" s="3" t="s">
        <v>1635</v>
      </c>
      <c r="AJ2083" s="1" t="s">
        <v>1635</v>
      </c>
      <c r="AK2083" s="2" t="s">
        <v>1635</v>
      </c>
      <c r="AL2083" s="4" t="s">
        <v>1658</v>
      </c>
      <c r="AM2083" s="5" t="s">
        <v>1658</v>
      </c>
      <c r="AN2083" s="4">
        <v>0</v>
      </c>
      <c r="AO2083" t="s">
        <v>1635</v>
      </c>
      <c r="AP2083" s="4" t="s">
        <v>1658</v>
      </c>
      <c r="AQ2083" t="s">
        <v>1619</v>
      </c>
      <c r="AR2083" t="s">
        <v>1620</v>
      </c>
      <c r="AT2083" s="16" t="str">
        <f>_xlfn.XLOOKUP(B2083,'SWiSH Demand Forecast Sep-26'!D:D,'SWiSH Demand Forecast Sep-26'!G:G,"Not Exist")</f>
        <v>Not Exist</v>
      </c>
    </row>
    <row r="2084" spans="1:46" x14ac:dyDescent="0.3">
      <c r="A2084">
        <v>105200006</v>
      </c>
      <c r="B2084" t="s">
        <v>3971</v>
      </c>
      <c r="C2084" t="s">
        <v>10</v>
      </c>
      <c r="D2084" t="s">
        <v>1675</v>
      </c>
      <c r="E2084" t="s">
        <v>1638</v>
      </c>
      <c r="F2084" t="s">
        <v>1664</v>
      </c>
      <c r="G2084" t="s">
        <v>1704</v>
      </c>
      <c r="H2084" t="s">
        <v>1779</v>
      </c>
      <c r="I2084" t="s">
        <v>1634</v>
      </c>
      <c r="J2084" t="s">
        <v>10</v>
      </c>
      <c r="K2084">
        <v>0.05</v>
      </c>
      <c r="L2084">
        <v>0</v>
      </c>
      <c r="M2084" s="1">
        <v>30</v>
      </c>
      <c r="N2084">
        <v>0</v>
      </c>
      <c r="O2084">
        <v>0</v>
      </c>
      <c r="P2084">
        <v>0</v>
      </c>
      <c r="Q2084" s="1">
        <v>0</v>
      </c>
      <c r="R2084">
        <v>0.05</v>
      </c>
      <c r="S2084" s="2">
        <v>45721</v>
      </c>
      <c r="T2084" s="2">
        <v>45777</v>
      </c>
      <c r="U2084">
        <v>0</v>
      </c>
      <c r="V2084">
        <v>0</v>
      </c>
      <c r="W2084">
        <v>0</v>
      </c>
      <c r="X2084">
        <v>0</v>
      </c>
      <c r="Y2084">
        <v>0</v>
      </c>
      <c r="Z2084" s="8">
        <v>0</v>
      </c>
      <c r="AA2084">
        <v>0</v>
      </c>
      <c r="AB2084" t="s">
        <v>1635</v>
      </c>
      <c r="AC2084" t="s">
        <v>1635</v>
      </c>
      <c r="AD2084" s="1" t="s">
        <v>1635</v>
      </c>
      <c r="AE2084" s="2" t="s">
        <v>1635</v>
      </c>
      <c r="AF2084" s="2" t="s">
        <v>1635</v>
      </c>
      <c r="AG2084" s="2" t="s">
        <v>1635</v>
      </c>
      <c r="AH2084">
        <v>0</v>
      </c>
      <c r="AI2084" s="3" t="s">
        <v>1635</v>
      </c>
      <c r="AJ2084" s="1" t="s">
        <v>1635</v>
      </c>
      <c r="AK2084" s="2" t="s">
        <v>1635</v>
      </c>
      <c r="AL2084" s="4" t="s">
        <v>1658</v>
      </c>
      <c r="AM2084" s="5" t="s">
        <v>1658</v>
      </c>
      <c r="AN2084" s="4">
        <v>0</v>
      </c>
      <c r="AO2084" t="s">
        <v>1635</v>
      </c>
      <c r="AP2084" s="4" t="s">
        <v>1658</v>
      </c>
      <c r="AQ2084" t="s">
        <v>1619</v>
      </c>
      <c r="AR2084" t="s">
        <v>1620</v>
      </c>
      <c r="AT2084" s="16" t="str">
        <f>_xlfn.XLOOKUP(B2084,'SWiSH Demand Forecast Sep-26'!D:D,'SWiSH Demand Forecast Sep-26'!G:G,"Not Exist")</f>
        <v>Not Exist</v>
      </c>
    </row>
    <row r="2085" spans="1:46" x14ac:dyDescent="0.3">
      <c r="A2085">
        <v>106600036</v>
      </c>
      <c r="B2085" t="s">
        <v>3972</v>
      </c>
      <c r="C2085" t="s">
        <v>10</v>
      </c>
      <c r="D2085" t="s">
        <v>1675</v>
      </c>
      <c r="E2085" t="s">
        <v>1685</v>
      </c>
      <c r="F2085" t="s">
        <v>1664</v>
      </c>
      <c r="G2085" t="s">
        <v>1704</v>
      </c>
      <c r="H2085" t="s">
        <v>1723</v>
      </c>
      <c r="I2085" t="s">
        <v>1634</v>
      </c>
      <c r="J2085" t="s">
        <v>10</v>
      </c>
      <c r="K2085">
        <v>1.2E-2</v>
      </c>
      <c r="L2085">
        <v>0</v>
      </c>
      <c r="M2085" s="1">
        <v>15</v>
      </c>
      <c r="N2085">
        <v>0</v>
      </c>
      <c r="O2085">
        <v>0</v>
      </c>
      <c r="P2085">
        <v>0</v>
      </c>
      <c r="Q2085" s="1">
        <v>0</v>
      </c>
      <c r="R2085">
        <v>1.2E-2</v>
      </c>
      <c r="S2085" s="2">
        <v>45774</v>
      </c>
      <c r="T2085" s="2">
        <v>46107</v>
      </c>
      <c r="U2085">
        <v>0</v>
      </c>
      <c r="V2085">
        <v>0</v>
      </c>
      <c r="W2085">
        <v>0</v>
      </c>
      <c r="X2085">
        <v>0</v>
      </c>
      <c r="Y2085">
        <v>0</v>
      </c>
      <c r="Z2085" s="8">
        <v>0</v>
      </c>
      <c r="AA2085">
        <v>0</v>
      </c>
      <c r="AB2085" t="s">
        <v>1635</v>
      </c>
      <c r="AC2085" t="s">
        <v>1635</v>
      </c>
      <c r="AD2085" s="1" t="s">
        <v>1635</v>
      </c>
      <c r="AE2085" s="2" t="s">
        <v>1635</v>
      </c>
      <c r="AF2085" s="2" t="s">
        <v>1635</v>
      </c>
      <c r="AG2085" s="2" t="s">
        <v>1635</v>
      </c>
      <c r="AH2085">
        <v>0</v>
      </c>
      <c r="AI2085" s="3" t="s">
        <v>1635</v>
      </c>
      <c r="AJ2085" s="1" t="s">
        <v>1635</v>
      </c>
      <c r="AK2085" s="2" t="s">
        <v>1635</v>
      </c>
      <c r="AL2085" s="4" t="s">
        <v>1658</v>
      </c>
      <c r="AM2085" s="5" t="s">
        <v>1658</v>
      </c>
      <c r="AN2085" s="4">
        <v>0</v>
      </c>
      <c r="AO2085" t="s">
        <v>1635</v>
      </c>
      <c r="AP2085" s="4" t="s">
        <v>1658</v>
      </c>
      <c r="AQ2085" t="s">
        <v>1619</v>
      </c>
      <c r="AR2085" t="s">
        <v>1620</v>
      </c>
      <c r="AT2085" s="16" t="str">
        <f>_xlfn.XLOOKUP(B2085,'SWiSH Demand Forecast Sep-26'!D:D,'SWiSH Demand Forecast Sep-26'!G:G,"Not Exist")</f>
        <v>Not Exist</v>
      </c>
    </row>
    <row r="2086" spans="1:46" x14ac:dyDescent="0.3">
      <c r="A2086">
        <v>106800059</v>
      </c>
      <c r="B2086" t="s">
        <v>3973</v>
      </c>
      <c r="C2086" t="s">
        <v>10</v>
      </c>
      <c r="D2086" t="s">
        <v>1675</v>
      </c>
      <c r="E2086" t="s">
        <v>1949</v>
      </c>
      <c r="F2086" t="s">
        <v>1664</v>
      </c>
      <c r="G2086" t="s">
        <v>1704</v>
      </c>
      <c r="H2086" t="s">
        <v>1665</v>
      </c>
      <c r="I2086" t="s">
        <v>1634</v>
      </c>
      <c r="J2086" t="s">
        <v>10</v>
      </c>
      <c r="K2086">
        <v>6.0000000000000001E-3</v>
      </c>
      <c r="L2086">
        <v>0</v>
      </c>
      <c r="M2086" s="1">
        <v>7</v>
      </c>
      <c r="N2086">
        <v>0</v>
      </c>
      <c r="O2086">
        <v>0</v>
      </c>
      <c r="P2086">
        <v>0</v>
      </c>
      <c r="Q2086" s="1">
        <v>0</v>
      </c>
      <c r="R2086">
        <v>6.0000000000000001E-3</v>
      </c>
      <c r="S2086" s="2">
        <v>45028</v>
      </c>
      <c r="T2086" s="2">
        <v>45822</v>
      </c>
      <c r="U2086">
        <v>0</v>
      </c>
      <c r="V2086">
        <v>0</v>
      </c>
      <c r="W2086">
        <v>0</v>
      </c>
      <c r="X2086">
        <v>0</v>
      </c>
      <c r="Y2086">
        <v>0</v>
      </c>
      <c r="Z2086" s="8">
        <v>0</v>
      </c>
      <c r="AA2086">
        <v>0</v>
      </c>
      <c r="AB2086" t="s">
        <v>1635</v>
      </c>
      <c r="AC2086" t="s">
        <v>1635</v>
      </c>
      <c r="AD2086" s="1" t="s">
        <v>1635</v>
      </c>
      <c r="AE2086" s="2" t="s">
        <v>1635</v>
      </c>
      <c r="AF2086" s="2" t="s">
        <v>1635</v>
      </c>
      <c r="AG2086" s="2" t="s">
        <v>1635</v>
      </c>
      <c r="AH2086">
        <v>0</v>
      </c>
      <c r="AI2086" s="3" t="s">
        <v>1635</v>
      </c>
      <c r="AJ2086" s="1" t="s">
        <v>1635</v>
      </c>
      <c r="AK2086" s="2" t="s">
        <v>1635</v>
      </c>
      <c r="AL2086" s="4" t="s">
        <v>1658</v>
      </c>
      <c r="AM2086" s="5" t="s">
        <v>1658</v>
      </c>
      <c r="AN2086" s="4">
        <v>0</v>
      </c>
      <c r="AO2086" t="s">
        <v>1635</v>
      </c>
      <c r="AP2086" s="4" t="s">
        <v>1658</v>
      </c>
      <c r="AQ2086" t="s">
        <v>1619</v>
      </c>
      <c r="AR2086" t="s">
        <v>1620</v>
      </c>
      <c r="AT2086" s="16" t="str">
        <f>_xlfn.XLOOKUP(B2086,'SWiSH Demand Forecast Sep-26'!D:D,'SWiSH Demand Forecast Sep-26'!G:G,"Not Exist")</f>
        <v>Not Exist</v>
      </c>
    </row>
    <row r="2087" spans="1:46" x14ac:dyDescent="0.3">
      <c r="A2087">
        <v>106700016</v>
      </c>
      <c r="B2087" t="s">
        <v>3974</v>
      </c>
      <c r="C2087" t="s">
        <v>10</v>
      </c>
      <c r="D2087" t="s">
        <v>1675</v>
      </c>
      <c r="E2087" t="s">
        <v>3232</v>
      </c>
      <c r="F2087" t="s">
        <v>1650</v>
      </c>
      <c r="G2087" t="s">
        <v>1624</v>
      </c>
      <c r="H2087" t="s">
        <v>1651</v>
      </c>
      <c r="I2087" t="s">
        <v>1634</v>
      </c>
      <c r="J2087" t="s">
        <v>10</v>
      </c>
      <c r="K2087">
        <v>1E-3</v>
      </c>
      <c r="L2087">
        <v>40</v>
      </c>
      <c r="M2087" s="1">
        <v>3</v>
      </c>
      <c r="N2087">
        <v>0</v>
      </c>
      <c r="O2087">
        <v>0</v>
      </c>
      <c r="P2087">
        <v>40000</v>
      </c>
      <c r="Q2087" s="1">
        <v>40000</v>
      </c>
      <c r="R2087">
        <v>0</v>
      </c>
      <c r="S2087" s="2">
        <v>45873</v>
      </c>
      <c r="T2087" s="2">
        <v>46096</v>
      </c>
      <c r="U2087">
        <v>0</v>
      </c>
      <c r="V2087">
        <v>0</v>
      </c>
      <c r="W2087">
        <v>0</v>
      </c>
      <c r="X2087">
        <v>0</v>
      </c>
      <c r="Y2087">
        <v>0</v>
      </c>
      <c r="Z2087" s="8">
        <v>0</v>
      </c>
      <c r="AA2087">
        <v>0</v>
      </c>
      <c r="AB2087" t="s">
        <v>1635</v>
      </c>
      <c r="AC2087" t="s">
        <v>1635</v>
      </c>
      <c r="AD2087" s="1" t="s">
        <v>1635</v>
      </c>
      <c r="AE2087" s="2" t="s">
        <v>1635</v>
      </c>
      <c r="AF2087" s="2" t="s">
        <v>1635</v>
      </c>
      <c r="AG2087" s="2" t="s">
        <v>1635</v>
      </c>
      <c r="AH2087">
        <v>0</v>
      </c>
      <c r="AI2087" s="3" t="s">
        <v>1635</v>
      </c>
      <c r="AJ2087" s="1" t="s">
        <v>1635</v>
      </c>
      <c r="AK2087" s="2" t="s">
        <v>1635</v>
      </c>
      <c r="AL2087" s="4" t="s">
        <v>1658</v>
      </c>
      <c r="AM2087" s="5" t="s">
        <v>1658</v>
      </c>
      <c r="AN2087" s="4">
        <v>0</v>
      </c>
      <c r="AO2087" t="s">
        <v>1635</v>
      </c>
      <c r="AP2087" s="4" t="s">
        <v>1658</v>
      </c>
      <c r="AQ2087" t="s">
        <v>1619</v>
      </c>
      <c r="AR2087" t="s">
        <v>1620</v>
      </c>
      <c r="AT2087" s="16" t="str">
        <f>_xlfn.XLOOKUP(B2087,'SWiSH Demand Forecast Sep-26'!D:D,'SWiSH Demand Forecast Sep-26'!G:G,"Not Exist")</f>
        <v>Not Exist</v>
      </c>
    </row>
    <row r="2088" spans="1:46" x14ac:dyDescent="0.3">
      <c r="A2088">
        <v>106600037</v>
      </c>
      <c r="B2088" t="s">
        <v>3975</v>
      </c>
      <c r="C2088" t="s">
        <v>10</v>
      </c>
      <c r="D2088" t="s">
        <v>1675</v>
      </c>
      <c r="E2088" t="s">
        <v>1685</v>
      </c>
      <c r="F2088" t="s">
        <v>1664</v>
      </c>
      <c r="G2088" t="s">
        <v>1704</v>
      </c>
      <c r="H2088" t="s">
        <v>1723</v>
      </c>
      <c r="I2088" t="s">
        <v>1634</v>
      </c>
      <c r="J2088" t="s">
        <v>10</v>
      </c>
      <c r="K2088">
        <v>1.2E-2</v>
      </c>
      <c r="L2088">
        <v>0</v>
      </c>
      <c r="M2088" s="1">
        <v>15</v>
      </c>
      <c r="N2088">
        <v>0</v>
      </c>
      <c r="O2088">
        <v>0</v>
      </c>
      <c r="P2088">
        <v>0</v>
      </c>
      <c r="Q2088" s="1">
        <v>0</v>
      </c>
      <c r="R2088">
        <v>1.2E-2</v>
      </c>
      <c r="S2088" s="2">
        <v>45774</v>
      </c>
      <c r="T2088" s="2">
        <v>46107</v>
      </c>
      <c r="U2088">
        <v>0</v>
      </c>
      <c r="V2088">
        <v>0</v>
      </c>
      <c r="W2088">
        <v>0</v>
      </c>
      <c r="X2088">
        <v>0</v>
      </c>
      <c r="Y2088">
        <v>0</v>
      </c>
      <c r="Z2088" s="8">
        <v>0</v>
      </c>
      <c r="AA2088">
        <v>0</v>
      </c>
      <c r="AB2088" t="s">
        <v>1635</v>
      </c>
      <c r="AC2088" t="s">
        <v>1635</v>
      </c>
      <c r="AD2088" s="1" t="s">
        <v>1635</v>
      </c>
      <c r="AE2088" s="2" t="s">
        <v>1635</v>
      </c>
      <c r="AF2088" s="2" t="s">
        <v>1635</v>
      </c>
      <c r="AG2088" s="2" t="s">
        <v>1635</v>
      </c>
      <c r="AH2088">
        <v>0</v>
      </c>
      <c r="AI2088" s="3" t="s">
        <v>1635</v>
      </c>
      <c r="AJ2088" s="1" t="s">
        <v>1635</v>
      </c>
      <c r="AK2088" s="2" t="s">
        <v>1635</v>
      </c>
      <c r="AL2088" s="4" t="s">
        <v>1658</v>
      </c>
      <c r="AM2088" s="5" t="s">
        <v>1658</v>
      </c>
      <c r="AN2088" s="4">
        <v>0</v>
      </c>
      <c r="AO2088" t="s">
        <v>1635</v>
      </c>
      <c r="AP2088" s="4" t="s">
        <v>1658</v>
      </c>
      <c r="AQ2088" t="s">
        <v>1619</v>
      </c>
      <c r="AR2088" t="s">
        <v>1620</v>
      </c>
      <c r="AT2088" s="16" t="str">
        <f>_xlfn.XLOOKUP(B2088,'SWiSH Demand Forecast Sep-26'!D:D,'SWiSH Demand Forecast Sep-26'!G:G,"Not Exist")</f>
        <v>Not Exist</v>
      </c>
    </row>
    <row r="2089" spans="1:46" x14ac:dyDescent="0.3">
      <c r="A2089">
        <v>106800108</v>
      </c>
      <c r="B2089" t="s">
        <v>3976</v>
      </c>
      <c r="C2089" t="s">
        <v>10</v>
      </c>
      <c r="D2089" t="s">
        <v>1675</v>
      </c>
      <c r="E2089" t="s">
        <v>1949</v>
      </c>
      <c r="F2089" t="s">
        <v>1664</v>
      </c>
      <c r="G2089" t="s">
        <v>1704</v>
      </c>
      <c r="H2089" t="s">
        <v>1665</v>
      </c>
      <c r="I2089" t="s">
        <v>1634</v>
      </c>
      <c r="J2089" t="s">
        <v>10</v>
      </c>
      <c r="K2089">
        <v>6.0000000000000001E-3</v>
      </c>
      <c r="L2089">
        <v>0</v>
      </c>
      <c r="M2089" s="1">
        <v>7</v>
      </c>
      <c r="N2089">
        <v>0</v>
      </c>
      <c r="O2089">
        <v>0</v>
      </c>
      <c r="P2089">
        <v>0</v>
      </c>
      <c r="Q2089" s="1">
        <v>0</v>
      </c>
      <c r="R2089">
        <v>6.0000000000000001E-3</v>
      </c>
      <c r="S2089" s="2">
        <v>45028</v>
      </c>
      <c r="T2089" s="2">
        <v>45777</v>
      </c>
      <c r="U2089">
        <v>0</v>
      </c>
      <c r="V2089">
        <v>0</v>
      </c>
      <c r="W2089">
        <v>0</v>
      </c>
      <c r="X2089">
        <v>0</v>
      </c>
      <c r="Y2089">
        <v>0</v>
      </c>
      <c r="Z2089" s="8">
        <v>0</v>
      </c>
      <c r="AA2089">
        <v>0</v>
      </c>
      <c r="AB2089" t="s">
        <v>1635</v>
      </c>
      <c r="AC2089" t="s">
        <v>1635</v>
      </c>
      <c r="AD2089" s="1" t="s">
        <v>1635</v>
      </c>
      <c r="AE2089" s="2" t="s">
        <v>1635</v>
      </c>
      <c r="AF2089" s="2" t="s">
        <v>1635</v>
      </c>
      <c r="AG2089" s="2" t="s">
        <v>1635</v>
      </c>
      <c r="AH2089">
        <v>0</v>
      </c>
      <c r="AI2089" s="3" t="s">
        <v>1635</v>
      </c>
      <c r="AJ2089" s="1" t="s">
        <v>1635</v>
      </c>
      <c r="AK2089" s="2" t="s">
        <v>1635</v>
      </c>
      <c r="AL2089" s="4" t="s">
        <v>1658</v>
      </c>
      <c r="AM2089" s="5" t="s">
        <v>1658</v>
      </c>
      <c r="AN2089" s="4">
        <v>0</v>
      </c>
      <c r="AO2089" t="s">
        <v>1635</v>
      </c>
      <c r="AP2089" s="4" t="s">
        <v>1658</v>
      </c>
      <c r="AQ2089" t="s">
        <v>1619</v>
      </c>
      <c r="AR2089" t="s">
        <v>1620</v>
      </c>
      <c r="AT2089" s="16" t="str">
        <f>_xlfn.XLOOKUP(B2089,'SWiSH Demand Forecast Sep-26'!D:D,'SWiSH Demand Forecast Sep-26'!G:G,"Not Exist")</f>
        <v>Not Exist</v>
      </c>
    </row>
    <row r="2090" spans="1:46" x14ac:dyDescent="0.3">
      <c r="A2090">
        <v>106600040</v>
      </c>
      <c r="B2090" t="s">
        <v>3977</v>
      </c>
      <c r="C2090" t="s">
        <v>10</v>
      </c>
      <c r="D2090" t="s">
        <v>1675</v>
      </c>
      <c r="E2090" t="s">
        <v>1685</v>
      </c>
      <c r="F2090" t="s">
        <v>1664</v>
      </c>
      <c r="G2090" t="s">
        <v>1704</v>
      </c>
      <c r="H2090" t="s">
        <v>1723</v>
      </c>
      <c r="I2090" t="s">
        <v>1634</v>
      </c>
      <c r="J2090" t="s">
        <v>10</v>
      </c>
      <c r="K2090">
        <v>1.2E-2</v>
      </c>
      <c r="L2090">
        <v>0</v>
      </c>
      <c r="M2090" s="1">
        <v>15</v>
      </c>
      <c r="N2090">
        <v>0</v>
      </c>
      <c r="O2090">
        <v>0</v>
      </c>
      <c r="P2090">
        <v>0</v>
      </c>
      <c r="Q2090" s="1">
        <v>0</v>
      </c>
      <c r="R2090">
        <v>1.2E-2</v>
      </c>
      <c r="S2090" s="2">
        <v>45774</v>
      </c>
      <c r="T2090" s="2">
        <v>46107</v>
      </c>
      <c r="U2090">
        <v>0</v>
      </c>
      <c r="V2090">
        <v>0</v>
      </c>
      <c r="W2090">
        <v>0</v>
      </c>
      <c r="X2090">
        <v>0</v>
      </c>
      <c r="Y2090">
        <v>0</v>
      </c>
      <c r="Z2090" s="8">
        <v>0</v>
      </c>
      <c r="AA2090">
        <v>0</v>
      </c>
      <c r="AB2090" t="s">
        <v>1635</v>
      </c>
      <c r="AC2090" t="s">
        <v>1635</v>
      </c>
      <c r="AD2090" s="1" t="s">
        <v>1635</v>
      </c>
      <c r="AE2090" s="2" t="s">
        <v>1635</v>
      </c>
      <c r="AF2090" s="2" t="s">
        <v>1635</v>
      </c>
      <c r="AG2090" s="2" t="s">
        <v>1635</v>
      </c>
      <c r="AH2090">
        <v>0</v>
      </c>
      <c r="AI2090" s="3" t="s">
        <v>1635</v>
      </c>
      <c r="AJ2090" s="1" t="s">
        <v>1635</v>
      </c>
      <c r="AK2090" s="2" t="s">
        <v>1635</v>
      </c>
      <c r="AL2090" s="4" t="s">
        <v>1658</v>
      </c>
      <c r="AM2090" s="5" t="s">
        <v>1658</v>
      </c>
      <c r="AN2090" s="4">
        <v>0</v>
      </c>
      <c r="AO2090" t="s">
        <v>1635</v>
      </c>
      <c r="AP2090" s="4" t="s">
        <v>1658</v>
      </c>
      <c r="AQ2090" t="s">
        <v>1619</v>
      </c>
      <c r="AR2090" t="s">
        <v>1620</v>
      </c>
      <c r="AT2090" s="16" t="str">
        <f>_xlfn.XLOOKUP(B2090,'SWiSH Demand Forecast Sep-26'!D:D,'SWiSH Demand Forecast Sep-26'!G:G,"Not Exist")</f>
        <v>Not Exist</v>
      </c>
    </row>
    <row r="2091" spans="1:46" x14ac:dyDescent="0.3">
      <c r="A2091">
        <v>106600041</v>
      </c>
      <c r="B2091" t="s">
        <v>3978</v>
      </c>
      <c r="C2091" t="s">
        <v>10</v>
      </c>
      <c r="D2091" t="s">
        <v>1675</v>
      </c>
      <c r="E2091" t="s">
        <v>1685</v>
      </c>
      <c r="F2091" t="s">
        <v>1664</v>
      </c>
      <c r="G2091" t="s">
        <v>1704</v>
      </c>
      <c r="H2091" t="s">
        <v>1723</v>
      </c>
      <c r="I2091" t="s">
        <v>1634</v>
      </c>
      <c r="J2091" t="s">
        <v>10</v>
      </c>
      <c r="K2091">
        <v>1.2E-2</v>
      </c>
      <c r="L2091">
        <v>0</v>
      </c>
      <c r="M2091" s="1">
        <v>15</v>
      </c>
      <c r="N2091">
        <v>0</v>
      </c>
      <c r="O2091">
        <v>0</v>
      </c>
      <c r="P2091">
        <v>0</v>
      </c>
      <c r="Q2091" s="1">
        <v>0</v>
      </c>
      <c r="R2091">
        <v>1.2E-2</v>
      </c>
      <c r="S2091" s="2">
        <v>45774</v>
      </c>
      <c r="T2091" s="2">
        <v>46107</v>
      </c>
      <c r="U2091">
        <v>0</v>
      </c>
      <c r="V2091">
        <v>0</v>
      </c>
      <c r="W2091">
        <v>0</v>
      </c>
      <c r="X2091">
        <v>0</v>
      </c>
      <c r="Y2091">
        <v>0</v>
      </c>
      <c r="Z2091" s="8">
        <v>0</v>
      </c>
      <c r="AA2091">
        <v>0</v>
      </c>
      <c r="AB2091" t="s">
        <v>1635</v>
      </c>
      <c r="AC2091" t="s">
        <v>1635</v>
      </c>
      <c r="AD2091" s="1" t="s">
        <v>1635</v>
      </c>
      <c r="AE2091" s="2" t="s">
        <v>1635</v>
      </c>
      <c r="AF2091" s="2" t="s">
        <v>1635</v>
      </c>
      <c r="AG2091" s="2" t="s">
        <v>1635</v>
      </c>
      <c r="AH2091">
        <v>0</v>
      </c>
      <c r="AI2091" s="3" t="s">
        <v>1635</v>
      </c>
      <c r="AJ2091" s="1" t="s">
        <v>1635</v>
      </c>
      <c r="AK2091" s="2" t="s">
        <v>1635</v>
      </c>
      <c r="AL2091" s="4" t="s">
        <v>1658</v>
      </c>
      <c r="AM2091" s="5" t="s">
        <v>1658</v>
      </c>
      <c r="AN2091" s="4">
        <v>0</v>
      </c>
      <c r="AO2091" t="s">
        <v>1635</v>
      </c>
      <c r="AP2091" s="4" t="s">
        <v>1658</v>
      </c>
      <c r="AQ2091" t="s">
        <v>1619</v>
      </c>
      <c r="AR2091" t="s">
        <v>1620</v>
      </c>
      <c r="AT2091" s="16" t="str">
        <f>_xlfn.XLOOKUP(B2091,'SWiSH Demand Forecast Sep-26'!D:D,'SWiSH Demand Forecast Sep-26'!G:G,"Not Exist")</f>
        <v>Not Exist</v>
      </c>
    </row>
    <row r="2092" spans="1:46" x14ac:dyDescent="0.3">
      <c r="A2092">
        <v>106600042</v>
      </c>
      <c r="B2092" t="s">
        <v>3979</v>
      </c>
      <c r="C2092" t="s">
        <v>10</v>
      </c>
      <c r="D2092" t="s">
        <v>1675</v>
      </c>
      <c r="E2092" t="s">
        <v>1685</v>
      </c>
      <c r="F2092" t="s">
        <v>1664</v>
      </c>
      <c r="G2092" t="s">
        <v>1704</v>
      </c>
      <c r="H2092" t="s">
        <v>1723</v>
      </c>
      <c r="I2092" t="s">
        <v>1634</v>
      </c>
      <c r="J2092" t="s">
        <v>10</v>
      </c>
      <c r="K2092">
        <v>1.2E-2</v>
      </c>
      <c r="L2092">
        <v>0</v>
      </c>
      <c r="M2092" s="1">
        <v>15</v>
      </c>
      <c r="N2092">
        <v>0</v>
      </c>
      <c r="O2092">
        <v>0</v>
      </c>
      <c r="P2092">
        <v>0</v>
      </c>
      <c r="Q2092" s="1">
        <v>0</v>
      </c>
      <c r="R2092">
        <v>1.2E-2</v>
      </c>
      <c r="S2092" s="2">
        <v>45774</v>
      </c>
      <c r="T2092" s="2">
        <v>46107</v>
      </c>
      <c r="U2092">
        <v>0</v>
      </c>
      <c r="V2092">
        <v>0</v>
      </c>
      <c r="W2092">
        <v>0</v>
      </c>
      <c r="X2092">
        <v>0</v>
      </c>
      <c r="Y2092">
        <v>0</v>
      </c>
      <c r="Z2092" s="8">
        <v>0</v>
      </c>
      <c r="AA2092">
        <v>0</v>
      </c>
      <c r="AB2092" t="s">
        <v>1635</v>
      </c>
      <c r="AC2092" t="s">
        <v>1635</v>
      </c>
      <c r="AD2092" s="1" t="s">
        <v>1635</v>
      </c>
      <c r="AE2092" s="2" t="s">
        <v>1635</v>
      </c>
      <c r="AF2092" s="2" t="s">
        <v>1635</v>
      </c>
      <c r="AG2092" s="2" t="s">
        <v>1635</v>
      </c>
      <c r="AH2092">
        <v>0</v>
      </c>
      <c r="AI2092" s="3" t="s">
        <v>1635</v>
      </c>
      <c r="AJ2092" s="1" t="s">
        <v>1635</v>
      </c>
      <c r="AK2092" s="2" t="s">
        <v>1635</v>
      </c>
      <c r="AL2092" s="4" t="s">
        <v>1658</v>
      </c>
      <c r="AM2092" s="5" t="s">
        <v>1658</v>
      </c>
      <c r="AN2092" s="4">
        <v>0</v>
      </c>
      <c r="AO2092" t="s">
        <v>1635</v>
      </c>
      <c r="AP2092" s="4" t="s">
        <v>1658</v>
      </c>
      <c r="AQ2092" t="s">
        <v>1619</v>
      </c>
      <c r="AR2092" t="s">
        <v>1620</v>
      </c>
      <c r="AT2092" s="16" t="str">
        <f>_xlfn.XLOOKUP(B2092,'SWiSH Demand Forecast Sep-26'!D:D,'SWiSH Demand Forecast Sep-26'!G:G,"Not Exist")</f>
        <v>Not Exist</v>
      </c>
    </row>
    <row r="2093" spans="1:46" x14ac:dyDescent="0.3">
      <c r="A2093">
        <v>106600043</v>
      </c>
      <c r="B2093" t="s">
        <v>3980</v>
      </c>
      <c r="C2093" t="s">
        <v>10</v>
      </c>
      <c r="D2093" t="s">
        <v>1675</v>
      </c>
      <c r="E2093" t="s">
        <v>1685</v>
      </c>
      <c r="F2093" t="s">
        <v>1664</v>
      </c>
      <c r="G2093" t="s">
        <v>1704</v>
      </c>
      <c r="H2093" t="s">
        <v>1723</v>
      </c>
      <c r="I2093" t="s">
        <v>1634</v>
      </c>
      <c r="J2093" t="s">
        <v>10</v>
      </c>
      <c r="K2093">
        <v>1.2E-2</v>
      </c>
      <c r="L2093">
        <v>0</v>
      </c>
      <c r="M2093" s="1">
        <v>15</v>
      </c>
      <c r="N2093">
        <v>0</v>
      </c>
      <c r="O2093">
        <v>0</v>
      </c>
      <c r="P2093">
        <v>0</v>
      </c>
      <c r="Q2093" s="1">
        <v>0</v>
      </c>
      <c r="R2093">
        <v>1.2E-2</v>
      </c>
      <c r="S2093" s="2">
        <v>45774</v>
      </c>
      <c r="T2093" s="2">
        <v>46107</v>
      </c>
      <c r="U2093">
        <v>0</v>
      </c>
      <c r="V2093">
        <v>0</v>
      </c>
      <c r="W2093">
        <v>0</v>
      </c>
      <c r="X2093">
        <v>0</v>
      </c>
      <c r="Y2093">
        <v>0</v>
      </c>
      <c r="Z2093" s="8">
        <v>0</v>
      </c>
      <c r="AA2093">
        <v>0</v>
      </c>
      <c r="AB2093" t="s">
        <v>1635</v>
      </c>
      <c r="AC2093" t="s">
        <v>1635</v>
      </c>
      <c r="AD2093" s="1" t="s">
        <v>1635</v>
      </c>
      <c r="AE2093" s="2" t="s">
        <v>1635</v>
      </c>
      <c r="AF2093" s="2" t="s">
        <v>1635</v>
      </c>
      <c r="AG2093" s="2" t="s">
        <v>1635</v>
      </c>
      <c r="AH2093">
        <v>0</v>
      </c>
      <c r="AI2093" s="3" t="s">
        <v>1635</v>
      </c>
      <c r="AJ2093" s="1" t="s">
        <v>1635</v>
      </c>
      <c r="AK2093" s="2" t="s">
        <v>1635</v>
      </c>
      <c r="AL2093" s="4" t="s">
        <v>1658</v>
      </c>
      <c r="AM2093" s="5" t="s">
        <v>1658</v>
      </c>
      <c r="AN2093" s="4">
        <v>0</v>
      </c>
      <c r="AO2093" t="s">
        <v>1635</v>
      </c>
      <c r="AP2093" s="4" t="s">
        <v>1658</v>
      </c>
      <c r="AQ2093" t="s">
        <v>1619</v>
      </c>
      <c r="AR2093" t="s">
        <v>1620</v>
      </c>
      <c r="AT2093" s="16" t="str">
        <f>_xlfn.XLOOKUP(B2093,'SWiSH Demand Forecast Sep-26'!D:D,'SWiSH Demand Forecast Sep-26'!G:G,"Not Exist")</f>
        <v>Not Exist</v>
      </c>
    </row>
    <row r="2094" spans="1:46" x14ac:dyDescent="0.3">
      <c r="A2094">
        <v>106600046</v>
      </c>
      <c r="B2094" t="s">
        <v>3981</v>
      </c>
      <c r="C2094" t="s">
        <v>10</v>
      </c>
      <c r="D2094" t="s">
        <v>1675</v>
      </c>
      <c r="E2094" t="s">
        <v>1685</v>
      </c>
      <c r="F2094" t="s">
        <v>1664</v>
      </c>
      <c r="G2094" t="s">
        <v>1704</v>
      </c>
      <c r="H2094" t="s">
        <v>1723</v>
      </c>
      <c r="I2094" t="s">
        <v>1634</v>
      </c>
      <c r="J2094" t="s">
        <v>10</v>
      </c>
      <c r="K2094">
        <v>1.2E-2</v>
      </c>
      <c r="L2094">
        <v>0</v>
      </c>
      <c r="M2094" s="1">
        <v>15</v>
      </c>
      <c r="N2094">
        <v>0</v>
      </c>
      <c r="O2094">
        <v>0</v>
      </c>
      <c r="P2094">
        <v>0</v>
      </c>
      <c r="Q2094" s="1">
        <v>0</v>
      </c>
      <c r="R2094">
        <v>1.2E-2</v>
      </c>
      <c r="S2094" s="2">
        <v>45774</v>
      </c>
      <c r="T2094" s="2">
        <v>46107</v>
      </c>
      <c r="U2094">
        <v>0</v>
      </c>
      <c r="V2094">
        <v>0</v>
      </c>
      <c r="W2094">
        <v>0</v>
      </c>
      <c r="X2094">
        <v>0</v>
      </c>
      <c r="Y2094">
        <v>0</v>
      </c>
      <c r="Z2094" s="8">
        <v>0</v>
      </c>
      <c r="AA2094">
        <v>0</v>
      </c>
      <c r="AB2094" t="s">
        <v>1635</v>
      </c>
      <c r="AC2094" t="s">
        <v>1635</v>
      </c>
      <c r="AD2094" s="1" t="s">
        <v>1635</v>
      </c>
      <c r="AE2094" s="2" t="s">
        <v>1635</v>
      </c>
      <c r="AF2094" s="2" t="s">
        <v>1635</v>
      </c>
      <c r="AG2094" s="2" t="s">
        <v>1635</v>
      </c>
      <c r="AH2094">
        <v>0</v>
      </c>
      <c r="AI2094" s="3" t="s">
        <v>1635</v>
      </c>
      <c r="AJ2094" s="1" t="s">
        <v>1635</v>
      </c>
      <c r="AK2094" s="2" t="s">
        <v>1635</v>
      </c>
      <c r="AL2094" s="4" t="s">
        <v>1658</v>
      </c>
      <c r="AM2094" s="5" t="s">
        <v>1658</v>
      </c>
      <c r="AN2094" s="4">
        <v>0</v>
      </c>
      <c r="AO2094" t="s">
        <v>1635</v>
      </c>
      <c r="AP2094" s="4" t="s">
        <v>1658</v>
      </c>
      <c r="AQ2094" t="s">
        <v>1619</v>
      </c>
      <c r="AR2094" t="s">
        <v>1620</v>
      </c>
      <c r="AT2094" s="16" t="str">
        <f>_xlfn.XLOOKUP(B2094,'SWiSH Demand Forecast Sep-26'!D:D,'SWiSH Demand Forecast Sep-26'!G:G,"Not Exist")</f>
        <v>Not Exist</v>
      </c>
    </row>
    <row r="2095" spans="1:46" x14ac:dyDescent="0.3">
      <c r="A2095">
        <v>106600047</v>
      </c>
      <c r="B2095" t="s">
        <v>3982</v>
      </c>
      <c r="C2095" t="s">
        <v>10</v>
      </c>
      <c r="D2095" t="s">
        <v>1675</v>
      </c>
      <c r="E2095" t="s">
        <v>1685</v>
      </c>
      <c r="F2095" t="s">
        <v>1664</v>
      </c>
      <c r="G2095" t="s">
        <v>1704</v>
      </c>
      <c r="H2095" t="s">
        <v>1723</v>
      </c>
      <c r="I2095" t="s">
        <v>1634</v>
      </c>
      <c r="J2095" t="s">
        <v>10</v>
      </c>
      <c r="K2095">
        <v>1.2E-2</v>
      </c>
      <c r="L2095">
        <v>0</v>
      </c>
      <c r="M2095" s="1">
        <v>15</v>
      </c>
      <c r="N2095">
        <v>0</v>
      </c>
      <c r="O2095">
        <v>0</v>
      </c>
      <c r="P2095">
        <v>0</v>
      </c>
      <c r="Q2095" s="1">
        <v>0</v>
      </c>
      <c r="R2095">
        <v>1.2E-2</v>
      </c>
      <c r="S2095" s="2">
        <v>45774</v>
      </c>
      <c r="T2095" s="2">
        <v>46107</v>
      </c>
      <c r="U2095">
        <v>0</v>
      </c>
      <c r="V2095">
        <v>0</v>
      </c>
      <c r="W2095">
        <v>0</v>
      </c>
      <c r="X2095">
        <v>0</v>
      </c>
      <c r="Y2095">
        <v>0</v>
      </c>
      <c r="Z2095" s="8">
        <v>0</v>
      </c>
      <c r="AA2095">
        <v>0</v>
      </c>
      <c r="AB2095" t="s">
        <v>1635</v>
      </c>
      <c r="AC2095" t="s">
        <v>1635</v>
      </c>
      <c r="AD2095" s="1" t="s">
        <v>1635</v>
      </c>
      <c r="AE2095" s="2" t="s">
        <v>1635</v>
      </c>
      <c r="AF2095" s="2" t="s">
        <v>1635</v>
      </c>
      <c r="AG2095" s="2" t="s">
        <v>1635</v>
      </c>
      <c r="AH2095">
        <v>0</v>
      </c>
      <c r="AI2095" s="3" t="s">
        <v>1635</v>
      </c>
      <c r="AJ2095" s="1" t="s">
        <v>1635</v>
      </c>
      <c r="AK2095" s="2" t="s">
        <v>1635</v>
      </c>
      <c r="AL2095" s="4" t="s">
        <v>1658</v>
      </c>
      <c r="AM2095" s="5" t="s">
        <v>1658</v>
      </c>
      <c r="AN2095" s="4">
        <v>0</v>
      </c>
      <c r="AO2095" t="s">
        <v>1635</v>
      </c>
      <c r="AP2095" s="4" t="s">
        <v>1658</v>
      </c>
      <c r="AQ2095" t="s">
        <v>1619</v>
      </c>
      <c r="AR2095" t="s">
        <v>1620</v>
      </c>
      <c r="AT2095" s="16" t="str">
        <f>_xlfn.XLOOKUP(B2095,'SWiSH Demand Forecast Sep-26'!D:D,'SWiSH Demand Forecast Sep-26'!G:G,"Not Exist")</f>
        <v>Not Exist</v>
      </c>
    </row>
    <row r="2096" spans="1:46" x14ac:dyDescent="0.3">
      <c r="A2096">
        <v>106600049</v>
      </c>
      <c r="B2096" t="s">
        <v>3983</v>
      </c>
      <c r="C2096" t="s">
        <v>10</v>
      </c>
      <c r="D2096" t="s">
        <v>1675</v>
      </c>
      <c r="E2096" t="s">
        <v>1685</v>
      </c>
      <c r="F2096" t="s">
        <v>1664</v>
      </c>
      <c r="G2096" t="s">
        <v>1704</v>
      </c>
      <c r="H2096" t="s">
        <v>1723</v>
      </c>
      <c r="I2096" t="s">
        <v>1634</v>
      </c>
      <c r="J2096" t="s">
        <v>10</v>
      </c>
      <c r="K2096">
        <v>1.2E-2</v>
      </c>
      <c r="L2096">
        <v>0</v>
      </c>
      <c r="M2096" s="1">
        <v>15</v>
      </c>
      <c r="N2096">
        <v>0</v>
      </c>
      <c r="O2096">
        <v>0</v>
      </c>
      <c r="P2096">
        <v>0</v>
      </c>
      <c r="Q2096" s="1">
        <v>0</v>
      </c>
      <c r="R2096">
        <v>1.2E-2</v>
      </c>
      <c r="S2096" s="2">
        <v>45774</v>
      </c>
      <c r="T2096" s="2">
        <v>46107</v>
      </c>
      <c r="U2096">
        <v>0</v>
      </c>
      <c r="V2096">
        <v>0</v>
      </c>
      <c r="W2096">
        <v>0</v>
      </c>
      <c r="X2096">
        <v>0</v>
      </c>
      <c r="Y2096">
        <v>0</v>
      </c>
      <c r="Z2096" s="8">
        <v>0</v>
      </c>
      <c r="AA2096">
        <v>0</v>
      </c>
      <c r="AB2096" t="s">
        <v>1635</v>
      </c>
      <c r="AC2096" t="s">
        <v>1635</v>
      </c>
      <c r="AD2096" s="1" t="s">
        <v>1635</v>
      </c>
      <c r="AE2096" s="2" t="s">
        <v>1635</v>
      </c>
      <c r="AF2096" s="2" t="s">
        <v>1635</v>
      </c>
      <c r="AG2096" s="2" t="s">
        <v>1635</v>
      </c>
      <c r="AH2096">
        <v>0</v>
      </c>
      <c r="AI2096" s="3" t="s">
        <v>1635</v>
      </c>
      <c r="AJ2096" s="1" t="s">
        <v>1635</v>
      </c>
      <c r="AK2096" s="2" t="s">
        <v>1635</v>
      </c>
      <c r="AL2096" s="4" t="s">
        <v>1658</v>
      </c>
      <c r="AM2096" s="5" t="s">
        <v>1658</v>
      </c>
      <c r="AN2096" s="4">
        <v>0</v>
      </c>
      <c r="AO2096" t="s">
        <v>1635</v>
      </c>
      <c r="AP2096" s="4" t="s">
        <v>1658</v>
      </c>
      <c r="AQ2096" t="s">
        <v>1619</v>
      </c>
      <c r="AR2096" t="s">
        <v>1620</v>
      </c>
      <c r="AT2096" s="16" t="str">
        <f>_xlfn.XLOOKUP(B2096,'SWiSH Demand Forecast Sep-26'!D:D,'SWiSH Demand Forecast Sep-26'!G:G,"Not Exist")</f>
        <v>Not Exist</v>
      </c>
    </row>
    <row r="2097" spans="1:46" x14ac:dyDescent="0.3">
      <c r="A2097">
        <v>106800015</v>
      </c>
      <c r="B2097" t="s">
        <v>3984</v>
      </c>
      <c r="C2097" t="s">
        <v>10</v>
      </c>
      <c r="D2097" t="s">
        <v>1675</v>
      </c>
      <c r="E2097" t="s">
        <v>1685</v>
      </c>
      <c r="F2097" t="s">
        <v>1664</v>
      </c>
      <c r="G2097" t="s">
        <v>1704</v>
      </c>
      <c r="H2097" t="s">
        <v>1665</v>
      </c>
      <c r="I2097" t="s">
        <v>1634</v>
      </c>
      <c r="J2097" t="s">
        <v>10</v>
      </c>
      <c r="K2097">
        <v>0.01</v>
      </c>
      <c r="L2097">
        <v>0</v>
      </c>
      <c r="M2097" s="1">
        <v>7</v>
      </c>
      <c r="N2097">
        <v>0</v>
      </c>
      <c r="O2097">
        <v>0</v>
      </c>
      <c r="P2097">
        <v>0</v>
      </c>
      <c r="Q2097" s="1">
        <v>0</v>
      </c>
      <c r="R2097">
        <v>0.01</v>
      </c>
      <c r="S2097" s="2">
        <v>45774</v>
      </c>
      <c r="T2097" s="2">
        <v>46107</v>
      </c>
      <c r="U2097">
        <v>0</v>
      </c>
      <c r="V2097">
        <v>0</v>
      </c>
      <c r="W2097">
        <v>0</v>
      </c>
      <c r="X2097">
        <v>0</v>
      </c>
      <c r="Y2097">
        <v>0</v>
      </c>
      <c r="Z2097" s="8">
        <v>0</v>
      </c>
      <c r="AA2097">
        <v>0</v>
      </c>
      <c r="AB2097" t="s">
        <v>1635</v>
      </c>
      <c r="AC2097" t="s">
        <v>1635</v>
      </c>
      <c r="AD2097" s="1" t="s">
        <v>1635</v>
      </c>
      <c r="AE2097" s="2" t="s">
        <v>1635</v>
      </c>
      <c r="AF2097" s="2" t="s">
        <v>1635</v>
      </c>
      <c r="AG2097" s="2" t="s">
        <v>1635</v>
      </c>
      <c r="AH2097">
        <v>0</v>
      </c>
      <c r="AI2097" s="3" t="s">
        <v>1635</v>
      </c>
      <c r="AJ2097" s="1" t="s">
        <v>1635</v>
      </c>
      <c r="AK2097" s="2" t="s">
        <v>1635</v>
      </c>
      <c r="AL2097" s="4" t="s">
        <v>1658</v>
      </c>
      <c r="AM2097" s="5" t="s">
        <v>1658</v>
      </c>
      <c r="AN2097" s="4">
        <v>0</v>
      </c>
      <c r="AO2097" t="s">
        <v>1635</v>
      </c>
      <c r="AP2097" s="4" t="s">
        <v>1658</v>
      </c>
      <c r="AQ2097" t="s">
        <v>1619</v>
      </c>
      <c r="AR2097" t="s">
        <v>1620</v>
      </c>
      <c r="AT2097" s="16" t="str">
        <f>_xlfn.XLOOKUP(B2097,'SWiSH Demand Forecast Sep-26'!D:D,'SWiSH Demand Forecast Sep-26'!G:G,"Not Exist")</f>
        <v>Not Exist</v>
      </c>
    </row>
    <row r="2098" spans="1:46" x14ac:dyDescent="0.3">
      <c r="A2098">
        <v>106800016</v>
      </c>
      <c r="B2098" t="s">
        <v>3985</v>
      </c>
      <c r="C2098" t="s">
        <v>10</v>
      </c>
      <c r="D2098" t="s">
        <v>1629</v>
      </c>
      <c r="E2098" t="s">
        <v>1685</v>
      </c>
      <c r="F2098" t="s">
        <v>1664</v>
      </c>
      <c r="G2098" t="s">
        <v>1690</v>
      </c>
      <c r="H2098" t="s">
        <v>1665</v>
      </c>
      <c r="I2098" t="s">
        <v>1634</v>
      </c>
      <c r="J2098" t="s">
        <v>10</v>
      </c>
      <c r="K2098">
        <v>3.5000000000000003E-2</v>
      </c>
      <c r="L2098">
        <v>0</v>
      </c>
      <c r="M2098" s="1">
        <v>7</v>
      </c>
      <c r="N2098">
        <v>0</v>
      </c>
      <c r="O2098">
        <v>0</v>
      </c>
      <c r="P2098">
        <v>0</v>
      </c>
      <c r="Q2098" s="1">
        <v>0</v>
      </c>
      <c r="R2098">
        <v>3.5000000000000003E-2</v>
      </c>
      <c r="S2098" s="2">
        <v>45774</v>
      </c>
      <c r="T2098" s="2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 s="8">
        <v>0</v>
      </c>
      <c r="AA2098">
        <v>0</v>
      </c>
      <c r="AB2098" t="s">
        <v>1635</v>
      </c>
      <c r="AC2098" t="s">
        <v>1635</v>
      </c>
      <c r="AD2098" s="1" t="s">
        <v>1635</v>
      </c>
      <c r="AE2098" s="2" t="s">
        <v>1635</v>
      </c>
      <c r="AF2098" s="2" t="s">
        <v>1635</v>
      </c>
      <c r="AG2098" s="2" t="s">
        <v>1635</v>
      </c>
      <c r="AH2098">
        <v>0</v>
      </c>
      <c r="AI2098" s="3" t="s">
        <v>1635</v>
      </c>
      <c r="AJ2098" s="1" t="s">
        <v>1635</v>
      </c>
      <c r="AK2098" s="2" t="s">
        <v>1635</v>
      </c>
      <c r="AL2098" s="4" t="s">
        <v>1636</v>
      </c>
      <c r="AM2098" s="5" t="s">
        <v>1636</v>
      </c>
      <c r="AN2098" s="4">
        <v>0</v>
      </c>
      <c r="AO2098" t="s">
        <v>1635</v>
      </c>
      <c r="AP2098" s="4" t="s">
        <v>1636</v>
      </c>
      <c r="AQ2098" t="s">
        <v>1619</v>
      </c>
      <c r="AR2098" t="s">
        <v>1620</v>
      </c>
      <c r="AT2098" s="16" t="str">
        <f>_xlfn.XLOOKUP(B2098,'SWiSH Demand Forecast Sep-26'!D:D,'SWiSH Demand Forecast Sep-26'!G:G,"Not Exist")</f>
        <v>Not Exist</v>
      </c>
    </row>
    <row r="2099" spans="1:46" x14ac:dyDescent="0.3">
      <c r="A2099">
        <v>106800031</v>
      </c>
      <c r="B2099" t="s">
        <v>3986</v>
      </c>
      <c r="C2099" t="s">
        <v>10</v>
      </c>
      <c r="D2099" t="s">
        <v>1675</v>
      </c>
      <c r="E2099" t="s">
        <v>1685</v>
      </c>
      <c r="F2099" t="s">
        <v>1664</v>
      </c>
      <c r="G2099" t="s">
        <v>1704</v>
      </c>
      <c r="H2099" t="s">
        <v>1665</v>
      </c>
      <c r="I2099" t="s">
        <v>1634</v>
      </c>
      <c r="J2099" t="s">
        <v>10</v>
      </c>
      <c r="K2099">
        <v>0.01</v>
      </c>
      <c r="L2099">
        <v>0</v>
      </c>
      <c r="M2099" s="1">
        <v>7</v>
      </c>
      <c r="N2099">
        <v>0</v>
      </c>
      <c r="O2099">
        <v>0</v>
      </c>
      <c r="P2099">
        <v>0</v>
      </c>
      <c r="Q2099" s="1">
        <v>0</v>
      </c>
      <c r="R2099">
        <v>0.01</v>
      </c>
      <c r="S2099" s="2">
        <v>45774</v>
      </c>
      <c r="T2099" s="2">
        <v>46107</v>
      </c>
      <c r="U2099">
        <v>0</v>
      </c>
      <c r="V2099">
        <v>0</v>
      </c>
      <c r="W2099">
        <v>0</v>
      </c>
      <c r="X2099">
        <v>0</v>
      </c>
      <c r="Y2099">
        <v>0</v>
      </c>
      <c r="Z2099" s="8">
        <v>0</v>
      </c>
      <c r="AA2099">
        <v>0</v>
      </c>
      <c r="AB2099" t="s">
        <v>1635</v>
      </c>
      <c r="AC2099" t="s">
        <v>1635</v>
      </c>
      <c r="AD2099" s="1" t="s">
        <v>1635</v>
      </c>
      <c r="AE2099" s="2" t="s">
        <v>1635</v>
      </c>
      <c r="AF2099" s="2" t="s">
        <v>1635</v>
      </c>
      <c r="AG2099" s="2" t="s">
        <v>1635</v>
      </c>
      <c r="AH2099">
        <v>0</v>
      </c>
      <c r="AI2099" s="3" t="s">
        <v>1635</v>
      </c>
      <c r="AJ2099" s="1" t="s">
        <v>1635</v>
      </c>
      <c r="AK2099" s="2" t="s">
        <v>1635</v>
      </c>
      <c r="AL2099" s="4" t="s">
        <v>1658</v>
      </c>
      <c r="AM2099" s="5" t="s">
        <v>1658</v>
      </c>
      <c r="AN2099" s="4">
        <v>0</v>
      </c>
      <c r="AO2099" t="s">
        <v>1635</v>
      </c>
      <c r="AP2099" s="4" t="s">
        <v>1658</v>
      </c>
      <c r="AQ2099" t="s">
        <v>1619</v>
      </c>
      <c r="AR2099" t="s">
        <v>1620</v>
      </c>
      <c r="AT2099" s="16" t="str">
        <f>_xlfn.XLOOKUP(B2099,'SWiSH Demand Forecast Sep-26'!D:D,'SWiSH Demand Forecast Sep-26'!G:G,"Not Exist")</f>
        <v>Not Exist</v>
      </c>
    </row>
    <row r="2100" spans="1:46" x14ac:dyDescent="0.3">
      <c r="A2100">
        <v>106600077</v>
      </c>
      <c r="B2100" t="s">
        <v>3987</v>
      </c>
      <c r="C2100" t="s">
        <v>10</v>
      </c>
      <c r="D2100" t="s">
        <v>1675</v>
      </c>
      <c r="E2100" t="s">
        <v>1685</v>
      </c>
      <c r="F2100" t="s">
        <v>1664</v>
      </c>
      <c r="G2100" t="s">
        <v>1704</v>
      </c>
      <c r="H2100" t="s">
        <v>1723</v>
      </c>
      <c r="I2100" t="s">
        <v>1634</v>
      </c>
      <c r="J2100" t="s">
        <v>10</v>
      </c>
      <c r="K2100">
        <v>1.2E-2</v>
      </c>
      <c r="L2100">
        <v>0</v>
      </c>
      <c r="M2100" s="1">
        <v>15</v>
      </c>
      <c r="N2100">
        <v>0</v>
      </c>
      <c r="O2100">
        <v>0</v>
      </c>
      <c r="P2100">
        <v>0</v>
      </c>
      <c r="Q2100" s="1">
        <v>0</v>
      </c>
      <c r="R2100">
        <v>1.2E-2</v>
      </c>
      <c r="S2100" s="2">
        <v>45774</v>
      </c>
      <c r="T2100" s="2">
        <v>46107</v>
      </c>
      <c r="U2100">
        <v>0</v>
      </c>
      <c r="V2100">
        <v>0</v>
      </c>
      <c r="W2100">
        <v>0</v>
      </c>
      <c r="X2100">
        <v>0</v>
      </c>
      <c r="Y2100">
        <v>0</v>
      </c>
      <c r="Z2100" s="8">
        <v>0</v>
      </c>
      <c r="AA2100">
        <v>0</v>
      </c>
      <c r="AB2100" t="s">
        <v>1635</v>
      </c>
      <c r="AC2100" t="s">
        <v>1635</v>
      </c>
      <c r="AD2100" s="1" t="s">
        <v>1635</v>
      </c>
      <c r="AE2100" s="2" t="s">
        <v>1635</v>
      </c>
      <c r="AF2100" s="2" t="s">
        <v>1635</v>
      </c>
      <c r="AG2100" s="2" t="s">
        <v>1635</v>
      </c>
      <c r="AH2100">
        <v>0</v>
      </c>
      <c r="AI2100" s="3" t="s">
        <v>1635</v>
      </c>
      <c r="AJ2100" s="1" t="s">
        <v>1635</v>
      </c>
      <c r="AK2100" s="2" t="s">
        <v>1635</v>
      </c>
      <c r="AL2100" s="4" t="s">
        <v>1658</v>
      </c>
      <c r="AM2100" s="5" t="s">
        <v>1658</v>
      </c>
      <c r="AN2100" s="4">
        <v>0</v>
      </c>
      <c r="AO2100" t="s">
        <v>1635</v>
      </c>
      <c r="AP2100" s="4" t="s">
        <v>1658</v>
      </c>
      <c r="AQ2100" t="s">
        <v>1619</v>
      </c>
      <c r="AR2100" t="s">
        <v>1620</v>
      </c>
      <c r="AT2100" s="16" t="str">
        <f>_xlfn.XLOOKUP(B2100,'SWiSH Demand Forecast Sep-26'!D:D,'SWiSH Demand Forecast Sep-26'!G:G,"Not Exist")</f>
        <v>Not Exist</v>
      </c>
    </row>
    <row r="2101" spans="1:46" x14ac:dyDescent="0.3">
      <c r="A2101">
        <v>105900000</v>
      </c>
      <c r="B2101" t="s">
        <v>3988</v>
      </c>
      <c r="C2101" t="s">
        <v>10</v>
      </c>
      <c r="D2101" t="s">
        <v>1675</v>
      </c>
      <c r="E2101" t="s">
        <v>1732</v>
      </c>
      <c r="F2101" t="s">
        <v>1664</v>
      </c>
      <c r="G2101" t="s">
        <v>1616</v>
      </c>
      <c r="H2101" t="s">
        <v>1729</v>
      </c>
      <c r="I2101" t="s">
        <v>1634</v>
      </c>
      <c r="J2101" t="s">
        <v>1733</v>
      </c>
      <c r="K2101">
        <v>4.9153900000000004E-3</v>
      </c>
      <c r="L2101">
        <v>231.02333000000002</v>
      </c>
      <c r="M2101" s="1">
        <v>90</v>
      </c>
      <c r="N2101">
        <v>0</v>
      </c>
      <c r="O2101">
        <v>0</v>
      </c>
      <c r="P2101">
        <v>47000</v>
      </c>
      <c r="Q2101" s="1">
        <v>47000</v>
      </c>
      <c r="R2101">
        <v>4.8037700000000001</v>
      </c>
      <c r="S2101" s="2">
        <v>45743</v>
      </c>
      <c r="T2101" s="2">
        <v>46143</v>
      </c>
      <c r="U2101">
        <v>0</v>
      </c>
      <c r="V2101">
        <v>0</v>
      </c>
      <c r="W2101">
        <v>0</v>
      </c>
      <c r="X2101">
        <v>0</v>
      </c>
      <c r="Y2101">
        <v>0</v>
      </c>
      <c r="Z2101" s="8">
        <v>0</v>
      </c>
      <c r="AA2101">
        <v>0</v>
      </c>
      <c r="AB2101" t="s">
        <v>1635</v>
      </c>
      <c r="AC2101" t="s">
        <v>1635</v>
      </c>
      <c r="AD2101" s="1" t="s">
        <v>1635</v>
      </c>
      <c r="AE2101" s="2" t="s">
        <v>1635</v>
      </c>
      <c r="AF2101" s="2" t="s">
        <v>1635</v>
      </c>
      <c r="AG2101" s="2" t="s">
        <v>1635</v>
      </c>
      <c r="AH2101">
        <v>0</v>
      </c>
      <c r="AI2101" s="3" t="s">
        <v>1635</v>
      </c>
      <c r="AJ2101" s="1" t="s">
        <v>1635</v>
      </c>
      <c r="AK2101" s="2" t="s">
        <v>1635</v>
      </c>
      <c r="AL2101" s="4" t="s">
        <v>1658</v>
      </c>
      <c r="AM2101" s="5" t="s">
        <v>1658</v>
      </c>
      <c r="AN2101" s="4">
        <v>0</v>
      </c>
      <c r="AO2101" t="s">
        <v>1635</v>
      </c>
      <c r="AP2101" s="4" t="s">
        <v>1658</v>
      </c>
      <c r="AQ2101" t="s">
        <v>1619</v>
      </c>
      <c r="AR2101" t="s">
        <v>1620</v>
      </c>
      <c r="AT2101" s="16" t="str">
        <f>_xlfn.XLOOKUP(B2101,'SWiSH Demand Forecast Sep-26'!D:D,'SWiSH Demand Forecast Sep-26'!G:G,"Not Exist")</f>
        <v>Not Exist</v>
      </c>
    </row>
    <row r="2102" spans="1:46" x14ac:dyDescent="0.3">
      <c r="A2102">
        <v>106800319</v>
      </c>
      <c r="B2102" t="s">
        <v>3989</v>
      </c>
      <c r="C2102" t="s">
        <v>10</v>
      </c>
      <c r="D2102" t="s">
        <v>1675</v>
      </c>
      <c r="E2102" t="s">
        <v>1701</v>
      </c>
      <c r="F2102" t="s">
        <v>1664</v>
      </c>
      <c r="G2102" t="s">
        <v>1704</v>
      </c>
      <c r="H2102" t="s">
        <v>1665</v>
      </c>
      <c r="I2102" t="s">
        <v>1634</v>
      </c>
      <c r="J2102" t="s">
        <v>10</v>
      </c>
      <c r="K2102">
        <v>5.0000000000000001E-3</v>
      </c>
      <c r="L2102">
        <v>35</v>
      </c>
      <c r="M2102" s="1">
        <v>7</v>
      </c>
      <c r="N2102">
        <v>0</v>
      </c>
      <c r="O2102">
        <v>0</v>
      </c>
      <c r="P2102">
        <v>7000</v>
      </c>
      <c r="Q2102" s="1">
        <v>7000</v>
      </c>
      <c r="R2102">
        <v>5.0000000000000001E-3</v>
      </c>
      <c r="S2102" s="2">
        <v>45870</v>
      </c>
      <c r="T2102" s="2">
        <v>46107</v>
      </c>
      <c r="U2102">
        <v>0</v>
      </c>
      <c r="V2102">
        <v>0</v>
      </c>
      <c r="W2102">
        <v>0</v>
      </c>
      <c r="X2102">
        <v>0</v>
      </c>
      <c r="Y2102">
        <v>0</v>
      </c>
      <c r="Z2102" s="8">
        <v>0</v>
      </c>
      <c r="AA2102">
        <v>0</v>
      </c>
      <c r="AB2102" t="s">
        <v>1635</v>
      </c>
      <c r="AC2102" t="s">
        <v>1635</v>
      </c>
      <c r="AD2102" s="1" t="s">
        <v>1635</v>
      </c>
      <c r="AE2102" s="2" t="s">
        <v>1635</v>
      </c>
      <c r="AF2102" s="2" t="s">
        <v>1635</v>
      </c>
      <c r="AG2102" s="2" t="s">
        <v>1635</v>
      </c>
      <c r="AH2102">
        <v>0</v>
      </c>
      <c r="AI2102" s="3" t="s">
        <v>1635</v>
      </c>
      <c r="AJ2102" s="1" t="s">
        <v>1635</v>
      </c>
      <c r="AK2102" s="2" t="s">
        <v>1635</v>
      </c>
      <c r="AL2102" s="4" t="s">
        <v>1658</v>
      </c>
      <c r="AM2102" s="5" t="s">
        <v>1658</v>
      </c>
      <c r="AN2102" s="4">
        <v>0</v>
      </c>
      <c r="AO2102" t="s">
        <v>1635</v>
      </c>
      <c r="AP2102" s="4" t="s">
        <v>1658</v>
      </c>
      <c r="AQ2102" t="s">
        <v>1619</v>
      </c>
      <c r="AR2102" t="s">
        <v>1620</v>
      </c>
      <c r="AT2102" s="16" t="str">
        <f>_xlfn.XLOOKUP(B2102,'SWiSH Demand Forecast Sep-26'!D:D,'SWiSH Demand Forecast Sep-26'!G:G,"Not Exist")</f>
        <v>Not Exist</v>
      </c>
    </row>
    <row r="2103" spans="1:46" x14ac:dyDescent="0.3">
      <c r="A2103">
        <v>106800301</v>
      </c>
      <c r="B2103" t="s">
        <v>3990</v>
      </c>
      <c r="C2103" t="s">
        <v>10</v>
      </c>
      <c r="D2103" t="s">
        <v>1675</v>
      </c>
      <c r="E2103" t="s">
        <v>1701</v>
      </c>
      <c r="F2103" t="s">
        <v>1664</v>
      </c>
      <c r="G2103" t="s">
        <v>1704</v>
      </c>
      <c r="H2103" t="s">
        <v>1665</v>
      </c>
      <c r="I2103" t="s">
        <v>1634</v>
      </c>
      <c r="J2103" t="s">
        <v>10</v>
      </c>
      <c r="K2103">
        <v>0.02</v>
      </c>
      <c r="L2103">
        <v>200</v>
      </c>
      <c r="M2103" s="1">
        <v>7</v>
      </c>
      <c r="N2103">
        <v>0</v>
      </c>
      <c r="O2103">
        <v>0</v>
      </c>
      <c r="P2103">
        <v>10000</v>
      </c>
      <c r="Q2103" s="1">
        <v>10000</v>
      </c>
      <c r="R2103">
        <v>0.02</v>
      </c>
      <c r="S2103" s="2">
        <v>45870</v>
      </c>
      <c r="T2103" s="2">
        <v>46138</v>
      </c>
      <c r="U2103">
        <v>0</v>
      </c>
      <c r="V2103">
        <v>0</v>
      </c>
      <c r="W2103">
        <v>0</v>
      </c>
      <c r="X2103">
        <v>0</v>
      </c>
      <c r="Y2103">
        <v>0</v>
      </c>
      <c r="Z2103" s="8">
        <v>0</v>
      </c>
      <c r="AA2103">
        <v>0</v>
      </c>
      <c r="AB2103" t="s">
        <v>1635</v>
      </c>
      <c r="AC2103" t="s">
        <v>1635</v>
      </c>
      <c r="AD2103" s="1" t="s">
        <v>1635</v>
      </c>
      <c r="AE2103" s="2" t="s">
        <v>1635</v>
      </c>
      <c r="AF2103" s="2" t="s">
        <v>1635</v>
      </c>
      <c r="AG2103" s="2" t="s">
        <v>1635</v>
      </c>
      <c r="AH2103">
        <v>0</v>
      </c>
      <c r="AI2103" s="3" t="s">
        <v>1635</v>
      </c>
      <c r="AJ2103" s="1" t="s">
        <v>1635</v>
      </c>
      <c r="AK2103" s="2" t="s">
        <v>1635</v>
      </c>
      <c r="AL2103" s="4" t="s">
        <v>1658</v>
      </c>
      <c r="AM2103" s="5" t="s">
        <v>1658</v>
      </c>
      <c r="AN2103" s="4">
        <v>0</v>
      </c>
      <c r="AO2103" t="s">
        <v>1635</v>
      </c>
      <c r="AP2103" s="4" t="s">
        <v>1658</v>
      </c>
      <c r="AQ2103" t="s">
        <v>1619</v>
      </c>
      <c r="AR2103" t="s">
        <v>1620</v>
      </c>
      <c r="AT2103" s="16" t="str">
        <f>_xlfn.XLOOKUP(B2103,'SWiSH Demand Forecast Sep-26'!D:D,'SWiSH Demand Forecast Sep-26'!G:G,"Not Exist")</f>
        <v>Not Exist</v>
      </c>
    </row>
    <row r="2104" spans="1:46" x14ac:dyDescent="0.3">
      <c r="A2104">
        <v>106800303</v>
      </c>
      <c r="B2104" t="s">
        <v>3991</v>
      </c>
      <c r="C2104" t="s">
        <v>10</v>
      </c>
      <c r="D2104" t="s">
        <v>1675</v>
      </c>
      <c r="E2104" t="s">
        <v>1701</v>
      </c>
      <c r="F2104" t="s">
        <v>1664</v>
      </c>
      <c r="G2104" t="s">
        <v>1704</v>
      </c>
      <c r="H2104" t="s">
        <v>1665</v>
      </c>
      <c r="I2104" t="s">
        <v>1634</v>
      </c>
      <c r="J2104" t="s">
        <v>10</v>
      </c>
      <c r="K2104">
        <v>0.02</v>
      </c>
      <c r="L2104">
        <v>200</v>
      </c>
      <c r="M2104" s="1">
        <v>7</v>
      </c>
      <c r="N2104">
        <v>0</v>
      </c>
      <c r="O2104">
        <v>0</v>
      </c>
      <c r="P2104">
        <v>10000</v>
      </c>
      <c r="Q2104" s="1">
        <v>10000</v>
      </c>
      <c r="R2104">
        <v>0.02</v>
      </c>
      <c r="S2104" s="2">
        <v>45870</v>
      </c>
      <c r="T2104" s="2">
        <v>46107</v>
      </c>
      <c r="U2104">
        <v>0</v>
      </c>
      <c r="V2104">
        <v>0</v>
      </c>
      <c r="W2104">
        <v>0</v>
      </c>
      <c r="X2104">
        <v>0</v>
      </c>
      <c r="Y2104">
        <v>0</v>
      </c>
      <c r="Z2104" s="8">
        <v>0</v>
      </c>
      <c r="AA2104">
        <v>0</v>
      </c>
      <c r="AB2104" t="s">
        <v>1635</v>
      </c>
      <c r="AC2104" t="s">
        <v>1635</v>
      </c>
      <c r="AD2104" s="1" t="s">
        <v>1635</v>
      </c>
      <c r="AE2104" s="2" t="s">
        <v>1635</v>
      </c>
      <c r="AF2104" s="2" t="s">
        <v>1635</v>
      </c>
      <c r="AG2104" s="2" t="s">
        <v>1635</v>
      </c>
      <c r="AH2104">
        <v>0</v>
      </c>
      <c r="AI2104" s="3" t="s">
        <v>1635</v>
      </c>
      <c r="AJ2104" s="1" t="s">
        <v>1635</v>
      </c>
      <c r="AK2104" s="2" t="s">
        <v>1635</v>
      </c>
      <c r="AL2104" s="4" t="s">
        <v>1658</v>
      </c>
      <c r="AM2104" s="5" t="s">
        <v>1658</v>
      </c>
      <c r="AN2104" s="4">
        <v>0</v>
      </c>
      <c r="AO2104" t="s">
        <v>1635</v>
      </c>
      <c r="AP2104" s="4" t="s">
        <v>1658</v>
      </c>
      <c r="AQ2104" t="s">
        <v>1619</v>
      </c>
      <c r="AR2104" t="s">
        <v>1620</v>
      </c>
      <c r="AT2104" s="16" t="str">
        <f>_xlfn.XLOOKUP(B2104,'SWiSH Demand Forecast Sep-26'!D:D,'SWiSH Demand Forecast Sep-26'!G:G,"Not Exist")</f>
        <v>Not Exist</v>
      </c>
    </row>
    <row r="2105" spans="1:46" x14ac:dyDescent="0.3">
      <c r="A2105">
        <v>106600108</v>
      </c>
      <c r="B2105" t="s">
        <v>3992</v>
      </c>
      <c r="C2105" t="s">
        <v>10</v>
      </c>
      <c r="D2105" t="s">
        <v>1789</v>
      </c>
      <c r="E2105" t="s">
        <v>1663</v>
      </c>
      <c r="F2105" t="s">
        <v>1664</v>
      </c>
      <c r="G2105" t="s">
        <v>1690</v>
      </c>
      <c r="H2105" t="s">
        <v>1723</v>
      </c>
      <c r="I2105" t="s">
        <v>1634</v>
      </c>
      <c r="J2105" t="s">
        <v>10</v>
      </c>
      <c r="K2105">
        <v>3.3999999999999998E-3</v>
      </c>
      <c r="L2105">
        <v>0</v>
      </c>
      <c r="M2105" s="1">
        <v>15</v>
      </c>
      <c r="N2105">
        <v>0</v>
      </c>
      <c r="O2105">
        <v>0</v>
      </c>
      <c r="P2105">
        <v>0</v>
      </c>
      <c r="Q2105" s="1">
        <v>0</v>
      </c>
      <c r="R2105">
        <v>3.3999999999999998E-3</v>
      </c>
      <c r="S2105" s="2">
        <v>45934</v>
      </c>
      <c r="T2105" s="2">
        <v>46054</v>
      </c>
      <c r="U2105">
        <v>0</v>
      </c>
      <c r="V2105">
        <v>0</v>
      </c>
      <c r="W2105">
        <v>0</v>
      </c>
      <c r="X2105">
        <v>0</v>
      </c>
      <c r="Y2105">
        <v>0</v>
      </c>
      <c r="Z2105" s="8">
        <v>0</v>
      </c>
      <c r="AA2105">
        <v>0</v>
      </c>
      <c r="AB2105" t="s">
        <v>1635</v>
      </c>
      <c r="AC2105" t="s">
        <v>1635</v>
      </c>
      <c r="AD2105" s="1" t="s">
        <v>1635</v>
      </c>
      <c r="AE2105" s="2" t="s">
        <v>1635</v>
      </c>
      <c r="AF2105" s="2" t="s">
        <v>1635</v>
      </c>
      <c r="AG2105" s="2" t="s">
        <v>1635</v>
      </c>
      <c r="AH2105">
        <v>0</v>
      </c>
      <c r="AI2105" s="3" t="s">
        <v>1635</v>
      </c>
      <c r="AJ2105" s="1" t="s">
        <v>1635</v>
      </c>
      <c r="AK2105" s="2" t="s">
        <v>1635</v>
      </c>
      <c r="AL2105" s="4" t="s">
        <v>1658</v>
      </c>
      <c r="AM2105" s="5" t="s">
        <v>1658</v>
      </c>
      <c r="AN2105" s="4">
        <v>0</v>
      </c>
      <c r="AO2105" t="s">
        <v>1635</v>
      </c>
      <c r="AP2105" s="4" t="s">
        <v>1658</v>
      </c>
      <c r="AQ2105" t="s">
        <v>1619</v>
      </c>
      <c r="AR2105" t="s">
        <v>1620</v>
      </c>
      <c r="AT2105" s="16" t="str">
        <f>_xlfn.XLOOKUP(B2105,'SWiSH Demand Forecast Sep-26'!D:D,'SWiSH Demand Forecast Sep-26'!G:G,"Not Exist")</f>
        <v>Not Exist</v>
      </c>
    </row>
    <row r="2106" spans="1:46" x14ac:dyDescent="0.3">
      <c r="A2106">
        <v>106800025</v>
      </c>
      <c r="B2106" t="s">
        <v>3993</v>
      </c>
      <c r="C2106" t="s">
        <v>10</v>
      </c>
      <c r="D2106" t="s">
        <v>1629</v>
      </c>
      <c r="E2106" t="s">
        <v>1685</v>
      </c>
      <c r="F2106" t="s">
        <v>1664</v>
      </c>
      <c r="G2106" t="s">
        <v>1690</v>
      </c>
      <c r="H2106" t="s">
        <v>1665</v>
      </c>
      <c r="I2106" t="s">
        <v>1634</v>
      </c>
      <c r="J2106" t="s">
        <v>10</v>
      </c>
      <c r="K2106">
        <v>3.5000000000000003E-2</v>
      </c>
      <c r="L2106">
        <v>0</v>
      </c>
      <c r="M2106" s="1">
        <v>7</v>
      </c>
      <c r="N2106">
        <v>0</v>
      </c>
      <c r="O2106">
        <v>0</v>
      </c>
      <c r="P2106">
        <v>0</v>
      </c>
      <c r="Q2106" s="1">
        <v>0</v>
      </c>
      <c r="R2106">
        <v>3.5000000000000003E-2</v>
      </c>
      <c r="S2106" s="2">
        <v>45774</v>
      </c>
      <c r="T2106" s="2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s="8">
        <v>0</v>
      </c>
      <c r="AA2106">
        <v>0</v>
      </c>
      <c r="AB2106" t="s">
        <v>1635</v>
      </c>
      <c r="AC2106" t="s">
        <v>1635</v>
      </c>
      <c r="AD2106" s="1" t="s">
        <v>1635</v>
      </c>
      <c r="AE2106" s="2" t="s">
        <v>1635</v>
      </c>
      <c r="AF2106" s="2" t="s">
        <v>1635</v>
      </c>
      <c r="AG2106" s="2" t="s">
        <v>1635</v>
      </c>
      <c r="AH2106">
        <v>0</v>
      </c>
      <c r="AI2106" s="3" t="s">
        <v>1635</v>
      </c>
      <c r="AJ2106" s="1" t="s">
        <v>1635</v>
      </c>
      <c r="AK2106" s="2" t="s">
        <v>1635</v>
      </c>
      <c r="AL2106" s="4" t="s">
        <v>1636</v>
      </c>
      <c r="AM2106" s="5" t="s">
        <v>1636</v>
      </c>
      <c r="AN2106" s="4">
        <v>0</v>
      </c>
      <c r="AO2106" t="s">
        <v>1635</v>
      </c>
      <c r="AP2106" s="4" t="s">
        <v>1636</v>
      </c>
      <c r="AQ2106" t="s">
        <v>1619</v>
      </c>
      <c r="AR2106" t="s">
        <v>1620</v>
      </c>
      <c r="AT2106" s="16" t="str">
        <f>_xlfn.XLOOKUP(B2106,'SWiSH Demand Forecast Sep-26'!D:D,'SWiSH Demand Forecast Sep-26'!G:G,"Not Exist")</f>
        <v>Not Exist</v>
      </c>
    </row>
    <row r="2107" spans="1:46" x14ac:dyDescent="0.3">
      <c r="A2107">
        <v>106800117</v>
      </c>
      <c r="B2107" t="s">
        <v>3994</v>
      </c>
      <c r="C2107" t="s">
        <v>10</v>
      </c>
      <c r="D2107" t="s">
        <v>1675</v>
      </c>
      <c r="E2107" t="s">
        <v>1949</v>
      </c>
      <c r="F2107" t="s">
        <v>1664</v>
      </c>
      <c r="G2107" t="s">
        <v>1704</v>
      </c>
      <c r="H2107" t="s">
        <v>1665</v>
      </c>
      <c r="I2107" t="s">
        <v>1634</v>
      </c>
      <c r="J2107" t="s">
        <v>10</v>
      </c>
      <c r="K2107">
        <v>6.0000000000000001E-3</v>
      </c>
      <c r="L2107">
        <v>0</v>
      </c>
      <c r="M2107" s="1">
        <v>7</v>
      </c>
      <c r="N2107">
        <v>0</v>
      </c>
      <c r="O2107">
        <v>0</v>
      </c>
      <c r="P2107">
        <v>0</v>
      </c>
      <c r="Q2107" s="1">
        <v>0</v>
      </c>
      <c r="R2107">
        <v>6.0000000000000001E-3</v>
      </c>
      <c r="S2107" s="2">
        <v>45028</v>
      </c>
      <c r="T2107" s="2">
        <v>45777</v>
      </c>
      <c r="U2107">
        <v>0</v>
      </c>
      <c r="V2107">
        <v>0</v>
      </c>
      <c r="W2107">
        <v>0</v>
      </c>
      <c r="X2107">
        <v>0</v>
      </c>
      <c r="Y2107">
        <v>0</v>
      </c>
      <c r="Z2107" s="8">
        <v>0</v>
      </c>
      <c r="AA2107">
        <v>0</v>
      </c>
      <c r="AB2107" t="s">
        <v>1635</v>
      </c>
      <c r="AC2107" t="s">
        <v>1635</v>
      </c>
      <c r="AD2107" s="1" t="s">
        <v>1635</v>
      </c>
      <c r="AE2107" s="2" t="s">
        <v>1635</v>
      </c>
      <c r="AF2107" s="2" t="s">
        <v>1635</v>
      </c>
      <c r="AG2107" s="2" t="s">
        <v>1635</v>
      </c>
      <c r="AH2107">
        <v>0</v>
      </c>
      <c r="AI2107" s="3" t="s">
        <v>1635</v>
      </c>
      <c r="AJ2107" s="1" t="s">
        <v>1635</v>
      </c>
      <c r="AK2107" s="2" t="s">
        <v>1635</v>
      </c>
      <c r="AL2107" s="4" t="s">
        <v>1658</v>
      </c>
      <c r="AM2107" s="5" t="s">
        <v>1658</v>
      </c>
      <c r="AN2107" s="4">
        <v>0</v>
      </c>
      <c r="AO2107" t="s">
        <v>1635</v>
      </c>
      <c r="AP2107" s="4" t="s">
        <v>1658</v>
      </c>
      <c r="AQ2107" t="s">
        <v>1619</v>
      </c>
      <c r="AR2107" t="s">
        <v>1620</v>
      </c>
      <c r="AT2107" s="16" t="str">
        <f>_xlfn.XLOOKUP(B2107,'SWiSH Demand Forecast Sep-26'!D:D,'SWiSH Demand Forecast Sep-26'!G:G,"Not Exist")</f>
        <v>Not Exist</v>
      </c>
    </row>
    <row r="2108" spans="1:46" x14ac:dyDescent="0.3">
      <c r="A2108">
        <v>104900021</v>
      </c>
      <c r="B2108" t="s">
        <v>3995</v>
      </c>
      <c r="C2108" t="s">
        <v>10</v>
      </c>
      <c r="D2108" t="s">
        <v>1675</v>
      </c>
      <c r="E2108" t="s">
        <v>1638</v>
      </c>
      <c r="F2108" t="s">
        <v>1664</v>
      </c>
      <c r="G2108" t="s">
        <v>1704</v>
      </c>
      <c r="H2108" t="s">
        <v>1759</v>
      </c>
      <c r="I2108" t="s">
        <v>1634</v>
      </c>
      <c r="J2108" t="s">
        <v>10</v>
      </c>
      <c r="K2108">
        <v>8.0000000000000002E-3</v>
      </c>
      <c r="L2108">
        <v>0</v>
      </c>
      <c r="M2108" s="1">
        <v>15</v>
      </c>
      <c r="N2108">
        <v>0</v>
      </c>
      <c r="O2108">
        <v>0</v>
      </c>
      <c r="P2108">
        <v>0</v>
      </c>
      <c r="Q2108" s="1">
        <v>0</v>
      </c>
      <c r="R2108">
        <v>8</v>
      </c>
      <c r="S2108" s="2">
        <v>45446</v>
      </c>
      <c r="T2108" s="2">
        <v>45777</v>
      </c>
      <c r="U2108">
        <v>0</v>
      </c>
      <c r="V2108">
        <v>0</v>
      </c>
      <c r="W2108">
        <v>0</v>
      </c>
      <c r="X2108">
        <v>0</v>
      </c>
      <c r="Y2108">
        <v>0</v>
      </c>
      <c r="Z2108" s="8">
        <v>0</v>
      </c>
      <c r="AA2108">
        <v>0</v>
      </c>
      <c r="AB2108" t="s">
        <v>1635</v>
      </c>
      <c r="AC2108" t="s">
        <v>1635</v>
      </c>
      <c r="AD2108" s="1" t="s">
        <v>1635</v>
      </c>
      <c r="AE2108" s="2" t="s">
        <v>1635</v>
      </c>
      <c r="AF2108" s="2" t="s">
        <v>1635</v>
      </c>
      <c r="AG2108" s="2" t="s">
        <v>1635</v>
      </c>
      <c r="AH2108">
        <v>0</v>
      </c>
      <c r="AI2108" s="3" t="s">
        <v>1635</v>
      </c>
      <c r="AJ2108" s="1" t="s">
        <v>1635</v>
      </c>
      <c r="AK2108" s="2" t="s">
        <v>1635</v>
      </c>
      <c r="AL2108" s="4" t="s">
        <v>1658</v>
      </c>
      <c r="AM2108" s="5" t="s">
        <v>1658</v>
      </c>
      <c r="AN2108" s="4">
        <v>0</v>
      </c>
      <c r="AO2108" t="s">
        <v>1635</v>
      </c>
      <c r="AP2108" s="4" t="s">
        <v>1658</v>
      </c>
      <c r="AQ2108" t="s">
        <v>1619</v>
      </c>
      <c r="AR2108" t="s">
        <v>1620</v>
      </c>
      <c r="AT2108" s="16" t="str">
        <f>_xlfn.XLOOKUP(B2108,'SWiSH Demand Forecast Sep-26'!D:D,'SWiSH Demand Forecast Sep-26'!G:G,"Not Exist")</f>
        <v>Not Exist</v>
      </c>
    </row>
    <row r="2109" spans="1:46" x14ac:dyDescent="0.3">
      <c r="A2109">
        <v>106800137</v>
      </c>
      <c r="B2109" t="s">
        <v>3996</v>
      </c>
      <c r="C2109" t="s">
        <v>10</v>
      </c>
      <c r="D2109" t="s">
        <v>1675</v>
      </c>
      <c r="E2109" t="s">
        <v>1638</v>
      </c>
      <c r="F2109" t="s">
        <v>1664</v>
      </c>
      <c r="G2109" t="s">
        <v>1704</v>
      </c>
      <c r="H2109" t="s">
        <v>1665</v>
      </c>
      <c r="I2109" t="s">
        <v>1634</v>
      </c>
      <c r="J2109" t="s">
        <v>10</v>
      </c>
      <c r="K2109">
        <v>4.0000000000000001E-3</v>
      </c>
      <c r="L2109">
        <v>0</v>
      </c>
      <c r="M2109" s="1">
        <v>7</v>
      </c>
      <c r="N2109">
        <v>0</v>
      </c>
      <c r="O2109">
        <v>0</v>
      </c>
      <c r="P2109">
        <v>0</v>
      </c>
      <c r="Q2109" s="1">
        <v>0</v>
      </c>
      <c r="R2109">
        <v>4.0000000000000001E-3</v>
      </c>
      <c r="S2109" s="2">
        <v>44245</v>
      </c>
      <c r="T2109" s="2">
        <v>45822</v>
      </c>
      <c r="U2109">
        <v>0</v>
      </c>
      <c r="V2109">
        <v>0</v>
      </c>
      <c r="W2109">
        <v>0</v>
      </c>
      <c r="X2109">
        <v>0</v>
      </c>
      <c r="Y2109">
        <v>0</v>
      </c>
      <c r="Z2109" s="8">
        <v>0</v>
      </c>
      <c r="AA2109">
        <v>0</v>
      </c>
      <c r="AB2109" t="s">
        <v>1635</v>
      </c>
      <c r="AC2109" t="s">
        <v>1635</v>
      </c>
      <c r="AD2109" s="1" t="s">
        <v>1635</v>
      </c>
      <c r="AE2109" s="2" t="s">
        <v>1635</v>
      </c>
      <c r="AF2109" s="2" t="s">
        <v>1635</v>
      </c>
      <c r="AG2109" s="2" t="s">
        <v>1635</v>
      </c>
      <c r="AH2109">
        <v>0</v>
      </c>
      <c r="AI2109" s="3" t="s">
        <v>1635</v>
      </c>
      <c r="AJ2109" s="1" t="s">
        <v>1635</v>
      </c>
      <c r="AK2109" s="2" t="s">
        <v>1635</v>
      </c>
      <c r="AL2109" s="4" t="s">
        <v>1658</v>
      </c>
      <c r="AM2109" s="5" t="s">
        <v>1658</v>
      </c>
      <c r="AN2109" s="4">
        <v>0</v>
      </c>
      <c r="AO2109" t="s">
        <v>1635</v>
      </c>
      <c r="AP2109" s="4" t="s">
        <v>1658</v>
      </c>
      <c r="AQ2109" t="s">
        <v>1619</v>
      </c>
      <c r="AR2109" t="s">
        <v>1620</v>
      </c>
      <c r="AT2109" s="16" t="str">
        <f>_xlfn.XLOOKUP(B2109,'SWiSH Demand Forecast Sep-26'!D:D,'SWiSH Demand Forecast Sep-26'!G:G,"Not Exist")</f>
        <v>Not Exist</v>
      </c>
    </row>
    <row r="2110" spans="1:46" x14ac:dyDescent="0.3">
      <c r="A2110">
        <v>106800036</v>
      </c>
      <c r="B2110" t="s">
        <v>3997</v>
      </c>
      <c r="C2110" t="s">
        <v>10</v>
      </c>
      <c r="D2110" t="s">
        <v>1629</v>
      </c>
      <c r="E2110" t="s">
        <v>1685</v>
      </c>
      <c r="F2110" t="s">
        <v>1664</v>
      </c>
      <c r="G2110" t="s">
        <v>1624</v>
      </c>
      <c r="H2110" t="s">
        <v>1665</v>
      </c>
      <c r="I2110" t="s">
        <v>1634</v>
      </c>
      <c r="J2110" t="s">
        <v>10</v>
      </c>
      <c r="K2110">
        <v>8.0000000000000002E-3</v>
      </c>
      <c r="L2110">
        <v>16</v>
      </c>
      <c r="M2110" s="1">
        <v>7</v>
      </c>
      <c r="N2110">
        <v>0</v>
      </c>
      <c r="O2110">
        <v>0</v>
      </c>
      <c r="P2110">
        <v>2000</v>
      </c>
      <c r="Q2110" s="1">
        <v>2000</v>
      </c>
      <c r="R2110">
        <v>8.0000000000000002E-3</v>
      </c>
      <c r="S2110" s="2">
        <v>46121</v>
      </c>
      <c r="T2110" s="2">
        <v>46055</v>
      </c>
      <c r="U2110">
        <v>0</v>
      </c>
      <c r="V2110">
        <v>0</v>
      </c>
      <c r="W2110">
        <v>0</v>
      </c>
      <c r="X2110">
        <v>0</v>
      </c>
      <c r="Y2110">
        <v>0</v>
      </c>
      <c r="Z2110" s="8">
        <v>0</v>
      </c>
      <c r="AA2110">
        <v>0</v>
      </c>
      <c r="AB2110" t="s">
        <v>1635</v>
      </c>
      <c r="AC2110" t="s">
        <v>1635</v>
      </c>
      <c r="AD2110" s="1" t="s">
        <v>1635</v>
      </c>
      <c r="AE2110" s="2" t="s">
        <v>1635</v>
      </c>
      <c r="AF2110" s="2" t="s">
        <v>1635</v>
      </c>
      <c r="AG2110" s="2" t="s">
        <v>1635</v>
      </c>
      <c r="AH2110">
        <v>0</v>
      </c>
      <c r="AI2110" s="3" t="s">
        <v>1635</v>
      </c>
      <c r="AJ2110" s="1" t="s">
        <v>1635</v>
      </c>
      <c r="AK2110" s="2" t="s">
        <v>1635</v>
      </c>
      <c r="AL2110" s="4" t="s">
        <v>1636</v>
      </c>
      <c r="AM2110" s="5" t="s">
        <v>1636</v>
      </c>
      <c r="AN2110" s="4">
        <v>0</v>
      </c>
      <c r="AO2110" t="s">
        <v>1635</v>
      </c>
      <c r="AP2110" s="4" t="s">
        <v>1636</v>
      </c>
      <c r="AQ2110" t="s">
        <v>1619</v>
      </c>
      <c r="AR2110" t="s">
        <v>1620</v>
      </c>
      <c r="AT2110" s="16" t="str">
        <f>_xlfn.XLOOKUP(B2110,'SWiSH Demand Forecast Sep-26'!D:D,'SWiSH Demand Forecast Sep-26'!G:G,"Not Exist")</f>
        <v>Not Exist</v>
      </c>
    </row>
    <row r="2111" spans="1:46" x14ac:dyDescent="0.3">
      <c r="A2111">
        <v>106800113</v>
      </c>
      <c r="B2111" t="s">
        <v>3998</v>
      </c>
      <c r="C2111" t="s">
        <v>10</v>
      </c>
      <c r="D2111" t="s">
        <v>1629</v>
      </c>
      <c r="E2111" t="s">
        <v>1663</v>
      </c>
      <c r="F2111" t="s">
        <v>1664</v>
      </c>
      <c r="G2111" t="s">
        <v>1690</v>
      </c>
      <c r="H2111" t="s">
        <v>1665</v>
      </c>
      <c r="I2111" t="s">
        <v>1634</v>
      </c>
      <c r="J2111" t="s">
        <v>10</v>
      </c>
      <c r="K2111">
        <v>3.5000000000000001E-3</v>
      </c>
      <c r="L2111">
        <v>0</v>
      </c>
      <c r="M2111" s="1">
        <v>7</v>
      </c>
      <c r="N2111">
        <v>0</v>
      </c>
      <c r="O2111">
        <v>0</v>
      </c>
      <c r="P2111">
        <v>0</v>
      </c>
      <c r="Q2111" s="1">
        <v>0</v>
      </c>
      <c r="R2111">
        <v>3.5000000000000001E-3</v>
      </c>
      <c r="S2111" s="2">
        <v>45902</v>
      </c>
      <c r="T2111" s="2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 s="8">
        <v>0</v>
      </c>
      <c r="AA2111">
        <v>0</v>
      </c>
      <c r="AB2111" t="s">
        <v>1635</v>
      </c>
      <c r="AC2111" t="s">
        <v>1635</v>
      </c>
      <c r="AD2111" s="1" t="s">
        <v>1635</v>
      </c>
      <c r="AE2111" s="2" t="s">
        <v>1635</v>
      </c>
      <c r="AF2111" s="2" t="s">
        <v>1635</v>
      </c>
      <c r="AG2111" s="2" t="s">
        <v>1635</v>
      </c>
      <c r="AH2111">
        <v>0</v>
      </c>
      <c r="AI2111" s="3" t="s">
        <v>1635</v>
      </c>
      <c r="AJ2111" s="1" t="s">
        <v>1635</v>
      </c>
      <c r="AK2111" s="2" t="s">
        <v>1635</v>
      </c>
      <c r="AL2111" s="4" t="s">
        <v>1636</v>
      </c>
      <c r="AM2111" s="5" t="s">
        <v>1636</v>
      </c>
      <c r="AN2111" s="4">
        <v>0</v>
      </c>
      <c r="AO2111" t="s">
        <v>1635</v>
      </c>
      <c r="AP2111" s="4" t="s">
        <v>1636</v>
      </c>
      <c r="AQ2111" t="s">
        <v>1619</v>
      </c>
      <c r="AR2111" t="s">
        <v>1620</v>
      </c>
      <c r="AT2111" s="16" t="str">
        <f>_xlfn.XLOOKUP(B2111,'SWiSH Demand Forecast Sep-26'!D:D,'SWiSH Demand Forecast Sep-26'!G:G,"Not Exist")</f>
        <v>Not Exist</v>
      </c>
    </row>
    <row r="2112" spans="1:46" x14ac:dyDescent="0.3">
      <c r="A2112">
        <v>107200079</v>
      </c>
      <c r="B2112" t="s">
        <v>3999</v>
      </c>
      <c r="C2112" t="s">
        <v>10</v>
      </c>
      <c r="D2112" t="s">
        <v>1699</v>
      </c>
      <c r="E2112" t="s">
        <v>1655</v>
      </c>
      <c r="F2112" t="s">
        <v>1656</v>
      </c>
      <c r="G2112" t="s">
        <v>1624</v>
      </c>
      <c r="H2112" t="s">
        <v>1657</v>
      </c>
      <c r="I2112" t="s">
        <v>1634</v>
      </c>
      <c r="J2112" t="e">
        <v>#N/A</v>
      </c>
      <c r="K2112">
        <v>3.5</v>
      </c>
      <c r="L2112">
        <v>140</v>
      </c>
      <c r="M2112" s="1">
        <v>7</v>
      </c>
      <c r="N2112">
        <v>0</v>
      </c>
      <c r="O2112">
        <v>0</v>
      </c>
      <c r="P2112">
        <v>40</v>
      </c>
      <c r="Q2112" s="1">
        <v>40</v>
      </c>
      <c r="R2112">
        <v>3.5</v>
      </c>
      <c r="S2112" s="2">
        <v>46257</v>
      </c>
      <c r="T2112" s="2">
        <v>46258</v>
      </c>
      <c r="U2112">
        <v>0</v>
      </c>
      <c r="V2112">
        <v>0</v>
      </c>
      <c r="W2112">
        <v>0</v>
      </c>
      <c r="X2112">
        <v>0</v>
      </c>
      <c r="Y2112">
        <v>0</v>
      </c>
      <c r="Z2112" s="8">
        <v>0</v>
      </c>
      <c r="AA2112">
        <v>0</v>
      </c>
      <c r="AB2112" t="s">
        <v>1635</v>
      </c>
      <c r="AC2112" t="s">
        <v>1635</v>
      </c>
      <c r="AD2112" s="1" t="s">
        <v>1635</v>
      </c>
      <c r="AE2112" s="2" t="s">
        <v>1635</v>
      </c>
      <c r="AF2112" s="2" t="s">
        <v>1635</v>
      </c>
      <c r="AG2112" s="2" t="s">
        <v>1635</v>
      </c>
      <c r="AH2112">
        <v>0</v>
      </c>
      <c r="AI2112" s="3" t="s">
        <v>1635</v>
      </c>
      <c r="AJ2112" s="1" t="s">
        <v>1635</v>
      </c>
      <c r="AK2112" s="2" t="s">
        <v>1635</v>
      </c>
      <c r="AL2112" s="4" t="s">
        <v>1658</v>
      </c>
      <c r="AM2112" s="5" t="s">
        <v>1658</v>
      </c>
      <c r="AN2112" s="4">
        <v>0</v>
      </c>
      <c r="AO2112" t="s">
        <v>1635</v>
      </c>
      <c r="AP2112" s="4" t="s">
        <v>1658</v>
      </c>
      <c r="AQ2112" t="s">
        <v>1619</v>
      </c>
      <c r="AR2112" t="s">
        <v>1620</v>
      </c>
      <c r="AT2112" s="16" t="str">
        <f>_xlfn.XLOOKUP(B2112,'SWiSH Demand Forecast Sep-26'!D:D,'SWiSH Demand Forecast Sep-26'!G:G,"Not Exist")</f>
        <v>Not Exist</v>
      </c>
    </row>
    <row r="2113" spans="1:46" x14ac:dyDescent="0.3">
      <c r="A2113">
        <v>104600023</v>
      </c>
      <c r="B2113" t="s">
        <v>4000</v>
      </c>
      <c r="C2113" t="s">
        <v>10</v>
      </c>
      <c r="D2113" t="s">
        <v>1675</v>
      </c>
      <c r="E2113" t="s">
        <v>1638</v>
      </c>
      <c r="F2113" t="s">
        <v>1664</v>
      </c>
      <c r="G2113" t="s">
        <v>1704</v>
      </c>
      <c r="H2113" t="s">
        <v>1945</v>
      </c>
      <c r="I2113" t="s">
        <v>1634</v>
      </c>
      <c r="J2113" t="s">
        <v>10</v>
      </c>
      <c r="K2113">
        <v>1.58081</v>
      </c>
      <c r="L2113">
        <v>105.91427</v>
      </c>
      <c r="M2113" s="1">
        <v>15</v>
      </c>
      <c r="N2113">
        <v>0</v>
      </c>
      <c r="O2113">
        <v>0</v>
      </c>
      <c r="P2113">
        <v>67</v>
      </c>
      <c r="Q2113" s="1">
        <v>67</v>
      </c>
      <c r="R2113">
        <v>0</v>
      </c>
      <c r="S2113" s="2">
        <v>0</v>
      </c>
      <c r="T2113" s="2">
        <v>46174</v>
      </c>
      <c r="U2113">
        <v>0</v>
      </c>
      <c r="V2113">
        <v>0</v>
      </c>
      <c r="W2113">
        <v>0</v>
      </c>
      <c r="X2113">
        <v>0</v>
      </c>
      <c r="Y2113">
        <v>0</v>
      </c>
      <c r="Z2113" s="8">
        <v>0</v>
      </c>
      <c r="AA2113">
        <v>0</v>
      </c>
      <c r="AB2113" t="s">
        <v>1635</v>
      </c>
      <c r="AC2113" t="s">
        <v>1635</v>
      </c>
      <c r="AD2113" s="1" t="s">
        <v>1635</v>
      </c>
      <c r="AE2113" s="2" t="s">
        <v>1635</v>
      </c>
      <c r="AF2113" s="2" t="s">
        <v>1635</v>
      </c>
      <c r="AG2113" s="2" t="s">
        <v>1635</v>
      </c>
      <c r="AH2113">
        <v>0</v>
      </c>
      <c r="AI2113" s="3" t="s">
        <v>1635</v>
      </c>
      <c r="AJ2113" s="1" t="s">
        <v>1635</v>
      </c>
      <c r="AK2113" s="2" t="s">
        <v>1635</v>
      </c>
      <c r="AL2113" s="4" t="s">
        <v>1658</v>
      </c>
      <c r="AM2113" s="5" t="s">
        <v>1658</v>
      </c>
      <c r="AN2113" s="4">
        <v>0</v>
      </c>
      <c r="AO2113" t="s">
        <v>1635</v>
      </c>
      <c r="AP2113" s="4" t="s">
        <v>1658</v>
      </c>
      <c r="AQ2113" t="s">
        <v>1619</v>
      </c>
      <c r="AR2113" t="s">
        <v>1620</v>
      </c>
      <c r="AT2113" s="16" t="str">
        <f>_xlfn.XLOOKUP(B2113,'SWiSH Demand Forecast Sep-26'!D:D,'SWiSH Demand Forecast Sep-26'!G:G,"Not Exist")</f>
        <v>Not Exist</v>
      </c>
    </row>
    <row r="2114" spans="1:46" hidden="1" x14ac:dyDescent="0.3">
      <c r="A2114">
        <v>105600023</v>
      </c>
      <c r="B2114" t="s">
        <v>1316</v>
      </c>
      <c r="C2114" t="s">
        <v>136</v>
      </c>
      <c r="D2114" t="s">
        <v>1675</v>
      </c>
      <c r="E2114" t="s">
        <v>1663</v>
      </c>
      <c r="F2114" t="s">
        <v>1664</v>
      </c>
      <c r="G2114" t="s">
        <v>1704</v>
      </c>
      <c r="H2114" t="s">
        <v>1679</v>
      </c>
      <c r="I2114" t="s">
        <v>1634</v>
      </c>
      <c r="J2114" t="s">
        <v>136</v>
      </c>
      <c r="K2114">
        <v>0.61</v>
      </c>
      <c r="L2114">
        <v>213.5</v>
      </c>
      <c r="M2114" s="1">
        <v>30</v>
      </c>
      <c r="N2114">
        <v>0</v>
      </c>
      <c r="O2114">
        <v>0</v>
      </c>
      <c r="P2114">
        <v>350</v>
      </c>
      <c r="Q2114" s="1">
        <v>350</v>
      </c>
      <c r="R2114">
        <v>0.61</v>
      </c>
      <c r="S2114" s="2">
        <v>45642</v>
      </c>
      <c r="T2114" s="2">
        <v>45911</v>
      </c>
      <c r="U2114">
        <v>0</v>
      </c>
      <c r="V2114">
        <v>0</v>
      </c>
      <c r="W2114">
        <v>0</v>
      </c>
      <c r="X2114">
        <v>0</v>
      </c>
      <c r="Y2114">
        <v>0</v>
      </c>
      <c r="Z2114" s="8">
        <v>0</v>
      </c>
      <c r="AA2114">
        <v>0</v>
      </c>
      <c r="AB2114" t="s">
        <v>1635</v>
      </c>
      <c r="AC2114" t="s">
        <v>1635</v>
      </c>
      <c r="AD2114" s="1" t="s">
        <v>1635</v>
      </c>
      <c r="AE2114" s="2" t="s">
        <v>1635</v>
      </c>
      <c r="AF2114" s="2" t="s">
        <v>1635</v>
      </c>
      <c r="AG2114" s="2" t="s">
        <v>1635</v>
      </c>
      <c r="AH2114">
        <v>0</v>
      </c>
      <c r="AI2114" s="3" t="s">
        <v>1635</v>
      </c>
      <c r="AJ2114" s="1" t="s">
        <v>1635</v>
      </c>
      <c r="AK2114" s="2" t="s">
        <v>1635</v>
      </c>
      <c r="AL2114" s="4" t="s">
        <v>1658</v>
      </c>
      <c r="AM2114" s="5" t="s">
        <v>1658</v>
      </c>
      <c r="AN2114" s="4">
        <v>0</v>
      </c>
      <c r="AO2114" t="s">
        <v>1635</v>
      </c>
      <c r="AP2114" s="4" t="s">
        <v>1658</v>
      </c>
      <c r="AQ2114" t="s">
        <v>1619</v>
      </c>
      <c r="AR2114" t="s">
        <v>1620</v>
      </c>
      <c r="AT2114" s="16">
        <f>_xlfn.XLOOKUP(B2114,'SWiSH Demand Forecast Sep-26'!D:D,'SWiSH Demand Forecast Sep-26'!G:G,"Not Exist")</f>
        <v>28.869</v>
      </c>
    </row>
    <row r="2115" spans="1:46" x14ac:dyDescent="0.3">
      <c r="A2115">
        <v>106800114</v>
      </c>
      <c r="B2115" t="s">
        <v>4001</v>
      </c>
      <c r="C2115" t="s">
        <v>10</v>
      </c>
      <c r="D2115" t="s">
        <v>1629</v>
      </c>
      <c r="E2115" t="s">
        <v>1663</v>
      </c>
      <c r="F2115" t="s">
        <v>1664</v>
      </c>
      <c r="G2115" t="s">
        <v>1690</v>
      </c>
      <c r="H2115" t="s">
        <v>1665</v>
      </c>
      <c r="I2115" t="s">
        <v>1634</v>
      </c>
      <c r="J2115" t="s">
        <v>10</v>
      </c>
      <c r="K2115">
        <v>3.5000000000000001E-3</v>
      </c>
      <c r="L2115">
        <v>0</v>
      </c>
      <c r="M2115" s="1">
        <v>7</v>
      </c>
      <c r="N2115">
        <v>0</v>
      </c>
      <c r="O2115">
        <v>0</v>
      </c>
      <c r="P2115">
        <v>0</v>
      </c>
      <c r="Q2115" s="1">
        <v>0</v>
      </c>
      <c r="R2115">
        <v>3.5000000000000001E-3</v>
      </c>
      <c r="S2115" s="2">
        <v>45902</v>
      </c>
      <c r="T2115" s="2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 s="8">
        <v>0</v>
      </c>
      <c r="AA2115">
        <v>0</v>
      </c>
      <c r="AB2115" t="s">
        <v>1635</v>
      </c>
      <c r="AC2115" t="s">
        <v>1635</v>
      </c>
      <c r="AD2115" s="1" t="s">
        <v>1635</v>
      </c>
      <c r="AE2115" s="2" t="s">
        <v>1635</v>
      </c>
      <c r="AF2115" s="2" t="s">
        <v>1635</v>
      </c>
      <c r="AG2115" s="2" t="s">
        <v>1635</v>
      </c>
      <c r="AH2115">
        <v>0</v>
      </c>
      <c r="AI2115" s="3" t="s">
        <v>1635</v>
      </c>
      <c r="AJ2115" s="1" t="s">
        <v>1635</v>
      </c>
      <c r="AK2115" s="2" t="s">
        <v>1635</v>
      </c>
      <c r="AL2115" s="4" t="s">
        <v>1636</v>
      </c>
      <c r="AM2115" s="5" t="s">
        <v>1636</v>
      </c>
      <c r="AN2115" s="4">
        <v>0</v>
      </c>
      <c r="AO2115" t="s">
        <v>1635</v>
      </c>
      <c r="AP2115" s="4" t="s">
        <v>1636</v>
      </c>
      <c r="AQ2115" t="s">
        <v>1619</v>
      </c>
      <c r="AR2115" t="s">
        <v>1620</v>
      </c>
      <c r="AT2115" s="16" t="str">
        <f>_xlfn.XLOOKUP(B2115,'SWiSH Demand Forecast Sep-26'!D:D,'SWiSH Demand Forecast Sep-26'!G:G,"Not Exist")</f>
        <v>Not Exist</v>
      </c>
    </row>
    <row r="2116" spans="1:46" x14ac:dyDescent="0.3">
      <c r="A2116">
        <v>106800211</v>
      </c>
      <c r="B2116" t="s">
        <v>4002</v>
      </c>
      <c r="C2116" t="s">
        <v>10</v>
      </c>
      <c r="D2116" t="s">
        <v>1629</v>
      </c>
      <c r="E2116" t="s">
        <v>1949</v>
      </c>
      <c r="F2116" t="s">
        <v>1664</v>
      </c>
      <c r="G2116" t="s">
        <v>1690</v>
      </c>
      <c r="H2116" t="s">
        <v>1665</v>
      </c>
      <c r="I2116" t="s">
        <v>1634</v>
      </c>
      <c r="J2116" t="s">
        <v>10</v>
      </c>
      <c r="K2116">
        <v>0.02</v>
      </c>
      <c r="L2116">
        <v>0</v>
      </c>
      <c r="M2116" s="1">
        <v>7</v>
      </c>
      <c r="N2116">
        <v>0</v>
      </c>
      <c r="O2116">
        <v>0</v>
      </c>
      <c r="P2116">
        <v>0</v>
      </c>
      <c r="Q2116" s="1">
        <v>0</v>
      </c>
      <c r="R2116">
        <v>0.02</v>
      </c>
      <c r="S2116" s="2">
        <v>45942</v>
      </c>
      <c r="T2116" s="2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 s="8">
        <v>0</v>
      </c>
      <c r="AA2116">
        <v>0</v>
      </c>
      <c r="AB2116" t="s">
        <v>1635</v>
      </c>
      <c r="AC2116" t="s">
        <v>1635</v>
      </c>
      <c r="AD2116" s="1" t="s">
        <v>1635</v>
      </c>
      <c r="AE2116" s="2" t="s">
        <v>1635</v>
      </c>
      <c r="AF2116" s="2" t="s">
        <v>1635</v>
      </c>
      <c r="AG2116" s="2" t="s">
        <v>1635</v>
      </c>
      <c r="AH2116">
        <v>0</v>
      </c>
      <c r="AI2116" s="3" t="s">
        <v>1635</v>
      </c>
      <c r="AJ2116" s="1" t="s">
        <v>1635</v>
      </c>
      <c r="AK2116" s="2" t="s">
        <v>1635</v>
      </c>
      <c r="AL2116" s="4" t="s">
        <v>1636</v>
      </c>
      <c r="AM2116" s="5" t="s">
        <v>1636</v>
      </c>
      <c r="AN2116" s="4">
        <v>0</v>
      </c>
      <c r="AO2116" t="s">
        <v>1635</v>
      </c>
      <c r="AP2116" s="4" t="s">
        <v>1636</v>
      </c>
      <c r="AQ2116" t="s">
        <v>1619</v>
      </c>
      <c r="AR2116" t="s">
        <v>1620</v>
      </c>
      <c r="AT2116" s="16" t="str">
        <f>_xlfn.XLOOKUP(B2116,'SWiSH Demand Forecast Sep-26'!D:D,'SWiSH Demand Forecast Sep-26'!G:G,"Not Exist")</f>
        <v>Not Exist</v>
      </c>
    </row>
    <row r="2117" spans="1:46" x14ac:dyDescent="0.3">
      <c r="A2117">
        <v>100400136</v>
      </c>
      <c r="B2117" t="s">
        <v>4003</v>
      </c>
      <c r="C2117" t="s">
        <v>10</v>
      </c>
      <c r="D2117" t="s">
        <v>1675</v>
      </c>
      <c r="E2117" t="s">
        <v>1685</v>
      </c>
      <c r="F2117" t="s">
        <v>1664</v>
      </c>
      <c r="G2117" t="s">
        <v>1624</v>
      </c>
      <c r="H2117" t="s">
        <v>1810</v>
      </c>
      <c r="I2117" t="s">
        <v>1634</v>
      </c>
      <c r="J2117" t="s">
        <v>10</v>
      </c>
      <c r="K2117">
        <v>3.5000000000000003E-2</v>
      </c>
      <c r="L2117">
        <v>525</v>
      </c>
      <c r="M2117" s="1">
        <v>15</v>
      </c>
      <c r="N2117">
        <v>0</v>
      </c>
      <c r="O2117">
        <v>0</v>
      </c>
      <c r="P2117">
        <v>15000</v>
      </c>
      <c r="Q2117" s="1">
        <v>15000</v>
      </c>
      <c r="R2117">
        <v>3.5000000000000003E-2</v>
      </c>
      <c r="S2117" s="2">
        <v>46085</v>
      </c>
      <c r="T2117" s="2">
        <v>46060</v>
      </c>
      <c r="U2117">
        <v>0</v>
      </c>
      <c r="V2117">
        <v>0</v>
      </c>
      <c r="W2117">
        <v>0</v>
      </c>
      <c r="X2117">
        <v>0</v>
      </c>
      <c r="Y2117">
        <v>0</v>
      </c>
      <c r="Z2117" s="8">
        <v>0</v>
      </c>
      <c r="AA2117">
        <v>0</v>
      </c>
      <c r="AB2117" t="s">
        <v>1635</v>
      </c>
      <c r="AC2117" t="s">
        <v>1635</v>
      </c>
      <c r="AD2117" s="1" t="s">
        <v>1635</v>
      </c>
      <c r="AE2117" s="2" t="s">
        <v>1635</v>
      </c>
      <c r="AF2117" s="2" t="s">
        <v>1635</v>
      </c>
      <c r="AG2117" s="2" t="s">
        <v>1635</v>
      </c>
      <c r="AH2117">
        <v>0</v>
      </c>
      <c r="AI2117" s="3" t="s">
        <v>1635</v>
      </c>
      <c r="AJ2117" s="1" t="s">
        <v>1635</v>
      </c>
      <c r="AK2117" s="2" t="s">
        <v>1635</v>
      </c>
      <c r="AL2117" s="4" t="s">
        <v>1658</v>
      </c>
      <c r="AM2117" s="5" t="s">
        <v>1658</v>
      </c>
      <c r="AN2117" s="4">
        <v>0</v>
      </c>
      <c r="AO2117" t="s">
        <v>1635</v>
      </c>
      <c r="AP2117" s="4" t="s">
        <v>1658</v>
      </c>
      <c r="AQ2117" t="s">
        <v>1619</v>
      </c>
      <c r="AR2117" t="s">
        <v>1620</v>
      </c>
      <c r="AT2117" s="16" t="str">
        <f>_xlfn.XLOOKUP(B2117,'SWiSH Demand Forecast Sep-26'!D:D,'SWiSH Demand Forecast Sep-26'!G:G,"Not Exist")</f>
        <v>Not Exist</v>
      </c>
    </row>
    <row r="2118" spans="1:46" x14ac:dyDescent="0.3">
      <c r="A2118">
        <v>106800212</v>
      </c>
      <c r="B2118" t="s">
        <v>4004</v>
      </c>
      <c r="C2118" t="s">
        <v>10</v>
      </c>
      <c r="D2118" t="s">
        <v>1629</v>
      </c>
      <c r="E2118" t="s">
        <v>1949</v>
      </c>
      <c r="F2118" t="s">
        <v>1664</v>
      </c>
      <c r="G2118" t="s">
        <v>1690</v>
      </c>
      <c r="H2118" t="s">
        <v>1665</v>
      </c>
      <c r="I2118" t="s">
        <v>1634</v>
      </c>
      <c r="J2118" t="s">
        <v>10</v>
      </c>
      <c r="K2118">
        <v>0.02</v>
      </c>
      <c r="L2118">
        <v>0</v>
      </c>
      <c r="M2118" s="1">
        <v>7</v>
      </c>
      <c r="N2118">
        <v>0</v>
      </c>
      <c r="O2118">
        <v>0</v>
      </c>
      <c r="P2118">
        <v>0</v>
      </c>
      <c r="Q2118" s="1">
        <v>0</v>
      </c>
      <c r="R2118">
        <v>0.02</v>
      </c>
      <c r="S2118" s="2">
        <v>45942</v>
      </c>
      <c r="T2118" s="2">
        <v>46091</v>
      </c>
      <c r="U2118">
        <v>0</v>
      </c>
      <c r="V2118">
        <v>0</v>
      </c>
      <c r="W2118">
        <v>0</v>
      </c>
      <c r="X2118">
        <v>0</v>
      </c>
      <c r="Y2118">
        <v>0</v>
      </c>
      <c r="Z2118" s="8">
        <v>0</v>
      </c>
      <c r="AA2118">
        <v>0</v>
      </c>
      <c r="AB2118" t="s">
        <v>1635</v>
      </c>
      <c r="AC2118" t="s">
        <v>1635</v>
      </c>
      <c r="AD2118" s="1" t="s">
        <v>1635</v>
      </c>
      <c r="AE2118" s="2" t="s">
        <v>1635</v>
      </c>
      <c r="AF2118" s="2" t="s">
        <v>1635</v>
      </c>
      <c r="AG2118" s="2" t="s">
        <v>1635</v>
      </c>
      <c r="AH2118">
        <v>0</v>
      </c>
      <c r="AI2118" s="3" t="s">
        <v>1635</v>
      </c>
      <c r="AJ2118" s="1" t="s">
        <v>1635</v>
      </c>
      <c r="AK2118" s="2" t="s">
        <v>1635</v>
      </c>
      <c r="AL2118" s="4" t="s">
        <v>1636</v>
      </c>
      <c r="AM2118" s="5" t="s">
        <v>1636</v>
      </c>
      <c r="AN2118" s="4">
        <v>0</v>
      </c>
      <c r="AO2118" t="s">
        <v>1635</v>
      </c>
      <c r="AP2118" s="4" t="s">
        <v>1636</v>
      </c>
      <c r="AQ2118" t="s">
        <v>1619</v>
      </c>
      <c r="AR2118" t="s">
        <v>1620</v>
      </c>
      <c r="AT2118" s="16" t="str">
        <f>_xlfn.XLOOKUP(B2118,'SWiSH Demand Forecast Sep-26'!D:D,'SWiSH Demand Forecast Sep-26'!G:G,"Not Exist")</f>
        <v>Not Exist</v>
      </c>
    </row>
    <row r="2119" spans="1:46" x14ac:dyDescent="0.3">
      <c r="A2119">
        <v>106800308</v>
      </c>
      <c r="B2119" t="s">
        <v>4005</v>
      </c>
      <c r="C2119" t="s">
        <v>10</v>
      </c>
      <c r="D2119" t="s">
        <v>1675</v>
      </c>
      <c r="E2119" t="s">
        <v>1701</v>
      </c>
      <c r="F2119" t="s">
        <v>1664</v>
      </c>
      <c r="G2119" t="s">
        <v>1704</v>
      </c>
      <c r="H2119" t="s">
        <v>1665</v>
      </c>
      <c r="I2119" t="s">
        <v>1634</v>
      </c>
      <c r="J2119" t="s">
        <v>10</v>
      </c>
      <c r="K2119">
        <v>4.69697E-3</v>
      </c>
      <c r="L2119">
        <v>159.69698</v>
      </c>
      <c r="M2119" s="1">
        <v>7</v>
      </c>
      <c r="N2119">
        <v>0</v>
      </c>
      <c r="O2119">
        <v>0</v>
      </c>
      <c r="P2119">
        <v>34000</v>
      </c>
      <c r="Q2119" s="1">
        <v>34000</v>
      </c>
      <c r="R2119">
        <v>3.0000000000000001E-3</v>
      </c>
      <c r="S2119" s="2">
        <v>45956</v>
      </c>
      <c r="T2119" s="2">
        <v>46107</v>
      </c>
      <c r="U2119">
        <v>0</v>
      </c>
      <c r="V2119">
        <v>0</v>
      </c>
      <c r="W2119">
        <v>0</v>
      </c>
      <c r="X2119">
        <v>0</v>
      </c>
      <c r="Y2119">
        <v>0</v>
      </c>
      <c r="Z2119" s="8">
        <v>0</v>
      </c>
      <c r="AA2119">
        <v>0</v>
      </c>
      <c r="AB2119" t="s">
        <v>1635</v>
      </c>
      <c r="AC2119" t="s">
        <v>1635</v>
      </c>
      <c r="AD2119" s="1" t="s">
        <v>1635</v>
      </c>
      <c r="AE2119" s="2" t="s">
        <v>1635</v>
      </c>
      <c r="AF2119" s="2" t="s">
        <v>1635</v>
      </c>
      <c r="AG2119" s="2" t="s">
        <v>1635</v>
      </c>
      <c r="AH2119">
        <v>0</v>
      </c>
      <c r="AI2119" s="3" t="s">
        <v>1635</v>
      </c>
      <c r="AJ2119" s="1" t="s">
        <v>1635</v>
      </c>
      <c r="AK2119" s="2" t="s">
        <v>1635</v>
      </c>
      <c r="AL2119" s="4" t="s">
        <v>1658</v>
      </c>
      <c r="AM2119" s="5" t="s">
        <v>1658</v>
      </c>
      <c r="AN2119" s="4">
        <v>0</v>
      </c>
      <c r="AO2119" t="s">
        <v>1635</v>
      </c>
      <c r="AP2119" s="4" t="s">
        <v>1658</v>
      </c>
      <c r="AQ2119" t="s">
        <v>1619</v>
      </c>
      <c r="AR2119" t="s">
        <v>1620</v>
      </c>
      <c r="AT2119" s="16" t="str">
        <f>_xlfn.XLOOKUP(B2119,'SWiSH Demand Forecast Sep-26'!D:D,'SWiSH Demand Forecast Sep-26'!G:G,"Not Exist")</f>
        <v>Not Exist</v>
      </c>
    </row>
    <row r="2120" spans="1:46" x14ac:dyDescent="0.3">
      <c r="A2120">
        <v>106100005</v>
      </c>
      <c r="B2120" t="s">
        <v>4006</v>
      </c>
      <c r="C2120" t="s">
        <v>10</v>
      </c>
      <c r="D2120" t="s">
        <v>1675</v>
      </c>
      <c r="E2120" t="s">
        <v>1643</v>
      </c>
      <c r="F2120" t="s">
        <v>1631</v>
      </c>
      <c r="G2120" t="s">
        <v>1616</v>
      </c>
      <c r="H2120" t="s">
        <v>2242</v>
      </c>
      <c r="I2120" t="s">
        <v>1634</v>
      </c>
      <c r="J2120" t="e">
        <v>#N/A</v>
      </c>
      <c r="K2120">
        <v>0.13542000000000001</v>
      </c>
      <c r="L2120">
        <v>0</v>
      </c>
      <c r="M2120" s="1">
        <v>3</v>
      </c>
      <c r="N2120">
        <v>0</v>
      </c>
      <c r="O2120">
        <v>0</v>
      </c>
      <c r="P2120">
        <v>0</v>
      </c>
      <c r="Q2120" s="1">
        <v>0</v>
      </c>
      <c r="R2120">
        <v>0</v>
      </c>
      <c r="S2120" s="2">
        <v>45968</v>
      </c>
      <c r="T2120" s="2">
        <v>46054</v>
      </c>
      <c r="U2120">
        <v>0</v>
      </c>
      <c r="V2120">
        <v>0</v>
      </c>
      <c r="W2120">
        <v>0</v>
      </c>
      <c r="X2120">
        <v>0</v>
      </c>
      <c r="Y2120">
        <v>0</v>
      </c>
      <c r="Z2120" s="8">
        <v>0</v>
      </c>
      <c r="AA2120">
        <v>0</v>
      </c>
      <c r="AB2120" t="s">
        <v>1635</v>
      </c>
      <c r="AC2120" t="s">
        <v>1635</v>
      </c>
      <c r="AD2120" s="1" t="s">
        <v>1635</v>
      </c>
      <c r="AE2120" s="2" t="s">
        <v>1635</v>
      </c>
      <c r="AF2120" s="2" t="s">
        <v>1635</v>
      </c>
      <c r="AG2120" s="2" t="s">
        <v>1635</v>
      </c>
      <c r="AH2120">
        <v>0</v>
      </c>
      <c r="AI2120" s="3" t="s">
        <v>1635</v>
      </c>
      <c r="AJ2120" s="1" t="s">
        <v>1635</v>
      </c>
      <c r="AK2120" s="2" t="s">
        <v>1635</v>
      </c>
      <c r="AL2120" s="4" t="s">
        <v>1658</v>
      </c>
      <c r="AM2120" s="5" t="s">
        <v>1658</v>
      </c>
      <c r="AN2120" s="4">
        <v>0</v>
      </c>
      <c r="AO2120" t="s">
        <v>1635</v>
      </c>
      <c r="AP2120" s="4" t="s">
        <v>1658</v>
      </c>
      <c r="AQ2120" t="s">
        <v>1619</v>
      </c>
      <c r="AR2120" t="s">
        <v>1620</v>
      </c>
      <c r="AT2120" s="16" t="str">
        <f>_xlfn.XLOOKUP(B2120,'SWiSH Demand Forecast Sep-26'!D:D,'SWiSH Demand Forecast Sep-26'!G:G,"Not Exist")</f>
        <v>Not Exist</v>
      </c>
    </row>
    <row r="2121" spans="1:46" x14ac:dyDescent="0.3">
      <c r="A2121">
        <v>106800304</v>
      </c>
      <c r="B2121" t="s">
        <v>4007</v>
      </c>
      <c r="C2121" t="s">
        <v>10</v>
      </c>
      <c r="D2121" t="s">
        <v>1675</v>
      </c>
      <c r="E2121" t="s">
        <v>1701</v>
      </c>
      <c r="F2121" t="s">
        <v>1664</v>
      </c>
      <c r="G2121" t="s">
        <v>1704</v>
      </c>
      <c r="H2121" t="s">
        <v>1665</v>
      </c>
      <c r="I2121" t="s">
        <v>1634</v>
      </c>
      <c r="J2121" t="s">
        <v>10</v>
      </c>
      <c r="K2121">
        <v>4.1132399999999998E-3</v>
      </c>
      <c r="L2121">
        <v>135.73692</v>
      </c>
      <c r="M2121" s="1">
        <v>7</v>
      </c>
      <c r="N2121">
        <v>0</v>
      </c>
      <c r="O2121">
        <v>0</v>
      </c>
      <c r="P2121">
        <v>33000</v>
      </c>
      <c r="Q2121" s="1">
        <v>33000</v>
      </c>
      <c r="R2121">
        <v>3.0000000000000001E-3</v>
      </c>
      <c r="S2121" s="2">
        <v>45953</v>
      </c>
      <c r="T2121" s="2">
        <v>46107</v>
      </c>
      <c r="U2121">
        <v>0</v>
      </c>
      <c r="V2121">
        <v>0</v>
      </c>
      <c r="W2121">
        <v>0</v>
      </c>
      <c r="X2121">
        <v>0</v>
      </c>
      <c r="Y2121">
        <v>0</v>
      </c>
      <c r="Z2121" s="8">
        <v>0</v>
      </c>
      <c r="AA2121">
        <v>0</v>
      </c>
      <c r="AB2121" t="s">
        <v>1635</v>
      </c>
      <c r="AC2121" t="s">
        <v>1635</v>
      </c>
      <c r="AD2121" s="1" t="s">
        <v>1635</v>
      </c>
      <c r="AE2121" s="2" t="s">
        <v>1635</v>
      </c>
      <c r="AF2121" s="2" t="s">
        <v>1635</v>
      </c>
      <c r="AG2121" s="2" t="s">
        <v>1635</v>
      </c>
      <c r="AH2121">
        <v>0</v>
      </c>
      <c r="AI2121" s="3" t="s">
        <v>1635</v>
      </c>
      <c r="AJ2121" s="1" t="s">
        <v>1635</v>
      </c>
      <c r="AK2121" s="2" t="s">
        <v>1635</v>
      </c>
      <c r="AL2121" s="4" t="s">
        <v>1658</v>
      </c>
      <c r="AM2121" s="5" t="s">
        <v>1658</v>
      </c>
      <c r="AN2121" s="4">
        <v>0</v>
      </c>
      <c r="AO2121" t="s">
        <v>1635</v>
      </c>
      <c r="AP2121" s="4" t="s">
        <v>1658</v>
      </c>
      <c r="AQ2121" t="s">
        <v>1619</v>
      </c>
      <c r="AR2121" t="s">
        <v>1620</v>
      </c>
      <c r="AT2121" s="16" t="str">
        <f>_xlfn.XLOOKUP(B2121,'SWiSH Demand Forecast Sep-26'!D:D,'SWiSH Demand Forecast Sep-26'!G:G,"Not Exist")</f>
        <v>Not Exist</v>
      </c>
    </row>
    <row r="2122" spans="1:46" x14ac:dyDescent="0.3">
      <c r="A2122">
        <v>100800021</v>
      </c>
      <c r="B2122" t="s">
        <v>4008</v>
      </c>
      <c r="C2122" t="s">
        <v>10</v>
      </c>
      <c r="D2122" t="s">
        <v>1629</v>
      </c>
      <c r="E2122" t="s">
        <v>1638</v>
      </c>
      <c r="F2122" t="s">
        <v>1639</v>
      </c>
      <c r="G2122" t="s">
        <v>1632</v>
      </c>
      <c r="H2122" t="s">
        <v>1640</v>
      </c>
      <c r="I2122" t="s">
        <v>1618</v>
      </c>
      <c r="J2122" t="s">
        <v>1823</v>
      </c>
      <c r="K2122">
        <v>0</v>
      </c>
      <c r="L2122">
        <v>0</v>
      </c>
      <c r="M2122" s="1">
        <v>3</v>
      </c>
      <c r="N2122">
        <v>0</v>
      </c>
      <c r="O2122">
        <v>0</v>
      </c>
      <c r="P2122">
        <v>0</v>
      </c>
      <c r="Q2122" s="1">
        <v>0</v>
      </c>
      <c r="R2122">
        <v>0</v>
      </c>
      <c r="S2122" s="2">
        <v>0</v>
      </c>
      <c r="T2122" s="2">
        <v>46098</v>
      </c>
      <c r="U2122">
        <v>0</v>
      </c>
      <c r="V2122">
        <v>0</v>
      </c>
      <c r="W2122">
        <v>0</v>
      </c>
      <c r="X2122">
        <v>0</v>
      </c>
      <c r="Y2122">
        <v>0</v>
      </c>
      <c r="Z2122" s="8">
        <v>0</v>
      </c>
      <c r="AA2122">
        <v>0</v>
      </c>
      <c r="AB2122" t="s">
        <v>1635</v>
      </c>
      <c r="AC2122" t="s">
        <v>1635</v>
      </c>
      <c r="AD2122" s="1" t="s">
        <v>1635</v>
      </c>
      <c r="AE2122" s="2" t="s">
        <v>1635</v>
      </c>
      <c r="AF2122" s="2" t="s">
        <v>1635</v>
      </c>
      <c r="AG2122" s="2" t="s">
        <v>1635</v>
      </c>
      <c r="AH2122">
        <v>0</v>
      </c>
      <c r="AI2122" s="3" t="s">
        <v>1635</v>
      </c>
      <c r="AJ2122" s="1" t="s">
        <v>1635</v>
      </c>
      <c r="AK2122" s="2" t="s">
        <v>1635</v>
      </c>
      <c r="AL2122" s="4" t="s">
        <v>1636</v>
      </c>
      <c r="AM2122" s="5" t="s">
        <v>1636</v>
      </c>
      <c r="AN2122" s="4">
        <v>0</v>
      </c>
      <c r="AO2122" t="s">
        <v>1635</v>
      </c>
      <c r="AP2122" s="4" t="s">
        <v>1636</v>
      </c>
      <c r="AQ2122" t="s">
        <v>1619</v>
      </c>
      <c r="AR2122" t="s">
        <v>1620</v>
      </c>
      <c r="AT2122" s="16" t="str">
        <f>_xlfn.XLOOKUP(B2122,'SWiSH Demand Forecast Sep-26'!D:D,'SWiSH Demand Forecast Sep-26'!G:G,"Not Exist")</f>
        <v>Not Exist</v>
      </c>
    </row>
    <row r="2123" spans="1:46" x14ac:dyDescent="0.3">
      <c r="A2123">
        <v>106600112</v>
      </c>
      <c r="B2123" t="s">
        <v>4009</v>
      </c>
      <c r="C2123" t="s">
        <v>10</v>
      </c>
      <c r="D2123" t="s">
        <v>1675</v>
      </c>
      <c r="E2123" t="s">
        <v>1926</v>
      </c>
      <c r="F2123" t="s">
        <v>1664</v>
      </c>
      <c r="G2123" t="s">
        <v>1704</v>
      </c>
      <c r="H2123" t="s">
        <v>1723</v>
      </c>
      <c r="I2123" t="s">
        <v>1634</v>
      </c>
      <c r="J2123" t="s">
        <v>10</v>
      </c>
      <c r="K2123">
        <v>6.6699999999999997E-3</v>
      </c>
      <c r="L2123">
        <v>201.76749999999998</v>
      </c>
      <c r="M2123" s="1">
        <v>15</v>
      </c>
      <c r="N2123">
        <v>0</v>
      </c>
      <c r="O2123">
        <v>0</v>
      </c>
      <c r="P2123">
        <v>30250</v>
      </c>
      <c r="Q2123" s="1">
        <v>30250</v>
      </c>
      <c r="R2123">
        <v>6.6699999999999997E-3</v>
      </c>
      <c r="S2123" s="2">
        <v>45775</v>
      </c>
      <c r="T2123" s="2">
        <v>46107</v>
      </c>
      <c r="U2123">
        <v>0</v>
      </c>
      <c r="V2123">
        <v>0</v>
      </c>
      <c r="W2123">
        <v>0</v>
      </c>
      <c r="X2123">
        <v>0</v>
      </c>
      <c r="Y2123">
        <v>0</v>
      </c>
      <c r="Z2123" s="8">
        <v>0</v>
      </c>
      <c r="AA2123">
        <v>0</v>
      </c>
      <c r="AB2123" t="s">
        <v>1635</v>
      </c>
      <c r="AC2123" t="s">
        <v>1635</v>
      </c>
      <c r="AD2123" s="1" t="s">
        <v>1635</v>
      </c>
      <c r="AE2123" s="2" t="s">
        <v>1635</v>
      </c>
      <c r="AF2123" s="2" t="s">
        <v>1635</v>
      </c>
      <c r="AG2123" s="2" t="s">
        <v>1635</v>
      </c>
      <c r="AH2123">
        <v>0</v>
      </c>
      <c r="AI2123" s="3" t="s">
        <v>1635</v>
      </c>
      <c r="AJ2123" s="1" t="s">
        <v>1635</v>
      </c>
      <c r="AK2123" s="2" t="s">
        <v>1635</v>
      </c>
      <c r="AL2123" s="4" t="s">
        <v>1658</v>
      </c>
      <c r="AM2123" s="5" t="s">
        <v>1658</v>
      </c>
      <c r="AN2123" s="4">
        <v>0</v>
      </c>
      <c r="AO2123" t="s">
        <v>1635</v>
      </c>
      <c r="AP2123" s="4" t="s">
        <v>1658</v>
      </c>
      <c r="AQ2123" t="s">
        <v>1619</v>
      </c>
      <c r="AR2123" t="s">
        <v>1620</v>
      </c>
      <c r="AT2123" s="16" t="str">
        <f>_xlfn.XLOOKUP(B2123,'SWiSH Demand Forecast Sep-26'!D:D,'SWiSH Demand Forecast Sep-26'!G:G,"Not Exist")</f>
        <v>Not Exist</v>
      </c>
    </row>
    <row r="2124" spans="1:46" x14ac:dyDescent="0.3">
      <c r="A2124">
        <v>106800213</v>
      </c>
      <c r="B2124" t="s">
        <v>4010</v>
      </c>
      <c r="C2124" t="s">
        <v>10</v>
      </c>
      <c r="D2124" t="s">
        <v>1629</v>
      </c>
      <c r="E2124" t="s">
        <v>1949</v>
      </c>
      <c r="F2124" t="s">
        <v>1664</v>
      </c>
      <c r="G2124" t="s">
        <v>1690</v>
      </c>
      <c r="H2124" t="s">
        <v>1665</v>
      </c>
      <c r="I2124" t="s">
        <v>1634</v>
      </c>
      <c r="J2124" t="s">
        <v>10</v>
      </c>
      <c r="K2124">
        <v>1.7139999999999999E-2</v>
      </c>
      <c r="L2124">
        <v>0</v>
      </c>
      <c r="M2124" s="1">
        <v>7</v>
      </c>
      <c r="N2124">
        <v>0</v>
      </c>
      <c r="O2124">
        <v>0</v>
      </c>
      <c r="P2124">
        <v>0</v>
      </c>
      <c r="Q2124" s="1">
        <v>0</v>
      </c>
      <c r="R2124">
        <v>1.7139999999999999E-2</v>
      </c>
      <c r="S2124" s="2">
        <v>45942</v>
      </c>
      <c r="T2124" s="2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 s="8">
        <v>0</v>
      </c>
      <c r="AA2124">
        <v>0</v>
      </c>
      <c r="AB2124" t="s">
        <v>1635</v>
      </c>
      <c r="AC2124" t="s">
        <v>1635</v>
      </c>
      <c r="AD2124" s="1" t="s">
        <v>1635</v>
      </c>
      <c r="AE2124" s="2" t="s">
        <v>1635</v>
      </c>
      <c r="AF2124" s="2" t="s">
        <v>1635</v>
      </c>
      <c r="AG2124" s="2" t="s">
        <v>1635</v>
      </c>
      <c r="AH2124">
        <v>0</v>
      </c>
      <c r="AI2124" s="3" t="s">
        <v>1635</v>
      </c>
      <c r="AJ2124" s="1" t="s">
        <v>1635</v>
      </c>
      <c r="AK2124" s="2" t="s">
        <v>1635</v>
      </c>
      <c r="AL2124" s="4" t="s">
        <v>1636</v>
      </c>
      <c r="AM2124" s="5" t="s">
        <v>1636</v>
      </c>
      <c r="AN2124" s="4">
        <v>0</v>
      </c>
      <c r="AO2124" t="s">
        <v>1635</v>
      </c>
      <c r="AP2124" s="4" t="s">
        <v>1636</v>
      </c>
      <c r="AQ2124" t="s">
        <v>1619</v>
      </c>
      <c r="AR2124" t="s">
        <v>1620</v>
      </c>
      <c r="AT2124" s="16" t="str">
        <f>_xlfn.XLOOKUP(B2124,'SWiSH Demand Forecast Sep-26'!D:D,'SWiSH Demand Forecast Sep-26'!G:G,"Not Exist")</f>
        <v>Not Exist</v>
      </c>
    </row>
    <row r="2125" spans="1:46" x14ac:dyDescent="0.3">
      <c r="A2125">
        <v>106800307</v>
      </c>
      <c r="B2125" t="s">
        <v>4011</v>
      </c>
      <c r="C2125" t="s">
        <v>10</v>
      </c>
      <c r="D2125" t="s">
        <v>1675</v>
      </c>
      <c r="E2125" t="s">
        <v>1701</v>
      </c>
      <c r="F2125" t="s">
        <v>1664</v>
      </c>
      <c r="G2125" t="s">
        <v>1704</v>
      </c>
      <c r="H2125" t="s">
        <v>1665</v>
      </c>
      <c r="I2125" t="s">
        <v>1634</v>
      </c>
      <c r="J2125" t="s">
        <v>10</v>
      </c>
      <c r="K2125">
        <v>4.73684E-3</v>
      </c>
      <c r="L2125">
        <v>161.05256</v>
      </c>
      <c r="M2125" s="1">
        <v>7</v>
      </c>
      <c r="N2125">
        <v>0</v>
      </c>
      <c r="O2125">
        <v>0</v>
      </c>
      <c r="P2125">
        <v>34000</v>
      </c>
      <c r="Q2125" s="1">
        <v>34000</v>
      </c>
      <c r="R2125">
        <v>3.0000000000000001E-3</v>
      </c>
      <c r="S2125" s="2">
        <v>45956</v>
      </c>
      <c r="T2125" s="2">
        <v>46107</v>
      </c>
      <c r="U2125">
        <v>0</v>
      </c>
      <c r="V2125">
        <v>0</v>
      </c>
      <c r="W2125">
        <v>0</v>
      </c>
      <c r="X2125">
        <v>0</v>
      </c>
      <c r="Y2125">
        <v>0</v>
      </c>
      <c r="Z2125" s="8">
        <v>0</v>
      </c>
      <c r="AA2125">
        <v>0</v>
      </c>
      <c r="AB2125" t="s">
        <v>1635</v>
      </c>
      <c r="AC2125" t="s">
        <v>1635</v>
      </c>
      <c r="AD2125" s="1" t="s">
        <v>1635</v>
      </c>
      <c r="AE2125" s="2" t="s">
        <v>1635</v>
      </c>
      <c r="AF2125" s="2" t="s">
        <v>1635</v>
      </c>
      <c r="AG2125" s="2" t="s">
        <v>1635</v>
      </c>
      <c r="AH2125">
        <v>0</v>
      </c>
      <c r="AI2125" s="3" t="s">
        <v>1635</v>
      </c>
      <c r="AJ2125" s="1" t="s">
        <v>1635</v>
      </c>
      <c r="AK2125" s="2" t="s">
        <v>1635</v>
      </c>
      <c r="AL2125" s="4" t="s">
        <v>1658</v>
      </c>
      <c r="AM2125" s="5" t="s">
        <v>1658</v>
      </c>
      <c r="AN2125" s="4">
        <v>0</v>
      </c>
      <c r="AO2125" t="s">
        <v>1635</v>
      </c>
      <c r="AP2125" s="4" t="s">
        <v>1658</v>
      </c>
      <c r="AQ2125" t="s">
        <v>1619</v>
      </c>
      <c r="AR2125" t="s">
        <v>1620</v>
      </c>
      <c r="AT2125" s="16" t="str">
        <f>_xlfn.XLOOKUP(B2125,'SWiSH Demand Forecast Sep-26'!D:D,'SWiSH Demand Forecast Sep-26'!G:G,"Not Exist")</f>
        <v>Not Exist</v>
      </c>
    </row>
    <row r="2126" spans="1:46" x14ac:dyDescent="0.3">
      <c r="A2126">
        <v>104600035</v>
      </c>
      <c r="B2126" t="s">
        <v>4012</v>
      </c>
      <c r="C2126" t="s">
        <v>10</v>
      </c>
      <c r="D2126" t="s">
        <v>1675</v>
      </c>
      <c r="E2126" t="s">
        <v>1638</v>
      </c>
      <c r="F2126" t="s">
        <v>1664</v>
      </c>
      <c r="G2126" t="s">
        <v>1704</v>
      </c>
      <c r="H2126" t="s">
        <v>1945</v>
      </c>
      <c r="I2126" t="s">
        <v>1634</v>
      </c>
      <c r="J2126" t="s">
        <v>10</v>
      </c>
      <c r="K2126">
        <v>0.31141999999999997</v>
      </c>
      <c r="L2126">
        <v>0</v>
      </c>
      <c r="M2126" s="1">
        <v>15</v>
      </c>
      <c r="N2126">
        <v>0</v>
      </c>
      <c r="O2126">
        <v>0</v>
      </c>
      <c r="P2126">
        <v>0</v>
      </c>
      <c r="Q2126" s="1">
        <v>0</v>
      </c>
      <c r="R2126">
        <v>0</v>
      </c>
      <c r="S2126" s="2">
        <v>0</v>
      </c>
      <c r="T2126" s="2">
        <v>45968</v>
      </c>
      <c r="U2126">
        <v>0</v>
      </c>
      <c r="V2126">
        <v>0</v>
      </c>
      <c r="W2126">
        <v>0</v>
      </c>
      <c r="X2126">
        <v>0</v>
      </c>
      <c r="Y2126">
        <v>0</v>
      </c>
      <c r="Z2126" s="8">
        <v>0</v>
      </c>
      <c r="AA2126">
        <v>0</v>
      </c>
      <c r="AB2126" t="s">
        <v>1635</v>
      </c>
      <c r="AC2126" t="s">
        <v>1635</v>
      </c>
      <c r="AD2126" s="1" t="s">
        <v>1635</v>
      </c>
      <c r="AE2126" s="2" t="s">
        <v>1635</v>
      </c>
      <c r="AF2126" s="2" t="s">
        <v>1635</v>
      </c>
      <c r="AG2126" s="2" t="s">
        <v>1635</v>
      </c>
      <c r="AH2126">
        <v>0</v>
      </c>
      <c r="AI2126" s="3" t="s">
        <v>1635</v>
      </c>
      <c r="AJ2126" s="1" t="s">
        <v>1635</v>
      </c>
      <c r="AK2126" s="2" t="s">
        <v>1635</v>
      </c>
      <c r="AL2126" s="4" t="s">
        <v>1658</v>
      </c>
      <c r="AM2126" s="5" t="s">
        <v>1658</v>
      </c>
      <c r="AN2126" s="4">
        <v>0</v>
      </c>
      <c r="AO2126" t="s">
        <v>1635</v>
      </c>
      <c r="AP2126" s="4" t="s">
        <v>1658</v>
      </c>
      <c r="AQ2126" t="s">
        <v>1619</v>
      </c>
      <c r="AR2126" t="s">
        <v>1620</v>
      </c>
      <c r="AT2126" s="16" t="str">
        <f>_xlfn.XLOOKUP(B2126,'SWiSH Demand Forecast Sep-26'!D:D,'SWiSH Demand Forecast Sep-26'!G:G,"Not Exist")</f>
        <v>Not Exist</v>
      </c>
    </row>
    <row r="2127" spans="1:46" x14ac:dyDescent="0.3">
      <c r="A2127">
        <v>106800000</v>
      </c>
      <c r="B2127" t="s">
        <v>4013</v>
      </c>
      <c r="C2127" t="s">
        <v>10</v>
      </c>
      <c r="D2127" t="s">
        <v>1629</v>
      </c>
      <c r="E2127" t="s">
        <v>1638</v>
      </c>
      <c r="F2127" t="s">
        <v>1664</v>
      </c>
      <c r="G2127" t="s">
        <v>1690</v>
      </c>
      <c r="H2127" t="s">
        <v>1665</v>
      </c>
      <c r="I2127" t="s">
        <v>1634</v>
      </c>
      <c r="J2127" t="s">
        <v>10</v>
      </c>
      <c r="K2127">
        <v>1.0857139999999999E-2</v>
      </c>
      <c r="L2127">
        <v>0</v>
      </c>
      <c r="M2127" s="1">
        <v>7</v>
      </c>
      <c r="N2127">
        <v>0</v>
      </c>
      <c r="O2127">
        <v>0</v>
      </c>
      <c r="P2127">
        <v>0</v>
      </c>
      <c r="Q2127" s="1">
        <v>0</v>
      </c>
      <c r="R2127">
        <v>1.7999999999999999E-2</v>
      </c>
      <c r="S2127" s="2">
        <v>45368</v>
      </c>
      <c r="T2127" s="2">
        <v>46103</v>
      </c>
      <c r="U2127">
        <v>0</v>
      </c>
      <c r="V2127">
        <v>0</v>
      </c>
      <c r="W2127">
        <v>0</v>
      </c>
      <c r="X2127">
        <v>0</v>
      </c>
      <c r="Y2127">
        <v>0</v>
      </c>
      <c r="Z2127" s="8">
        <v>0</v>
      </c>
      <c r="AA2127">
        <v>0</v>
      </c>
      <c r="AB2127" t="s">
        <v>1635</v>
      </c>
      <c r="AC2127" t="s">
        <v>1635</v>
      </c>
      <c r="AD2127" s="1" t="s">
        <v>1635</v>
      </c>
      <c r="AE2127" s="2" t="s">
        <v>1635</v>
      </c>
      <c r="AF2127" s="2" t="s">
        <v>1635</v>
      </c>
      <c r="AG2127" s="2" t="s">
        <v>1635</v>
      </c>
      <c r="AH2127">
        <v>0</v>
      </c>
      <c r="AI2127" s="3" t="s">
        <v>1635</v>
      </c>
      <c r="AJ2127" s="1" t="s">
        <v>1635</v>
      </c>
      <c r="AK2127" s="2" t="s">
        <v>1635</v>
      </c>
      <c r="AL2127" s="4" t="s">
        <v>1636</v>
      </c>
      <c r="AM2127" s="5" t="s">
        <v>1636</v>
      </c>
      <c r="AN2127" s="4">
        <v>0</v>
      </c>
      <c r="AO2127" t="s">
        <v>1635</v>
      </c>
      <c r="AP2127" s="4" t="s">
        <v>1636</v>
      </c>
      <c r="AQ2127" t="s">
        <v>1619</v>
      </c>
      <c r="AR2127" t="s">
        <v>1620</v>
      </c>
      <c r="AT2127" s="16" t="str">
        <f>_xlfn.XLOOKUP(B2127,'SWiSH Demand Forecast Sep-26'!D:D,'SWiSH Demand Forecast Sep-26'!G:G,"Not Exist")</f>
        <v>Not Exist</v>
      </c>
    </row>
    <row r="2128" spans="1:46" x14ac:dyDescent="0.3">
      <c r="A2128">
        <v>106800026</v>
      </c>
      <c r="B2128" t="s">
        <v>4014</v>
      </c>
      <c r="C2128" t="s">
        <v>10</v>
      </c>
      <c r="D2128" t="s">
        <v>1629</v>
      </c>
      <c r="E2128" t="s">
        <v>1685</v>
      </c>
      <c r="F2128" t="s">
        <v>1664</v>
      </c>
      <c r="G2128" t="s">
        <v>1690</v>
      </c>
      <c r="H2128" t="s">
        <v>1665</v>
      </c>
      <c r="I2128" t="s">
        <v>1634</v>
      </c>
      <c r="J2128" t="s">
        <v>10</v>
      </c>
      <c r="K2128">
        <v>0.01</v>
      </c>
      <c r="L2128">
        <v>0</v>
      </c>
      <c r="M2128" s="1">
        <v>7</v>
      </c>
      <c r="N2128">
        <v>0</v>
      </c>
      <c r="O2128">
        <v>0</v>
      </c>
      <c r="P2128">
        <v>0</v>
      </c>
      <c r="Q2128" s="1">
        <v>0</v>
      </c>
      <c r="R2128">
        <v>0.01</v>
      </c>
      <c r="S2128" s="2">
        <v>46111</v>
      </c>
      <c r="T2128" s="2">
        <v>45754</v>
      </c>
      <c r="U2128">
        <v>0</v>
      </c>
      <c r="V2128">
        <v>0</v>
      </c>
      <c r="W2128">
        <v>0</v>
      </c>
      <c r="X2128">
        <v>0</v>
      </c>
      <c r="Y2128">
        <v>0</v>
      </c>
      <c r="Z2128" s="8">
        <v>0</v>
      </c>
      <c r="AA2128">
        <v>0</v>
      </c>
      <c r="AB2128" t="s">
        <v>1635</v>
      </c>
      <c r="AC2128" t="s">
        <v>1635</v>
      </c>
      <c r="AD2128" s="1" t="s">
        <v>1635</v>
      </c>
      <c r="AE2128" s="2" t="s">
        <v>1635</v>
      </c>
      <c r="AF2128" s="2" t="s">
        <v>1635</v>
      </c>
      <c r="AG2128" s="2" t="s">
        <v>1635</v>
      </c>
      <c r="AH2128">
        <v>0</v>
      </c>
      <c r="AI2128" s="3" t="s">
        <v>1635</v>
      </c>
      <c r="AJ2128" s="1" t="s">
        <v>1635</v>
      </c>
      <c r="AK2128" s="2" t="s">
        <v>1635</v>
      </c>
      <c r="AL2128" s="4" t="s">
        <v>1636</v>
      </c>
      <c r="AM2128" s="5" t="s">
        <v>1636</v>
      </c>
      <c r="AN2128" s="4">
        <v>0</v>
      </c>
      <c r="AO2128" t="s">
        <v>1635</v>
      </c>
      <c r="AP2128" s="4" t="s">
        <v>1636</v>
      </c>
      <c r="AQ2128" t="s">
        <v>1619</v>
      </c>
      <c r="AR2128" t="s">
        <v>1620</v>
      </c>
      <c r="AT2128" s="16" t="str">
        <f>_xlfn.XLOOKUP(B2128,'SWiSH Demand Forecast Sep-26'!D:D,'SWiSH Demand Forecast Sep-26'!G:G,"Not Exist")</f>
        <v>Not Exist</v>
      </c>
    </row>
    <row r="2129" spans="1:46" x14ac:dyDescent="0.3">
      <c r="A2129">
        <v>106800029</v>
      </c>
      <c r="B2129" t="s">
        <v>4015</v>
      </c>
      <c r="C2129" t="s">
        <v>10</v>
      </c>
      <c r="D2129" t="s">
        <v>1675</v>
      </c>
      <c r="E2129" t="s">
        <v>1685</v>
      </c>
      <c r="F2129" t="s">
        <v>1664</v>
      </c>
      <c r="G2129" t="s">
        <v>1624</v>
      </c>
      <c r="H2129" t="s">
        <v>1665</v>
      </c>
      <c r="I2129" t="s">
        <v>1634</v>
      </c>
      <c r="J2129" t="s">
        <v>10</v>
      </c>
      <c r="K2129">
        <v>0.01</v>
      </c>
      <c r="L2129">
        <v>30</v>
      </c>
      <c r="M2129" s="1">
        <v>7</v>
      </c>
      <c r="N2129">
        <v>0</v>
      </c>
      <c r="O2129">
        <v>0</v>
      </c>
      <c r="P2129">
        <v>3000</v>
      </c>
      <c r="Q2129" s="1">
        <v>3000</v>
      </c>
      <c r="R2129">
        <v>0.01</v>
      </c>
      <c r="S2129" s="2">
        <v>46121</v>
      </c>
      <c r="T2129" s="2">
        <v>46055</v>
      </c>
      <c r="U2129">
        <v>0</v>
      </c>
      <c r="V2129">
        <v>0</v>
      </c>
      <c r="W2129">
        <v>0</v>
      </c>
      <c r="X2129">
        <v>0</v>
      </c>
      <c r="Y2129">
        <v>0</v>
      </c>
      <c r="Z2129" s="8">
        <v>0</v>
      </c>
      <c r="AA2129">
        <v>0</v>
      </c>
      <c r="AB2129" t="s">
        <v>1635</v>
      </c>
      <c r="AC2129" t="s">
        <v>1635</v>
      </c>
      <c r="AD2129" s="1" t="s">
        <v>1635</v>
      </c>
      <c r="AE2129" s="2" t="s">
        <v>1635</v>
      </c>
      <c r="AF2129" s="2" t="s">
        <v>1635</v>
      </c>
      <c r="AG2129" s="2" t="s">
        <v>1635</v>
      </c>
      <c r="AH2129">
        <v>0</v>
      </c>
      <c r="AI2129" s="3" t="s">
        <v>1635</v>
      </c>
      <c r="AJ2129" s="1" t="s">
        <v>1635</v>
      </c>
      <c r="AK2129" s="2" t="s">
        <v>1635</v>
      </c>
      <c r="AL2129" s="4" t="s">
        <v>1658</v>
      </c>
      <c r="AM2129" s="5" t="s">
        <v>1658</v>
      </c>
      <c r="AN2129" s="4">
        <v>0</v>
      </c>
      <c r="AO2129" t="s">
        <v>1635</v>
      </c>
      <c r="AP2129" s="4" t="s">
        <v>1658</v>
      </c>
      <c r="AQ2129" t="s">
        <v>1619</v>
      </c>
      <c r="AR2129" t="s">
        <v>1620</v>
      </c>
      <c r="AT2129" s="16" t="str">
        <f>_xlfn.XLOOKUP(B2129,'SWiSH Demand Forecast Sep-26'!D:D,'SWiSH Demand Forecast Sep-26'!G:G,"Not Exist")</f>
        <v>Not Exist</v>
      </c>
    </row>
    <row r="2130" spans="1:46" x14ac:dyDescent="0.3">
      <c r="A2130">
        <v>106800019</v>
      </c>
      <c r="B2130" t="s">
        <v>4016</v>
      </c>
      <c r="C2130" t="s">
        <v>10</v>
      </c>
      <c r="D2130" t="s">
        <v>1675</v>
      </c>
      <c r="E2130" t="s">
        <v>1685</v>
      </c>
      <c r="F2130" t="s">
        <v>1664</v>
      </c>
      <c r="G2130" t="s">
        <v>1624</v>
      </c>
      <c r="H2130" t="s">
        <v>1665</v>
      </c>
      <c r="I2130" t="s">
        <v>1634</v>
      </c>
      <c r="J2130" t="s">
        <v>10</v>
      </c>
      <c r="K2130">
        <v>0.01</v>
      </c>
      <c r="L2130">
        <v>40</v>
      </c>
      <c r="M2130" s="1">
        <v>7</v>
      </c>
      <c r="N2130">
        <v>0</v>
      </c>
      <c r="O2130">
        <v>0</v>
      </c>
      <c r="P2130">
        <v>4000</v>
      </c>
      <c r="Q2130" s="1">
        <v>4000</v>
      </c>
      <c r="R2130">
        <v>0.01</v>
      </c>
      <c r="S2130" s="2">
        <v>46121</v>
      </c>
      <c r="T2130" s="2">
        <v>46055</v>
      </c>
      <c r="U2130">
        <v>0</v>
      </c>
      <c r="V2130">
        <v>0</v>
      </c>
      <c r="W2130">
        <v>0</v>
      </c>
      <c r="X2130">
        <v>0</v>
      </c>
      <c r="Y2130">
        <v>0</v>
      </c>
      <c r="Z2130" s="8">
        <v>0</v>
      </c>
      <c r="AA2130">
        <v>0</v>
      </c>
      <c r="AB2130" t="s">
        <v>1635</v>
      </c>
      <c r="AC2130" t="s">
        <v>1635</v>
      </c>
      <c r="AD2130" s="1" t="s">
        <v>1635</v>
      </c>
      <c r="AE2130" s="2" t="s">
        <v>1635</v>
      </c>
      <c r="AF2130" s="2" t="s">
        <v>1635</v>
      </c>
      <c r="AG2130" s="2" t="s">
        <v>1635</v>
      </c>
      <c r="AH2130">
        <v>0</v>
      </c>
      <c r="AI2130" s="3" t="s">
        <v>1635</v>
      </c>
      <c r="AJ2130" s="1" t="s">
        <v>1635</v>
      </c>
      <c r="AK2130" s="2" t="s">
        <v>1635</v>
      </c>
      <c r="AL2130" s="4" t="s">
        <v>1658</v>
      </c>
      <c r="AM2130" s="5" t="s">
        <v>1658</v>
      </c>
      <c r="AN2130" s="4">
        <v>0</v>
      </c>
      <c r="AO2130" t="s">
        <v>1635</v>
      </c>
      <c r="AP2130" s="4" t="s">
        <v>1658</v>
      </c>
      <c r="AQ2130" t="s">
        <v>1619</v>
      </c>
      <c r="AR2130" t="s">
        <v>1620</v>
      </c>
      <c r="AT2130" s="16" t="str">
        <f>_xlfn.XLOOKUP(B2130,'SWiSH Demand Forecast Sep-26'!D:D,'SWiSH Demand Forecast Sep-26'!G:G,"Not Exist")</f>
        <v>Not Exist</v>
      </c>
    </row>
    <row r="2131" spans="1:46" x14ac:dyDescent="0.3">
      <c r="A2131">
        <v>105200016</v>
      </c>
      <c r="B2131" t="s">
        <v>4017</v>
      </c>
      <c r="C2131" t="s">
        <v>10</v>
      </c>
      <c r="D2131" t="s">
        <v>1629</v>
      </c>
      <c r="E2131" t="s">
        <v>1685</v>
      </c>
      <c r="F2131" t="s">
        <v>1664</v>
      </c>
      <c r="G2131" t="s">
        <v>1690</v>
      </c>
      <c r="H2131" t="s">
        <v>1779</v>
      </c>
      <c r="I2131" t="s">
        <v>1634</v>
      </c>
      <c r="J2131" t="s">
        <v>10</v>
      </c>
      <c r="K2131">
        <v>4.4519999999999997E-2</v>
      </c>
      <c r="L2131">
        <v>0</v>
      </c>
      <c r="M2131" s="1">
        <v>7</v>
      </c>
      <c r="N2131">
        <v>0</v>
      </c>
      <c r="O2131">
        <v>0</v>
      </c>
      <c r="P2131">
        <v>0</v>
      </c>
      <c r="Q2131" s="1">
        <v>0</v>
      </c>
      <c r="R2131">
        <v>3.5000000000000003E-2</v>
      </c>
      <c r="S2131" s="2">
        <v>44307</v>
      </c>
      <c r="T2131" s="2">
        <v>46054</v>
      </c>
      <c r="U2131">
        <v>0</v>
      </c>
      <c r="V2131">
        <v>0</v>
      </c>
      <c r="W2131">
        <v>0</v>
      </c>
      <c r="X2131">
        <v>0</v>
      </c>
      <c r="Y2131">
        <v>0</v>
      </c>
      <c r="Z2131" s="8">
        <v>0</v>
      </c>
      <c r="AA2131">
        <v>0</v>
      </c>
      <c r="AB2131" t="s">
        <v>1635</v>
      </c>
      <c r="AC2131" t="s">
        <v>1635</v>
      </c>
      <c r="AD2131" s="1" t="s">
        <v>1635</v>
      </c>
      <c r="AE2131" s="2" t="s">
        <v>1635</v>
      </c>
      <c r="AF2131" s="2" t="s">
        <v>1635</v>
      </c>
      <c r="AG2131" s="2" t="s">
        <v>1635</v>
      </c>
      <c r="AH2131">
        <v>0</v>
      </c>
      <c r="AI2131" s="3" t="s">
        <v>1635</v>
      </c>
      <c r="AJ2131" s="1" t="s">
        <v>1635</v>
      </c>
      <c r="AK2131" s="2" t="s">
        <v>1635</v>
      </c>
      <c r="AL2131" s="4" t="s">
        <v>1636</v>
      </c>
      <c r="AM2131" s="5" t="s">
        <v>1636</v>
      </c>
      <c r="AN2131" s="4">
        <v>0</v>
      </c>
      <c r="AO2131" t="s">
        <v>1635</v>
      </c>
      <c r="AP2131" s="4" t="s">
        <v>1636</v>
      </c>
      <c r="AQ2131" t="s">
        <v>1619</v>
      </c>
      <c r="AR2131" t="s">
        <v>1620</v>
      </c>
      <c r="AT2131" s="16" t="str">
        <f>_xlfn.XLOOKUP(B2131,'SWiSH Demand Forecast Sep-26'!D:D,'SWiSH Demand Forecast Sep-26'!G:G,"Not Exist")</f>
        <v>Not Exist</v>
      </c>
    </row>
    <row r="2132" spans="1:46" x14ac:dyDescent="0.3">
      <c r="A2132">
        <v>106800150</v>
      </c>
      <c r="B2132" t="s">
        <v>4018</v>
      </c>
      <c r="C2132" t="s">
        <v>10</v>
      </c>
      <c r="D2132" t="s">
        <v>1675</v>
      </c>
      <c r="E2132" t="s">
        <v>1926</v>
      </c>
      <c r="F2132" t="s">
        <v>1664</v>
      </c>
      <c r="G2132" t="s">
        <v>1624</v>
      </c>
      <c r="H2132" t="s">
        <v>1665</v>
      </c>
      <c r="I2132" t="s">
        <v>1634</v>
      </c>
      <c r="J2132" t="s">
        <v>10</v>
      </c>
      <c r="K2132">
        <v>1.1999999999999999E-3</v>
      </c>
      <c r="L2132">
        <v>53.999999999999993</v>
      </c>
      <c r="M2132" s="1">
        <v>7</v>
      </c>
      <c r="N2132">
        <v>0</v>
      </c>
      <c r="O2132">
        <v>0</v>
      </c>
      <c r="P2132">
        <v>45000</v>
      </c>
      <c r="Q2132" s="1">
        <v>45000</v>
      </c>
      <c r="R2132">
        <v>1.1999999999999999E-3</v>
      </c>
      <c r="S2132" s="2">
        <v>45776</v>
      </c>
      <c r="T2132" s="2">
        <v>46054</v>
      </c>
      <c r="U2132">
        <v>0</v>
      </c>
      <c r="V2132">
        <v>0</v>
      </c>
      <c r="W2132">
        <v>0</v>
      </c>
      <c r="X2132">
        <v>0</v>
      </c>
      <c r="Y2132">
        <v>0</v>
      </c>
      <c r="Z2132" s="8">
        <v>0</v>
      </c>
      <c r="AA2132">
        <v>0</v>
      </c>
      <c r="AB2132" t="s">
        <v>1635</v>
      </c>
      <c r="AC2132" t="s">
        <v>1635</v>
      </c>
      <c r="AD2132" s="1" t="s">
        <v>1635</v>
      </c>
      <c r="AE2132" s="2" t="s">
        <v>1635</v>
      </c>
      <c r="AF2132" s="2" t="s">
        <v>1635</v>
      </c>
      <c r="AG2132" s="2" t="s">
        <v>1635</v>
      </c>
      <c r="AH2132">
        <v>0</v>
      </c>
      <c r="AI2132" s="3" t="s">
        <v>1635</v>
      </c>
      <c r="AJ2132" s="1" t="s">
        <v>1635</v>
      </c>
      <c r="AK2132" s="2" t="s">
        <v>1635</v>
      </c>
      <c r="AL2132" s="4" t="s">
        <v>1658</v>
      </c>
      <c r="AM2132" s="5" t="s">
        <v>1658</v>
      </c>
      <c r="AN2132" s="4">
        <v>0</v>
      </c>
      <c r="AO2132" t="s">
        <v>1635</v>
      </c>
      <c r="AP2132" s="4" t="s">
        <v>1658</v>
      </c>
      <c r="AQ2132" t="s">
        <v>1619</v>
      </c>
      <c r="AR2132" t="s">
        <v>1620</v>
      </c>
      <c r="AT2132" s="16" t="str">
        <f>_xlfn.XLOOKUP(B2132,'SWiSH Demand Forecast Sep-26'!D:D,'SWiSH Demand Forecast Sep-26'!G:G,"Not Exist")</f>
        <v>Not Exist</v>
      </c>
    </row>
    <row r="2133" spans="1:46" hidden="1" x14ac:dyDescent="0.3">
      <c r="A2133">
        <v>104600037</v>
      </c>
      <c r="B2133" t="s">
        <v>1308</v>
      </c>
      <c r="C2133" t="s">
        <v>10</v>
      </c>
      <c r="D2133" t="s">
        <v>1675</v>
      </c>
      <c r="E2133" t="s">
        <v>1638</v>
      </c>
      <c r="F2133" t="s">
        <v>1664</v>
      </c>
      <c r="G2133" t="s">
        <v>1704</v>
      </c>
      <c r="H2133" t="s">
        <v>1945</v>
      </c>
      <c r="I2133" t="s">
        <v>1634</v>
      </c>
      <c r="J2133" t="s">
        <v>10</v>
      </c>
      <c r="K2133">
        <v>0.31141999999999997</v>
      </c>
      <c r="L2133">
        <v>199.93163999999999</v>
      </c>
      <c r="M2133" s="1">
        <v>15</v>
      </c>
      <c r="N2133">
        <v>0</v>
      </c>
      <c r="O2133">
        <v>0</v>
      </c>
      <c r="P2133">
        <v>642</v>
      </c>
      <c r="Q2133" s="1">
        <v>642</v>
      </c>
      <c r="R2133">
        <v>0</v>
      </c>
      <c r="S2133" s="2">
        <v>0</v>
      </c>
      <c r="T2133" s="2">
        <v>45968</v>
      </c>
      <c r="U2133">
        <v>0</v>
      </c>
      <c r="V2133">
        <v>0</v>
      </c>
      <c r="W2133">
        <v>0</v>
      </c>
      <c r="X2133">
        <v>0</v>
      </c>
      <c r="Y2133">
        <v>0</v>
      </c>
      <c r="Z2133" s="8">
        <v>0</v>
      </c>
      <c r="AA2133">
        <v>0</v>
      </c>
      <c r="AB2133" t="s">
        <v>1635</v>
      </c>
      <c r="AC2133" t="s">
        <v>1635</v>
      </c>
      <c r="AD2133" s="1" t="s">
        <v>1635</v>
      </c>
      <c r="AE2133" s="2" t="s">
        <v>1635</v>
      </c>
      <c r="AF2133" s="2" t="s">
        <v>1635</v>
      </c>
      <c r="AG2133" s="2" t="s">
        <v>1635</v>
      </c>
      <c r="AH2133">
        <v>0</v>
      </c>
      <c r="AI2133" s="3" t="s">
        <v>1635</v>
      </c>
      <c r="AJ2133" s="1" t="s">
        <v>1635</v>
      </c>
      <c r="AK2133" s="2" t="s">
        <v>1635</v>
      </c>
      <c r="AL2133" s="4" t="s">
        <v>1658</v>
      </c>
      <c r="AM2133" s="5" t="s">
        <v>1658</v>
      </c>
      <c r="AN2133" s="4">
        <v>0</v>
      </c>
      <c r="AO2133" t="s">
        <v>1635</v>
      </c>
      <c r="AP2133" s="4" t="s">
        <v>1658</v>
      </c>
      <c r="AQ2133" t="s">
        <v>1619</v>
      </c>
      <c r="AR2133" t="s">
        <v>1620</v>
      </c>
      <c r="AT2133" s="16">
        <f>_xlfn.XLOOKUP(B2133,'SWiSH Demand Forecast Sep-26'!D:D,'SWiSH Demand Forecast Sep-26'!G:G,"Not Exist")</f>
        <v>30</v>
      </c>
    </row>
    <row r="2134" spans="1:46" x14ac:dyDescent="0.3">
      <c r="A2134">
        <v>100400114</v>
      </c>
      <c r="B2134" t="s">
        <v>4019</v>
      </c>
      <c r="C2134" t="s">
        <v>10</v>
      </c>
      <c r="D2134" t="s">
        <v>1629</v>
      </c>
      <c r="E2134" t="s">
        <v>1796</v>
      </c>
      <c r="F2134" t="s">
        <v>1664</v>
      </c>
      <c r="G2134" t="s">
        <v>1624</v>
      </c>
      <c r="H2134" t="s">
        <v>1810</v>
      </c>
      <c r="I2134" t="s">
        <v>1634</v>
      </c>
      <c r="J2134" t="s">
        <v>10</v>
      </c>
      <c r="K2134">
        <v>2.7864179999999999E-2</v>
      </c>
      <c r="L2134">
        <v>0</v>
      </c>
      <c r="M2134" s="1">
        <v>15</v>
      </c>
      <c r="N2134">
        <v>0</v>
      </c>
      <c r="O2134">
        <v>0</v>
      </c>
      <c r="P2134">
        <v>0</v>
      </c>
      <c r="Q2134" s="1">
        <v>0</v>
      </c>
      <c r="R2134">
        <v>2.7E-2</v>
      </c>
      <c r="S2134" s="2">
        <v>45987</v>
      </c>
      <c r="T2134" s="2">
        <v>46236</v>
      </c>
      <c r="U2134">
        <v>0</v>
      </c>
      <c r="V2134">
        <v>0</v>
      </c>
      <c r="W2134">
        <v>0</v>
      </c>
      <c r="X2134">
        <v>0</v>
      </c>
      <c r="Y2134">
        <v>0</v>
      </c>
      <c r="Z2134" s="8">
        <v>0</v>
      </c>
      <c r="AA2134">
        <v>0</v>
      </c>
      <c r="AB2134" t="s">
        <v>1635</v>
      </c>
      <c r="AC2134" t="s">
        <v>1635</v>
      </c>
      <c r="AD2134" s="1" t="s">
        <v>1635</v>
      </c>
      <c r="AE2134" s="2" t="s">
        <v>1635</v>
      </c>
      <c r="AF2134" s="2" t="s">
        <v>1635</v>
      </c>
      <c r="AG2134" s="2" t="s">
        <v>1635</v>
      </c>
      <c r="AH2134">
        <v>0</v>
      </c>
      <c r="AI2134" s="3" t="s">
        <v>1635</v>
      </c>
      <c r="AJ2134" s="1" t="s">
        <v>1635</v>
      </c>
      <c r="AK2134" s="2" t="s">
        <v>1635</v>
      </c>
      <c r="AL2134" s="4" t="s">
        <v>1636</v>
      </c>
      <c r="AM2134" s="5" t="s">
        <v>1636</v>
      </c>
      <c r="AN2134" s="4">
        <v>0</v>
      </c>
      <c r="AO2134" t="s">
        <v>1635</v>
      </c>
      <c r="AP2134" s="4" t="s">
        <v>1636</v>
      </c>
      <c r="AQ2134" t="s">
        <v>1619</v>
      </c>
      <c r="AR2134" t="s">
        <v>1620</v>
      </c>
      <c r="AT2134" s="16" t="str">
        <f>_xlfn.XLOOKUP(B2134,'SWiSH Demand Forecast Sep-26'!D:D,'SWiSH Demand Forecast Sep-26'!G:G,"Not Exist")</f>
        <v>Not Exist</v>
      </c>
    </row>
    <row r="2135" spans="1:46" x14ac:dyDescent="0.3">
      <c r="A2135">
        <v>106800142</v>
      </c>
      <c r="B2135" t="s">
        <v>4020</v>
      </c>
      <c r="C2135" t="s">
        <v>10</v>
      </c>
      <c r="D2135" t="s">
        <v>1675</v>
      </c>
      <c r="E2135" t="s">
        <v>1638</v>
      </c>
      <c r="F2135" t="s">
        <v>1664</v>
      </c>
      <c r="G2135" t="s">
        <v>1624</v>
      </c>
      <c r="H2135" t="s">
        <v>1665</v>
      </c>
      <c r="I2135" t="s">
        <v>1634</v>
      </c>
      <c r="J2135" t="s">
        <v>10</v>
      </c>
      <c r="K2135">
        <v>3.0000000000000001E-3</v>
      </c>
      <c r="L2135">
        <v>121.5</v>
      </c>
      <c r="M2135" s="1">
        <v>7</v>
      </c>
      <c r="N2135">
        <v>0</v>
      </c>
      <c r="O2135">
        <v>0</v>
      </c>
      <c r="P2135">
        <v>40500</v>
      </c>
      <c r="Q2135" s="1">
        <v>40500</v>
      </c>
      <c r="R2135">
        <v>3.0000000000000001E-3</v>
      </c>
      <c r="S2135" s="2">
        <v>45992</v>
      </c>
      <c r="T2135" s="2">
        <v>46054</v>
      </c>
      <c r="U2135">
        <v>0</v>
      </c>
      <c r="V2135">
        <v>0</v>
      </c>
      <c r="W2135">
        <v>0</v>
      </c>
      <c r="X2135">
        <v>0</v>
      </c>
      <c r="Y2135">
        <v>0</v>
      </c>
      <c r="Z2135" s="8">
        <v>0</v>
      </c>
      <c r="AA2135">
        <v>0</v>
      </c>
      <c r="AB2135" t="s">
        <v>1635</v>
      </c>
      <c r="AC2135" t="s">
        <v>1635</v>
      </c>
      <c r="AD2135" s="1" t="s">
        <v>1635</v>
      </c>
      <c r="AE2135" s="2" t="s">
        <v>1635</v>
      </c>
      <c r="AF2135" s="2" t="s">
        <v>1635</v>
      </c>
      <c r="AG2135" s="2" t="s">
        <v>1635</v>
      </c>
      <c r="AH2135">
        <v>0</v>
      </c>
      <c r="AI2135" s="3" t="s">
        <v>1635</v>
      </c>
      <c r="AJ2135" s="1" t="s">
        <v>1635</v>
      </c>
      <c r="AK2135" s="2" t="s">
        <v>1635</v>
      </c>
      <c r="AL2135" s="4" t="s">
        <v>1658</v>
      </c>
      <c r="AM2135" s="5" t="s">
        <v>1658</v>
      </c>
      <c r="AN2135" s="4">
        <v>0</v>
      </c>
      <c r="AO2135" t="s">
        <v>1635</v>
      </c>
      <c r="AP2135" s="4" t="s">
        <v>1658</v>
      </c>
      <c r="AQ2135" t="s">
        <v>1619</v>
      </c>
      <c r="AR2135" t="s">
        <v>1620</v>
      </c>
      <c r="AT2135" s="16" t="str">
        <f>_xlfn.XLOOKUP(B2135,'SWiSH Demand Forecast Sep-26'!D:D,'SWiSH Demand Forecast Sep-26'!G:G,"Not Exist")</f>
        <v>Not Exist</v>
      </c>
    </row>
    <row r="2136" spans="1:46" x14ac:dyDescent="0.3">
      <c r="A2136">
        <v>106800037</v>
      </c>
      <c r="B2136" t="s">
        <v>4021</v>
      </c>
      <c r="C2136" t="s">
        <v>10</v>
      </c>
      <c r="D2136" t="s">
        <v>1675</v>
      </c>
      <c r="E2136" t="s">
        <v>1685</v>
      </c>
      <c r="F2136" t="s">
        <v>1664</v>
      </c>
      <c r="G2136" t="s">
        <v>1624</v>
      </c>
      <c r="H2136" t="s">
        <v>1665</v>
      </c>
      <c r="I2136" t="s">
        <v>1634</v>
      </c>
      <c r="J2136" t="s">
        <v>10</v>
      </c>
      <c r="K2136">
        <v>0.01</v>
      </c>
      <c r="L2136">
        <v>10</v>
      </c>
      <c r="M2136" s="1">
        <v>7</v>
      </c>
      <c r="N2136">
        <v>0</v>
      </c>
      <c r="O2136">
        <v>0</v>
      </c>
      <c r="P2136">
        <v>1000</v>
      </c>
      <c r="Q2136" s="1">
        <v>1000</v>
      </c>
      <c r="R2136">
        <v>0.01</v>
      </c>
      <c r="S2136" s="2">
        <v>46111</v>
      </c>
      <c r="T2136" s="2">
        <v>46055</v>
      </c>
      <c r="U2136">
        <v>0</v>
      </c>
      <c r="V2136">
        <v>0</v>
      </c>
      <c r="W2136">
        <v>0</v>
      </c>
      <c r="X2136">
        <v>0</v>
      </c>
      <c r="Y2136">
        <v>0</v>
      </c>
      <c r="Z2136" s="8">
        <v>0</v>
      </c>
      <c r="AA2136">
        <v>0</v>
      </c>
      <c r="AB2136" t="s">
        <v>1635</v>
      </c>
      <c r="AC2136" t="s">
        <v>1635</v>
      </c>
      <c r="AD2136" s="1" t="s">
        <v>1635</v>
      </c>
      <c r="AE2136" s="2" t="s">
        <v>1635</v>
      </c>
      <c r="AF2136" s="2" t="s">
        <v>1635</v>
      </c>
      <c r="AG2136" s="2" t="s">
        <v>1635</v>
      </c>
      <c r="AH2136">
        <v>0</v>
      </c>
      <c r="AI2136" s="3" t="s">
        <v>1635</v>
      </c>
      <c r="AJ2136" s="1" t="s">
        <v>1635</v>
      </c>
      <c r="AK2136" s="2" t="s">
        <v>1635</v>
      </c>
      <c r="AL2136" s="4" t="s">
        <v>1658</v>
      </c>
      <c r="AM2136" s="5" t="s">
        <v>1658</v>
      </c>
      <c r="AN2136" s="4">
        <v>0</v>
      </c>
      <c r="AO2136" t="s">
        <v>1635</v>
      </c>
      <c r="AP2136" s="4" t="s">
        <v>1658</v>
      </c>
      <c r="AQ2136" t="s">
        <v>1619</v>
      </c>
      <c r="AR2136" t="s">
        <v>1620</v>
      </c>
      <c r="AT2136" s="16" t="str">
        <f>_xlfn.XLOOKUP(B2136,'SWiSH Demand Forecast Sep-26'!D:D,'SWiSH Demand Forecast Sep-26'!G:G,"Not Exist")</f>
        <v>Not Exist</v>
      </c>
    </row>
    <row r="2137" spans="1:46" x14ac:dyDescent="0.3">
      <c r="A2137">
        <v>104600034</v>
      </c>
      <c r="B2137" t="s">
        <v>4022</v>
      </c>
      <c r="C2137" t="s">
        <v>10</v>
      </c>
      <c r="D2137" t="s">
        <v>1675</v>
      </c>
      <c r="E2137" t="s">
        <v>1638</v>
      </c>
      <c r="F2137" t="s">
        <v>1664</v>
      </c>
      <c r="G2137" t="s">
        <v>1704</v>
      </c>
      <c r="H2137" t="s">
        <v>1945</v>
      </c>
      <c r="I2137" t="s">
        <v>1634</v>
      </c>
      <c r="J2137" t="s">
        <v>10</v>
      </c>
      <c r="K2137">
        <v>4.6893240000000003E-2</v>
      </c>
      <c r="L2137">
        <v>30.480606000000002</v>
      </c>
      <c r="M2137" s="1">
        <v>15</v>
      </c>
      <c r="N2137">
        <v>0</v>
      </c>
      <c r="O2137">
        <v>0</v>
      </c>
      <c r="P2137">
        <v>650</v>
      </c>
      <c r="Q2137" s="1">
        <v>650</v>
      </c>
      <c r="R2137">
        <v>0.05</v>
      </c>
      <c r="S2137" s="2">
        <v>44178</v>
      </c>
      <c r="T2137" s="2">
        <v>45968</v>
      </c>
      <c r="U2137">
        <v>0</v>
      </c>
      <c r="V2137">
        <v>0</v>
      </c>
      <c r="W2137">
        <v>0</v>
      </c>
      <c r="X2137">
        <v>0</v>
      </c>
      <c r="Y2137">
        <v>0</v>
      </c>
      <c r="Z2137" s="8">
        <v>0</v>
      </c>
      <c r="AA2137">
        <v>0</v>
      </c>
      <c r="AB2137" t="s">
        <v>1635</v>
      </c>
      <c r="AC2137" t="s">
        <v>1635</v>
      </c>
      <c r="AD2137" s="1" t="s">
        <v>1635</v>
      </c>
      <c r="AE2137" s="2" t="s">
        <v>1635</v>
      </c>
      <c r="AF2137" s="2" t="s">
        <v>1635</v>
      </c>
      <c r="AG2137" s="2" t="s">
        <v>1635</v>
      </c>
      <c r="AH2137">
        <v>0</v>
      </c>
      <c r="AI2137" s="3" t="s">
        <v>1635</v>
      </c>
      <c r="AJ2137" s="1" t="s">
        <v>1635</v>
      </c>
      <c r="AK2137" s="2" t="s">
        <v>1635</v>
      </c>
      <c r="AL2137" s="4" t="s">
        <v>1658</v>
      </c>
      <c r="AM2137" s="5" t="s">
        <v>1658</v>
      </c>
      <c r="AN2137" s="4">
        <v>0</v>
      </c>
      <c r="AO2137" t="s">
        <v>1635</v>
      </c>
      <c r="AP2137" s="4" t="s">
        <v>1658</v>
      </c>
      <c r="AQ2137" t="s">
        <v>1619</v>
      </c>
      <c r="AR2137" t="s">
        <v>1620</v>
      </c>
      <c r="AT2137" s="16" t="str">
        <f>_xlfn.XLOOKUP(B2137,'SWiSH Demand Forecast Sep-26'!D:D,'SWiSH Demand Forecast Sep-26'!G:G,"Not Exist")</f>
        <v>Not Exist</v>
      </c>
    </row>
    <row r="2138" spans="1:46" x14ac:dyDescent="0.3">
      <c r="A2138">
        <v>106800017</v>
      </c>
      <c r="B2138" t="s">
        <v>4023</v>
      </c>
      <c r="C2138" t="s">
        <v>10</v>
      </c>
      <c r="D2138" t="s">
        <v>1675</v>
      </c>
      <c r="E2138" t="s">
        <v>1685</v>
      </c>
      <c r="F2138" t="s">
        <v>1664</v>
      </c>
      <c r="G2138" t="s">
        <v>1686</v>
      </c>
      <c r="H2138" t="s">
        <v>1665</v>
      </c>
      <c r="I2138" t="s">
        <v>1634</v>
      </c>
      <c r="J2138" t="s">
        <v>10</v>
      </c>
      <c r="K2138">
        <v>0.01</v>
      </c>
      <c r="L2138">
        <v>0</v>
      </c>
      <c r="M2138" s="1">
        <v>7</v>
      </c>
      <c r="N2138">
        <v>0</v>
      </c>
      <c r="O2138">
        <v>0</v>
      </c>
      <c r="P2138">
        <v>0</v>
      </c>
      <c r="Q2138" s="1">
        <v>0</v>
      </c>
      <c r="R2138">
        <v>0.01</v>
      </c>
      <c r="S2138" s="2">
        <v>45774</v>
      </c>
      <c r="T2138" s="2">
        <v>46055</v>
      </c>
      <c r="U2138">
        <v>0</v>
      </c>
      <c r="V2138">
        <v>0</v>
      </c>
      <c r="W2138">
        <v>0</v>
      </c>
      <c r="X2138">
        <v>0</v>
      </c>
      <c r="Y2138">
        <v>0</v>
      </c>
      <c r="Z2138" s="8">
        <v>0</v>
      </c>
      <c r="AA2138">
        <v>0</v>
      </c>
      <c r="AB2138" t="s">
        <v>1635</v>
      </c>
      <c r="AC2138" t="s">
        <v>1635</v>
      </c>
      <c r="AD2138" s="1" t="s">
        <v>1635</v>
      </c>
      <c r="AE2138" s="2" t="s">
        <v>1635</v>
      </c>
      <c r="AF2138" s="2" t="s">
        <v>1635</v>
      </c>
      <c r="AG2138" s="2" t="s">
        <v>1635</v>
      </c>
      <c r="AH2138">
        <v>0</v>
      </c>
      <c r="AI2138" s="3" t="s">
        <v>1635</v>
      </c>
      <c r="AJ2138" s="1" t="s">
        <v>1635</v>
      </c>
      <c r="AK2138" s="2" t="s">
        <v>1635</v>
      </c>
      <c r="AL2138" s="4" t="s">
        <v>1658</v>
      </c>
      <c r="AM2138" s="5" t="s">
        <v>1658</v>
      </c>
      <c r="AN2138" s="4">
        <v>0</v>
      </c>
      <c r="AO2138" t="s">
        <v>1635</v>
      </c>
      <c r="AP2138" s="4" t="s">
        <v>1658</v>
      </c>
      <c r="AQ2138" t="s">
        <v>1619</v>
      </c>
      <c r="AR2138" t="s">
        <v>1620</v>
      </c>
      <c r="AT2138" s="16" t="str">
        <f>_xlfn.XLOOKUP(B2138,'SWiSH Demand Forecast Sep-26'!D:D,'SWiSH Demand Forecast Sep-26'!G:G,"Not Exist")</f>
        <v>Not Exist</v>
      </c>
    </row>
    <row r="2139" spans="1:46" x14ac:dyDescent="0.3">
      <c r="A2139">
        <v>104600139</v>
      </c>
      <c r="B2139" t="s">
        <v>4024</v>
      </c>
      <c r="C2139" t="s">
        <v>10</v>
      </c>
      <c r="D2139" t="s">
        <v>1675</v>
      </c>
      <c r="E2139" t="s">
        <v>1945</v>
      </c>
      <c r="F2139" t="s">
        <v>1664</v>
      </c>
      <c r="G2139" t="s">
        <v>1704</v>
      </c>
      <c r="H2139" t="s">
        <v>1945</v>
      </c>
      <c r="I2139" t="s">
        <v>1634</v>
      </c>
      <c r="J2139" t="s">
        <v>10</v>
      </c>
      <c r="K2139">
        <v>0.19757</v>
      </c>
      <c r="L2139">
        <v>197.37243000000001</v>
      </c>
      <c r="M2139" s="1">
        <v>15</v>
      </c>
      <c r="N2139">
        <v>0</v>
      </c>
      <c r="O2139">
        <v>0</v>
      </c>
      <c r="P2139">
        <v>999</v>
      </c>
      <c r="Q2139" s="1">
        <v>999</v>
      </c>
      <c r="R2139">
        <v>0</v>
      </c>
      <c r="S2139" s="2">
        <v>0</v>
      </c>
      <c r="T2139" s="2">
        <v>45968</v>
      </c>
      <c r="U2139">
        <v>0</v>
      </c>
      <c r="V2139">
        <v>0</v>
      </c>
      <c r="W2139">
        <v>0</v>
      </c>
      <c r="X2139">
        <v>0</v>
      </c>
      <c r="Y2139">
        <v>0</v>
      </c>
      <c r="Z2139" s="8">
        <v>0</v>
      </c>
      <c r="AA2139">
        <v>0</v>
      </c>
      <c r="AB2139" t="s">
        <v>1635</v>
      </c>
      <c r="AC2139" t="s">
        <v>1635</v>
      </c>
      <c r="AD2139" s="1" t="s">
        <v>1635</v>
      </c>
      <c r="AE2139" s="2" t="s">
        <v>1635</v>
      </c>
      <c r="AF2139" s="2" t="s">
        <v>1635</v>
      </c>
      <c r="AG2139" s="2" t="s">
        <v>1635</v>
      </c>
      <c r="AH2139">
        <v>0</v>
      </c>
      <c r="AI2139" s="3" t="s">
        <v>1635</v>
      </c>
      <c r="AJ2139" s="1" t="s">
        <v>1635</v>
      </c>
      <c r="AK2139" s="2" t="s">
        <v>1635</v>
      </c>
      <c r="AL2139" s="4" t="s">
        <v>1658</v>
      </c>
      <c r="AM2139" s="5" t="s">
        <v>1658</v>
      </c>
      <c r="AN2139" s="4">
        <v>0</v>
      </c>
      <c r="AO2139" t="s">
        <v>1635</v>
      </c>
      <c r="AP2139" s="4" t="s">
        <v>1658</v>
      </c>
      <c r="AQ2139" t="s">
        <v>1619</v>
      </c>
      <c r="AR2139" t="s">
        <v>1620</v>
      </c>
      <c r="AT2139" s="16" t="str">
        <f>_xlfn.XLOOKUP(B2139,'SWiSH Demand Forecast Sep-26'!D:D,'SWiSH Demand Forecast Sep-26'!G:G,"Not Exist")</f>
        <v>Not Exist</v>
      </c>
    </row>
    <row r="2140" spans="1:46" x14ac:dyDescent="0.3">
      <c r="A2140">
        <v>101300017</v>
      </c>
      <c r="B2140" t="s">
        <v>4025</v>
      </c>
      <c r="C2140" t="s">
        <v>136</v>
      </c>
      <c r="D2140" t="s">
        <v>1629</v>
      </c>
      <c r="E2140" t="s">
        <v>1732</v>
      </c>
      <c r="F2140" t="s">
        <v>1752</v>
      </c>
      <c r="G2140" t="s">
        <v>1616</v>
      </c>
      <c r="H2140" t="s">
        <v>1980</v>
      </c>
      <c r="I2140" t="s">
        <v>1754</v>
      </c>
      <c r="J2140" t="s">
        <v>4026</v>
      </c>
      <c r="K2140">
        <v>0.77101613000000002</v>
      </c>
      <c r="L2140">
        <v>0</v>
      </c>
      <c r="M2140" s="1">
        <v>3</v>
      </c>
      <c r="N2140">
        <v>0</v>
      </c>
      <c r="O2140">
        <v>0</v>
      </c>
      <c r="P2140">
        <v>0</v>
      </c>
      <c r="Q2140" s="1">
        <v>0</v>
      </c>
      <c r="R2140">
        <v>10.5</v>
      </c>
      <c r="S2140" s="2">
        <v>45979</v>
      </c>
      <c r="T2140" s="2">
        <v>46109</v>
      </c>
      <c r="U2140">
        <v>0</v>
      </c>
      <c r="V2140">
        <v>0</v>
      </c>
      <c r="W2140">
        <v>0</v>
      </c>
      <c r="X2140">
        <v>0</v>
      </c>
      <c r="Y2140">
        <v>0</v>
      </c>
      <c r="Z2140" s="8">
        <v>0</v>
      </c>
      <c r="AA2140">
        <v>0</v>
      </c>
      <c r="AB2140" t="s">
        <v>1635</v>
      </c>
      <c r="AC2140" t="s">
        <v>1635</v>
      </c>
      <c r="AD2140" s="1" t="s">
        <v>1635</v>
      </c>
      <c r="AE2140" s="2" t="s">
        <v>1635</v>
      </c>
      <c r="AF2140" s="2" t="s">
        <v>1635</v>
      </c>
      <c r="AG2140" s="2" t="s">
        <v>1635</v>
      </c>
      <c r="AH2140">
        <v>0</v>
      </c>
      <c r="AI2140" s="3" t="s">
        <v>1635</v>
      </c>
      <c r="AJ2140" s="1" t="s">
        <v>1635</v>
      </c>
      <c r="AK2140" s="2" t="s">
        <v>1635</v>
      </c>
      <c r="AL2140" s="4" t="s">
        <v>1636</v>
      </c>
      <c r="AM2140" s="5" t="s">
        <v>1636</v>
      </c>
      <c r="AN2140" s="4">
        <v>0</v>
      </c>
      <c r="AO2140" t="s">
        <v>1635</v>
      </c>
      <c r="AP2140" s="4" t="s">
        <v>1636</v>
      </c>
      <c r="AQ2140" t="s">
        <v>1619</v>
      </c>
      <c r="AR2140" t="s">
        <v>1620</v>
      </c>
      <c r="AT2140" s="16" t="str">
        <f>_xlfn.XLOOKUP(B2140,'SWiSH Demand Forecast Sep-26'!D:D,'SWiSH Demand Forecast Sep-26'!G:G,"Not Exist")</f>
        <v>Not Exist</v>
      </c>
    </row>
    <row r="2141" spans="1:46" x14ac:dyDescent="0.3">
      <c r="A2141">
        <v>106800035</v>
      </c>
      <c r="B2141" t="s">
        <v>4027</v>
      </c>
      <c r="C2141" t="s">
        <v>10</v>
      </c>
      <c r="D2141" t="s">
        <v>1675</v>
      </c>
      <c r="E2141" t="s">
        <v>1685</v>
      </c>
      <c r="F2141" t="s">
        <v>1664</v>
      </c>
      <c r="G2141" t="s">
        <v>1624</v>
      </c>
      <c r="H2141" t="s">
        <v>1665</v>
      </c>
      <c r="I2141" t="s">
        <v>1634</v>
      </c>
      <c r="J2141" t="s">
        <v>10</v>
      </c>
      <c r="K2141">
        <v>8.0000000000000002E-3</v>
      </c>
      <c r="L2141">
        <v>4</v>
      </c>
      <c r="M2141" s="1">
        <v>7</v>
      </c>
      <c r="N2141">
        <v>0</v>
      </c>
      <c r="O2141">
        <v>0</v>
      </c>
      <c r="P2141">
        <v>500</v>
      </c>
      <c r="Q2141" s="1">
        <v>500</v>
      </c>
      <c r="R2141">
        <v>8.0000000000000002E-3</v>
      </c>
      <c r="S2141" s="2">
        <v>46111</v>
      </c>
      <c r="T2141" s="2">
        <v>46055</v>
      </c>
      <c r="U2141">
        <v>0</v>
      </c>
      <c r="V2141">
        <v>0</v>
      </c>
      <c r="W2141">
        <v>0</v>
      </c>
      <c r="X2141">
        <v>0</v>
      </c>
      <c r="Y2141">
        <v>0</v>
      </c>
      <c r="Z2141" s="8">
        <v>0</v>
      </c>
      <c r="AA2141">
        <v>0</v>
      </c>
      <c r="AB2141" t="s">
        <v>1635</v>
      </c>
      <c r="AC2141" t="s">
        <v>1635</v>
      </c>
      <c r="AD2141" s="1" t="s">
        <v>1635</v>
      </c>
      <c r="AE2141" s="2" t="s">
        <v>1635</v>
      </c>
      <c r="AF2141" s="2" t="s">
        <v>1635</v>
      </c>
      <c r="AG2141" s="2" t="s">
        <v>1635</v>
      </c>
      <c r="AH2141">
        <v>0</v>
      </c>
      <c r="AI2141" s="3" t="s">
        <v>1635</v>
      </c>
      <c r="AJ2141" s="1" t="s">
        <v>1635</v>
      </c>
      <c r="AK2141" s="2" t="s">
        <v>1635</v>
      </c>
      <c r="AL2141" s="4" t="s">
        <v>1658</v>
      </c>
      <c r="AM2141" s="5" t="s">
        <v>1658</v>
      </c>
      <c r="AN2141" s="4">
        <v>0</v>
      </c>
      <c r="AO2141" t="s">
        <v>1635</v>
      </c>
      <c r="AP2141" s="4" t="s">
        <v>1658</v>
      </c>
      <c r="AQ2141" t="s">
        <v>1619</v>
      </c>
      <c r="AR2141" t="s">
        <v>1620</v>
      </c>
      <c r="AT2141" s="16" t="str">
        <f>_xlfn.XLOOKUP(B2141,'SWiSH Demand Forecast Sep-26'!D:D,'SWiSH Demand Forecast Sep-26'!G:G,"Not Exist")</f>
        <v>Not Exist</v>
      </c>
    </row>
    <row r="2142" spans="1:46" x14ac:dyDescent="0.3">
      <c r="A2142">
        <v>106800033</v>
      </c>
      <c r="B2142" t="s">
        <v>4028</v>
      </c>
      <c r="C2142" t="s">
        <v>10</v>
      </c>
      <c r="D2142" t="s">
        <v>1675</v>
      </c>
      <c r="E2142" t="s">
        <v>1685</v>
      </c>
      <c r="F2142" t="s">
        <v>1664</v>
      </c>
      <c r="G2142" t="s">
        <v>1624</v>
      </c>
      <c r="H2142" t="s">
        <v>1665</v>
      </c>
      <c r="I2142" t="s">
        <v>1634</v>
      </c>
      <c r="J2142" t="s">
        <v>10</v>
      </c>
      <c r="K2142">
        <v>8.0000000000000002E-3</v>
      </c>
      <c r="L2142">
        <v>8</v>
      </c>
      <c r="M2142" s="1">
        <v>7</v>
      </c>
      <c r="N2142">
        <v>0</v>
      </c>
      <c r="O2142">
        <v>0</v>
      </c>
      <c r="P2142">
        <v>1000</v>
      </c>
      <c r="Q2142" s="1">
        <v>1000</v>
      </c>
      <c r="R2142">
        <v>8.0000000000000002E-3</v>
      </c>
      <c r="S2142" s="2">
        <v>46111</v>
      </c>
      <c r="T2142" s="2">
        <v>46054</v>
      </c>
      <c r="U2142">
        <v>0</v>
      </c>
      <c r="V2142">
        <v>0</v>
      </c>
      <c r="W2142">
        <v>0</v>
      </c>
      <c r="X2142">
        <v>0</v>
      </c>
      <c r="Y2142">
        <v>0</v>
      </c>
      <c r="Z2142" s="8">
        <v>0</v>
      </c>
      <c r="AA2142">
        <v>0</v>
      </c>
      <c r="AB2142" t="s">
        <v>1635</v>
      </c>
      <c r="AC2142" t="s">
        <v>1635</v>
      </c>
      <c r="AD2142" s="1" t="s">
        <v>1635</v>
      </c>
      <c r="AE2142" s="2" t="s">
        <v>1635</v>
      </c>
      <c r="AF2142" s="2" t="s">
        <v>1635</v>
      </c>
      <c r="AG2142" s="2" t="s">
        <v>1635</v>
      </c>
      <c r="AH2142">
        <v>0</v>
      </c>
      <c r="AI2142" s="3" t="s">
        <v>1635</v>
      </c>
      <c r="AJ2142" s="1" t="s">
        <v>1635</v>
      </c>
      <c r="AK2142" s="2" t="s">
        <v>1635</v>
      </c>
      <c r="AL2142" s="4" t="s">
        <v>1658</v>
      </c>
      <c r="AM2142" s="5" t="s">
        <v>1658</v>
      </c>
      <c r="AN2142" s="4">
        <v>0</v>
      </c>
      <c r="AO2142" t="s">
        <v>1635</v>
      </c>
      <c r="AP2142" s="4" t="s">
        <v>1658</v>
      </c>
      <c r="AQ2142" t="s">
        <v>1619</v>
      </c>
      <c r="AR2142" t="s">
        <v>1620</v>
      </c>
      <c r="AT2142" s="16" t="str">
        <f>_xlfn.XLOOKUP(B2142,'SWiSH Demand Forecast Sep-26'!D:D,'SWiSH Demand Forecast Sep-26'!G:G,"Not Exist")</f>
        <v>Not Exist</v>
      </c>
    </row>
    <row r="2143" spans="1:46" x14ac:dyDescent="0.3">
      <c r="A2143">
        <v>104600036</v>
      </c>
      <c r="B2143" t="s">
        <v>4029</v>
      </c>
      <c r="C2143" t="s">
        <v>10</v>
      </c>
      <c r="D2143" t="s">
        <v>1675</v>
      </c>
      <c r="E2143" t="s">
        <v>1638</v>
      </c>
      <c r="F2143" t="s">
        <v>1664</v>
      </c>
      <c r="G2143" t="s">
        <v>1704</v>
      </c>
      <c r="H2143" t="s">
        <v>1945</v>
      </c>
      <c r="I2143" t="s">
        <v>1634</v>
      </c>
      <c r="J2143" t="s">
        <v>10</v>
      </c>
      <c r="K2143">
        <v>0.31141999999999997</v>
      </c>
      <c r="L2143">
        <v>217.99399999999997</v>
      </c>
      <c r="M2143" s="1">
        <v>15</v>
      </c>
      <c r="N2143">
        <v>0</v>
      </c>
      <c r="O2143">
        <v>0</v>
      </c>
      <c r="P2143">
        <v>700</v>
      </c>
      <c r="Q2143" s="1">
        <v>700</v>
      </c>
      <c r="R2143">
        <v>0</v>
      </c>
      <c r="S2143" s="2">
        <v>0</v>
      </c>
      <c r="T2143" s="2">
        <v>45968</v>
      </c>
      <c r="U2143">
        <v>0</v>
      </c>
      <c r="V2143">
        <v>0</v>
      </c>
      <c r="W2143">
        <v>0</v>
      </c>
      <c r="X2143">
        <v>0</v>
      </c>
      <c r="Y2143">
        <v>0</v>
      </c>
      <c r="Z2143" s="8">
        <v>0</v>
      </c>
      <c r="AA2143">
        <v>0</v>
      </c>
      <c r="AB2143" t="s">
        <v>1635</v>
      </c>
      <c r="AC2143" t="s">
        <v>1635</v>
      </c>
      <c r="AD2143" s="1" t="s">
        <v>1635</v>
      </c>
      <c r="AE2143" s="2" t="s">
        <v>1635</v>
      </c>
      <c r="AF2143" s="2" t="s">
        <v>1635</v>
      </c>
      <c r="AG2143" s="2" t="s">
        <v>1635</v>
      </c>
      <c r="AH2143">
        <v>0</v>
      </c>
      <c r="AI2143" s="3" t="s">
        <v>1635</v>
      </c>
      <c r="AJ2143" s="1" t="s">
        <v>1635</v>
      </c>
      <c r="AK2143" s="2" t="s">
        <v>1635</v>
      </c>
      <c r="AL2143" s="4" t="s">
        <v>1658</v>
      </c>
      <c r="AM2143" s="5" t="s">
        <v>1658</v>
      </c>
      <c r="AN2143" s="4">
        <v>0</v>
      </c>
      <c r="AO2143" t="s">
        <v>1635</v>
      </c>
      <c r="AP2143" s="4" t="s">
        <v>1658</v>
      </c>
      <c r="AQ2143" t="s">
        <v>1619</v>
      </c>
      <c r="AR2143" t="s">
        <v>1620</v>
      </c>
      <c r="AT2143" s="16" t="str">
        <f>_xlfn.XLOOKUP(B2143,'SWiSH Demand Forecast Sep-26'!D:D,'SWiSH Demand Forecast Sep-26'!G:G,"Not Exist")</f>
        <v>Not Exist</v>
      </c>
    </row>
    <row r="2144" spans="1:46" x14ac:dyDescent="0.3">
      <c r="A2144">
        <v>104600039</v>
      </c>
      <c r="B2144" t="s">
        <v>4030</v>
      </c>
      <c r="C2144" t="s">
        <v>10</v>
      </c>
      <c r="D2144" t="s">
        <v>1675</v>
      </c>
      <c r="E2144" t="s">
        <v>1638</v>
      </c>
      <c r="F2144" t="s">
        <v>1664</v>
      </c>
      <c r="G2144" t="s">
        <v>1704</v>
      </c>
      <c r="H2144" t="s">
        <v>1945</v>
      </c>
      <c r="I2144" t="s">
        <v>1634</v>
      </c>
      <c r="J2144" t="s">
        <v>10</v>
      </c>
      <c r="K2144">
        <v>0.30220532999999999</v>
      </c>
      <c r="L2144">
        <v>884.25279558</v>
      </c>
      <c r="M2144" s="1">
        <v>15</v>
      </c>
      <c r="N2144">
        <v>0</v>
      </c>
      <c r="O2144">
        <v>0</v>
      </c>
      <c r="P2144">
        <v>2926</v>
      </c>
      <c r="Q2144" s="1">
        <v>2926</v>
      </c>
      <c r="R2144">
        <v>0</v>
      </c>
      <c r="S2144" s="2">
        <v>0</v>
      </c>
      <c r="T2144" s="2">
        <v>45968</v>
      </c>
      <c r="U2144">
        <v>0</v>
      </c>
      <c r="V2144">
        <v>0</v>
      </c>
      <c r="W2144">
        <v>0</v>
      </c>
      <c r="X2144">
        <v>0</v>
      </c>
      <c r="Y2144">
        <v>0</v>
      </c>
      <c r="Z2144" s="8">
        <v>0</v>
      </c>
      <c r="AA2144">
        <v>0</v>
      </c>
      <c r="AB2144" t="s">
        <v>1635</v>
      </c>
      <c r="AC2144" t="s">
        <v>1635</v>
      </c>
      <c r="AD2144" s="1" t="s">
        <v>1635</v>
      </c>
      <c r="AE2144" s="2" t="s">
        <v>1635</v>
      </c>
      <c r="AF2144" s="2" t="s">
        <v>1635</v>
      </c>
      <c r="AG2144" s="2" t="s">
        <v>1635</v>
      </c>
      <c r="AH2144">
        <v>0</v>
      </c>
      <c r="AI2144" s="3" t="s">
        <v>1635</v>
      </c>
      <c r="AJ2144" s="1" t="s">
        <v>1635</v>
      </c>
      <c r="AK2144" s="2" t="s">
        <v>1635</v>
      </c>
      <c r="AL2144" s="4" t="s">
        <v>1658</v>
      </c>
      <c r="AM2144" s="5" t="s">
        <v>1658</v>
      </c>
      <c r="AN2144" s="4">
        <v>0</v>
      </c>
      <c r="AO2144" t="s">
        <v>1635</v>
      </c>
      <c r="AP2144" s="4" t="s">
        <v>1658</v>
      </c>
      <c r="AQ2144" t="s">
        <v>1619</v>
      </c>
      <c r="AR2144" t="s">
        <v>1620</v>
      </c>
      <c r="AT2144" s="16" t="str">
        <f>_xlfn.XLOOKUP(B2144,'SWiSH Demand Forecast Sep-26'!D:D,'SWiSH Demand Forecast Sep-26'!G:G,"Not Exist")</f>
        <v>Not Exist</v>
      </c>
    </row>
    <row r="2145" spans="1:46" x14ac:dyDescent="0.3">
      <c r="A2145">
        <v>106700095</v>
      </c>
      <c r="B2145" t="s">
        <v>4031</v>
      </c>
      <c r="C2145" t="s">
        <v>10</v>
      </c>
      <c r="D2145" t="s">
        <v>1789</v>
      </c>
      <c r="E2145" t="s">
        <v>2602</v>
      </c>
      <c r="F2145" t="s">
        <v>1650</v>
      </c>
      <c r="G2145" t="s">
        <v>1624</v>
      </c>
      <c r="H2145" t="s">
        <v>1651</v>
      </c>
      <c r="I2145" t="s">
        <v>1634</v>
      </c>
      <c r="J2145" t="s">
        <v>10</v>
      </c>
      <c r="K2145">
        <v>3.75</v>
      </c>
      <c r="L2145">
        <v>0</v>
      </c>
      <c r="M2145" s="1">
        <v>3</v>
      </c>
      <c r="N2145">
        <v>0</v>
      </c>
      <c r="O2145">
        <v>0</v>
      </c>
      <c r="P2145">
        <v>0</v>
      </c>
      <c r="Q2145" s="1">
        <v>0</v>
      </c>
      <c r="R2145">
        <v>3.75</v>
      </c>
      <c r="S2145" s="2">
        <v>46083</v>
      </c>
      <c r="T2145" s="2">
        <v>46243</v>
      </c>
      <c r="U2145">
        <v>0</v>
      </c>
      <c r="V2145">
        <v>0</v>
      </c>
      <c r="W2145">
        <v>0</v>
      </c>
      <c r="X2145">
        <v>0</v>
      </c>
      <c r="Y2145">
        <v>0</v>
      </c>
      <c r="Z2145" s="8">
        <v>0</v>
      </c>
      <c r="AA2145">
        <v>0</v>
      </c>
      <c r="AB2145" t="s">
        <v>1635</v>
      </c>
      <c r="AC2145" t="s">
        <v>1635</v>
      </c>
      <c r="AD2145" s="1" t="s">
        <v>1635</v>
      </c>
      <c r="AE2145" s="2" t="s">
        <v>1635</v>
      </c>
      <c r="AF2145" s="2" t="s">
        <v>1635</v>
      </c>
      <c r="AG2145" s="2" t="s">
        <v>1635</v>
      </c>
      <c r="AH2145">
        <v>8</v>
      </c>
      <c r="AI2145" s="3" t="s">
        <v>1635</v>
      </c>
      <c r="AJ2145" s="1">
        <v>0</v>
      </c>
      <c r="AK2145" s="2">
        <v>46263</v>
      </c>
      <c r="AL2145" s="4" t="s">
        <v>1658</v>
      </c>
      <c r="AM2145" s="5" t="s">
        <v>1658</v>
      </c>
      <c r="AN2145" s="4">
        <v>0</v>
      </c>
      <c r="AO2145" t="s">
        <v>1635</v>
      </c>
      <c r="AP2145" s="4" t="s">
        <v>1658</v>
      </c>
      <c r="AQ2145" t="s">
        <v>1619</v>
      </c>
      <c r="AR2145" t="s">
        <v>1620</v>
      </c>
      <c r="AT2145" s="16" t="str">
        <f>_xlfn.XLOOKUP(B2145,'SWiSH Demand Forecast Sep-26'!D:D,'SWiSH Demand Forecast Sep-26'!G:G,"Not Exist")</f>
        <v>Not Exist</v>
      </c>
    </row>
    <row r="2146" spans="1:46" x14ac:dyDescent="0.3">
      <c r="A2146">
        <v>101400014</v>
      </c>
      <c r="B2146" t="s">
        <v>4032</v>
      </c>
      <c r="C2146" t="s">
        <v>240</v>
      </c>
      <c r="D2146" t="s">
        <v>1789</v>
      </c>
      <c r="E2146" t="s">
        <v>1732</v>
      </c>
      <c r="F2146" t="s">
        <v>1644</v>
      </c>
      <c r="G2146" t="s">
        <v>1704</v>
      </c>
      <c r="H2146" t="s">
        <v>1693</v>
      </c>
      <c r="I2146" t="s">
        <v>1634</v>
      </c>
      <c r="J2146" t="s">
        <v>3028</v>
      </c>
      <c r="K2146">
        <v>1.08</v>
      </c>
      <c r="L2146">
        <v>189</v>
      </c>
      <c r="M2146" s="1">
        <v>3</v>
      </c>
      <c r="N2146">
        <v>0</v>
      </c>
      <c r="O2146">
        <v>0</v>
      </c>
      <c r="P2146">
        <v>175</v>
      </c>
      <c r="Q2146" s="1">
        <v>175</v>
      </c>
      <c r="R2146">
        <v>27</v>
      </c>
      <c r="S2146" s="2">
        <v>46083</v>
      </c>
      <c r="T2146" s="2">
        <v>46221</v>
      </c>
      <c r="U2146">
        <v>0</v>
      </c>
      <c r="V2146">
        <v>0</v>
      </c>
      <c r="W2146">
        <v>0</v>
      </c>
      <c r="X2146">
        <v>0</v>
      </c>
      <c r="Y2146">
        <v>0</v>
      </c>
      <c r="Z2146" s="8">
        <v>0</v>
      </c>
      <c r="AA2146">
        <v>0</v>
      </c>
      <c r="AB2146" t="s">
        <v>1635</v>
      </c>
      <c r="AC2146" t="s">
        <v>1635</v>
      </c>
      <c r="AD2146" s="1" t="s">
        <v>1635</v>
      </c>
      <c r="AE2146" s="2" t="s">
        <v>1635</v>
      </c>
      <c r="AF2146" s="2" t="s">
        <v>1635</v>
      </c>
      <c r="AG2146" s="2" t="s">
        <v>1635</v>
      </c>
      <c r="AH2146">
        <v>0</v>
      </c>
      <c r="AI2146" s="3" t="s">
        <v>1635</v>
      </c>
      <c r="AJ2146" s="1" t="s">
        <v>1635</v>
      </c>
      <c r="AK2146" s="2" t="s">
        <v>1635</v>
      </c>
      <c r="AL2146" s="4" t="s">
        <v>1658</v>
      </c>
      <c r="AM2146" s="5" t="s">
        <v>1658</v>
      </c>
      <c r="AN2146" s="4">
        <v>0</v>
      </c>
      <c r="AO2146" t="s">
        <v>1635</v>
      </c>
      <c r="AP2146" s="4" t="s">
        <v>1658</v>
      </c>
      <c r="AQ2146" t="s">
        <v>1619</v>
      </c>
      <c r="AR2146" t="s">
        <v>1620</v>
      </c>
      <c r="AT2146" s="16" t="str">
        <f>_xlfn.XLOOKUP(B2146,'SWiSH Demand Forecast Sep-26'!D:D,'SWiSH Demand Forecast Sep-26'!G:G,"Not Exist")</f>
        <v>Not Exist</v>
      </c>
    </row>
    <row r="2147" spans="1:46" x14ac:dyDescent="0.3">
      <c r="A2147">
        <v>106800027</v>
      </c>
      <c r="B2147" t="s">
        <v>4033</v>
      </c>
      <c r="C2147" t="s">
        <v>10</v>
      </c>
      <c r="D2147" t="s">
        <v>1675</v>
      </c>
      <c r="E2147" t="s">
        <v>1685</v>
      </c>
      <c r="F2147" t="s">
        <v>1664</v>
      </c>
      <c r="G2147" t="s">
        <v>1624</v>
      </c>
      <c r="H2147" t="s">
        <v>1665</v>
      </c>
      <c r="I2147" t="s">
        <v>1634</v>
      </c>
      <c r="J2147" t="s">
        <v>10</v>
      </c>
      <c r="K2147">
        <v>0.01</v>
      </c>
      <c r="L2147">
        <v>7.5</v>
      </c>
      <c r="M2147" s="1">
        <v>7</v>
      </c>
      <c r="N2147">
        <v>0</v>
      </c>
      <c r="O2147">
        <v>0</v>
      </c>
      <c r="P2147">
        <v>750</v>
      </c>
      <c r="Q2147" s="1">
        <v>750</v>
      </c>
      <c r="R2147">
        <v>0.01</v>
      </c>
      <c r="S2147" s="2">
        <v>45860</v>
      </c>
      <c r="T2147" s="2">
        <v>46054</v>
      </c>
      <c r="U2147">
        <v>0</v>
      </c>
      <c r="V2147">
        <v>0</v>
      </c>
      <c r="W2147">
        <v>0</v>
      </c>
      <c r="X2147">
        <v>0</v>
      </c>
      <c r="Y2147">
        <v>0</v>
      </c>
      <c r="Z2147" s="8">
        <v>0</v>
      </c>
      <c r="AA2147">
        <v>0</v>
      </c>
      <c r="AB2147" t="s">
        <v>1635</v>
      </c>
      <c r="AC2147" t="s">
        <v>1635</v>
      </c>
      <c r="AD2147" s="1" t="s">
        <v>1635</v>
      </c>
      <c r="AE2147" s="2" t="s">
        <v>1635</v>
      </c>
      <c r="AF2147" s="2" t="s">
        <v>1635</v>
      </c>
      <c r="AG2147" s="2" t="s">
        <v>1635</v>
      </c>
      <c r="AH2147">
        <v>0</v>
      </c>
      <c r="AI2147" s="3" t="s">
        <v>1635</v>
      </c>
      <c r="AJ2147" s="1" t="s">
        <v>1635</v>
      </c>
      <c r="AK2147" s="2" t="s">
        <v>1635</v>
      </c>
      <c r="AL2147" s="4" t="s">
        <v>1658</v>
      </c>
      <c r="AM2147" s="5" t="s">
        <v>1658</v>
      </c>
      <c r="AN2147" s="4">
        <v>0</v>
      </c>
      <c r="AO2147" t="s">
        <v>1635</v>
      </c>
      <c r="AP2147" s="4" t="s">
        <v>1658</v>
      </c>
      <c r="AQ2147" t="s">
        <v>1619</v>
      </c>
      <c r="AR2147" t="s">
        <v>1620</v>
      </c>
      <c r="AT2147" s="16" t="str">
        <f>_xlfn.XLOOKUP(B2147,'SWiSH Demand Forecast Sep-26'!D:D,'SWiSH Demand Forecast Sep-26'!G:G,"Not Exist")</f>
        <v>Not Exist</v>
      </c>
    </row>
    <row r="2148" spans="1:46" x14ac:dyDescent="0.3">
      <c r="A2148">
        <v>101300014</v>
      </c>
      <c r="B2148" t="s">
        <v>4034</v>
      </c>
      <c r="C2148" t="s">
        <v>136</v>
      </c>
      <c r="D2148" t="s">
        <v>1613</v>
      </c>
      <c r="E2148" t="s">
        <v>3410</v>
      </c>
      <c r="F2148" t="s">
        <v>1752</v>
      </c>
      <c r="G2148" t="s">
        <v>1616</v>
      </c>
      <c r="H2148" t="s">
        <v>1980</v>
      </c>
      <c r="I2148" t="s">
        <v>1754</v>
      </c>
      <c r="J2148" t="s">
        <v>1997</v>
      </c>
      <c r="K2148">
        <v>0.73499999999999999</v>
      </c>
      <c r="L2148">
        <v>0</v>
      </c>
      <c r="M2148" s="1">
        <v>3</v>
      </c>
      <c r="N2148">
        <v>0</v>
      </c>
      <c r="O2148">
        <v>0</v>
      </c>
      <c r="P2148">
        <v>0</v>
      </c>
      <c r="Q2148" s="1">
        <v>0</v>
      </c>
      <c r="R2148">
        <v>7.35</v>
      </c>
      <c r="S2148" s="2">
        <v>46061</v>
      </c>
      <c r="T2148" s="2">
        <v>46214</v>
      </c>
      <c r="U2148">
        <v>0</v>
      </c>
      <c r="V2148">
        <v>0</v>
      </c>
      <c r="W2148">
        <v>0</v>
      </c>
      <c r="X2148">
        <v>0</v>
      </c>
      <c r="Y2148">
        <v>0</v>
      </c>
      <c r="Z2148" s="8">
        <v>0</v>
      </c>
      <c r="AA2148">
        <v>0</v>
      </c>
      <c r="AB2148" t="s">
        <v>1635</v>
      </c>
      <c r="AC2148" t="s">
        <v>1635</v>
      </c>
      <c r="AD2148" s="1" t="s">
        <v>1635</v>
      </c>
      <c r="AE2148" s="2" t="s">
        <v>1635</v>
      </c>
      <c r="AF2148" s="2" t="s">
        <v>1635</v>
      </c>
      <c r="AG2148" s="2" t="s">
        <v>1635</v>
      </c>
      <c r="AH2148">
        <v>0</v>
      </c>
      <c r="AI2148" s="3" t="s">
        <v>1635</v>
      </c>
      <c r="AJ2148" s="1" t="s">
        <v>1635</v>
      </c>
      <c r="AK2148" s="2" t="s">
        <v>1635</v>
      </c>
      <c r="AL2148" s="4">
        <v>30</v>
      </c>
      <c r="AM2148" s="5">
        <v>15</v>
      </c>
      <c r="AN2148" s="4">
        <v>0</v>
      </c>
      <c r="AO2148" t="s">
        <v>1635</v>
      </c>
      <c r="AP2148" s="4">
        <v>1</v>
      </c>
      <c r="AQ2148" t="s">
        <v>1619</v>
      </c>
      <c r="AR2148" t="s">
        <v>1620</v>
      </c>
      <c r="AT2148" s="16" t="str">
        <f>_xlfn.XLOOKUP(B2148,'SWiSH Demand Forecast Sep-26'!D:D,'SWiSH Demand Forecast Sep-26'!G:G,"Not Exist")</f>
        <v>Not Exist</v>
      </c>
    </row>
    <row r="2149" spans="1:46" x14ac:dyDescent="0.3">
      <c r="A2149">
        <v>104200056</v>
      </c>
      <c r="B2149" t="s">
        <v>4035</v>
      </c>
      <c r="C2149" t="s">
        <v>10</v>
      </c>
      <c r="D2149" t="s">
        <v>1675</v>
      </c>
      <c r="E2149" t="s">
        <v>1902</v>
      </c>
      <c r="F2149" t="s">
        <v>1664</v>
      </c>
      <c r="G2149" t="s">
        <v>1704</v>
      </c>
      <c r="H2149" t="s">
        <v>1633</v>
      </c>
      <c r="I2149" t="s">
        <v>1634</v>
      </c>
      <c r="J2149" t="s">
        <v>10</v>
      </c>
      <c r="K2149">
        <v>7.4999999999999997E-3</v>
      </c>
      <c r="L2149">
        <v>0</v>
      </c>
      <c r="M2149" s="1">
        <v>7</v>
      </c>
      <c r="N2149">
        <v>0</v>
      </c>
      <c r="O2149">
        <v>0</v>
      </c>
      <c r="P2149">
        <v>0</v>
      </c>
      <c r="Q2149" s="1">
        <v>0</v>
      </c>
      <c r="R2149">
        <v>7.4999999999999997E-3</v>
      </c>
      <c r="S2149" s="2">
        <v>45773</v>
      </c>
      <c r="T2149" s="2">
        <v>45265</v>
      </c>
      <c r="U2149">
        <v>0</v>
      </c>
      <c r="V2149">
        <v>0</v>
      </c>
      <c r="W2149">
        <v>0</v>
      </c>
      <c r="X2149">
        <v>0</v>
      </c>
      <c r="Y2149">
        <v>0</v>
      </c>
      <c r="Z2149" s="8">
        <v>0</v>
      </c>
      <c r="AA2149">
        <v>0</v>
      </c>
      <c r="AB2149" t="s">
        <v>1635</v>
      </c>
      <c r="AC2149" t="s">
        <v>1635</v>
      </c>
      <c r="AD2149" s="1" t="s">
        <v>1635</v>
      </c>
      <c r="AE2149" s="2" t="s">
        <v>1635</v>
      </c>
      <c r="AF2149" s="2" t="s">
        <v>1635</v>
      </c>
      <c r="AG2149" s="2" t="s">
        <v>1635</v>
      </c>
      <c r="AH2149">
        <v>0</v>
      </c>
      <c r="AI2149" s="3" t="s">
        <v>1635</v>
      </c>
      <c r="AJ2149" s="1" t="s">
        <v>1635</v>
      </c>
      <c r="AK2149" s="2" t="s">
        <v>1635</v>
      </c>
      <c r="AL2149" s="4" t="s">
        <v>1658</v>
      </c>
      <c r="AM2149" s="5" t="s">
        <v>1658</v>
      </c>
      <c r="AN2149" s="4">
        <v>0</v>
      </c>
      <c r="AO2149" t="s">
        <v>1635</v>
      </c>
      <c r="AP2149" s="4" t="s">
        <v>1658</v>
      </c>
      <c r="AQ2149" t="s">
        <v>1619</v>
      </c>
      <c r="AR2149" t="s">
        <v>1620</v>
      </c>
      <c r="AT2149" s="16" t="str">
        <f>_xlfn.XLOOKUP(B2149,'SWiSH Demand Forecast Sep-26'!D:D,'SWiSH Demand Forecast Sep-26'!G:G,"Not Exist")</f>
        <v>Not Exist</v>
      </c>
    </row>
    <row r="2150" spans="1:46" x14ac:dyDescent="0.3">
      <c r="A2150">
        <v>106600068</v>
      </c>
      <c r="B2150" t="s">
        <v>4036</v>
      </c>
      <c r="C2150" t="s">
        <v>10</v>
      </c>
      <c r="D2150" t="s">
        <v>1675</v>
      </c>
      <c r="E2150" t="s">
        <v>1685</v>
      </c>
      <c r="F2150" t="s">
        <v>1664</v>
      </c>
      <c r="G2150" t="s">
        <v>1704</v>
      </c>
      <c r="H2150" t="s">
        <v>1723</v>
      </c>
      <c r="I2150" t="s">
        <v>1634</v>
      </c>
      <c r="J2150" t="s">
        <v>10</v>
      </c>
      <c r="K2150">
        <v>1.7160000000000002E-2</v>
      </c>
      <c r="L2150">
        <v>0</v>
      </c>
      <c r="M2150" s="1">
        <v>15</v>
      </c>
      <c r="N2150">
        <v>0</v>
      </c>
      <c r="O2150">
        <v>0</v>
      </c>
      <c r="P2150">
        <v>0</v>
      </c>
      <c r="Q2150" s="1">
        <v>0</v>
      </c>
      <c r="R2150">
        <v>1.7160000000000002E-2</v>
      </c>
      <c r="S2150" s="2">
        <v>45774</v>
      </c>
      <c r="T2150" s="2">
        <v>45804</v>
      </c>
      <c r="U2150">
        <v>0</v>
      </c>
      <c r="V2150">
        <v>0</v>
      </c>
      <c r="W2150">
        <v>0</v>
      </c>
      <c r="X2150">
        <v>0</v>
      </c>
      <c r="Y2150">
        <v>0</v>
      </c>
      <c r="Z2150" s="8">
        <v>0</v>
      </c>
      <c r="AA2150">
        <v>0</v>
      </c>
      <c r="AB2150" t="s">
        <v>1635</v>
      </c>
      <c r="AC2150" t="s">
        <v>1635</v>
      </c>
      <c r="AD2150" s="1" t="s">
        <v>1635</v>
      </c>
      <c r="AE2150" s="2" t="s">
        <v>1635</v>
      </c>
      <c r="AF2150" s="2" t="s">
        <v>1635</v>
      </c>
      <c r="AG2150" s="2" t="s">
        <v>1635</v>
      </c>
      <c r="AH2150">
        <v>0</v>
      </c>
      <c r="AI2150" s="3" t="s">
        <v>1635</v>
      </c>
      <c r="AJ2150" s="1" t="s">
        <v>1635</v>
      </c>
      <c r="AK2150" s="2" t="s">
        <v>1635</v>
      </c>
      <c r="AL2150" s="4" t="s">
        <v>1658</v>
      </c>
      <c r="AM2150" s="5" t="s">
        <v>1658</v>
      </c>
      <c r="AN2150" s="4">
        <v>0</v>
      </c>
      <c r="AO2150" t="s">
        <v>1635</v>
      </c>
      <c r="AP2150" s="4" t="s">
        <v>1658</v>
      </c>
      <c r="AQ2150" t="s">
        <v>1619</v>
      </c>
      <c r="AR2150" t="s">
        <v>1620</v>
      </c>
      <c r="AT2150" s="16" t="str">
        <f>_xlfn.XLOOKUP(B2150,'SWiSH Demand Forecast Sep-26'!D:D,'SWiSH Demand Forecast Sep-26'!G:G,"Not Exist")</f>
        <v>Not Exist</v>
      </c>
    </row>
    <row r="2151" spans="1:46" x14ac:dyDescent="0.3">
      <c r="A2151">
        <v>106600073</v>
      </c>
      <c r="B2151" t="s">
        <v>4037</v>
      </c>
      <c r="C2151" t="s">
        <v>10</v>
      </c>
      <c r="D2151" t="s">
        <v>1675</v>
      </c>
      <c r="E2151" t="s">
        <v>1685</v>
      </c>
      <c r="F2151" t="s">
        <v>1664</v>
      </c>
      <c r="G2151" t="s">
        <v>1704</v>
      </c>
      <c r="H2151" t="s">
        <v>1723</v>
      </c>
      <c r="I2151" t="s">
        <v>1634</v>
      </c>
      <c r="J2151" t="s">
        <v>10</v>
      </c>
      <c r="K2151">
        <v>1.72E-2</v>
      </c>
      <c r="L2151">
        <v>0</v>
      </c>
      <c r="M2151" s="1">
        <v>15</v>
      </c>
      <c r="N2151">
        <v>0</v>
      </c>
      <c r="O2151">
        <v>0</v>
      </c>
      <c r="P2151">
        <v>0</v>
      </c>
      <c r="Q2151" s="1">
        <v>0</v>
      </c>
      <c r="R2151">
        <v>1.72E-2</v>
      </c>
      <c r="S2151" s="2">
        <v>45774</v>
      </c>
      <c r="T2151" s="2">
        <v>45804</v>
      </c>
      <c r="U2151">
        <v>0</v>
      </c>
      <c r="V2151">
        <v>0</v>
      </c>
      <c r="W2151">
        <v>0</v>
      </c>
      <c r="X2151">
        <v>0</v>
      </c>
      <c r="Y2151">
        <v>0</v>
      </c>
      <c r="Z2151" s="8">
        <v>0</v>
      </c>
      <c r="AA2151">
        <v>0</v>
      </c>
      <c r="AB2151" t="s">
        <v>1635</v>
      </c>
      <c r="AC2151" t="s">
        <v>1635</v>
      </c>
      <c r="AD2151" s="1" t="s">
        <v>1635</v>
      </c>
      <c r="AE2151" s="2" t="s">
        <v>1635</v>
      </c>
      <c r="AF2151" s="2" t="s">
        <v>1635</v>
      </c>
      <c r="AG2151" s="2" t="s">
        <v>1635</v>
      </c>
      <c r="AH2151">
        <v>0</v>
      </c>
      <c r="AI2151" s="3" t="s">
        <v>1635</v>
      </c>
      <c r="AJ2151" s="1" t="s">
        <v>1635</v>
      </c>
      <c r="AK2151" s="2" t="s">
        <v>1635</v>
      </c>
      <c r="AL2151" s="4" t="s">
        <v>1658</v>
      </c>
      <c r="AM2151" s="5" t="s">
        <v>1658</v>
      </c>
      <c r="AN2151" s="4">
        <v>0</v>
      </c>
      <c r="AO2151" t="s">
        <v>1635</v>
      </c>
      <c r="AP2151" s="4" t="s">
        <v>1658</v>
      </c>
      <c r="AQ2151" t="s">
        <v>1619</v>
      </c>
      <c r="AR2151" t="s">
        <v>1620</v>
      </c>
      <c r="AT2151" s="16" t="str">
        <f>_xlfn.XLOOKUP(B2151,'SWiSH Demand Forecast Sep-26'!D:D,'SWiSH Demand Forecast Sep-26'!G:G,"Not Exist")</f>
        <v>Not Exist</v>
      </c>
    </row>
    <row r="2152" spans="1:46" x14ac:dyDescent="0.3">
      <c r="A2152">
        <v>101100016</v>
      </c>
      <c r="B2152" t="s">
        <v>4038</v>
      </c>
      <c r="C2152" t="s">
        <v>10</v>
      </c>
      <c r="D2152" t="s">
        <v>1675</v>
      </c>
      <c r="E2152" t="s">
        <v>1643</v>
      </c>
      <c r="F2152" t="s">
        <v>1650</v>
      </c>
      <c r="G2152" t="s">
        <v>1624</v>
      </c>
      <c r="H2152" t="s">
        <v>1953</v>
      </c>
      <c r="I2152" t="s">
        <v>1634</v>
      </c>
      <c r="J2152" t="s">
        <v>10</v>
      </c>
      <c r="K2152">
        <v>16.5</v>
      </c>
      <c r="L2152">
        <v>16.5</v>
      </c>
      <c r="M2152" s="1">
        <v>3</v>
      </c>
      <c r="N2152">
        <v>0</v>
      </c>
      <c r="O2152">
        <v>0</v>
      </c>
      <c r="P2152">
        <v>1</v>
      </c>
      <c r="Q2152" s="1">
        <v>1</v>
      </c>
      <c r="R2152">
        <v>16.5</v>
      </c>
      <c r="S2152" s="2">
        <v>46124</v>
      </c>
      <c r="T2152" s="2">
        <v>46111</v>
      </c>
      <c r="U2152">
        <v>0</v>
      </c>
      <c r="V2152">
        <v>0</v>
      </c>
      <c r="W2152">
        <v>0</v>
      </c>
      <c r="X2152">
        <v>0</v>
      </c>
      <c r="Y2152">
        <v>0</v>
      </c>
      <c r="Z2152" s="8">
        <v>0</v>
      </c>
      <c r="AA2152">
        <v>0</v>
      </c>
      <c r="AB2152" t="s">
        <v>1635</v>
      </c>
      <c r="AC2152" t="s">
        <v>1635</v>
      </c>
      <c r="AD2152" s="1" t="s">
        <v>1635</v>
      </c>
      <c r="AE2152" s="2" t="s">
        <v>1635</v>
      </c>
      <c r="AF2152" s="2" t="s">
        <v>1635</v>
      </c>
      <c r="AG2152" s="2" t="s">
        <v>1635</v>
      </c>
      <c r="AH2152">
        <v>0</v>
      </c>
      <c r="AI2152" s="3" t="s">
        <v>1635</v>
      </c>
      <c r="AJ2152" s="1" t="s">
        <v>1635</v>
      </c>
      <c r="AK2152" s="2" t="s">
        <v>1635</v>
      </c>
      <c r="AL2152" s="4" t="s">
        <v>1658</v>
      </c>
      <c r="AM2152" s="5" t="s">
        <v>1658</v>
      </c>
      <c r="AN2152" s="4">
        <v>0</v>
      </c>
      <c r="AO2152" t="s">
        <v>1635</v>
      </c>
      <c r="AP2152" s="4" t="s">
        <v>1658</v>
      </c>
      <c r="AQ2152" t="s">
        <v>1619</v>
      </c>
      <c r="AR2152" t="s">
        <v>1620</v>
      </c>
      <c r="AT2152" s="16" t="str">
        <f>_xlfn.XLOOKUP(B2152,'SWiSH Demand Forecast Sep-26'!D:D,'SWiSH Demand Forecast Sep-26'!G:G,"Not Exist")</f>
        <v>Not Exist</v>
      </c>
    </row>
    <row r="2153" spans="1:46" x14ac:dyDescent="0.3">
      <c r="A2153">
        <v>106600063</v>
      </c>
      <c r="B2153" t="s">
        <v>4039</v>
      </c>
      <c r="C2153" t="s">
        <v>10</v>
      </c>
      <c r="D2153" t="s">
        <v>1675</v>
      </c>
      <c r="E2153" t="s">
        <v>1685</v>
      </c>
      <c r="F2153" t="s">
        <v>1664</v>
      </c>
      <c r="G2153" t="s">
        <v>1704</v>
      </c>
      <c r="H2153" t="s">
        <v>1723</v>
      </c>
      <c r="I2153" t="s">
        <v>1634</v>
      </c>
      <c r="J2153" t="s">
        <v>10</v>
      </c>
      <c r="K2153">
        <v>1.7919999999999998E-2</v>
      </c>
      <c r="L2153">
        <v>0</v>
      </c>
      <c r="M2153" s="1">
        <v>15</v>
      </c>
      <c r="N2153">
        <v>0</v>
      </c>
      <c r="O2153">
        <v>0</v>
      </c>
      <c r="P2153">
        <v>0</v>
      </c>
      <c r="Q2153" s="1">
        <v>0</v>
      </c>
      <c r="R2153">
        <v>1.7919999999999998E-2</v>
      </c>
      <c r="S2153" s="2">
        <v>45774</v>
      </c>
      <c r="T2153" s="2">
        <v>45804</v>
      </c>
      <c r="U2153">
        <v>0</v>
      </c>
      <c r="V2153">
        <v>0</v>
      </c>
      <c r="W2153">
        <v>0</v>
      </c>
      <c r="X2153">
        <v>0</v>
      </c>
      <c r="Y2153">
        <v>0</v>
      </c>
      <c r="Z2153" s="8">
        <v>0</v>
      </c>
      <c r="AA2153">
        <v>0</v>
      </c>
      <c r="AB2153" t="s">
        <v>1635</v>
      </c>
      <c r="AC2153" t="s">
        <v>1635</v>
      </c>
      <c r="AD2153" s="1" t="s">
        <v>1635</v>
      </c>
      <c r="AE2153" s="2" t="s">
        <v>1635</v>
      </c>
      <c r="AF2153" s="2" t="s">
        <v>1635</v>
      </c>
      <c r="AG2153" s="2" t="s">
        <v>1635</v>
      </c>
      <c r="AH2153">
        <v>0</v>
      </c>
      <c r="AI2153" s="3" t="s">
        <v>1635</v>
      </c>
      <c r="AJ2153" s="1" t="s">
        <v>1635</v>
      </c>
      <c r="AK2153" s="2" t="s">
        <v>1635</v>
      </c>
      <c r="AL2153" s="4" t="s">
        <v>1658</v>
      </c>
      <c r="AM2153" s="5" t="s">
        <v>1658</v>
      </c>
      <c r="AN2153" s="4">
        <v>0</v>
      </c>
      <c r="AO2153" t="s">
        <v>1635</v>
      </c>
      <c r="AP2153" s="4" t="s">
        <v>1658</v>
      </c>
      <c r="AQ2153" t="s">
        <v>1619</v>
      </c>
      <c r="AR2153" t="s">
        <v>1620</v>
      </c>
      <c r="AT2153" s="16" t="str">
        <f>_xlfn.XLOOKUP(B2153,'SWiSH Demand Forecast Sep-26'!D:D,'SWiSH Demand Forecast Sep-26'!G:G,"Not Exist")</f>
        <v>Not Exist</v>
      </c>
    </row>
    <row r="2154" spans="1:46" hidden="1" x14ac:dyDescent="0.3">
      <c r="A2154">
        <v>100400075</v>
      </c>
      <c r="B2154" t="s">
        <v>229</v>
      </c>
      <c r="C2154" t="s">
        <v>10</v>
      </c>
      <c r="D2154" t="s">
        <v>1613</v>
      </c>
      <c r="E2154" t="s">
        <v>1638</v>
      </c>
      <c r="F2154" t="s">
        <v>1664</v>
      </c>
      <c r="G2154" t="s">
        <v>1624</v>
      </c>
      <c r="H2154" t="s">
        <v>1810</v>
      </c>
      <c r="I2154" t="s">
        <v>1634</v>
      </c>
      <c r="J2154" t="s">
        <v>10</v>
      </c>
      <c r="K2154">
        <v>1.9050000000000001E-2</v>
      </c>
      <c r="L2154">
        <v>228.60000000000002</v>
      </c>
      <c r="M2154" s="1">
        <v>30</v>
      </c>
      <c r="N2154">
        <v>0</v>
      </c>
      <c r="O2154">
        <v>0</v>
      </c>
      <c r="P2154">
        <v>12000</v>
      </c>
      <c r="Q2154" s="1">
        <v>12000</v>
      </c>
      <c r="R2154">
        <v>1.9050000000000001E-2</v>
      </c>
      <c r="S2154" s="2">
        <v>46191</v>
      </c>
      <c r="T2154" s="2">
        <v>46072</v>
      </c>
      <c r="U2154">
        <v>0</v>
      </c>
      <c r="V2154">
        <v>0</v>
      </c>
      <c r="W2154">
        <v>0</v>
      </c>
      <c r="X2154">
        <v>0</v>
      </c>
      <c r="Y2154">
        <v>0</v>
      </c>
      <c r="Z2154" s="8">
        <v>0</v>
      </c>
      <c r="AA2154">
        <v>0</v>
      </c>
      <c r="AB2154" t="s">
        <v>1635</v>
      </c>
      <c r="AC2154" t="s">
        <v>1635</v>
      </c>
      <c r="AD2154" s="1" t="s">
        <v>1635</v>
      </c>
      <c r="AE2154" s="2" t="s">
        <v>1635</v>
      </c>
      <c r="AF2154" s="2" t="s">
        <v>1635</v>
      </c>
      <c r="AG2154" s="2" t="s">
        <v>1635</v>
      </c>
      <c r="AH2154">
        <v>0</v>
      </c>
      <c r="AI2154" s="3" t="s">
        <v>1635</v>
      </c>
      <c r="AJ2154" s="1" t="s">
        <v>1635</v>
      </c>
      <c r="AK2154" s="2" t="s">
        <v>1635</v>
      </c>
      <c r="AL2154" s="4">
        <v>30</v>
      </c>
      <c r="AM2154" s="5">
        <v>15</v>
      </c>
      <c r="AN2154" s="4">
        <v>0</v>
      </c>
      <c r="AO2154" t="s">
        <v>1635</v>
      </c>
      <c r="AP2154" s="4">
        <v>1</v>
      </c>
      <c r="AQ2154">
        <v>15000</v>
      </c>
      <c r="AR2154" t="s">
        <v>2215</v>
      </c>
      <c r="AT2154" s="16">
        <f>_xlfn.XLOOKUP(B2154,'SWiSH Demand Forecast Sep-26'!D:D,'SWiSH Demand Forecast Sep-26'!G:G,"Not Exist")</f>
        <v>7451</v>
      </c>
    </row>
    <row r="2155" spans="1:46" x14ac:dyDescent="0.3">
      <c r="A2155">
        <v>105900044</v>
      </c>
      <c r="B2155" t="s">
        <v>4040</v>
      </c>
      <c r="C2155" t="s">
        <v>10</v>
      </c>
      <c r="D2155" t="s">
        <v>1675</v>
      </c>
      <c r="E2155" t="s">
        <v>1663</v>
      </c>
      <c r="F2155" t="s">
        <v>1664</v>
      </c>
      <c r="G2155" t="s">
        <v>1704</v>
      </c>
      <c r="H2155" t="s">
        <v>1729</v>
      </c>
      <c r="I2155" t="s">
        <v>1634</v>
      </c>
      <c r="J2155" t="s">
        <v>10</v>
      </c>
      <c r="K2155">
        <v>8.0182099999999996E-3</v>
      </c>
      <c r="L2155">
        <v>202.05889199999999</v>
      </c>
      <c r="M2155" s="1">
        <v>90</v>
      </c>
      <c r="N2155">
        <v>0</v>
      </c>
      <c r="O2155">
        <v>0</v>
      </c>
      <c r="P2155">
        <v>25200</v>
      </c>
      <c r="Q2155" s="1">
        <v>25200</v>
      </c>
      <c r="R2155">
        <v>8.0182099999999998</v>
      </c>
      <c r="S2155" s="2">
        <v>45258</v>
      </c>
      <c r="T2155" s="2">
        <v>45777</v>
      </c>
      <c r="U2155">
        <v>0</v>
      </c>
      <c r="V2155">
        <v>0</v>
      </c>
      <c r="W2155">
        <v>0</v>
      </c>
      <c r="X2155">
        <v>0</v>
      </c>
      <c r="Y2155">
        <v>0</v>
      </c>
      <c r="Z2155" s="8">
        <v>0</v>
      </c>
      <c r="AA2155">
        <v>0</v>
      </c>
      <c r="AB2155" t="s">
        <v>1635</v>
      </c>
      <c r="AC2155" t="s">
        <v>1635</v>
      </c>
      <c r="AD2155" s="1" t="s">
        <v>1635</v>
      </c>
      <c r="AE2155" s="2" t="s">
        <v>1635</v>
      </c>
      <c r="AF2155" s="2" t="s">
        <v>1635</v>
      </c>
      <c r="AG2155" s="2" t="s">
        <v>1635</v>
      </c>
      <c r="AH2155">
        <v>0</v>
      </c>
      <c r="AI2155" s="3" t="s">
        <v>1635</v>
      </c>
      <c r="AJ2155" s="1" t="s">
        <v>1635</v>
      </c>
      <c r="AK2155" s="2" t="s">
        <v>1635</v>
      </c>
      <c r="AL2155" s="4" t="s">
        <v>1658</v>
      </c>
      <c r="AM2155" s="5" t="s">
        <v>1658</v>
      </c>
      <c r="AN2155" s="4">
        <v>0</v>
      </c>
      <c r="AO2155" t="s">
        <v>1635</v>
      </c>
      <c r="AP2155" s="4" t="s">
        <v>1658</v>
      </c>
      <c r="AQ2155" t="s">
        <v>1619</v>
      </c>
      <c r="AR2155" t="s">
        <v>1620</v>
      </c>
      <c r="AT2155" s="16" t="str">
        <f>_xlfn.XLOOKUP(B2155,'SWiSH Demand Forecast Sep-26'!D:D,'SWiSH Demand Forecast Sep-26'!G:G,"Not Exist")</f>
        <v>Not Exist</v>
      </c>
    </row>
    <row r="2156" spans="1:46" x14ac:dyDescent="0.3">
      <c r="A2156">
        <v>103700134</v>
      </c>
      <c r="B2156" t="s">
        <v>4041</v>
      </c>
      <c r="C2156" t="s">
        <v>136</v>
      </c>
      <c r="D2156" t="s">
        <v>1675</v>
      </c>
      <c r="E2156" t="s">
        <v>1732</v>
      </c>
      <c r="F2156" t="s">
        <v>1650</v>
      </c>
      <c r="G2156" t="s">
        <v>1616</v>
      </c>
      <c r="H2156" t="s">
        <v>1617</v>
      </c>
      <c r="I2156" t="s">
        <v>1634</v>
      </c>
      <c r="J2156" t="s">
        <v>4042</v>
      </c>
      <c r="K2156">
        <v>5.9895833300000003</v>
      </c>
      <c r="L2156">
        <v>12.074999993280001</v>
      </c>
      <c r="M2156" s="1">
        <v>3</v>
      </c>
      <c r="N2156">
        <v>0</v>
      </c>
      <c r="O2156">
        <v>0</v>
      </c>
      <c r="P2156">
        <v>2.016</v>
      </c>
      <c r="Q2156" s="1">
        <v>2.016</v>
      </c>
      <c r="R2156">
        <v>2.0125000000000002</v>
      </c>
      <c r="S2156" s="2">
        <v>46135</v>
      </c>
      <c r="T2156" s="2">
        <v>46064</v>
      </c>
      <c r="U2156">
        <v>0</v>
      </c>
      <c r="V2156">
        <v>0</v>
      </c>
      <c r="W2156">
        <v>0</v>
      </c>
      <c r="X2156">
        <v>0</v>
      </c>
      <c r="Y2156">
        <v>0</v>
      </c>
      <c r="Z2156" s="8">
        <v>0</v>
      </c>
      <c r="AA2156">
        <v>0</v>
      </c>
      <c r="AB2156" t="s">
        <v>1635</v>
      </c>
      <c r="AC2156" t="s">
        <v>1635</v>
      </c>
      <c r="AD2156" s="1" t="s">
        <v>1635</v>
      </c>
      <c r="AE2156" s="2" t="s">
        <v>1635</v>
      </c>
      <c r="AF2156" s="2" t="s">
        <v>1635</v>
      </c>
      <c r="AG2156" s="2" t="s">
        <v>1635</v>
      </c>
      <c r="AH2156">
        <v>0</v>
      </c>
      <c r="AI2156" s="3" t="s">
        <v>1635</v>
      </c>
      <c r="AJ2156" s="1" t="s">
        <v>1635</v>
      </c>
      <c r="AK2156" s="2" t="s">
        <v>1635</v>
      </c>
      <c r="AL2156" s="4" t="s">
        <v>1658</v>
      </c>
      <c r="AM2156" s="5" t="s">
        <v>1658</v>
      </c>
      <c r="AN2156" s="4">
        <v>0</v>
      </c>
      <c r="AO2156" t="s">
        <v>1635</v>
      </c>
      <c r="AP2156" s="4" t="s">
        <v>1658</v>
      </c>
      <c r="AQ2156" t="s">
        <v>1619</v>
      </c>
      <c r="AR2156" t="s">
        <v>1859</v>
      </c>
      <c r="AT2156" s="16" t="str">
        <f>_xlfn.XLOOKUP(B2156,'SWiSH Demand Forecast Sep-26'!D:D,'SWiSH Demand Forecast Sep-26'!G:G,"Not Exist")</f>
        <v>Not Exist</v>
      </c>
    </row>
    <row r="2157" spans="1:46" x14ac:dyDescent="0.3">
      <c r="A2157">
        <v>106800034</v>
      </c>
      <c r="B2157" t="s">
        <v>4043</v>
      </c>
      <c r="C2157" t="s">
        <v>10</v>
      </c>
      <c r="D2157" t="s">
        <v>1675</v>
      </c>
      <c r="E2157" t="s">
        <v>1685</v>
      </c>
      <c r="F2157" t="s">
        <v>1664</v>
      </c>
      <c r="G2157" t="s">
        <v>1686</v>
      </c>
      <c r="H2157" t="s">
        <v>1665</v>
      </c>
      <c r="I2157" t="s">
        <v>1634</v>
      </c>
      <c r="J2157" t="s">
        <v>10</v>
      </c>
      <c r="K2157">
        <v>8.0000000000000002E-3</v>
      </c>
      <c r="L2157">
        <v>0</v>
      </c>
      <c r="M2157" s="1">
        <v>7</v>
      </c>
      <c r="N2157">
        <v>0</v>
      </c>
      <c r="O2157">
        <v>0</v>
      </c>
      <c r="P2157">
        <v>0</v>
      </c>
      <c r="Q2157" s="1">
        <v>0</v>
      </c>
      <c r="R2157">
        <v>8.0000000000000002E-3</v>
      </c>
      <c r="S2157" s="2">
        <v>45795</v>
      </c>
      <c r="T2157" s="2">
        <v>46054</v>
      </c>
      <c r="U2157">
        <v>0</v>
      </c>
      <c r="V2157">
        <v>0</v>
      </c>
      <c r="W2157">
        <v>0</v>
      </c>
      <c r="X2157">
        <v>0</v>
      </c>
      <c r="Y2157">
        <v>0</v>
      </c>
      <c r="Z2157" s="8">
        <v>0</v>
      </c>
      <c r="AA2157">
        <v>0</v>
      </c>
      <c r="AB2157" t="s">
        <v>1635</v>
      </c>
      <c r="AC2157" t="s">
        <v>1635</v>
      </c>
      <c r="AD2157" s="1" t="s">
        <v>1635</v>
      </c>
      <c r="AE2157" s="2" t="s">
        <v>1635</v>
      </c>
      <c r="AF2157" s="2" t="s">
        <v>1635</v>
      </c>
      <c r="AG2157" s="2" t="s">
        <v>1635</v>
      </c>
      <c r="AH2157">
        <v>0</v>
      </c>
      <c r="AI2157" s="3" t="s">
        <v>1635</v>
      </c>
      <c r="AJ2157" s="1" t="s">
        <v>1635</v>
      </c>
      <c r="AK2157" s="2" t="s">
        <v>1635</v>
      </c>
      <c r="AL2157" s="4" t="s">
        <v>1658</v>
      </c>
      <c r="AM2157" s="5" t="s">
        <v>1658</v>
      </c>
      <c r="AN2157" s="4">
        <v>0</v>
      </c>
      <c r="AO2157" t="s">
        <v>1635</v>
      </c>
      <c r="AP2157" s="4" t="s">
        <v>1658</v>
      </c>
      <c r="AQ2157" t="s">
        <v>1619</v>
      </c>
      <c r="AR2157" t="s">
        <v>1620</v>
      </c>
      <c r="AT2157" s="16" t="str">
        <f>_xlfn.XLOOKUP(B2157,'SWiSH Demand Forecast Sep-26'!D:D,'SWiSH Demand Forecast Sep-26'!G:G,"Not Exist")</f>
        <v>Not Exist</v>
      </c>
    </row>
    <row r="2158" spans="1:46" x14ac:dyDescent="0.3">
      <c r="A2158">
        <v>106800018</v>
      </c>
      <c r="B2158" t="s">
        <v>4044</v>
      </c>
      <c r="C2158" t="s">
        <v>10</v>
      </c>
      <c r="D2158" t="s">
        <v>1675</v>
      </c>
      <c r="E2158" t="s">
        <v>1685</v>
      </c>
      <c r="F2158" t="s">
        <v>1664</v>
      </c>
      <c r="G2158" t="s">
        <v>1624</v>
      </c>
      <c r="H2158" t="s">
        <v>1665</v>
      </c>
      <c r="I2158" t="s">
        <v>1634</v>
      </c>
      <c r="J2158" t="s">
        <v>10</v>
      </c>
      <c r="K2158">
        <v>0.01</v>
      </c>
      <c r="L2158">
        <v>20</v>
      </c>
      <c r="M2158" s="1">
        <v>7</v>
      </c>
      <c r="N2158">
        <v>0</v>
      </c>
      <c r="O2158">
        <v>0</v>
      </c>
      <c r="P2158">
        <v>2000</v>
      </c>
      <c r="Q2158" s="1">
        <v>2000</v>
      </c>
      <c r="R2158">
        <v>0.01</v>
      </c>
      <c r="S2158" s="2">
        <v>45860</v>
      </c>
      <c r="T2158" s="2">
        <v>46054</v>
      </c>
      <c r="U2158">
        <v>0</v>
      </c>
      <c r="V2158">
        <v>0</v>
      </c>
      <c r="W2158">
        <v>0</v>
      </c>
      <c r="X2158">
        <v>0</v>
      </c>
      <c r="Y2158">
        <v>0</v>
      </c>
      <c r="Z2158" s="8">
        <v>0</v>
      </c>
      <c r="AA2158">
        <v>0</v>
      </c>
      <c r="AB2158" t="s">
        <v>1635</v>
      </c>
      <c r="AC2158" t="s">
        <v>1635</v>
      </c>
      <c r="AD2158" s="1" t="s">
        <v>1635</v>
      </c>
      <c r="AE2158" s="2" t="s">
        <v>1635</v>
      </c>
      <c r="AF2158" s="2" t="s">
        <v>1635</v>
      </c>
      <c r="AG2158" s="2" t="s">
        <v>1635</v>
      </c>
      <c r="AH2158">
        <v>0</v>
      </c>
      <c r="AI2158" s="3" t="s">
        <v>1635</v>
      </c>
      <c r="AJ2158" s="1" t="s">
        <v>1635</v>
      </c>
      <c r="AK2158" s="2" t="s">
        <v>1635</v>
      </c>
      <c r="AL2158" s="4" t="s">
        <v>1658</v>
      </c>
      <c r="AM2158" s="5" t="s">
        <v>1658</v>
      </c>
      <c r="AN2158" s="4">
        <v>0</v>
      </c>
      <c r="AO2158" t="s">
        <v>1635</v>
      </c>
      <c r="AP2158" s="4" t="s">
        <v>1658</v>
      </c>
      <c r="AQ2158" t="s">
        <v>1619</v>
      </c>
      <c r="AR2158" t="s">
        <v>1620</v>
      </c>
      <c r="AT2158" s="16" t="str">
        <f>_xlfn.XLOOKUP(B2158,'SWiSH Demand Forecast Sep-26'!D:D,'SWiSH Demand Forecast Sep-26'!G:G,"Not Exist")</f>
        <v>Not Exist</v>
      </c>
    </row>
    <row r="2159" spans="1:46" x14ac:dyDescent="0.3">
      <c r="A2159">
        <v>106800030</v>
      </c>
      <c r="B2159" t="s">
        <v>4045</v>
      </c>
      <c r="C2159" t="s">
        <v>10</v>
      </c>
      <c r="D2159" t="s">
        <v>1675</v>
      </c>
      <c r="E2159" t="s">
        <v>1685</v>
      </c>
      <c r="F2159" t="s">
        <v>1664</v>
      </c>
      <c r="G2159" t="s">
        <v>1624</v>
      </c>
      <c r="H2159" t="s">
        <v>1665</v>
      </c>
      <c r="I2159" t="s">
        <v>1634</v>
      </c>
      <c r="J2159" t="s">
        <v>10</v>
      </c>
      <c r="K2159">
        <v>0.01</v>
      </c>
      <c r="L2159">
        <v>20</v>
      </c>
      <c r="M2159" s="1">
        <v>7</v>
      </c>
      <c r="N2159">
        <v>0</v>
      </c>
      <c r="O2159">
        <v>0</v>
      </c>
      <c r="P2159">
        <v>2000</v>
      </c>
      <c r="Q2159" s="1">
        <v>2000</v>
      </c>
      <c r="R2159">
        <v>0.01</v>
      </c>
      <c r="S2159" s="2">
        <v>45860</v>
      </c>
      <c r="T2159" s="2">
        <v>46054</v>
      </c>
      <c r="U2159">
        <v>0</v>
      </c>
      <c r="V2159">
        <v>0</v>
      </c>
      <c r="W2159">
        <v>0</v>
      </c>
      <c r="X2159">
        <v>0</v>
      </c>
      <c r="Y2159">
        <v>0</v>
      </c>
      <c r="Z2159" s="8">
        <v>0</v>
      </c>
      <c r="AA2159">
        <v>0</v>
      </c>
      <c r="AB2159" t="s">
        <v>1635</v>
      </c>
      <c r="AC2159" t="s">
        <v>1635</v>
      </c>
      <c r="AD2159" s="1" t="s">
        <v>1635</v>
      </c>
      <c r="AE2159" s="2" t="s">
        <v>1635</v>
      </c>
      <c r="AF2159" s="2" t="s">
        <v>1635</v>
      </c>
      <c r="AG2159" s="2" t="s">
        <v>1635</v>
      </c>
      <c r="AH2159">
        <v>0</v>
      </c>
      <c r="AI2159" s="3" t="s">
        <v>1635</v>
      </c>
      <c r="AJ2159" s="1" t="s">
        <v>1635</v>
      </c>
      <c r="AK2159" s="2" t="s">
        <v>1635</v>
      </c>
      <c r="AL2159" s="4" t="s">
        <v>1658</v>
      </c>
      <c r="AM2159" s="5" t="s">
        <v>1658</v>
      </c>
      <c r="AN2159" s="4">
        <v>0</v>
      </c>
      <c r="AO2159" t="s">
        <v>1635</v>
      </c>
      <c r="AP2159" s="4" t="s">
        <v>1658</v>
      </c>
      <c r="AQ2159" t="s">
        <v>1619</v>
      </c>
      <c r="AR2159" t="s">
        <v>1620</v>
      </c>
      <c r="AT2159" s="16" t="str">
        <f>_xlfn.XLOOKUP(B2159,'SWiSH Demand Forecast Sep-26'!D:D,'SWiSH Demand Forecast Sep-26'!G:G,"Not Exist")</f>
        <v>Not Exist</v>
      </c>
    </row>
    <row r="2160" spans="1:46" x14ac:dyDescent="0.3">
      <c r="A2160">
        <v>106800020</v>
      </c>
      <c r="B2160" t="s">
        <v>4046</v>
      </c>
      <c r="C2160" t="s">
        <v>10</v>
      </c>
      <c r="D2160" t="s">
        <v>1675</v>
      </c>
      <c r="E2160" t="s">
        <v>1685</v>
      </c>
      <c r="F2160" t="s">
        <v>1664</v>
      </c>
      <c r="G2160" t="s">
        <v>1624</v>
      </c>
      <c r="H2160" t="s">
        <v>1665</v>
      </c>
      <c r="I2160" t="s">
        <v>1634</v>
      </c>
      <c r="J2160" t="s">
        <v>10</v>
      </c>
      <c r="K2160">
        <v>0.01</v>
      </c>
      <c r="L2160">
        <v>15</v>
      </c>
      <c r="M2160" s="1">
        <v>7</v>
      </c>
      <c r="N2160">
        <v>0</v>
      </c>
      <c r="O2160">
        <v>0</v>
      </c>
      <c r="P2160">
        <v>1500</v>
      </c>
      <c r="Q2160" s="1">
        <v>1500</v>
      </c>
      <c r="R2160">
        <v>0.01</v>
      </c>
      <c r="S2160" s="2">
        <v>45860</v>
      </c>
      <c r="T2160" s="2">
        <v>46054</v>
      </c>
      <c r="U2160">
        <v>0</v>
      </c>
      <c r="V2160">
        <v>0</v>
      </c>
      <c r="W2160">
        <v>0</v>
      </c>
      <c r="X2160">
        <v>0</v>
      </c>
      <c r="Y2160">
        <v>0</v>
      </c>
      <c r="Z2160" s="8">
        <v>0</v>
      </c>
      <c r="AA2160">
        <v>0</v>
      </c>
      <c r="AB2160" t="s">
        <v>1635</v>
      </c>
      <c r="AC2160" t="s">
        <v>1635</v>
      </c>
      <c r="AD2160" s="1" t="s">
        <v>1635</v>
      </c>
      <c r="AE2160" s="2" t="s">
        <v>1635</v>
      </c>
      <c r="AF2160" s="2" t="s">
        <v>1635</v>
      </c>
      <c r="AG2160" s="2" t="s">
        <v>1635</v>
      </c>
      <c r="AH2160">
        <v>0</v>
      </c>
      <c r="AI2160" s="3" t="s">
        <v>1635</v>
      </c>
      <c r="AJ2160" s="1" t="s">
        <v>1635</v>
      </c>
      <c r="AK2160" s="2" t="s">
        <v>1635</v>
      </c>
      <c r="AL2160" s="4" t="s">
        <v>1658</v>
      </c>
      <c r="AM2160" s="5" t="s">
        <v>1658</v>
      </c>
      <c r="AN2160" s="4">
        <v>0</v>
      </c>
      <c r="AO2160" t="s">
        <v>1635</v>
      </c>
      <c r="AP2160" s="4" t="s">
        <v>1658</v>
      </c>
      <c r="AQ2160" t="s">
        <v>1619</v>
      </c>
      <c r="AR2160" t="s">
        <v>1620</v>
      </c>
      <c r="AT2160" s="16" t="str">
        <f>_xlfn.XLOOKUP(B2160,'SWiSH Demand Forecast Sep-26'!D:D,'SWiSH Demand Forecast Sep-26'!G:G,"Not Exist")</f>
        <v>Not Exist</v>
      </c>
    </row>
    <row r="2161" spans="1:46" x14ac:dyDescent="0.3">
      <c r="A2161">
        <v>106800024</v>
      </c>
      <c r="B2161" t="s">
        <v>4047</v>
      </c>
      <c r="C2161" t="s">
        <v>10</v>
      </c>
      <c r="D2161" t="s">
        <v>1675</v>
      </c>
      <c r="E2161" t="s">
        <v>1685</v>
      </c>
      <c r="F2161" t="s">
        <v>1664</v>
      </c>
      <c r="G2161" t="s">
        <v>1624</v>
      </c>
      <c r="H2161" t="s">
        <v>1665</v>
      </c>
      <c r="I2161" t="s">
        <v>1634</v>
      </c>
      <c r="J2161" t="s">
        <v>10</v>
      </c>
      <c r="K2161">
        <v>0.01</v>
      </c>
      <c r="L2161">
        <v>25</v>
      </c>
      <c r="M2161" s="1">
        <v>7</v>
      </c>
      <c r="N2161">
        <v>0</v>
      </c>
      <c r="O2161">
        <v>0</v>
      </c>
      <c r="P2161">
        <v>2500</v>
      </c>
      <c r="Q2161" s="1">
        <v>2500</v>
      </c>
      <c r="R2161">
        <v>0.01</v>
      </c>
      <c r="S2161" s="2">
        <v>45860</v>
      </c>
      <c r="T2161" s="2">
        <v>46054</v>
      </c>
      <c r="U2161">
        <v>0</v>
      </c>
      <c r="V2161">
        <v>0</v>
      </c>
      <c r="W2161">
        <v>0</v>
      </c>
      <c r="X2161">
        <v>0</v>
      </c>
      <c r="Y2161">
        <v>0</v>
      </c>
      <c r="Z2161" s="8">
        <v>0</v>
      </c>
      <c r="AA2161">
        <v>0</v>
      </c>
      <c r="AB2161" t="s">
        <v>1635</v>
      </c>
      <c r="AC2161" t="s">
        <v>1635</v>
      </c>
      <c r="AD2161" s="1" t="s">
        <v>1635</v>
      </c>
      <c r="AE2161" s="2" t="s">
        <v>1635</v>
      </c>
      <c r="AF2161" s="2" t="s">
        <v>1635</v>
      </c>
      <c r="AG2161" s="2" t="s">
        <v>1635</v>
      </c>
      <c r="AH2161">
        <v>0</v>
      </c>
      <c r="AI2161" s="3" t="s">
        <v>1635</v>
      </c>
      <c r="AJ2161" s="1" t="s">
        <v>1635</v>
      </c>
      <c r="AK2161" s="2" t="s">
        <v>1635</v>
      </c>
      <c r="AL2161" s="4" t="s">
        <v>1658</v>
      </c>
      <c r="AM2161" s="5" t="s">
        <v>1658</v>
      </c>
      <c r="AN2161" s="4">
        <v>0</v>
      </c>
      <c r="AO2161" t="s">
        <v>1635</v>
      </c>
      <c r="AP2161" s="4" t="s">
        <v>1658</v>
      </c>
      <c r="AQ2161" t="s">
        <v>1619</v>
      </c>
      <c r="AR2161" t="s">
        <v>1620</v>
      </c>
      <c r="AT2161" s="16" t="str">
        <f>_xlfn.XLOOKUP(B2161,'SWiSH Demand Forecast Sep-26'!D:D,'SWiSH Demand Forecast Sep-26'!G:G,"Not Exist")</f>
        <v>Not Exist</v>
      </c>
    </row>
    <row r="2162" spans="1:46" x14ac:dyDescent="0.3">
      <c r="A2162">
        <v>106800028</v>
      </c>
      <c r="B2162" t="s">
        <v>4048</v>
      </c>
      <c r="C2162" t="s">
        <v>10</v>
      </c>
      <c r="D2162" t="s">
        <v>1675</v>
      </c>
      <c r="E2162" t="s">
        <v>1685</v>
      </c>
      <c r="F2162" t="s">
        <v>1664</v>
      </c>
      <c r="G2162" t="s">
        <v>1624</v>
      </c>
      <c r="H2162" t="s">
        <v>1665</v>
      </c>
      <c r="I2162" t="s">
        <v>1634</v>
      </c>
      <c r="J2162" t="s">
        <v>10</v>
      </c>
      <c r="K2162">
        <v>0.01</v>
      </c>
      <c r="L2162">
        <v>25</v>
      </c>
      <c r="M2162" s="1">
        <v>7</v>
      </c>
      <c r="N2162">
        <v>0</v>
      </c>
      <c r="O2162">
        <v>0</v>
      </c>
      <c r="P2162">
        <v>2500</v>
      </c>
      <c r="Q2162" s="1">
        <v>2500</v>
      </c>
      <c r="R2162">
        <v>0.01</v>
      </c>
      <c r="S2162" s="2">
        <v>45860</v>
      </c>
      <c r="T2162" s="2">
        <v>46054</v>
      </c>
      <c r="U2162">
        <v>0</v>
      </c>
      <c r="V2162">
        <v>0</v>
      </c>
      <c r="W2162">
        <v>0</v>
      </c>
      <c r="X2162">
        <v>0</v>
      </c>
      <c r="Y2162">
        <v>0</v>
      </c>
      <c r="Z2162" s="8">
        <v>0</v>
      </c>
      <c r="AA2162">
        <v>0</v>
      </c>
      <c r="AB2162" t="s">
        <v>1635</v>
      </c>
      <c r="AC2162" t="s">
        <v>1635</v>
      </c>
      <c r="AD2162" s="1" t="s">
        <v>1635</v>
      </c>
      <c r="AE2162" s="2" t="s">
        <v>1635</v>
      </c>
      <c r="AF2162" s="2" t="s">
        <v>1635</v>
      </c>
      <c r="AG2162" s="2" t="s">
        <v>1635</v>
      </c>
      <c r="AH2162">
        <v>0</v>
      </c>
      <c r="AI2162" s="3" t="s">
        <v>1635</v>
      </c>
      <c r="AJ2162" s="1" t="s">
        <v>1635</v>
      </c>
      <c r="AK2162" s="2" t="s">
        <v>1635</v>
      </c>
      <c r="AL2162" s="4" t="s">
        <v>1658</v>
      </c>
      <c r="AM2162" s="5" t="s">
        <v>1658</v>
      </c>
      <c r="AN2162" s="4">
        <v>0</v>
      </c>
      <c r="AO2162" t="s">
        <v>1635</v>
      </c>
      <c r="AP2162" s="4" t="s">
        <v>1658</v>
      </c>
      <c r="AQ2162" t="s">
        <v>1619</v>
      </c>
      <c r="AR2162" t="s">
        <v>1620</v>
      </c>
      <c r="AT2162" s="16" t="str">
        <f>_xlfn.XLOOKUP(B2162,'SWiSH Demand Forecast Sep-26'!D:D,'SWiSH Demand Forecast Sep-26'!G:G,"Not Exist")</f>
        <v>Not Exist</v>
      </c>
    </row>
    <row r="2163" spans="1:46" x14ac:dyDescent="0.3">
      <c r="A2163">
        <v>106800190</v>
      </c>
      <c r="B2163" t="s">
        <v>4049</v>
      </c>
      <c r="C2163" t="s">
        <v>10</v>
      </c>
      <c r="D2163" t="s">
        <v>1675</v>
      </c>
      <c r="E2163" t="s">
        <v>1926</v>
      </c>
      <c r="F2163" t="s">
        <v>1664</v>
      </c>
      <c r="G2163" t="s">
        <v>1624</v>
      </c>
      <c r="H2163" t="s">
        <v>1665</v>
      </c>
      <c r="I2163" t="s">
        <v>1634</v>
      </c>
      <c r="J2163" t="s">
        <v>10</v>
      </c>
      <c r="K2163">
        <v>4.0000000000000001E-3</v>
      </c>
      <c r="L2163">
        <v>92</v>
      </c>
      <c r="M2163" s="1">
        <v>7</v>
      </c>
      <c r="N2163">
        <v>0</v>
      </c>
      <c r="O2163">
        <v>0</v>
      </c>
      <c r="P2163">
        <v>23000</v>
      </c>
      <c r="Q2163" s="1">
        <v>23000</v>
      </c>
      <c r="R2163">
        <v>4.0000000000000001E-3</v>
      </c>
      <c r="S2163" s="2">
        <v>45782</v>
      </c>
      <c r="T2163" s="2">
        <v>46055</v>
      </c>
      <c r="U2163">
        <v>0</v>
      </c>
      <c r="V2163">
        <v>0</v>
      </c>
      <c r="W2163">
        <v>0</v>
      </c>
      <c r="X2163">
        <v>0</v>
      </c>
      <c r="Y2163">
        <v>0</v>
      </c>
      <c r="Z2163" s="8">
        <v>0</v>
      </c>
      <c r="AA2163">
        <v>0</v>
      </c>
      <c r="AB2163" t="s">
        <v>1635</v>
      </c>
      <c r="AC2163" t="s">
        <v>1635</v>
      </c>
      <c r="AD2163" s="1" t="s">
        <v>1635</v>
      </c>
      <c r="AE2163" s="2" t="s">
        <v>1635</v>
      </c>
      <c r="AF2163" s="2" t="s">
        <v>1635</v>
      </c>
      <c r="AG2163" s="2" t="s">
        <v>1635</v>
      </c>
      <c r="AH2163">
        <v>0</v>
      </c>
      <c r="AI2163" s="3" t="s">
        <v>1635</v>
      </c>
      <c r="AJ2163" s="1" t="s">
        <v>1635</v>
      </c>
      <c r="AK2163" s="2" t="s">
        <v>1635</v>
      </c>
      <c r="AL2163" s="4" t="s">
        <v>1658</v>
      </c>
      <c r="AM2163" s="5" t="s">
        <v>1658</v>
      </c>
      <c r="AN2163" s="4">
        <v>0</v>
      </c>
      <c r="AO2163" t="s">
        <v>1635</v>
      </c>
      <c r="AP2163" s="4" t="s">
        <v>1658</v>
      </c>
      <c r="AQ2163" t="s">
        <v>1619</v>
      </c>
      <c r="AR2163" t="s">
        <v>1620</v>
      </c>
      <c r="AT2163" s="16" t="str">
        <f>_xlfn.XLOOKUP(B2163,'SWiSH Demand Forecast Sep-26'!D:D,'SWiSH Demand Forecast Sep-26'!G:G,"Not Exist")</f>
        <v>Not Exist</v>
      </c>
    </row>
    <row r="2164" spans="1:46" x14ac:dyDescent="0.3">
      <c r="A2164">
        <v>106800159</v>
      </c>
      <c r="B2164" t="s">
        <v>4050</v>
      </c>
      <c r="C2164" t="s">
        <v>10</v>
      </c>
      <c r="D2164" t="s">
        <v>1675</v>
      </c>
      <c r="E2164" t="s">
        <v>1926</v>
      </c>
      <c r="F2164" t="s">
        <v>1664</v>
      </c>
      <c r="G2164" t="s">
        <v>1624</v>
      </c>
      <c r="H2164" t="s">
        <v>1665</v>
      </c>
      <c r="I2164" t="s">
        <v>1634</v>
      </c>
      <c r="J2164" t="s">
        <v>10</v>
      </c>
      <c r="K2164">
        <v>1.1999999999999999E-3</v>
      </c>
      <c r="L2164">
        <v>59.999999999999993</v>
      </c>
      <c r="M2164" s="1">
        <v>7</v>
      </c>
      <c r="N2164">
        <v>0</v>
      </c>
      <c r="O2164">
        <v>0</v>
      </c>
      <c r="P2164">
        <v>50000</v>
      </c>
      <c r="Q2164" s="1">
        <v>50000</v>
      </c>
      <c r="R2164">
        <v>1.1999999999999999E-3</v>
      </c>
      <c r="S2164" s="2">
        <v>45776</v>
      </c>
      <c r="T2164" s="2">
        <v>46055</v>
      </c>
      <c r="U2164">
        <v>0</v>
      </c>
      <c r="V2164">
        <v>0</v>
      </c>
      <c r="W2164">
        <v>0</v>
      </c>
      <c r="X2164">
        <v>0</v>
      </c>
      <c r="Y2164">
        <v>0</v>
      </c>
      <c r="Z2164" s="8">
        <v>0</v>
      </c>
      <c r="AA2164">
        <v>0</v>
      </c>
      <c r="AB2164" t="s">
        <v>1635</v>
      </c>
      <c r="AC2164" t="s">
        <v>1635</v>
      </c>
      <c r="AD2164" s="1" t="s">
        <v>1635</v>
      </c>
      <c r="AE2164" s="2" t="s">
        <v>1635</v>
      </c>
      <c r="AF2164" s="2" t="s">
        <v>1635</v>
      </c>
      <c r="AG2164" s="2" t="s">
        <v>1635</v>
      </c>
      <c r="AH2164">
        <v>0</v>
      </c>
      <c r="AI2164" s="3" t="s">
        <v>1635</v>
      </c>
      <c r="AJ2164" s="1" t="s">
        <v>1635</v>
      </c>
      <c r="AK2164" s="2" t="s">
        <v>1635</v>
      </c>
      <c r="AL2164" s="4" t="s">
        <v>1658</v>
      </c>
      <c r="AM2164" s="5" t="s">
        <v>1658</v>
      </c>
      <c r="AN2164" s="4">
        <v>0</v>
      </c>
      <c r="AO2164" t="s">
        <v>1635</v>
      </c>
      <c r="AP2164" s="4" t="s">
        <v>1658</v>
      </c>
      <c r="AQ2164" t="s">
        <v>1619</v>
      </c>
      <c r="AR2164" t="s">
        <v>1620</v>
      </c>
      <c r="AT2164" s="16" t="str">
        <f>_xlfn.XLOOKUP(B2164,'SWiSH Demand Forecast Sep-26'!D:D,'SWiSH Demand Forecast Sep-26'!G:G,"Not Exist")</f>
        <v>Not Exist</v>
      </c>
    </row>
    <row r="2165" spans="1:46" x14ac:dyDescent="0.3">
      <c r="A2165">
        <v>101800004</v>
      </c>
      <c r="B2165" t="s">
        <v>4051</v>
      </c>
      <c r="C2165" t="s">
        <v>10</v>
      </c>
      <c r="D2165" t="s">
        <v>1675</v>
      </c>
      <c r="E2165" t="s">
        <v>1685</v>
      </c>
      <c r="F2165" t="s">
        <v>1664</v>
      </c>
      <c r="G2165" t="s">
        <v>1624</v>
      </c>
      <c r="H2165" t="s">
        <v>2144</v>
      </c>
      <c r="I2165" t="s">
        <v>1634</v>
      </c>
      <c r="J2165" t="s">
        <v>10</v>
      </c>
      <c r="K2165">
        <v>4.7499999999999999E-3</v>
      </c>
      <c r="L2165">
        <v>47.5</v>
      </c>
      <c r="M2165" s="1">
        <v>7</v>
      </c>
      <c r="N2165">
        <v>0</v>
      </c>
      <c r="O2165">
        <v>0</v>
      </c>
      <c r="P2165">
        <v>10000</v>
      </c>
      <c r="Q2165" s="1">
        <v>10000</v>
      </c>
      <c r="R2165">
        <v>4.75</v>
      </c>
      <c r="S2165" s="2">
        <v>46238</v>
      </c>
      <c r="T2165" s="2">
        <v>46056</v>
      </c>
      <c r="U2165">
        <v>0</v>
      </c>
      <c r="V2165">
        <v>0</v>
      </c>
      <c r="W2165">
        <v>0</v>
      </c>
      <c r="X2165">
        <v>0</v>
      </c>
      <c r="Y2165">
        <v>0</v>
      </c>
      <c r="Z2165" s="8">
        <v>0</v>
      </c>
      <c r="AA2165">
        <v>0</v>
      </c>
      <c r="AB2165" t="s">
        <v>1635</v>
      </c>
      <c r="AC2165" t="s">
        <v>1635</v>
      </c>
      <c r="AD2165" s="1" t="s">
        <v>1635</v>
      </c>
      <c r="AE2165" s="2" t="s">
        <v>1635</v>
      </c>
      <c r="AF2165" s="2" t="s">
        <v>1635</v>
      </c>
      <c r="AG2165" s="2" t="s">
        <v>1635</v>
      </c>
      <c r="AH2165">
        <v>0</v>
      </c>
      <c r="AI2165" s="3" t="s">
        <v>1635</v>
      </c>
      <c r="AJ2165" s="1" t="s">
        <v>1635</v>
      </c>
      <c r="AK2165" s="2" t="s">
        <v>1635</v>
      </c>
      <c r="AL2165" s="4" t="s">
        <v>1658</v>
      </c>
      <c r="AM2165" s="5" t="s">
        <v>1658</v>
      </c>
      <c r="AN2165" s="4">
        <v>0</v>
      </c>
      <c r="AO2165" t="s">
        <v>1635</v>
      </c>
      <c r="AP2165" s="4" t="s">
        <v>1658</v>
      </c>
      <c r="AQ2165" t="s">
        <v>1619</v>
      </c>
      <c r="AR2165" t="s">
        <v>1620</v>
      </c>
      <c r="AT2165" s="16" t="str">
        <f>_xlfn.XLOOKUP(B2165,'SWiSH Demand Forecast Sep-26'!D:D,'SWiSH Demand Forecast Sep-26'!G:G,"Not Exist")</f>
        <v>Not Exist</v>
      </c>
    </row>
    <row r="2166" spans="1:46" x14ac:dyDescent="0.3">
      <c r="A2166">
        <v>101800014</v>
      </c>
      <c r="B2166" t="s">
        <v>4052</v>
      </c>
      <c r="C2166" t="s">
        <v>10</v>
      </c>
      <c r="D2166" t="s">
        <v>1675</v>
      </c>
      <c r="E2166" t="s">
        <v>1685</v>
      </c>
      <c r="F2166" t="s">
        <v>1664</v>
      </c>
      <c r="G2166" t="s">
        <v>1624</v>
      </c>
      <c r="H2166" t="s">
        <v>2144</v>
      </c>
      <c r="I2166" t="s">
        <v>1634</v>
      </c>
      <c r="J2166" t="s">
        <v>2145</v>
      </c>
      <c r="K2166">
        <v>4.7499999999999999E-3</v>
      </c>
      <c r="L2166">
        <v>47.5</v>
      </c>
      <c r="M2166" s="1">
        <v>15</v>
      </c>
      <c r="N2166">
        <v>0</v>
      </c>
      <c r="O2166">
        <v>0</v>
      </c>
      <c r="P2166">
        <v>10000</v>
      </c>
      <c r="Q2166" s="1">
        <v>10000</v>
      </c>
      <c r="R2166">
        <v>4.75</v>
      </c>
      <c r="S2166" s="2">
        <v>46238</v>
      </c>
      <c r="T2166" s="2">
        <v>46055</v>
      </c>
      <c r="U2166">
        <v>0</v>
      </c>
      <c r="V2166">
        <v>0</v>
      </c>
      <c r="W2166">
        <v>0</v>
      </c>
      <c r="X2166">
        <v>0</v>
      </c>
      <c r="Y2166">
        <v>0</v>
      </c>
      <c r="Z2166" s="8">
        <v>0</v>
      </c>
      <c r="AA2166">
        <v>0</v>
      </c>
      <c r="AB2166" t="s">
        <v>1635</v>
      </c>
      <c r="AC2166" t="s">
        <v>1635</v>
      </c>
      <c r="AD2166" s="1" t="s">
        <v>1635</v>
      </c>
      <c r="AE2166" s="2" t="s">
        <v>1635</v>
      </c>
      <c r="AF2166" s="2" t="s">
        <v>1635</v>
      </c>
      <c r="AG2166" s="2" t="s">
        <v>1635</v>
      </c>
      <c r="AH2166">
        <v>0</v>
      </c>
      <c r="AI2166" s="3" t="s">
        <v>1635</v>
      </c>
      <c r="AJ2166" s="1" t="s">
        <v>1635</v>
      </c>
      <c r="AK2166" s="2" t="s">
        <v>1635</v>
      </c>
      <c r="AL2166" s="4" t="s">
        <v>1658</v>
      </c>
      <c r="AM2166" s="5" t="s">
        <v>1658</v>
      </c>
      <c r="AN2166" s="4">
        <v>0</v>
      </c>
      <c r="AO2166" t="s">
        <v>1635</v>
      </c>
      <c r="AP2166" s="4" t="s">
        <v>1658</v>
      </c>
      <c r="AQ2166" t="s">
        <v>1619</v>
      </c>
      <c r="AR2166" t="s">
        <v>1620</v>
      </c>
      <c r="AT2166" s="16" t="str">
        <f>_xlfn.XLOOKUP(B2166,'SWiSH Demand Forecast Sep-26'!D:D,'SWiSH Demand Forecast Sep-26'!G:G,"Not Exist")</f>
        <v>Not Exist</v>
      </c>
    </row>
    <row r="2167" spans="1:46" x14ac:dyDescent="0.3">
      <c r="A2167">
        <v>101600042</v>
      </c>
      <c r="B2167" t="s">
        <v>4053</v>
      </c>
      <c r="C2167" t="s">
        <v>10</v>
      </c>
      <c r="D2167" t="s">
        <v>1675</v>
      </c>
      <c r="E2167" t="s">
        <v>1732</v>
      </c>
      <c r="F2167" t="s">
        <v>1664</v>
      </c>
      <c r="G2167" t="s">
        <v>1704</v>
      </c>
      <c r="H2167" t="s">
        <v>1768</v>
      </c>
      <c r="I2167" t="s">
        <v>1634</v>
      </c>
      <c r="J2167" t="s">
        <v>2113</v>
      </c>
      <c r="K2167">
        <v>2E-3</v>
      </c>
      <c r="L2167">
        <v>66</v>
      </c>
      <c r="M2167" s="1">
        <v>7</v>
      </c>
      <c r="N2167">
        <v>0</v>
      </c>
      <c r="O2167">
        <v>0</v>
      </c>
      <c r="P2167">
        <v>33000</v>
      </c>
      <c r="Q2167" s="1">
        <v>33000</v>
      </c>
      <c r="R2167">
        <v>4</v>
      </c>
      <c r="S2167" s="2">
        <v>45938</v>
      </c>
      <c r="T2167" s="2">
        <v>46221</v>
      </c>
      <c r="U2167">
        <v>0</v>
      </c>
      <c r="V2167">
        <v>0</v>
      </c>
      <c r="W2167">
        <v>0</v>
      </c>
      <c r="X2167">
        <v>0</v>
      </c>
      <c r="Y2167">
        <v>0</v>
      </c>
      <c r="Z2167" s="8">
        <v>0</v>
      </c>
      <c r="AA2167">
        <v>0</v>
      </c>
      <c r="AC2167" t="s">
        <v>1635</v>
      </c>
      <c r="AD2167" s="1" t="s">
        <v>1635</v>
      </c>
      <c r="AE2167" s="2" t="s">
        <v>1635</v>
      </c>
      <c r="AF2167" s="2" t="s">
        <v>1635</v>
      </c>
      <c r="AG2167" s="2" t="s">
        <v>1635</v>
      </c>
      <c r="AH2167">
        <v>0</v>
      </c>
      <c r="AI2167" s="3" t="s">
        <v>1635</v>
      </c>
      <c r="AJ2167" s="1" t="s">
        <v>1635</v>
      </c>
      <c r="AK2167" s="2" t="s">
        <v>1635</v>
      </c>
      <c r="AL2167" s="4" t="s">
        <v>1658</v>
      </c>
      <c r="AM2167" s="5" t="s">
        <v>1658</v>
      </c>
      <c r="AN2167" s="4">
        <v>0</v>
      </c>
      <c r="AO2167" t="s">
        <v>1635</v>
      </c>
      <c r="AP2167" s="4" t="s">
        <v>1658</v>
      </c>
      <c r="AQ2167" t="s">
        <v>1619</v>
      </c>
      <c r="AR2167" t="s">
        <v>1620</v>
      </c>
      <c r="AT2167" s="16" t="str">
        <f>_xlfn.XLOOKUP(B2167,'SWiSH Demand Forecast Sep-26'!D:D,'SWiSH Demand Forecast Sep-26'!G:G,"Not Exist")</f>
        <v>Not Exist</v>
      </c>
    </row>
    <row r="2168" spans="1:46" x14ac:dyDescent="0.3">
      <c r="A2168">
        <v>106800209</v>
      </c>
      <c r="B2168" t="s">
        <v>4054</v>
      </c>
      <c r="C2168" t="s">
        <v>10</v>
      </c>
      <c r="D2168" t="s">
        <v>1675</v>
      </c>
      <c r="E2168" t="s">
        <v>2075</v>
      </c>
      <c r="F2168" t="s">
        <v>1664</v>
      </c>
      <c r="G2168" t="s">
        <v>1624</v>
      </c>
      <c r="H2168" t="s">
        <v>1665</v>
      </c>
      <c r="I2168" t="s">
        <v>1634</v>
      </c>
      <c r="J2168" t="s">
        <v>10</v>
      </c>
      <c r="K2168">
        <v>2.2499999999999999E-2</v>
      </c>
      <c r="L2168">
        <v>45</v>
      </c>
      <c r="M2168" s="1">
        <v>7</v>
      </c>
      <c r="N2168">
        <v>0</v>
      </c>
      <c r="O2168">
        <v>0</v>
      </c>
      <c r="P2168">
        <v>2000</v>
      </c>
      <c r="Q2168" s="1">
        <v>2000</v>
      </c>
      <c r="R2168">
        <v>2.2499999999999999E-2</v>
      </c>
      <c r="S2168" s="2">
        <v>45865</v>
      </c>
      <c r="T2168" s="2">
        <v>46055</v>
      </c>
      <c r="U2168">
        <v>0</v>
      </c>
      <c r="V2168">
        <v>0</v>
      </c>
      <c r="W2168">
        <v>0</v>
      </c>
      <c r="X2168">
        <v>0</v>
      </c>
      <c r="Y2168">
        <v>0</v>
      </c>
      <c r="Z2168" s="8">
        <v>0</v>
      </c>
      <c r="AA2168">
        <v>0</v>
      </c>
      <c r="AB2168" t="s">
        <v>1635</v>
      </c>
      <c r="AC2168" t="s">
        <v>1635</v>
      </c>
      <c r="AD2168" s="1" t="s">
        <v>1635</v>
      </c>
      <c r="AE2168" s="2" t="s">
        <v>1635</v>
      </c>
      <c r="AF2168" s="2" t="s">
        <v>1635</v>
      </c>
      <c r="AG2168" s="2" t="s">
        <v>1635</v>
      </c>
      <c r="AH2168">
        <v>0</v>
      </c>
      <c r="AI2168" s="3" t="s">
        <v>1635</v>
      </c>
      <c r="AJ2168" s="1" t="s">
        <v>1635</v>
      </c>
      <c r="AK2168" s="2" t="s">
        <v>1635</v>
      </c>
      <c r="AL2168" s="4" t="s">
        <v>1658</v>
      </c>
      <c r="AM2168" s="5" t="s">
        <v>1658</v>
      </c>
      <c r="AN2168" s="4">
        <v>0</v>
      </c>
      <c r="AO2168" t="s">
        <v>1635</v>
      </c>
      <c r="AP2168" s="4" t="s">
        <v>1658</v>
      </c>
      <c r="AQ2168" t="s">
        <v>1619</v>
      </c>
      <c r="AR2168" t="s">
        <v>1620</v>
      </c>
      <c r="AT2168" s="16" t="str">
        <f>_xlfn.XLOOKUP(B2168,'SWiSH Demand Forecast Sep-26'!D:D,'SWiSH Demand Forecast Sep-26'!G:G,"Not Exist")</f>
        <v>Not Exist</v>
      </c>
    </row>
    <row r="2169" spans="1:46" x14ac:dyDescent="0.3">
      <c r="A2169">
        <v>106600010</v>
      </c>
      <c r="B2169" t="s">
        <v>4055</v>
      </c>
      <c r="C2169" t="s">
        <v>10</v>
      </c>
      <c r="D2169" t="s">
        <v>1675</v>
      </c>
      <c r="E2169" t="s">
        <v>2587</v>
      </c>
      <c r="F2169" t="s">
        <v>1664</v>
      </c>
      <c r="G2169" t="s">
        <v>1704</v>
      </c>
      <c r="H2169" t="s">
        <v>1723</v>
      </c>
      <c r="I2169" t="s">
        <v>1634</v>
      </c>
      <c r="J2169" t="s">
        <v>10</v>
      </c>
      <c r="K2169">
        <v>5.4999999999999997E-3</v>
      </c>
      <c r="L2169">
        <v>0</v>
      </c>
      <c r="M2169" s="1">
        <v>15</v>
      </c>
      <c r="N2169">
        <v>0</v>
      </c>
      <c r="O2169">
        <v>0</v>
      </c>
      <c r="P2169">
        <v>0</v>
      </c>
      <c r="Q2169" s="1">
        <v>0</v>
      </c>
      <c r="R2169">
        <v>5.4999999999999997E-3</v>
      </c>
      <c r="S2169" s="2">
        <v>45773</v>
      </c>
      <c r="T2169" s="2">
        <v>45258</v>
      </c>
      <c r="U2169">
        <v>0</v>
      </c>
      <c r="V2169">
        <v>0</v>
      </c>
      <c r="W2169">
        <v>0</v>
      </c>
      <c r="X2169">
        <v>0</v>
      </c>
      <c r="Y2169">
        <v>0</v>
      </c>
      <c r="Z2169" s="8">
        <v>0</v>
      </c>
      <c r="AA2169">
        <v>0</v>
      </c>
      <c r="AB2169" t="s">
        <v>1635</v>
      </c>
      <c r="AC2169" t="s">
        <v>1635</v>
      </c>
      <c r="AD2169" s="1" t="s">
        <v>1635</v>
      </c>
      <c r="AE2169" s="2" t="s">
        <v>1635</v>
      </c>
      <c r="AF2169" s="2" t="s">
        <v>1635</v>
      </c>
      <c r="AG2169" s="2" t="s">
        <v>1635</v>
      </c>
      <c r="AH2169">
        <v>0</v>
      </c>
      <c r="AI2169" s="3" t="s">
        <v>1635</v>
      </c>
      <c r="AJ2169" s="1" t="s">
        <v>1635</v>
      </c>
      <c r="AK2169" s="2" t="s">
        <v>1635</v>
      </c>
      <c r="AL2169" s="4" t="s">
        <v>1658</v>
      </c>
      <c r="AM2169" s="5" t="s">
        <v>1658</v>
      </c>
      <c r="AN2169" s="4">
        <v>0</v>
      </c>
      <c r="AO2169" t="s">
        <v>1635</v>
      </c>
      <c r="AP2169" s="4" t="s">
        <v>1658</v>
      </c>
      <c r="AQ2169" t="s">
        <v>1619</v>
      </c>
      <c r="AR2169" t="s">
        <v>1620</v>
      </c>
      <c r="AT2169" s="16" t="str">
        <f>_xlfn.XLOOKUP(B2169,'SWiSH Demand Forecast Sep-26'!D:D,'SWiSH Demand Forecast Sep-26'!G:G,"Not Exist")</f>
        <v>Not Exist</v>
      </c>
    </row>
    <row r="2170" spans="1:46" x14ac:dyDescent="0.3">
      <c r="A2170">
        <v>105900047</v>
      </c>
      <c r="B2170" t="s">
        <v>4056</v>
      </c>
      <c r="C2170" t="s">
        <v>10</v>
      </c>
      <c r="D2170" t="s">
        <v>1675</v>
      </c>
      <c r="E2170" t="s">
        <v>1663</v>
      </c>
      <c r="F2170" t="s">
        <v>1664</v>
      </c>
      <c r="G2170" t="s">
        <v>1704</v>
      </c>
      <c r="H2170" t="s">
        <v>1729</v>
      </c>
      <c r="I2170" t="s">
        <v>1634</v>
      </c>
      <c r="J2170" t="s">
        <v>10</v>
      </c>
      <c r="K2170">
        <v>8.42767E-3</v>
      </c>
      <c r="L2170">
        <v>448.35204399999998</v>
      </c>
      <c r="M2170" s="1">
        <v>90</v>
      </c>
      <c r="N2170">
        <v>0</v>
      </c>
      <c r="O2170">
        <v>0</v>
      </c>
      <c r="P2170">
        <v>53200</v>
      </c>
      <c r="Q2170" s="1">
        <v>53200</v>
      </c>
      <c r="R2170">
        <v>8.4276700000000009</v>
      </c>
      <c r="S2170" s="2">
        <v>45258</v>
      </c>
      <c r="T2170" s="2">
        <v>45777</v>
      </c>
      <c r="U2170">
        <v>0</v>
      </c>
      <c r="V2170">
        <v>0</v>
      </c>
      <c r="W2170">
        <v>0</v>
      </c>
      <c r="X2170">
        <v>0</v>
      </c>
      <c r="Y2170">
        <v>0</v>
      </c>
      <c r="Z2170" s="8">
        <v>0</v>
      </c>
      <c r="AA2170">
        <v>0</v>
      </c>
      <c r="AB2170" t="s">
        <v>1635</v>
      </c>
      <c r="AC2170" t="s">
        <v>1635</v>
      </c>
      <c r="AD2170" s="1" t="s">
        <v>1635</v>
      </c>
      <c r="AE2170" s="2" t="s">
        <v>1635</v>
      </c>
      <c r="AF2170" s="2" t="s">
        <v>1635</v>
      </c>
      <c r="AG2170" s="2" t="s">
        <v>1635</v>
      </c>
      <c r="AH2170">
        <v>0</v>
      </c>
      <c r="AI2170" s="3" t="s">
        <v>1635</v>
      </c>
      <c r="AJ2170" s="1" t="s">
        <v>1635</v>
      </c>
      <c r="AK2170" s="2" t="s">
        <v>1635</v>
      </c>
      <c r="AL2170" s="4" t="s">
        <v>1658</v>
      </c>
      <c r="AM2170" s="5" t="s">
        <v>1658</v>
      </c>
      <c r="AN2170" s="4">
        <v>0</v>
      </c>
      <c r="AO2170" t="s">
        <v>1635</v>
      </c>
      <c r="AP2170" s="4" t="s">
        <v>1658</v>
      </c>
      <c r="AQ2170" t="s">
        <v>1619</v>
      </c>
      <c r="AR2170" t="s">
        <v>1620</v>
      </c>
      <c r="AT2170" s="16" t="str">
        <f>_xlfn.XLOOKUP(B2170,'SWiSH Demand Forecast Sep-26'!D:D,'SWiSH Demand Forecast Sep-26'!G:G,"Not Exist")</f>
        <v>Not Exist</v>
      </c>
    </row>
    <row r="2171" spans="1:46" x14ac:dyDescent="0.3">
      <c r="A2171">
        <v>107400032</v>
      </c>
      <c r="B2171" t="s">
        <v>4057</v>
      </c>
      <c r="C2171" t="s">
        <v>10</v>
      </c>
      <c r="D2171" t="s">
        <v>1629</v>
      </c>
      <c r="E2171" t="s">
        <v>1655</v>
      </c>
      <c r="F2171" t="s">
        <v>1664</v>
      </c>
      <c r="G2171" t="s">
        <v>1704</v>
      </c>
      <c r="H2171" t="s">
        <v>2016</v>
      </c>
      <c r="I2171" t="s">
        <v>1634</v>
      </c>
      <c r="J2171" t="s">
        <v>10</v>
      </c>
      <c r="K2171">
        <v>1.4E-2</v>
      </c>
      <c r="L2171">
        <v>0</v>
      </c>
      <c r="M2171" s="1">
        <v>30</v>
      </c>
      <c r="N2171">
        <v>0</v>
      </c>
      <c r="O2171">
        <v>0</v>
      </c>
      <c r="P2171">
        <v>0</v>
      </c>
      <c r="Q2171" s="1">
        <v>0</v>
      </c>
      <c r="R2171">
        <v>1.4E-2</v>
      </c>
      <c r="S2171" s="2">
        <v>45873</v>
      </c>
      <c r="T2171" s="2">
        <v>46105</v>
      </c>
      <c r="U2171">
        <v>0</v>
      </c>
      <c r="V2171">
        <v>0</v>
      </c>
      <c r="W2171">
        <v>0</v>
      </c>
      <c r="X2171">
        <v>0</v>
      </c>
      <c r="Y2171">
        <v>0</v>
      </c>
      <c r="Z2171" s="8">
        <v>0</v>
      </c>
      <c r="AA2171">
        <v>0</v>
      </c>
      <c r="AB2171" t="s">
        <v>1635</v>
      </c>
      <c r="AC2171" t="s">
        <v>1635</v>
      </c>
      <c r="AD2171" s="1" t="s">
        <v>1635</v>
      </c>
      <c r="AE2171" s="2" t="s">
        <v>1635</v>
      </c>
      <c r="AF2171" s="2" t="s">
        <v>1635</v>
      </c>
      <c r="AG2171" s="2" t="s">
        <v>1635</v>
      </c>
      <c r="AH2171">
        <v>0</v>
      </c>
      <c r="AI2171" s="3" t="s">
        <v>1635</v>
      </c>
      <c r="AJ2171" s="1" t="s">
        <v>1635</v>
      </c>
      <c r="AK2171" s="2" t="s">
        <v>1635</v>
      </c>
      <c r="AL2171" s="4" t="s">
        <v>1636</v>
      </c>
      <c r="AM2171" s="5" t="s">
        <v>1636</v>
      </c>
      <c r="AN2171" s="4">
        <v>0</v>
      </c>
      <c r="AO2171" t="s">
        <v>1635</v>
      </c>
      <c r="AP2171" s="4" t="s">
        <v>1636</v>
      </c>
      <c r="AQ2171" t="s">
        <v>1619</v>
      </c>
      <c r="AR2171" t="s">
        <v>1620</v>
      </c>
      <c r="AT2171" s="16" t="str">
        <f>_xlfn.XLOOKUP(B2171,'SWiSH Demand Forecast Sep-26'!D:D,'SWiSH Demand Forecast Sep-26'!G:G,"Not Exist")</f>
        <v>Not Exist</v>
      </c>
    </row>
    <row r="2172" spans="1:46" x14ac:dyDescent="0.3">
      <c r="A2172">
        <v>107400080</v>
      </c>
      <c r="B2172" t="s">
        <v>4058</v>
      </c>
      <c r="C2172" t="s">
        <v>10</v>
      </c>
      <c r="D2172" t="s">
        <v>1629</v>
      </c>
      <c r="E2172" t="s">
        <v>2483</v>
      </c>
      <c r="F2172" t="s">
        <v>1664</v>
      </c>
      <c r="G2172" t="s">
        <v>1704</v>
      </c>
      <c r="H2172" t="s">
        <v>2016</v>
      </c>
      <c r="I2172" t="s">
        <v>1634</v>
      </c>
      <c r="J2172" t="s">
        <v>10</v>
      </c>
      <c r="K2172">
        <v>6.0000000000000001E-3</v>
      </c>
      <c r="L2172">
        <v>0</v>
      </c>
      <c r="M2172" s="1">
        <v>15</v>
      </c>
      <c r="N2172">
        <v>0</v>
      </c>
      <c r="O2172">
        <v>0</v>
      </c>
      <c r="P2172">
        <v>0</v>
      </c>
      <c r="Q2172" s="1">
        <v>0</v>
      </c>
      <c r="R2172">
        <v>6.0000000000000001E-3</v>
      </c>
      <c r="S2172" s="2">
        <v>45826</v>
      </c>
      <c r="T2172" s="2">
        <v>46054</v>
      </c>
      <c r="U2172">
        <v>0</v>
      </c>
      <c r="V2172">
        <v>0</v>
      </c>
      <c r="W2172">
        <v>0</v>
      </c>
      <c r="X2172">
        <v>0</v>
      </c>
      <c r="Y2172">
        <v>0</v>
      </c>
      <c r="Z2172" s="8">
        <v>0</v>
      </c>
      <c r="AA2172">
        <v>0</v>
      </c>
      <c r="AB2172" t="s">
        <v>1635</v>
      </c>
      <c r="AC2172" t="s">
        <v>1635</v>
      </c>
      <c r="AD2172" s="1" t="s">
        <v>1635</v>
      </c>
      <c r="AE2172" s="2" t="s">
        <v>1635</v>
      </c>
      <c r="AF2172" s="2" t="s">
        <v>1635</v>
      </c>
      <c r="AG2172" s="2" t="s">
        <v>1635</v>
      </c>
      <c r="AH2172">
        <v>0</v>
      </c>
      <c r="AI2172" s="3" t="s">
        <v>1635</v>
      </c>
      <c r="AJ2172" s="1" t="s">
        <v>1635</v>
      </c>
      <c r="AK2172" s="2" t="s">
        <v>1635</v>
      </c>
      <c r="AL2172" s="4" t="s">
        <v>1636</v>
      </c>
      <c r="AM2172" s="5" t="s">
        <v>1636</v>
      </c>
      <c r="AN2172" s="4">
        <v>0</v>
      </c>
      <c r="AO2172" t="s">
        <v>1635</v>
      </c>
      <c r="AP2172" s="4" t="s">
        <v>1636</v>
      </c>
      <c r="AQ2172" t="s">
        <v>1619</v>
      </c>
      <c r="AR2172" t="s">
        <v>1620</v>
      </c>
      <c r="AT2172" s="16" t="str">
        <f>_xlfn.XLOOKUP(B2172,'SWiSH Demand Forecast Sep-26'!D:D,'SWiSH Demand Forecast Sep-26'!G:G,"Not Exist")</f>
        <v>Not Exist</v>
      </c>
    </row>
    <row r="2173" spans="1:46" x14ac:dyDescent="0.3">
      <c r="A2173">
        <v>107400002</v>
      </c>
      <c r="B2173" t="s">
        <v>4059</v>
      </c>
      <c r="C2173" t="s">
        <v>10</v>
      </c>
      <c r="D2173" t="s">
        <v>1629</v>
      </c>
      <c r="E2173" t="s">
        <v>1655</v>
      </c>
      <c r="F2173" t="s">
        <v>1664</v>
      </c>
      <c r="G2173" t="s">
        <v>1704</v>
      </c>
      <c r="H2173" t="s">
        <v>2016</v>
      </c>
      <c r="I2173" t="s">
        <v>1634</v>
      </c>
      <c r="J2173" t="s">
        <v>10</v>
      </c>
      <c r="K2173">
        <v>6.4538599999999996E-3</v>
      </c>
      <c r="L2173">
        <v>0</v>
      </c>
      <c r="M2173" s="1">
        <v>15</v>
      </c>
      <c r="N2173">
        <v>0</v>
      </c>
      <c r="O2173">
        <v>0</v>
      </c>
      <c r="P2173">
        <v>0</v>
      </c>
      <c r="Q2173" s="1">
        <v>0</v>
      </c>
      <c r="R2173">
        <v>7.0000000000000001E-3</v>
      </c>
      <c r="S2173" s="2">
        <v>45931</v>
      </c>
      <c r="T2173" s="2">
        <v>45978</v>
      </c>
      <c r="U2173">
        <v>0</v>
      </c>
      <c r="V2173">
        <v>0</v>
      </c>
      <c r="W2173">
        <v>0</v>
      </c>
      <c r="X2173">
        <v>0</v>
      </c>
      <c r="Y2173">
        <v>0</v>
      </c>
      <c r="Z2173" s="8">
        <v>0</v>
      </c>
      <c r="AA2173">
        <v>0</v>
      </c>
      <c r="AB2173" t="s">
        <v>1635</v>
      </c>
      <c r="AC2173" t="s">
        <v>1635</v>
      </c>
      <c r="AD2173" s="1" t="s">
        <v>1635</v>
      </c>
      <c r="AE2173" s="2" t="s">
        <v>1635</v>
      </c>
      <c r="AF2173" s="2" t="s">
        <v>1635</v>
      </c>
      <c r="AG2173" s="2" t="s">
        <v>1635</v>
      </c>
      <c r="AH2173">
        <v>0</v>
      </c>
      <c r="AI2173" s="3" t="s">
        <v>1635</v>
      </c>
      <c r="AJ2173" s="1" t="s">
        <v>1635</v>
      </c>
      <c r="AK2173" s="2" t="s">
        <v>1635</v>
      </c>
      <c r="AL2173" s="4" t="s">
        <v>1636</v>
      </c>
      <c r="AM2173" s="5" t="s">
        <v>1636</v>
      </c>
      <c r="AN2173" s="4">
        <v>0</v>
      </c>
      <c r="AO2173" t="s">
        <v>1635</v>
      </c>
      <c r="AP2173" s="4" t="s">
        <v>1636</v>
      </c>
      <c r="AQ2173" t="s">
        <v>1619</v>
      </c>
      <c r="AR2173" t="s">
        <v>1620</v>
      </c>
      <c r="AT2173" s="16" t="str">
        <f>_xlfn.XLOOKUP(B2173,'SWiSH Demand Forecast Sep-26'!D:D,'SWiSH Demand Forecast Sep-26'!G:G,"Not Exist")</f>
        <v>Not Exist</v>
      </c>
    </row>
    <row r="2174" spans="1:46" x14ac:dyDescent="0.3">
      <c r="A2174">
        <v>107400081</v>
      </c>
      <c r="B2174" t="s">
        <v>4060</v>
      </c>
      <c r="C2174" t="s">
        <v>10</v>
      </c>
      <c r="D2174" t="s">
        <v>1629</v>
      </c>
      <c r="E2174" t="s">
        <v>2483</v>
      </c>
      <c r="F2174" t="s">
        <v>1664</v>
      </c>
      <c r="G2174" t="s">
        <v>1704</v>
      </c>
      <c r="H2174" t="s">
        <v>2016</v>
      </c>
      <c r="I2174" t="s">
        <v>1634</v>
      </c>
      <c r="J2174" t="s">
        <v>10</v>
      </c>
      <c r="K2174">
        <v>6.0000000000000001E-3</v>
      </c>
      <c r="L2174">
        <v>0</v>
      </c>
      <c r="M2174" s="1">
        <v>15</v>
      </c>
      <c r="N2174">
        <v>0</v>
      </c>
      <c r="O2174">
        <v>0</v>
      </c>
      <c r="P2174">
        <v>0</v>
      </c>
      <c r="Q2174" s="1">
        <v>0</v>
      </c>
      <c r="R2174">
        <v>6.0000000000000001E-3</v>
      </c>
      <c r="S2174" s="2">
        <v>44377</v>
      </c>
      <c r="T2174" s="2">
        <v>46049</v>
      </c>
      <c r="U2174">
        <v>0</v>
      </c>
      <c r="V2174">
        <v>0</v>
      </c>
      <c r="W2174">
        <v>0</v>
      </c>
      <c r="X2174">
        <v>0</v>
      </c>
      <c r="Y2174">
        <v>0</v>
      </c>
      <c r="Z2174" s="8">
        <v>0</v>
      </c>
      <c r="AA2174">
        <v>0</v>
      </c>
      <c r="AB2174" t="s">
        <v>1635</v>
      </c>
      <c r="AC2174" t="s">
        <v>1635</v>
      </c>
      <c r="AD2174" s="1" t="s">
        <v>1635</v>
      </c>
      <c r="AE2174" s="2" t="s">
        <v>1635</v>
      </c>
      <c r="AF2174" s="2" t="s">
        <v>1635</v>
      </c>
      <c r="AG2174" s="2" t="s">
        <v>1635</v>
      </c>
      <c r="AH2174">
        <v>0</v>
      </c>
      <c r="AI2174" s="3" t="s">
        <v>1635</v>
      </c>
      <c r="AJ2174" s="1" t="s">
        <v>1635</v>
      </c>
      <c r="AK2174" s="2" t="s">
        <v>1635</v>
      </c>
      <c r="AL2174" s="4" t="s">
        <v>1636</v>
      </c>
      <c r="AM2174" s="5" t="s">
        <v>1636</v>
      </c>
      <c r="AN2174" s="4">
        <v>0</v>
      </c>
      <c r="AO2174" t="s">
        <v>1635</v>
      </c>
      <c r="AP2174" s="4" t="s">
        <v>1636</v>
      </c>
      <c r="AQ2174" t="s">
        <v>1619</v>
      </c>
      <c r="AR2174" t="s">
        <v>1620</v>
      </c>
      <c r="AT2174" s="16" t="str">
        <f>_xlfn.XLOOKUP(B2174,'SWiSH Demand Forecast Sep-26'!D:D,'SWiSH Demand Forecast Sep-26'!G:G,"Not Exist")</f>
        <v>Not Exist</v>
      </c>
    </row>
    <row r="2175" spans="1:46" x14ac:dyDescent="0.3">
      <c r="A2175">
        <v>107400060</v>
      </c>
      <c r="B2175" t="s">
        <v>4061</v>
      </c>
      <c r="C2175" t="s">
        <v>10</v>
      </c>
      <c r="D2175" t="s">
        <v>1629</v>
      </c>
      <c r="E2175" t="s">
        <v>2483</v>
      </c>
      <c r="F2175" t="s">
        <v>1664</v>
      </c>
      <c r="G2175" t="s">
        <v>1704</v>
      </c>
      <c r="H2175" t="s">
        <v>2016</v>
      </c>
      <c r="I2175" t="s">
        <v>1634</v>
      </c>
      <c r="J2175" t="s">
        <v>10</v>
      </c>
      <c r="K2175">
        <v>6.0000000000000001E-3</v>
      </c>
      <c r="L2175">
        <v>0</v>
      </c>
      <c r="M2175" s="1">
        <v>15</v>
      </c>
      <c r="N2175">
        <v>0</v>
      </c>
      <c r="O2175">
        <v>0</v>
      </c>
      <c r="P2175">
        <v>0</v>
      </c>
      <c r="Q2175" s="1">
        <v>0</v>
      </c>
      <c r="R2175">
        <v>6.0000000000000001E-3</v>
      </c>
      <c r="S2175" s="2">
        <v>44355</v>
      </c>
      <c r="T2175" s="2">
        <v>46054</v>
      </c>
      <c r="U2175">
        <v>0</v>
      </c>
      <c r="V2175">
        <v>0</v>
      </c>
      <c r="W2175">
        <v>0</v>
      </c>
      <c r="X2175">
        <v>0</v>
      </c>
      <c r="Y2175">
        <v>0</v>
      </c>
      <c r="Z2175" s="8">
        <v>0</v>
      </c>
      <c r="AA2175">
        <v>0</v>
      </c>
      <c r="AB2175" t="s">
        <v>1635</v>
      </c>
      <c r="AC2175" t="s">
        <v>1635</v>
      </c>
      <c r="AD2175" s="1" t="s">
        <v>1635</v>
      </c>
      <c r="AE2175" s="2" t="s">
        <v>1635</v>
      </c>
      <c r="AF2175" s="2" t="s">
        <v>1635</v>
      </c>
      <c r="AG2175" s="2" t="s">
        <v>1635</v>
      </c>
      <c r="AH2175">
        <v>0</v>
      </c>
      <c r="AI2175" s="3" t="s">
        <v>1635</v>
      </c>
      <c r="AJ2175" s="1" t="s">
        <v>1635</v>
      </c>
      <c r="AK2175" s="2" t="s">
        <v>1635</v>
      </c>
      <c r="AL2175" s="4" t="s">
        <v>1636</v>
      </c>
      <c r="AM2175" s="5" t="s">
        <v>1636</v>
      </c>
      <c r="AN2175" s="4">
        <v>0</v>
      </c>
      <c r="AO2175" t="s">
        <v>1635</v>
      </c>
      <c r="AP2175" s="4" t="s">
        <v>1636</v>
      </c>
      <c r="AQ2175" t="s">
        <v>1619</v>
      </c>
      <c r="AR2175" t="s">
        <v>1620</v>
      </c>
      <c r="AT2175" s="16" t="str">
        <f>_xlfn.XLOOKUP(B2175,'SWiSH Demand Forecast Sep-26'!D:D,'SWiSH Demand Forecast Sep-26'!G:G,"Not Exist")</f>
        <v>Not Exist</v>
      </c>
    </row>
    <row r="2176" spans="1:46" x14ac:dyDescent="0.3">
      <c r="A2176">
        <v>107400025</v>
      </c>
      <c r="B2176" t="s">
        <v>4062</v>
      </c>
      <c r="C2176" t="s">
        <v>10</v>
      </c>
      <c r="D2176" t="s">
        <v>1629</v>
      </c>
      <c r="E2176" t="s">
        <v>1685</v>
      </c>
      <c r="F2176" t="s">
        <v>1664</v>
      </c>
      <c r="G2176" t="s">
        <v>1690</v>
      </c>
      <c r="H2176" t="s">
        <v>2016</v>
      </c>
      <c r="I2176" t="s">
        <v>1634</v>
      </c>
      <c r="J2176" t="s">
        <v>10</v>
      </c>
      <c r="K2176">
        <v>6.0000000000000001E-3</v>
      </c>
      <c r="L2176">
        <v>0</v>
      </c>
      <c r="M2176" s="1">
        <v>15</v>
      </c>
      <c r="N2176">
        <v>0</v>
      </c>
      <c r="O2176">
        <v>0</v>
      </c>
      <c r="P2176">
        <v>0</v>
      </c>
      <c r="Q2176" s="1">
        <v>0</v>
      </c>
      <c r="R2176">
        <v>6.0000000000000001E-3</v>
      </c>
      <c r="S2176" s="2">
        <v>45830</v>
      </c>
      <c r="T2176" s="2">
        <v>46146</v>
      </c>
      <c r="U2176">
        <v>0</v>
      </c>
      <c r="V2176">
        <v>0</v>
      </c>
      <c r="W2176">
        <v>0</v>
      </c>
      <c r="X2176">
        <v>0</v>
      </c>
      <c r="Y2176">
        <v>0</v>
      </c>
      <c r="Z2176" s="8">
        <v>0</v>
      </c>
      <c r="AA2176">
        <v>0</v>
      </c>
      <c r="AB2176" t="s">
        <v>1635</v>
      </c>
      <c r="AC2176" t="s">
        <v>1635</v>
      </c>
      <c r="AD2176" s="1" t="s">
        <v>1635</v>
      </c>
      <c r="AE2176" s="2" t="s">
        <v>1635</v>
      </c>
      <c r="AF2176" s="2" t="s">
        <v>1635</v>
      </c>
      <c r="AG2176" s="2" t="s">
        <v>1635</v>
      </c>
      <c r="AH2176">
        <v>0</v>
      </c>
      <c r="AI2176" s="3" t="s">
        <v>1635</v>
      </c>
      <c r="AJ2176" s="1" t="s">
        <v>1635</v>
      </c>
      <c r="AK2176" s="2" t="s">
        <v>1635</v>
      </c>
      <c r="AL2176" s="4" t="s">
        <v>1636</v>
      </c>
      <c r="AM2176" s="5" t="s">
        <v>1636</v>
      </c>
      <c r="AN2176" s="4">
        <v>0</v>
      </c>
      <c r="AO2176" t="s">
        <v>1635</v>
      </c>
      <c r="AP2176" s="4" t="s">
        <v>1636</v>
      </c>
      <c r="AQ2176" t="s">
        <v>1619</v>
      </c>
      <c r="AR2176" t="s">
        <v>1620</v>
      </c>
      <c r="AT2176" s="16" t="str">
        <f>_xlfn.XLOOKUP(B2176,'SWiSH Demand Forecast Sep-26'!D:D,'SWiSH Demand Forecast Sep-26'!G:G,"Not Exist")</f>
        <v>Not Exist</v>
      </c>
    </row>
    <row r="2177" spans="1:46" hidden="1" x14ac:dyDescent="0.3">
      <c r="A2177">
        <v>106800268</v>
      </c>
      <c r="B2177" t="s">
        <v>448</v>
      </c>
      <c r="C2177" t="s">
        <v>10</v>
      </c>
      <c r="D2177" t="s">
        <v>1675</v>
      </c>
      <c r="E2177" t="s">
        <v>1796</v>
      </c>
      <c r="F2177" t="s">
        <v>1664</v>
      </c>
      <c r="G2177" t="s">
        <v>1704</v>
      </c>
      <c r="H2177" t="s">
        <v>1665</v>
      </c>
      <c r="I2177" t="s">
        <v>1634</v>
      </c>
      <c r="J2177" t="s">
        <v>10</v>
      </c>
      <c r="K2177">
        <v>3.98E-3</v>
      </c>
      <c r="L2177">
        <v>0</v>
      </c>
      <c r="M2177" s="1">
        <v>7</v>
      </c>
      <c r="N2177">
        <v>0</v>
      </c>
      <c r="O2177">
        <v>0</v>
      </c>
      <c r="P2177">
        <v>0</v>
      </c>
      <c r="Q2177" s="1">
        <v>0</v>
      </c>
      <c r="R2177">
        <v>3.98E-3</v>
      </c>
      <c r="S2177" s="2">
        <v>45773</v>
      </c>
      <c r="T2177" s="2">
        <v>46053</v>
      </c>
      <c r="U2177">
        <v>0</v>
      </c>
      <c r="V2177">
        <v>0</v>
      </c>
      <c r="W2177">
        <v>0</v>
      </c>
      <c r="X2177">
        <v>0</v>
      </c>
      <c r="Y2177">
        <v>0</v>
      </c>
      <c r="Z2177" s="8">
        <v>0</v>
      </c>
      <c r="AA2177">
        <v>0</v>
      </c>
      <c r="AB2177" t="s">
        <v>1635</v>
      </c>
      <c r="AC2177" t="s">
        <v>1635</v>
      </c>
      <c r="AD2177" s="1" t="s">
        <v>1635</v>
      </c>
      <c r="AE2177" s="2" t="s">
        <v>1635</v>
      </c>
      <c r="AF2177" s="2" t="s">
        <v>1635</v>
      </c>
      <c r="AG2177" s="2" t="s">
        <v>1635</v>
      </c>
      <c r="AH2177">
        <v>0</v>
      </c>
      <c r="AI2177" s="3" t="s">
        <v>1635</v>
      </c>
      <c r="AJ2177" s="1" t="s">
        <v>1635</v>
      </c>
      <c r="AK2177" s="2" t="s">
        <v>1635</v>
      </c>
      <c r="AL2177" s="4" t="s">
        <v>1658</v>
      </c>
      <c r="AM2177" s="5" t="s">
        <v>1658</v>
      </c>
      <c r="AN2177" s="4">
        <v>0</v>
      </c>
      <c r="AO2177" t="s">
        <v>1635</v>
      </c>
      <c r="AP2177" s="4" t="s">
        <v>1658</v>
      </c>
      <c r="AQ2177" t="s">
        <v>1619</v>
      </c>
      <c r="AR2177" t="s">
        <v>1620</v>
      </c>
      <c r="AT2177" s="16">
        <f>_xlfn.XLOOKUP(B2177,'SWiSH Demand Forecast Sep-26'!D:D,'SWiSH Demand Forecast Sep-26'!G:G,"Not Exist")</f>
        <v>2123</v>
      </c>
    </row>
    <row r="2178" spans="1:46" x14ac:dyDescent="0.3">
      <c r="A2178">
        <v>107400070</v>
      </c>
      <c r="B2178" t="s">
        <v>4063</v>
      </c>
      <c r="C2178" t="s">
        <v>10</v>
      </c>
      <c r="D2178" t="s">
        <v>1789</v>
      </c>
      <c r="E2178" t="s">
        <v>1663</v>
      </c>
      <c r="F2178" t="s">
        <v>1664</v>
      </c>
      <c r="G2178" t="s">
        <v>1704</v>
      </c>
      <c r="H2178" t="s">
        <v>2016</v>
      </c>
      <c r="I2178" t="s">
        <v>1634</v>
      </c>
      <c r="J2178" t="s">
        <v>10</v>
      </c>
      <c r="K2178">
        <v>4.8390100000000004E-3</v>
      </c>
      <c r="L2178">
        <v>14.517030000000002</v>
      </c>
      <c r="M2178" s="1">
        <v>15</v>
      </c>
      <c r="N2178">
        <v>0</v>
      </c>
      <c r="O2178">
        <v>0</v>
      </c>
      <c r="P2178">
        <v>3000</v>
      </c>
      <c r="Q2178" s="1">
        <v>3000</v>
      </c>
      <c r="R2178">
        <v>5.0000000000000001E-3</v>
      </c>
      <c r="S2178" s="2">
        <v>45956</v>
      </c>
      <c r="T2178" s="2">
        <v>46147</v>
      </c>
      <c r="U2178">
        <v>0</v>
      </c>
      <c r="V2178">
        <v>0</v>
      </c>
      <c r="W2178">
        <v>0</v>
      </c>
      <c r="X2178">
        <v>0</v>
      </c>
      <c r="Y2178">
        <v>0</v>
      </c>
      <c r="Z2178" s="8">
        <v>0</v>
      </c>
      <c r="AA2178">
        <v>0</v>
      </c>
      <c r="AB2178" t="s">
        <v>1635</v>
      </c>
      <c r="AC2178" t="s">
        <v>1635</v>
      </c>
      <c r="AD2178" s="1" t="s">
        <v>1635</v>
      </c>
      <c r="AE2178" s="2" t="s">
        <v>1635</v>
      </c>
      <c r="AF2178" s="2" t="s">
        <v>1635</v>
      </c>
      <c r="AG2178" s="2" t="s">
        <v>1635</v>
      </c>
      <c r="AH2178">
        <v>0</v>
      </c>
      <c r="AI2178" s="3" t="s">
        <v>1635</v>
      </c>
      <c r="AJ2178" s="1" t="s">
        <v>1635</v>
      </c>
      <c r="AK2178" s="2" t="s">
        <v>1635</v>
      </c>
      <c r="AL2178" s="4" t="s">
        <v>1658</v>
      </c>
      <c r="AM2178" s="5" t="s">
        <v>1658</v>
      </c>
      <c r="AN2178" s="4">
        <v>0</v>
      </c>
      <c r="AO2178" t="s">
        <v>1635</v>
      </c>
      <c r="AP2178" s="4" t="s">
        <v>1658</v>
      </c>
      <c r="AQ2178" t="s">
        <v>1619</v>
      </c>
      <c r="AR2178" t="s">
        <v>1620</v>
      </c>
      <c r="AT2178" s="16" t="str">
        <f>_xlfn.XLOOKUP(B2178,'SWiSH Demand Forecast Sep-26'!D:D,'SWiSH Demand Forecast Sep-26'!G:G,"Not Exist")</f>
        <v>Not Exist</v>
      </c>
    </row>
    <row r="2179" spans="1:46" x14ac:dyDescent="0.3">
      <c r="A2179">
        <v>107400087</v>
      </c>
      <c r="B2179" t="s">
        <v>4064</v>
      </c>
      <c r="C2179" t="s">
        <v>10</v>
      </c>
      <c r="D2179" t="s">
        <v>1629</v>
      </c>
      <c r="E2179" t="s">
        <v>1638</v>
      </c>
      <c r="F2179" t="s">
        <v>1664</v>
      </c>
      <c r="G2179" t="s">
        <v>1690</v>
      </c>
      <c r="H2179" t="s">
        <v>2016</v>
      </c>
      <c r="I2179" t="s">
        <v>1634</v>
      </c>
      <c r="J2179" t="s">
        <v>10</v>
      </c>
      <c r="K2179">
        <v>1.7000000000000001E-2</v>
      </c>
      <c r="L2179">
        <v>0</v>
      </c>
      <c r="M2179" s="1">
        <v>15</v>
      </c>
      <c r="N2179">
        <v>0</v>
      </c>
      <c r="O2179">
        <v>0</v>
      </c>
      <c r="P2179">
        <v>0</v>
      </c>
      <c r="Q2179" s="1">
        <v>0</v>
      </c>
      <c r="R2179">
        <v>0</v>
      </c>
      <c r="S2179" s="2">
        <v>43647</v>
      </c>
      <c r="T2179" s="2">
        <v>46198</v>
      </c>
      <c r="U2179">
        <v>0</v>
      </c>
      <c r="V2179">
        <v>0</v>
      </c>
      <c r="W2179">
        <v>0</v>
      </c>
      <c r="X2179">
        <v>0</v>
      </c>
      <c r="Y2179">
        <v>0</v>
      </c>
      <c r="Z2179" s="8">
        <v>0</v>
      </c>
      <c r="AA2179">
        <v>0</v>
      </c>
      <c r="AB2179" t="s">
        <v>1635</v>
      </c>
      <c r="AC2179" t="s">
        <v>1635</v>
      </c>
      <c r="AD2179" s="1" t="s">
        <v>1635</v>
      </c>
      <c r="AE2179" s="2" t="s">
        <v>1635</v>
      </c>
      <c r="AF2179" s="2" t="s">
        <v>1635</v>
      </c>
      <c r="AG2179" s="2" t="s">
        <v>1635</v>
      </c>
      <c r="AH2179">
        <v>0</v>
      </c>
      <c r="AI2179" s="3" t="s">
        <v>1635</v>
      </c>
      <c r="AJ2179" s="1" t="s">
        <v>1635</v>
      </c>
      <c r="AK2179" s="2" t="s">
        <v>1635</v>
      </c>
      <c r="AL2179" s="4" t="s">
        <v>1636</v>
      </c>
      <c r="AM2179" s="5" t="s">
        <v>1636</v>
      </c>
      <c r="AN2179" s="4">
        <v>0</v>
      </c>
      <c r="AO2179" t="s">
        <v>1635</v>
      </c>
      <c r="AP2179" s="4" t="s">
        <v>1636</v>
      </c>
      <c r="AQ2179" t="s">
        <v>1619</v>
      </c>
      <c r="AR2179" t="s">
        <v>1620</v>
      </c>
      <c r="AT2179" s="16" t="str">
        <f>_xlfn.XLOOKUP(B2179,'SWiSH Demand Forecast Sep-26'!D:D,'SWiSH Demand Forecast Sep-26'!G:G,"Not Exist")</f>
        <v>Not Exist</v>
      </c>
    </row>
    <row r="2180" spans="1:46" x14ac:dyDescent="0.3">
      <c r="A2180">
        <v>101600056</v>
      </c>
      <c r="B2180" t="s">
        <v>4065</v>
      </c>
      <c r="C2180" t="s">
        <v>10</v>
      </c>
      <c r="D2180" t="s">
        <v>1675</v>
      </c>
      <c r="E2180" t="s">
        <v>1732</v>
      </c>
      <c r="F2180" t="s">
        <v>1631</v>
      </c>
      <c r="G2180" t="s">
        <v>1624</v>
      </c>
      <c r="H2180" t="s">
        <v>1768</v>
      </c>
      <c r="I2180" t="s">
        <v>1634</v>
      </c>
      <c r="J2180" t="s">
        <v>1905</v>
      </c>
      <c r="K2180">
        <v>2.5000000000000001E-2</v>
      </c>
      <c r="L2180">
        <v>150</v>
      </c>
      <c r="M2180" s="1">
        <v>3</v>
      </c>
      <c r="N2180">
        <v>0</v>
      </c>
      <c r="O2180">
        <v>0</v>
      </c>
      <c r="P2180">
        <v>6000</v>
      </c>
      <c r="Q2180" s="1">
        <v>6000</v>
      </c>
      <c r="R2180">
        <v>2.5</v>
      </c>
      <c r="S2180" s="2">
        <v>46083</v>
      </c>
      <c r="T2180" s="2">
        <v>46073</v>
      </c>
      <c r="U2180">
        <v>0</v>
      </c>
      <c r="V2180">
        <v>0</v>
      </c>
      <c r="W2180">
        <v>0</v>
      </c>
      <c r="X2180">
        <v>0</v>
      </c>
      <c r="Y2180">
        <v>0</v>
      </c>
      <c r="Z2180" s="8">
        <v>0</v>
      </c>
      <c r="AA2180">
        <v>0</v>
      </c>
      <c r="AB2180" t="s">
        <v>1635</v>
      </c>
      <c r="AC2180" t="s">
        <v>1635</v>
      </c>
      <c r="AD2180" s="1" t="s">
        <v>1635</v>
      </c>
      <c r="AE2180" s="2" t="s">
        <v>1635</v>
      </c>
      <c r="AF2180" s="2" t="s">
        <v>1635</v>
      </c>
      <c r="AG2180" s="2" t="s">
        <v>1635</v>
      </c>
      <c r="AH2180">
        <v>0</v>
      </c>
      <c r="AI2180" s="3" t="s">
        <v>1635</v>
      </c>
      <c r="AJ2180" s="1" t="s">
        <v>1635</v>
      </c>
      <c r="AK2180" s="2" t="s">
        <v>1635</v>
      </c>
      <c r="AL2180" s="4" t="s">
        <v>1658</v>
      </c>
      <c r="AM2180" s="5" t="s">
        <v>1658</v>
      </c>
      <c r="AN2180" s="4">
        <v>0</v>
      </c>
      <c r="AO2180" t="s">
        <v>1635</v>
      </c>
      <c r="AP2180" s="4" t="s">
        <v>1658</v>
      </c>
      <c r="AQ2180" t="s">
        <v>1619</v>
      </c>
      <c r="AR2180" t="s">
        <v>1620</v>
      </c>
      <c r="AT2180" s="16" t="str">
        <f>_xlfn.XLOOKUP(B2180,'SWiSH Demand Forecast Sep-26'!D:D,'SWiSH Demand Forecast Sep-26'!G:G,"Not Exist")</f>
        <v>Not Exist</v>
      </c>
    </row>
    <row r="2181" spans="1:46" x14ac:dyDescent="0.3">
      <c r="A2181">
        <v>106800167</v>
      </c>
      <c r="B2181" t="s">
        <v>4066</v>
      </c>
      <c r="C2181" t="s">
        <v>10</v>
      </c>
      <c r="D2181" t="s">
        <v>1675</v>
      </c>
      <c r="E2181" t="s">
        <v>1796</v>
      </c>
      <c r="F2181" t="s">
        <v>1664</v>
      </c>
      <c r="G2181" t="s">
        <v>1624</v>
      </c>
      <c r="H2181" t="s">
        <v>1665</v>
      </c>
      <c r="I2181" t="s">
        <v>1634</v>
      </c>
      <c r="J2181" t="s">
        <v>10</v>
      </c>
      <c r="K2181">
        <v>7.0000000000000007E-2</v>
      </c>
      <c r="L2181">
        <v>14.000000000000002</v>
      </c>
      <c r="M2181" s="1">
        <v>7</v>
      </c>
      <c r="N2181">
        <v>0</v>
      </c>
      <c r="O2181">
        <v>0</v>
      </c>
      <c r="P2181">
        <v>200</v>
      </c>
      <c r="Q2181" s="1">
        <v>200</v>
      </c>
      <c r="R2181">
        <v>7.0000000000000007E-2</v>
      </c>
      <c r="S2181" s="2">
        <v>45773</v>
      </c>
      <c r="T2181" s="2">
        <v>46055</v>
      </c>
      <c r="U2181">
        <v>0</v>
      </c>
      <c r="V2181">
        <v>0</v>
      </c>
      <c r="W2181">
        <v>0</v>
      </c>
      <c r="X2181">
        <v>0</v>
      </c>
      <c r="Y2181">
        <v>0</v>
      </c>
      <c r="Z2181" s="8">
        <v>0</v>
      </c>
      <c r="AA2181">
        <v>0</v>
      </c>
      <c r="AB2181" t="s">
        <v>1635</v>
      </c>
      <c r="AC2181" t="s">
        <v>1635</v>
      </c>
      <c r="AD2181" s="1" t="s">
        <v>1635</v>
      </c>
      <c r="AE2181" s="2" t="s">
        <v>1635</v>
      </c>
      <c r="AF2181" s="2" t="s">
        <v>1635</v>
      </c>
      <c r="AG2181" s="2" t="s">
        <v>1635</v>
      </c>
      <c r="AH2181">
        <v>0</v>
      </c>
      <c r="AI2181" s="3" t="s">
        <v>1635</v>
      </c>
      <c r="AJ2181" s="1" t="s">
        <v>1635</v>
      </c>
      <c r="AK2181" s="2" t="s">
        <v>1635</v>
      </c>
      <c r="AL2181" s="4" t="s">
        <v>1658</v>
      </c>
      <c r="AM2181" s="5" t="s">
        <v>1658</v>
      </c>
      <c r="AN2181" s="4">
        <v>0</v>
      </c>
      <c r="AO2181" t="s">
        <v>1635</v>
      </c>
      <c r="AP2181" s="4" t="s">
        <v>1658</v>
      </c>
      <c r="AQ2181" t="s">
        <v>1619</v>
      </c>
      <c r="AR2181" t="s">
        <v>1620</v>
      </c>
      <c r="AT2181" s="16" t="str">
        <f>_xlfn.XLOOKUP(B2181,'SWiSH Demand Forecast Sep-26'!D:D,'SWiSH Demand Forecast Sep-26'!G:G,"Not Exist")</f>
        <v>Not Exist</v>
      </c>
    </row>
    <row r="2182" spans="1:46" x14ac:dyDescent="0.3">
      <c r="A2182">
        <v>107400005</v>
      </c>
      <c r="B2182" t="s">
        <v>4067</v>
      </c>
      <c r="C2182" t="s">
        <v>10</v>
      </c>
      <c r="D2182" t="s">
        <v>1675</v>
      </c>
      <c r="E2182" t="s">
        <v>1949</v>
      </c>
      <c r="F2182" t="s">
        <v>1664</v>
      </c>
      <c r="G2182" t="s">
        <v>1678</v>
      </c>
      <c r="H2182" t="s">
        <v>2016</v>
      </c>
      <c r="I2182" t="s">
        <v>1634</v>
      </c>
      <c r="J2182" t="s">
        <v>10</v>
      </c>
      <c r="K2182">
        <v>6.5</v>
      </c>
      <c r="L2182">
        <v>0</v>
      </c>
      <c r="M2182" s="1">
        <v>15</v>
      </c>
      <c r="N2182">
        <v>0</v>
      </c>
      <c r="O2182">
        <v>0</v>
      </c>
      <c r="P2182">
        <v>0</v>
      </c>
      <c r="Q2182" s="1">
        <v>0</v>
      </c>
      <c r="R2182">
        <v>6.5</v>
      </c>
      <c r="S2182" s="2">
        <v>45873</v>
      </c>
      <c r="T2182" s="2">
        <v>46070</v>
      </c>
      <c r="U2182">
        <v>0</v>
      </c>
      <c r="V2182">
        <v>0</v>
      </c>
      <c r="W2182">
        <v>0</v>
      </c>
      <c r="X2182">
        <v>0</v>
      </c>
      <c r="Y2182">
        <v>0</v>
      </c>
      <c r="Z2182" s="8">
        <v>0</v>
      </c>
      <c r="AA2182">
        <v>0</v>
      </c>
      <c r="AB2182" t="s">
        <v>1635</v>
      </c>
      <c r="AC2182" t="s">
        <v>1635</v>
      </c>
      <c r="AD2182" s="1" t="s">
        <v>1635</v>
      </c>
      <c r="AE2182" s="2" t="s">
        <v>1635</v>
      </c>
      <c r="AF2182" s="2" t="s">
        <v>1635</v>
      </c>
      <c r="AG2182" s="2" t="s">
        <v>1635</v>
      </c>
      <c r="AH2182">
        <v>0</v>
      </c>
      <c r="AI2182" s="3" t="s">
        <v>1635</v>
      </c>
      <c r="AJ2182" s="1" t="s">
        <v>1635</v>
      </c>
      <c r="AK2182" s="2" t="s">
        <v>1635</v>
      </c>
      <c r="AL2182" s="4" t="s">
        <v>1658</v>
      </c>
      <c r="AM2182" s="5" t="s">
        <v>1658</v>
      </c>
      <c r="AN2182" s="4">
        <v>0</v>
      </c>
      <c r="AO2182" t="s">
        <v>1635</v>
      </c>
      <c r="AP2182" s="4" t="s">
        <v>1658</v>
      </c>
      <c r="AQ2182" t="s">
        <v>1619</v>
      </c>
      <c r="AR2182" t="s">
        <v>1620</v>
      </c>
      <c r="AT2182" s="16" t="str">
        <f>_xlfn.XLOOKUP(B2182,'SWiSH Demand Forecast Sep-26'!D:D,'SWiSH Demand Forecast Sep-26'!G:G,"Not Exist")</f>
        <v>Not Exist</v>
      </c>
    </row>
    <row r="2183" spans="1:46" x14ac:dyDescent="0.3">
      <c r="A2183">
        <v>107400078</v>
      </c>
      <c r="B2183" t="s">
        <v>4068</v>
      </c>
      <c r="C2183" t="s">
        <v>10</v>
      </c>
      <c r="D2183" t="s">
        <v>1675</v>
      </c>
      <c r="E2183" t="s">
        <v>1926</v>
      </c>
      <c r="F2183" t="s">
        <v>1664</v>
      </c>
      <c r="G2183" t="s">
        <v>1704</v>
      </c>
      <c r="H2183" t="s">
        <v>2016</v>
      </c>
      <c r="I2183" t="s">
        <v>1634</v>
      </c>
      <c r="J2183" t="s">
        <v>10</v>
      </c>
      <c r="K2183">
        <v>6.0000000000000001E-3</v>
      </c>
      <c r="L2183">
        <v>308.7</v>
      </c>
      <c r="M2183" s="1">
        <v>15</v>
      </c>
      <c r="N2183">
        <v>0</v>
      </c>
      <c r="O2183">
        <v>0</v>
      </c>
      <c r="P2183">
        <v>51450</v>
      </c>
      <c r="Q2183" s="1">
        <v>51450</v>
      </c>
      <c r="R2183">
        <v>6.0000000000000001E-3</v>
      </c>
      <c r="S2183" s="2">
        <v>45776</v>
      </c>
      <c r="T2183" s="2">
        <v>46107</v>
      </c>
      <c r="U2183">
        <v>0</v>
      </c>
      <c r="V2183">
        <v>0</v>
      </c>
      <c r="W2183">
        <v>0</v>
      </c>
      <c r="X2183">
        <v>0</v>
      </c>
      <c r="Y2183">
        <v>0</v>
      </c>
      <c r="Z2183" s="8">
        <v>0</v>
      </c>
      <c r="AA2183">
        <v>0</v>
      </c>
      <c r="AB2183" t="s">
        <v>1635</v>
      </c>
      <c r="AC2183" t="s">
        <v>1635</v>
      </c>
      <c r="AD2183" s="1" t="s">
        <v>1635</v>
      </c>
      <c r="AE2183" s="2" t="s">
        <v>1635</v>
      </c>
      <c r="AF2183" s="2" t="s">
        <v>1635</v>
      </c>
      <c r="AG2183" s="2" t="s">
        <v>1635</v>
      </c>
      <c r="AH2183">
        <v>0</v>
      </c>
      <c r="AI2183" s="3" t="s">
        <v>1635</v>
      </c>
      <c r="AJ2183" s="1" t="s">
        <v>1635</v>
      </c>
      <c r="AK2183" s="2" t="s">
        <v>1635</v>
      </c>
      <c r="AL2183" s="4" t="s">
        <v>1658</v>
      </c>
      <c r="AM2183" s="5" t="s">
        <v>1658</v>
      </c>
      <c r="AN2183" s="4">
        <v>0</v>
      </c>
      <c r="AO2183" t="s">
        <v>1635</v>
      </c>
      <c r="AP2183" s="4" t="s">
        <v>1658</v>
      </c>
      <c r="AQ2183" t="s">
        <v>1619</v>
      </c>
      <c r="AR2183" t="s">
        <v>1620</v>
      </c>
      <c r="AT2183" s="16" t="str">
        <f>_xlfn.XLOOKUP(B2183,'SWiSH Demand Forecast Sep-26'!D:D,'SWiSH Demand Forecast Sep-26'!G:G,"Not Exist")</f>
        <v>Not Exist</v>
      </c>
    </row>
    <row r="2184" spans="1:46" x14ac:dyDescent="0.3">
      <c r="A2184">
        <v>105900022</v>
      </c>
      <c r="B2184" t="s">
        <v>4069</v>
      </c>
      <c r="C2184" t="s">
        <v>10</v>
      </c>
      <c r="D2184" t="s">
        <v>1675</v>
      </c>
      <c r="E2184" t="s">
        <v>1796</v>
      </c>
      <c r="F2184" t="s">
        <v>1664</v>
      </c>
      <c r="G2184" t="s">
        <v>1704</v>
      </c>
      <c r="H2184" t="s">
        <v>1729</v>
      </c>
      <c r="I2184" t="s">
        <v>1634</v>
      </c>
      <c r="J2184" t="s">
        <v>10</v>
      </c>
      <c r="K2184">
        <v>8.5500000000000003E-3</v>
      </c>
      <c r="L2184">
        <v>0</v>
      </c>
      <c r="M2184" s="1">
        <v>90</v>
      </c>
      <c r="N2184">
        <v>0</v>
      </c>
      <c r="O2184">
        <v>0</v>
      </c>
      <c r="P2184">
        <v>0</v>
      </c>
      <c r="Q2184" s="1">
        <v>0</v>
      </c>
      <c r="R2184">
        <v>8.5500000000000003E-3</v>
      </c>
      <c r="S2184" s="2">
        <v>45773</v>
      </c>
      <c r="T2184" s="2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 s="8">
        <v>0</v>
      </c>
      <c r="AA2184">
        <v>0</v>
      </c>
      <c r="AB2184" t="s">
        <v>1635</v>
      </c>
      <c r="AC2184" t="s">
        <v>1635</v>
      </c>
      <c r="AD2184" s="1" t="s">
        <v>1635</v>
      </c>
      <c r="AE2184" s="2" t="s">
        <v>1635</v>
      </c>
      <c r="AF2184" s="2" t="s">
        <v>1635</v>
      </c>
      <c r="AG2184" s="2" t="s">
        <v>1635</v>
      </c>
      <c r="AH2184">
        <v>0</v>
      </c>
      <c r="AI2184" s="3" t="s">
        <v>1635</v>
      </c>
      <c r="AJ2184" s="1" t="s">
        <v>1635</v>
      </c>
      <c r="AK2184" s="2" t="s">
        <v>1635</v>
      </c>
      <c r="AL2184" s="4" t="s">
        <v>1658</v>
      </c>
      <c r="AM2184" s="5" t="s">
        <v>1658</v>
      </c>
      <c r="AN2184" s="4">
        <v>0</v>
      </c>
      <c r="AO2184" t="s">
        <v>1635</v>
      </c>
      <c r="AP2184" s="4" t="s">
        <v>1658</v>
      </c>
      <c r="AQ2184" t="s">
        <v>1619</v>
      </c>
      <c r="AR2184" t="s">
        <v>1620</v>
      </c>
      <c r="AT2184" s="16" t="str">
        <f>_xlfn.XLOOKUP(B2184,'SWiSH Demand Forecast Sep-26'!D:D,'SWiSH Demand Forecast Sep-26'!G:G,"Not Exist")</f>
        <v>Not Exist</v>
      </c>
    </row>
    <row r="2185" spans="1:46" x14ac:dyDescent="0.3">
      <c r="A2185">
        <v>107200062</v>
      </c>
      <c r="B2185" t="s">
        <v>4070</v>
      </c>
      <c r="C2185" t="s">
        <v>10</v>
      </c>
      <c r="D2185" t="s">
        <v>1675</v>
      </c>
      <c r="E2185" t="s">
        <v>1638</v>
      </c>
      <c r="F2185" t="s">
        <v>1656</v>
      </c>
      <c r="G2185" t="s">
        <v>1704</v>
      </c>
      <c r="H2185" t="s">
        <v>1657</v>
      </c>
      <c r="I2185" t="s">
        <v>1634</v>
      </c>
      <c r="J2185" t="s">
        <v>10</v>
      </c>
      <c r="K2185">
        <v>8</v>
      </c>
      <c r="L2185">
        <v>64</v>
      </c>
      <c r="M2185" s="1">
        <v>15</v>
      </c>
      <c r="N2185">
        <v>0</v>
      </c>
      <c r="O2185">
        <v>0</v>
      </c>
      <c r="P2185">
        <v>8</v>
      </c>
      <c r="Q2185" s="1">
        <v>8</v>
      </c>
      <c r="R2185">
        <v>8</v>
      </c>
      <c r="S2185" s="2">
        <v>44293</v>
      </c>
      <c r="T2185" s="2">
        <v>46221</v>
      </c>
      <c r="U2185">
        <v>0</v>
      </c>
      <c r="V2185">
        <v>0</v>
      </c>
      <c r="W2185">
        <v>0</v>
      </c>
      <c r="X2185">
        <v>0</v>
      </c>
      <c r="Y2185">
        <v>0</v>
      </c>
      <c r="Z2185" s="8">
        <v>0</v>
      </c>
      <c r="AA2185">
        <v>0</v>
      </c>
      <c r="AB2185" t="s">
        <v>1635</v>
      </c>
      <c r="AC2185" t="s">
        <v>1635</v>
      </c>
      <c r="AD2185" s="1" t="s">
        <v>1635</v>
      </c>
      <c r="AE2185" s="2" t="s">
        <v>1635</v>
      </c>
      <c r="AF2185" s="2" t="s">
        <v>1635</v>
      </c>
      <c r="AG2185" s="2" t="s">
        <v>1635</v>
      </c>
      <c r="AH2185">
        <v>0</v>
      </c>
      <c r="AI2185" s="3" t="s">
        <v>1635</v>
      </c>
      <c r="AJ2185" s="1" t="s">
        <v>1635</v>
      </c>
      <c r="AK2185" s="2" t="s">
        <v>1635</v>
      </c>
      <c r="AL2185" s="4" t="s">
        <v>1658</v>
      </c>
      <c r="AM2185" s="5" t="s">
        <v>1658</v>
      </c>
      <c r="AN2185" s="4">
        <v>0</v>
      </c>
      <c r="AO2185" t="s">
        <v>1635</v>
      </c>
      <c r="AP2185" s="4" t="s">
        <v>1658</v>
      </c>
      <c r="AQ2185" t="s">
        <v>1619</v>
      </c>
      <c r="AR2185" t="s">
        <v>1620</v>
      </c>
      <c r="AT2185" s="16" t="str">
        <f>_xlfn.XLOOKUP(B2185,'SWiSH Demand Forecast Sep-26'!D:D,'SWiSH Demand Forecast Sep-26'!G:G,"Not Exist")</f>
        <v>Not Exist</v>
      </c>
    </row>
    <row r="2186" spans="1:46" x14ac:dyDescent="0.3">
      <c r="A2186">
        <v>101600052</v>
      </c>
      <c r="B2186" t="s">
        <v>4071</v>
      </c>
      <c r="C2186" t="s">
        <v>10</v>
      </c>
      <c r="D2186" t="s">
        <v>1675</v>
      </c>
      <c r="E2186" t="s">
        <v>1663</v>
      </c>
      <c r="F2186" t="s">
        <v>1664</v>
      </c>
      <c r="G2186" t="s">
        <v>1624</v>
      </c>
      <c r="H2186" t="s">
        <v>1768</v>
      </c>
      <c r="I2186" t="s">
        <v>1634</v>
      </c>
      <c r="J2186" t="s">
        <v>10</v>
      </c>
      <c r="K2186">
        <v>3.2000000000000001E-2</v>
      </c>
      <c r="L2186">
        <v>0</v>
      </c>
      <c r="M2186" s="1">
        <v>7</v>
      </c>
      <c r="N2186">
        <v>0</v>
      </c>
      <c r="O2186">
        <v>0</v>
      </c>
      <c r="P2186">
        <v>0</v>
      </c>
      <c r="Q2186" s="1">
        <v>0</v>
      </c>
      <c r="R2186">
        <v>16</v>
      </c>
      <c r="S2186" s="2">
        <v>46068</v>
      </c>
      <c r="T2186" s="2">
        <v>46079</v>
      </c>
      <c r="U2186">
        <v>0</v>
      </c>
      <c r="V2186">
        <v>0</v>
      </c>
      <c r="W2186">
        <v>0</v>
      </c>
      <c r="X2186">
        <v>0</v>
      </c>
      <c r="Y2186">
        <v>0</v>
      </c>
      <c r="Z2186" s="8">
        <v>0</v>
      </c>
      <c r="AA2186">
        <v>0</v>
      </c>
      <c r="AB2186" t="s">
        <v>1635</v>
      </c>
      <c r="AC2186" t="s">
        <v>1635</v>
      </c>
      <c r="AD2186" s="1" t="s">
        <v>1635</v>
      </c>
      <c r="AE2186" s="2" t="s">
        <v>1635</v>
      </c>
      <c r="AF2186" s="2" t="s">
        <v>1635</v>
      </c>
      <c r="AG2186" s="2" t="s">
        <v>1635</v>
      </c>
      <c r="AH2186">
        <v>0</v>
      </c>
      <c r="AI2186" s="3" t="s">
        <v>1635</v>
      </c>
      <c r="AJ2186" s="1" t="s">
        <v>1635</v>
      </c>
      <c r="AK2186" s="2" t="s">
        <v>1635</v>
      </c>
      <c r="AL2186" s="4" t="s">
        <v>1658</v>
      </c>
      <c r="AM2186" s="5" t="s">
        <v>1658</v>
      </c>
      <c r="AN2186" s="4">
        <v>0</v>
      </c>
      <c r="AO2186" t="s">
        <v>1635</v>
      </c>
      <c r="AP2186" s="4" t="s">
        <v>1658</v>
      </c>
      <c r="AQ2186" t="s">
        <v>1619</v>
      </c>
      <c r="AR2186" t="s">
        <v>1620</v>
      </c>
      <c r="AS2186" t="s">
        <v>1666</v>
      </c>
      <c r="AT2186" s="16" t="str">
        <f>_xlfn.XLOOKUP(B2186,'SWiSH Demand Forecast Sep-26'!D:D,'SWiSH Demand Forecast Sep-26'!G:G,"Not Exist")</f>
        <v>Not Exist</v>
      </c>
    </row>
    <row r="2187" spans="1:46" x14ac:dyDescent="0.3">
      <c r="A2187">
        <v>101800016</v>
      </c>
      <c r="B2187" t="s">
        <v>4072</v>
      </c>
      <c r="C2187" t="s">
        <v>10</v>
      </c>
      <c r="D2187" t="s">
        <v>1613</v>
      </c>
      <c r="E2187" t="s">
        <v>1685</v>
      </c>
      <c r="F2187" t="s">
        <v>1664</v>
      </c>
      <c r="G2187" t="s">
        <v>1624</v>
      </c>
      <c r="H2187" t="s">
        <v>2144</v>
      </c>
      <c r="I2187" t="s">
        <v>1634</v>
      </c>
      <c r="J2187" t="s">
        <v>10</v>
      </c>
      <c r="K2187">
        <v>4.7499999999999999E-3</v>
      </c>
      <c r="L2187">
        <v>47.5</v>
      </c>
      <c r="M2187" s="1">
        <v>15</v>
      </c>
      <c r="N2187">
        <v>0</v>
      </c>
      <c r="O2187">
        <v>0</v>
      </c>
      <c r="P2187">
        <v>10000</v>
      </c>
      <c r="Q2187" s="1">
        <v>10000</v>
      </c>
      <c r="R2187">
        <v>4.75</v>
      </c>
      <c r="S2187" s="2">
        <v>46238</v>
      </c>
      <c r="T2187" s="2">
        <v>46211</v>
      </c>
      <c r="U2187">
        <v>0</v>
      </c>
      <c r="V2187">
        <v>0</v>
      </c>
      <c r="W2187">
        <v>0</v>
      </c>
      <c r="X2187">
        <v>0</v>
      </c>
      <c r="Y2187">
        <v>0</v>
      </c>
      <c r="Z2187" s="8">
        <v>0</v>
      </c>
      <c r="AA2187">
        <v>0</v>
      </c>
      <c r="AB2187" t="s">
        <v>1635</v>
      </c>
      <c r="AC2187" t="s">
        <v>1635</v>
      </c>
      <c r="AD2187" s="1" t="s">
        <v>1635</v>
      </c>
      <c r="AE2187" s="2" t="s">
        <v>1635</v>
      </c>
      <c r="AF2187" s="2" t="s">
        <v>1635</v>
      </c>
      <c r="AG2187" s="2" t="s">
        <v>1635</v>
      </c>
      <c r="AH2187">
        <v>0</v>
      </c>
      <c r="AI2187" s="3" t="s">
        <v>1635</v>
      </c>
      <c r="AJ2187" s="1" t="s">
        <v>1635</v>
      </c>
      <c r="AK2187" s="2" t="s">
        <v>1635</v>
      </c>
      <c r="AL2187" s="4">
        <v>30</v>
      </c>
      <c r="AM2187" s="5">
        <v>15</v>
      </c>
      <c r="AN2187" s="4">
        <v>0</v>
      </c>
      <c r="AO2187" t="s">
        <v>1635</v>
      </c>
      <c r="AP2187" s="4">
        <v>1</v>
      </c>
      <c r="AQ2187" t="s">
        <v>1619</v>
      </c>
      <c r="AR2187" t="s">
        <v>1620</v>
      </c>
      <c r="AT2187" s="16" t="str">
        <f>_xlfn.XLOOKUP(B2187,'SWiSH Demand Forecast Sep-26'!D:D,'SWiSH Demand Forecast Sep-26'!G:G,"Not Exist")</f>
        <v>Not Exist</v>
      </c>
    </row>
    <row r="2188" spans="1:46" x14ac:dyDescent="0.3">
      <c r="A2188">
        <v>106800169</v>
      </c>
      <c r="B2188" t="s">
        <v>4073</v>
      </c>
      <c r="C2188" t="s">
        <v>10</v>
      </c>
      <c r="D2188" t="s">
        <v>1675</v>
      </c>
      <c r="E2188" t="s">
        <v>1796</v>
      </c>
      <c r="F2188" t="s">
        <v>1664</v>
      </c>
      <c r="G2188" t="s">
        <v>1624</v>
      </c>
      <c r="H2188" t="s">
        <v>1665</v>
      </c>
      <c r="I2188" t="s">
        <v>1634</v>
      </c>
      <c r="J2188" t="s">
        <v>10</v>
      </c>
      <c r="K2188">
        <v>7.0000000000000007E-2</v>
      </c>
      <c r="L2188">
        <v>14.000000000000002</v>
      </c>
      <c r="M2188" s="1">
        <v>7</v>
      </c>
      <c r="N2188">
        <v>0</v>
      </c>
      <c r="O2188">
        <v>0</v>
      </c>
      <c r="P2188">
        <v>200</v>
      </c>
      <c r="Q2188" s="1">
        <v>200</v>
      </c>
      <c r="R2188">
        <v>7.0000000000000007E-2</v>
      </c>
      <c r="S2188" s="2">
        <v>45773</v>
      </c>
      <c r="T2188" s="2">
        <v>46055</v>
      </c>
      <c r="U2188">
        <v>0</v>
      </c>
      <c r="V2188">
        <v>0</v>
      </c>
      <c r="W2188">
        <v>0</v>
      </c>
      <c r="X2188">
        <v>0</v>
      </c>
      <c r="Y2188">
        <v>0</v>
      </c>
      <c r="Z2188" s="8">
        <v>0</v>
      </c>
      <c r="AA2188">
        <v>0</v>
      </c>
      <c r="AB2188" t="s">
        <v>1635</v>
      </c>
      <c r="AC2188" t="s">
        <v>1635</v>
      </c>
      <c r="AD2188" s="1" t="s">
        <v>1635</v>
      </c>
      <c r="AE2188" s="2" t="s">
        <v>1635</v>
      </c>
      <c r="AF2188" s="2" t="s">
        <v>1635</v>
      </c>
      <c r="AG2188" s="2" t="s">
        <v>1635</v>
      </c>
      <c r="AH2188">
        <v>0</v>
      </c>
      <c r="AI2188" s="3" t="s">
        <v>1635</v>
      </c>
      <c r="AJ2188" s="1" t="s">
        <v>1635</v>
      </c>
      <c r="AK2188" s="2" t="s">
        <v>1635</v>
      </c>
      <c r="AL2188" s="4" t="s">
        <v>1658</v>
      </c>
      <c r="AM2188" s="5" t="s">
        <v>1658</v>
      </c>
      <c r="AN2188" s="4">
        <v>0</v>
      </c>
      <c r="AO2188" t="s">
        <v>1635</v>
      </c>
      <c r="AP2188" s="4" t="s">
        <v>1658</v>
      </c>
      <c r="AQ2188" t="s">
        <v>1619</v>
      </c>
      <c r="AR2188" t="s">
        <v>1620</v>
      </c>
      <c r="AT2188" s="16" t="str">
        <f>_xlfn.XLOOKUP(B2188,'SWiSH Demand Forecast Sep-26'!D:D,'SWiSH Demand Forecast Sep-26'!G:G,"Not Exist")</f>
        <v>Not Exist</v>
      </c>
    </row>
    <row r="2189" spans="1:46" x14ac:dyDescent="0.3">
      <c r="A2189">
        <v>104900003</v>
      </c>
      <c r="B2189" t="s">
        <v>4074</v>
      </c>
      <c r="C2189" t="s">
        <v>10</v>
      </c>
      <c r="D2189" t="s">
        <v>1675</v>
      </c>
      <c r="E2189" t="s">
        <v>1926</v>
      </c>
      <c r="F2189" t="s">
        <v>1664</v>
      </c>
      <c r="G2189" t="s">
        <v>1704</v>
      </c>
      <c r="H2189" t="s">
        <v>1759</v>
      </c>
      <c r="I2189" t="s">
        <v>1634</v>
      </c>
      <c r="J2189" t="s">
        <v>2287</v>
      </c>
      <c r="K2189">
        <v>0.03</v>
      </c>
      <c r="L2189">
        <v>165</v>
      </c>
      <c r="M2189" s="1">
        <v>15</v>
      </c>
      <c r="N2189">
        <v>0</v>
      </c>
      <c r="O2189">
        <v>0</v>
      </c>
      <c r="P2189">
        <v>5500</v>
      </c>
      <c r="Q2189" s="1">
        <v>5500</v>
      </c>
      <c r="R2189">
        <v>7.5</v>
      </c>
      <c r="S2189" s="2">
        <v>45759</v>
      </c>
      <c r="T2189" s="2">
        <v>46221</v>
      </c>
      <c r="U2189">
        <v>0</v>
      </c>
      <c r="V2189">
        <v>0</v>
      </c>
      <c r="W2189">
        <v>0</v>
      </c>
      <c r="X2189">
        <v>0</v>
      </c>
      <c r="Y2189">
        <v>0</v>
      </c>
      <c r="Z2189" s="8">
        <v>0</v>
      </c>
      <c r="AA2189">
        <v>0</v>
      </c>
      <c r="AB2189" t="s">
        <v>1635</v>
      </c>
      <c r="AC2189" t="s">
        <v>1635</v>
      </c>
      <c r="AD2189" s="1" t="s">
        <v>1635</v>
      </c>
      <c r="AE2189" s="2" t="s">
        <v>1635</v>
      </c>
      <c r="AF2189" s="2" t="s">
        <v>1635</v>
      </c>
      <c r="AG2189" s="2" t="s">
        <v>1635</v>
      </c>
      <c r="AH2189">
        <v>0</v>
      </c>
      <c r="AI2189" s="3" t="s">
        <v>1635</v>
      </c>
      <c r="AJ2189" s="1" t="s">
        <v>1635</v>
      </c>
      <c r="AK2189" s="2" t="s">
        <v>1635</v>
      </c>
      <c r="AL2189" s="4" t="s">
        <v>1658</v>
      </c>
      <c r="AM2189" s="5" t="s">
        <v>1658</v>
      </c>
      <c r="AN2189" s="4">
        <v>0</v>
      </c>
      <c r="AO2189" t="s">
        <v>1635</v>
      </c>
      <c r="AP2189" s="4" t="s">
        <v>1658</v>
      </c>
      <c r="AQ2189" t="s">
        <v>1619</v>
      </c>
      <c r="AR2189" t="s">
        <v>1620</v>
      </c>
      <c r="AT2189" s="16" t="str">
        <f>_xlfn.XLOOKUP(B2189,'SWiSH Demand Forecast Sep-26'!D:D,'SWiSH Demand Forecast Sep-26'!G:G,"Not Exist")</f>
        <v>Not Exist</v>
      </c>
    </row>
    <row r="2190" spans="1:46" x14ac:dyDescent="0.3">
      <c r="A2190">
        <v>107200080</v>
      </c>
      <c r="B2190" t="s">
        <v>4075</v>
      </c>
      <c r="C2190" t="s">
        <v>10</v>
      </c>
      <c r="D2190" t="s">
        <v>1613</v>
      </c>
      <c r="E2190" t="s">
        <v>1655</v>
      </c>
      <c r="F2190" t="s">
        <v>1656</v>
      </c>
      <c r="G2190" t="s">
        <v>1624</v>
      </c>
      <c r="H2190" t="s">
        <v>1657</v>
      </c>
      <c r="I2190" t="s">
        <v>1634</v>
      </c>
      <c r="J2190" t="s">
        <v>10</v>
      </c>
      <c r="K2190">
        <v>0</v>
      </c>
      <c r="L2190">
        <v>0</v>
      </c>
      <c r="M2190" s="1">
        <v>15</v>
      </c>
      <c r="N2190">
        <v>0</v>
      </c>
      <c r="O2190">
        <v>0</v>
      </c>
      <c r="P2190">
        <v>0</v>
      </c>
      <c r="Q2190" s="1">
        <v>0</v>
      </c>
      <c r="R2190">
        <v>0</v>
      </c>
      <c r="S2190" s="2">
        <v>0</v>
      </c>
      <c r="T2190" s="2">
        <v>46071</v>
      </c>
      <c r="U2190">
        <v>0</v>
      </c>
      <c r="V2190">
        <v>0</v>
      </c>
      <c r="W2190">
        <v>0</v>
      </c>
      <c r="X2190">
        <v>0</v>
      </c>
      <c r="Y2190">
        <v>0</v>
      </c>
      <c r="Z2190" s="8">
        <v>0</v>
      </c>
      <c r="AA2190">
        <v>0</v>
      </c>
      <c r="AB2190" t="s">
        <v>1635</v>
      </c>
      <c r="AC2190" t="s">
        <v>1635</v>
      </c>
      <c r="AD2190" s="1" t="s">
        <v>1635</v>
      </c>
      <c r="AE2190" s="2" t="s">
        <v>1635</v>
      </c>
      <c r="AF2190" s="2" t="s">
        <v>1635</v>
      </c>
      <c r="AG2190" s="2" t="s">
        <v>1635</v>
      </c>
      <c r="AH2190">
        <v>0</v>
      </c>
      <c r="AI2190" s="3" t="s">
        <v>1635</v>
      </c>
      <c r="AJ2190" s="1" t="s">
        <v>1635</v>
      </c>
      <c r="AK2190" s="2" t="s">
        <v>1635</v>
      </c>
      <c r="AL2190" s="4" t="s">
        <v>1658</v>
      </c>
      <c r="AM2190" s="5" t="s">
        <v>1658</v>
      </c>
      <c r="AN2190" s="4">
        <v>0</v>
      </c>
      <c r="AO2190" t="s">
        <v>1635</v>
      </c>
      <c r="AP2190" s="4" t="s">
        <v>1658</v>
      </c>
      <c r="AQ2190" t="s">
        <v>1619</v>
      </c>
      <c r="AR2190" t="s">
        <v>1620</v>
      </c>
      <c r="AT2190" s="16" t="str">
        <f>_xlfn.XLOOKUP(B2190,'SWiSH Demand Forecast Sep-26'!D:D,'SWiSH Demand Forecast Sep-26'!G:G,"Not Exist")</f>
        <v>Not Exist</v>
      </c>
    </row>
    <row r="2191" spans="1:46" x14ac:dyDescent="0.3">
      <c r="A2191">
        <v>106700054</v>
      </c>
      <c r="B2191" t="s">
        <v>4076</v>
      </c>
      <c r="C2191" t="s">
        <v>10</v>
      </c>
      <c r="D2191" t="s">
        <v>1675</v>
      </c>
      <c r="E2191" t="s">
        <v>1643</v>
      </c>
      <c r="F2191" t="s">
        <v>1650</v>
      </c>
      <c r="G2191" t="s">
        <v>1624</v>
      </c>
      <c r="H2191" t="s">
        <v>1651</v>
      </c>
      <c r="I2191" t="s">
        <v>1634</v>
      </c>
      <c r="J2191" t="s">
        <v>10</v>
      </c>
      <c r="K2191">
        <v>1.7592592600000001</v>
      </c>
      <c r="L2191">
        <v>10.55555556</v>
      </c>
      <c r="M2191" s="1">
        <v>3</v>
      </c>
      <c r="N2191">
        <v>0</v>
      </c>
      <c r="O2191">
        <v>0</v>
      </c>
      <c r="P2191">
        <v>6</v>
      </c>
      <c r="Q2191" s="1">
        <v>6</v>
      </c>
      <c r="R2191">
        <v>1.9</v>
      </c>
      <c r="S2191" s="2">
        <v>46084</v>
      </c>
      <c r="T2191" s="2">
        <v>46080</v>
      </c>
      <c r="U2191">
        <v>0</v>
      </c>
      <c r="V2191">
        <v>0</v>
      </c>
      <c r="W2191">
        <v>0</v>
      </c>
      <c r="X2191">
        <v>0</v>
      </c>
      <c r="Y2191">
        <v>0</v>
      </c>
      <c r="Z2191" s="8">
        <v>0</v>
      </c>
      <c r="AA2191">
        <v>0</v>
      </c>
      <c r="AB2191" t="s">
        <v>1635</v>
      </c>
      <c r="AC2191" t="s">
        <v>1635</v>
      </c>
      <c r="AD2191" s="1" t="s">
        <v>1635</v>
      </c>
      <c r="AE2191" s="2" t="s">
        <v>1635</v>
      </c>
      <c r="AF2191" s="2" t="s">
        <v>1635</v>
      </c>
      <c r="AG2191" s="2" t="s">
        <v>1635</v>
      </c>
      <c r="AH2191">
        <v>0</v>
      </c>
      <c r="AI2191" s="3" t="s">
        <v>1635</v>
      </c>
      <c r="AJ2191" s="1" t="s">
        <v>1635</v>
      </c>
      <c r="AK2191" s="2" t="s">
        <v>1635</v>
      </c>
      <c r="AL2191" s="4" t="s">
        <v>1658</v>
      </c>
      <c r="AM2191" s="5" t="s">
        <v>1658</v>
      </c>
      <c r="AN2191" s="4">
        <v>0</v>
      </c>
      <c r="AO2191" t="s">
        <v>1635</v>
      </c>
      <c r="AP2191" s="4" t="s">
        <v>1658</v>
      </c>
      <c r="AQ2191" t="s">
        <v>1619</v>
      </c>
      <c r="AR2191" t="s">
        <v>1620</v>
      </c>
      <c r="AT2191" s="16" t="str">
        <f>_xlfn.XLOOKUP(B2191,'SWiSH Demand Forecast Sep-26'!D:D,'SWiSH Demand Forecast Sep-26'!G:G,"Not Exist")</f>
        <v>Not Exist</v>
      </c>
    </row>
    <row r="2192" spans="1:46" x14ac:dyDescent="0.3">
      <c r="A2192">
        <v>105100006</v>
      </c>
      <c r="B2192" t="s">
        <v>4077</v>
      </c>
      <c r="C2192" t="s">
        <v>10</v>
      </c>
      <c r="D2192" t="s">
        <v>1699</v>
      </c>
      <c r="E2192" t="s">
        <v>4078</v>
      </c>
      <c r="F2192" t="s">
        <v>1664</v>
      </c>
      <c r="G2192" t="s">
        <v>1624</v>
      </c>
      <c r="H2192" t="s">
        <v>1985</v>
      </c>
      <c r="I2192" t="s">
        <v>1634</v>
      </c>
      <c r="J2192" t="s">
        <v>10</v>
      </c>
      <c r="K2192">
        <v>6.6000000000000003E-2</v>
      </c>
      <c r="L2192">
        <v>1346.4</v>
      </c>
      <c r="M2192" s="1">
        <v>90</v>
      </c>
      <c r="N2192">
        <v>0</v>
      </c>
      <c r="O2192">
        <v>0</v>
      </c>
      <c r="P2192">
        <v>20400</v>
      </c>
      <c r="Q2192" s="1">
        <v>20400</v>
      </c>
      <c r="R2192">
        <v>6.6000000000000003E-2</v>
      </c>
      <c r="S2192" s="2">
        <v>45903</v>
      </c>
      <c r="T2192" s="2">
        <v>46055</v>
      </c>
      <c r="U2192">
        <v>0</v>
      </c>
      <c r="V2192">
        <v>0</v>
      </c>
      <c r="W2192">
        <v>0</v>
      </c>
      <c r="X2192">
        <v>0</v>
      </c>
      <c r="Y2192">
        <v>0</v>
      </c>
      <c r="Z2192" s="8">
        <v>0</v>
      </c>
      <c r="AA2192">
        <v>0</v>
      </c>
      <c r="AB2192" t="s">
        <v>1635</v>
      </c>
      <c r="AC2192" t="s">
        <v>1635</v>
      </c>
      <c r="AD2192" s="1" t="s">
        <v>1635</v>
      </c>
      <c r="AE2192" s="2" t="s">
        <v>1635</v>
      </c>
      <c r="AF2192" s="2" t="s">
        <v>1635</v>
      </c>
      <c r="AG2192" s="2" t="s">
        <v>1635</v>
      </c>
      <c r="AH2192">
        <v>0</v>
      </c>
      <c r="AI2192" s="3" t="s">
        <v>1635</v>
      </c>
      <c r="AJ2192" s="1" t="s">
        <v>1635</v>
      </c>
      <c r="AK2192" s="2" t="s">
        <v>1635</v>
      </c>
      <c r="AL2192" s="4" t="s">
        <v>1658</v>
      </c>
      <c r="AM2192" s="5" t="s">
        <v>1658</v>
      </c>
      <c r="AN2192" s="4">
        <v>0</v>
      </c>
      <c r="AO2192" t="s">
        <v>1635</v>
      </c>
      <c r="AP2192" s="4" t="s">
        <v>1658</v>
      </c>
      <c r="AQ2192" t="s">
        <v>1619</v>
      </c>
      <c r="AR2192" t="s">
        <v>1620</v>
      </c>
      <c r="AT2192" s="16" t="str">
        <f>_xlfn.XLOOKUP(B2192,'SWiSH Demand Forecast Sep-26'!D:D,'SWiSH Demand Forecast Sep-26'!G:G,"Not Exist")</f>
        <v>Not Exist</v>
      </c>
    </row>
    <row r="2193" spans="1:46" x14ac:dyDescent="0.3">
      <c r="A2193">
        <v>101400000</v>
      </c>
      <c r="B2193" t="s">
        <v>4079</v>
      </c>
      <c r="C2193" t="s">
        <v>10</v>
      </c>
      <c r="D2193" t="s">
        <v>1675</v>
      </c>
      <c r="E2193" t="s">
        <v>1638</v>
      </c>
      <c r="F2193" t="s">
        <v>1644</v>
      </c>
      <c r="G2193" t="s">
        <v>1624</v>
      </c>
      <c r="H2193" t="s">
        <v>1693</v>
      </c>
      <c r="I2193" t="s">
        <v>1634</v>
      </c>
      <c r="J2193" t="s">
        <v>10</v>
      </c>
      <c r="K2193">
        <v>3.75</v>
      </c>
      <c r="L2193">
        <v>48.75</v>
      </c>
      <c r="M2193" s="1">
        <v>3</v>
      </c>
      <c r="N2193">
        <v>0</v>
      </c>
      <c r="O2193">
        <v>0</v>
      </c>
      <c r="P2193">
        <v>13</v>
      </c>
      <c r="Q2193" s="1">
        <v>13</v>
      </c>
      <c r="R2193">
        <v>3.75</v>
      </c>
      <c r="S2193" s="2">
        <v>46055</v>
      </c>
      <c r="T2193" s="2">
        <v>46054</v>
      </c>
      <c r="U2193">
        <v>0</v>
      </c>
      <c r="V2193">
        <v>0</v>
      </c>
      <c r="W2193">
        <v>0</v>
      </c>
      <c r="X2193">
        <v>0</v>
      </c>
      <c r="Y2193">
        <v>0</v>
      </c>
      <c r="Z2193" s="8">
        <v>0</v>
      </c>
      <c r="AA2193">
        <v>0</v>
      </c>
      <c r="AB2193" t="s">
        <v>1635</v>
      </c>
      <c r="AC2193" t="s">
        <v>1635</v>
      </c>
      <c r="AD2193" s="1" t="s">
        <v>1635</v>
      </c>
      <c r="AE2193" s="2" t="s">
        <v>1635</v>
      </c>
      <c r="AF2193" s="2" t="s">
        <v>1635</v>
      </c>
      <c r="AG2193" s="2" t="s">
        <v>1635</v>
      </c>
      <c r="AH2193">
        <v>0</v>
      </c>
      <c r="AI2193" s="3" t="s">
        <v>1635</v>
      </c>
      <c r="AJ2193" s="1" t="s">
        <v>1635</v>
      </c>
      <c r="AK2193" s="2" t="s">
        <v>1635</v>
      </c>
      <c r="AL2193" s="4" t="s">
        <v>1658</v>
      </c>
      <c r="AM2193" s="5" t="s">
        <v>1658</v>
      </c>
      <c r="AN2193" s="4">
        <v>0</v>
      </c>
      <c r="AO2193" t="s">
        <v>1635</v>
      </c>
      <c r="AP2193" s="4" t="s">
        <v>1658</v>
      </c>
      <c r="AQ2193" t="s">
        <v>1619</v>
      </c>
      <c r="AR2193" t="s">
        <v>1620</v>
      </c>
      <c r="AT2193" s="16" t="str">
        <f>_xlfn.XLOOKUP(B2193,'SWiSH Demand Forecast Sep-26'!D:D,'SWiSH Demand Forecast Sep-26'!G:G,"Not Exist")</f>
        <v>Not Exist</v>
      </c>
    </row>
    <row r="2194" spans="1:46" x14ac:dyDescent="0.3">
      <c r="A2194">
        <v>106700022</v>
      </c>
      <c r="B2194" t="s">
        <v>4080</v>
      </c>
      <c r="C2194" t="s">
        <v>10</v>
      </c>
      <c r="D2194" t="s">
        <v>1675</v>
      </c>
      <c r="E2194" t="s">
        <v>1685</v>
      </c>
      <c r="F2194" t="s">
        <v>1650</v>
      </c>
      <c r="G2194" t="s">
        <v>1624</v>
      </c>
      <c r="H2194" t="s">
        <v>1651</v>
      </c>
      <c r="I2194" t="s">
        <v>1634</v>
      </c>
      <c r="J2194" t="e">
        <v>#N/A</v>
      </c>
      <c r="K2194">
        <v>3.5000000000000003E-2</v>
      </c>
      <c r="L2194">
        <v>35</v>
      </c>
      <c r="M2194" s="1">
        <v>3</v>
      </c>
      <c r="N2194">
        <v>0</v>
      </c>
      <c r="O2194">
        <v>0</v>
      </c>
      <c r="P2194">
        <v>1000</v>
      </c>
      <c r="Q2194" s="1">
        <v>1000</v>
      </c>
      <c r="R2194">
        <v>3.5</v>
      </c>
      <c r="S2194" s="2">
        <v>46100</v>
      </c>
      <c r="T2194" s="2">
        <v>46055</v>
      </c>
      <c r="U2194">
        <v>0</v>
      </c>
      <c r="V2194">
        <v>0</v>
      </c>
      <c r="W2194">
        <v>0</v>
      </c>
      <c r="X2194">
        <v>0</v>
      </c>
      <c r="Y2194">
        <v>0</v>
      </c>
      <c r="Z2194" s="8">
        <v>0</v>
      </c>
      <c r="AA2194">
        <v>0</v>
      </c>
      <c r="AB2194" t="s">
        <v>1635</v>
      </c>
      <c r="AC2194" t="s">
        <v>1635</v>
      </c>
      <c r="AD2194" s="1" t="s">
        <v>1635</v>
      </c>
      <c r="AE2194" s="2" t="s">
        <v>1635</v>
      </c>
      <c r="AF2194" s="2" t="s">
        <v>1635</v>
      </c>
      <c r="AG2194" s="2" t="s">
        <v>1635</v>
      </c>
      <c r="AH2194">
        <v>0</v>
      </c>
      <c r="AI2194" s="3" t="s">
        <v>1635</v>
      </c>
      <c r="AJ2194" s="1" t="s">
        <v>1635</v>
      </c>
      <c r="AK2194" s="2" t="s">
        <v>1635</v>
      </c>
      <c r="AL2194" s="4" t="s">
        <v>1658</v>
      </c>
      <c r="AM2194" s="5" t="s">
        <v>1658</v>
      </c>
      <c r="AN2194" s="4">
        <v>0</v>
      </c>
      <c r="AO2194" t="s">
        <v>1635</v>
      </c>
      <c r="AP2194" s="4" t="s">
        <v>1658</v>
      </c>
      <c r="AQ2194" t="s">
        <v>1619</v>
      </c>
      <c r="AR2194" t="s">
        <v>1620</v>
      </c>
      <c r="AT2194" s="16" t="str">
        <f>_xlfn.XLOOKUP(B2194,'SWiSH Demand Forecast Sep-26'!D:D,'SWiSH Demand Forecast Sep-26'!G:G,"Not Exist")</f>
        <v>Not Exist</v>
      </c>
    </row>
    <row r="2195" spans="1:46" hidden="1" x14ac:dyDescent="0.3">
      <c r="A2195">
        <v>106800074</v>
      </c>
      <c r="B2195" t="s">
        <v>989</v>
      </c>
      <c r="C2195" t="s">
        <v>10</v>
      </c>
      <c r="D2195" t="s">
        <v>1955</v>
      </c>
      <c r="E2195" t="s">
        <v>1655</v>
      </c>
      <c r="F2195" t="s">
        <v>1664</v>
      </c>
      <c r="G2195" t="s">
        <v>1624</v>
      </c>
      <c r="H2195" t="s">
        <v>1665</v>
      </c>
      <c r="I2195" t="s">
        <v>1634</v>
      </c>
      <c r="J2195" t="s">
        <v>10</v>
      </c>
      <c r="K2195">
        <v>2.2571600000000001E-2</v>
      </c>
      <c r="L2195">
        <v>214.43020000000001</v>
      </c>
      <c r="M2195" s="1">
        <v>7</v>
      </c>
      <c r="N2195">
        <v>0</v>
      </c>
      <c r="O2195">
        <v>0</v>
      </c>
      <c r="P2195">
        <v>9500</v>
      </c>
      <c r="Q2195" s="1">
        <v>9500</v>
      </c>
      <c r="R2195">
        <v>0.02</v>
      </c>
      <c r="S2195" s="2">
        <v>46211</v>
      </c>
      <c r="T2195" s="2">
        <v>46249</v>
      </c>
      <c r="U2195">
        <v>0</v>
      </c>
      <c r="V2195">
        <v>0</v>
      </c>
      <c r="W2195">
        <v>0</v>
      </c>
      <c r="X2195">
        <v>0</v>
      </c>
      <c r="Y2195">
        <v>0</v>
      </c>
      <c r="Z2195" s="8">
        <v>0</v>
      </c>
      <c r="AA2195">
        <v>0</v>
      </c>
      <c r="AB2195" t="s">
        <v>1635</v>
      </c>
      <c r="AC2195" t="s">
        <v>1635</v>
      </c>
      <c r="AD2195" s="1" t="s">
        <v>1635</v>
      </c>
      <c r="AE2195" s="2" t="s">
        <v>1635</v>
      </c>
      <c r="AF2195" s="2" t="s">
        <v>1635</v>
      </c>
      <c r="AG2195" s="2" t="s">
        <v>1635</v>
      </c>
      <c r="AH2195">
        <v>500</v>
      </c>
      <c r="AI2195" s="3" t="s">
        <v>1635</v>
      </c>
      <c r="AJ2195" s="1">
        <v>551</v>
      </c>
      <c r="AK2195" s="2">
        <v>46814</v>
      </c>
      <c r="AL2195" s="4" t="s">
        <v>1658</v>
      </c>
      <c r="AM2195" s="5" t="s">
        <v>1658</v>
      </c>
      <c r="AN2195" s="4">
        <v>551</v>
      </c>
      <c r="AO2195" t="s">
        <v>1635</v>
      </c>
      <c r="AP2195" s="4" t="s">
        <v>1658</v>
      </c>
      <c r="AQ2195" t="s">
        <v>1619</v>
      </c>
      <c r="AR2195" t="s">
        <v>1620</v>
      </c>
      <c r="AT2195" s="16">
        <f>_xlfn.XLOOKUP(B2195,'SWiSH Demand Forecast Sep-26'!D:D,'SWiSH Demand Forecast Sep-26'!G:G,"Not Exist")</f>
        <v>156</v>
      </c>
    </row>
    <row r="2196" spans="1:46" x14ac:dyDescent="0.3">
      <c r="A2196">
        <v>106800228</v>
      </c>
      <c r="B2196" t="s">
        <v>4081</v>
      </c>
      <c r="C2196" t="s">
        <v>10</v>
      </c>
      <c r="D2196" t="s">
        <v>1675</v>
      </c>
      <c r="E2196" t="s">
        <v>1663</v>
      </c>
      <c r="F2196" t="s">
        <v>1664</v>
      </c>
      <c r="G2196" t="s">
        <v>1624</v>
      </c>
      <c r="H2196" t="s">
        <v>1665</v>
      </c>
      <c r="I2196" t="s">
        <v>1634</v>
      </c>
      <c r="J2196" t="s">
        <v>10</v>
      </c>
      <c r="K2196">
        <v>3.0000000000000001E-3</v>
      </c>
      <c r="L2196">
        <v>0</v>
      </c>
      <c r="M2196" s="1">
        <v>15</v>
      </c>
      <c r="N2196">
        <v>0</v>
      </c>
      <c r="O2196">
        <v>0</v>
      </c>
      <c r="P2196">
        <v>0</v>
      </c>
      <c r="Q2196" s="1">
        <v>0</v>
      </c>
      <c r="R2196">
        <v>3.0000000000000001E-3</v>
      </c>
      <c r="S2196" s="2">
        <v>46054</v>
      </c>
      <c r="T2196" s="2">
        <v>46054</v>
      </c>
      <c r="U2196">
        <v>0</v>
      </c>
      <c r="V2196">
        <v>0</v>
      </c>
      <c r="W2196">
        <v>0</v>
      </c>
      <c r="X2196">
        <v>0</v>
      </c>
      <c r="Y2196">
        <v>0</v>
      </c>
      <c r="Z2196" s="8">
        <v>0</v>
      </c>
      <c r="AA2196">
        <v>0</v>
      </c>
      <c r="AB2196" t="s">
        <v>1635</v>
      </c>
      <c r="AC2196" t="s">
        <v>1635</v>
      </c>
      <c r="AD2196" s="1" t="s">
        <v>1635</v>
      </c>
      <c r="AE2196" s="2" t="s">
        <v>1635</v>
      </c>
      <c r="AF2196" s="2" t="s">
        <v>1635</v>
      </c>
      <c r="AG2196" s="2" t="s">
        <v>1635</v>
      </c>
      <c r="AH2196">
        <v>0</v>
      </c>
      <c r="AI2196" s="3" t="s">
        <v>1635</v>
      </c>
      <c r="AJ2196" s="1" t="s">
        <v>1635</v>
      </c>
      <c r="AK2196" s="2" t="s">
        <v>1635</v>
      </c>
      <c r="AL2196" s="4" t="s">
        <v>1658</v>
      </c>
      <c r="AM2196" s="5" t="s">
        <v>1658</v>
      </c>
      <c r="AN2196" s="4">
        <v>0</v>
      </c>
      <c r="AO2196" t="s">
        <v>1635</v>
      </c>
      <c r="AP2196" s="4" t="s">
        <v>1658</v>
      </c>
      <c r="AQ2196" t="s">
        <v>1619</v>
      </c>
      <c r="AR2196" t="s">
        <v>1620</v>
      </c>
      <c r="AT2196" s="16" t="str">
        <f>_xlfn.XLOOKUP(B2196,'SWiSH Demand Forecast Sep-26'!D:D,'SWiSH Demand Forecast Sep-26'!G:G,"Not Exist")</f>
        <v>Not Exist</v>
      </c>
    </row>
    <row r="2197" spans="1:46" x14ac:dyDescent="0.3">
      <c r="A2197">
        <v>107400082</v>
      </c>
      <c r="B2197" t="s">
        <v>4082</v>
      </c>
      <c r="C2197" t="s">
        <v>10</v>
      </c>
      <c r="D2197" t="s">
        <v>1675</v>
      </c>
      <c r="E2197" t="s">
        <v>1663</v>
      </c>
      <c r="F2197" t="s">
        <v>1664</v>
      </c>
      <c r="G2197" t="s">
        <v>1624</v>
      </c>
      <c r="H2197" t="s">
        <v>2016</v>
      </c>
      <c r="I2197" t="s">
        <v>1634</v>
      </c>
      <c r="J2197" t="s">
        <v>10</v>
      </c>
      <c r="K2197">
        <v>5.0000000000000001E-3</v>
      </c>
      <c r="L2197">
        <v>0</v>
      </c>
      <c r="M2197" s="1">
        <v>15</v>
      </c>
      <c r="N2197">
        <v>0</v>
      </c>
      <c r="O2197">
        <v>0</v>
      </c>
      <c r="P2197">
        <v>0</v>
      </c>
      <c r="Q2197" s="1">
        <v>0</v>
      </c>
      <c r="R2197">
        <v>5.0000000000000001E-3</v>
      </c>
      <c r="S2197" s="2">
        <v>46056</v>
      </c>
      <c r="T2197" s="2">
        <v>46055</v>
      </c>
      <c r="U2197">
        <v>0</v>
      </c>
      <c r="V2197">
        <v>0</v>
      </c>
      <c r="W2197">
        <v>0</v>
      </c>
      <c r="X2197">
        <v>0</v>
      </c>
      <c r="Y2197">
        <v>0</v>
      </c>
      <c r="Z2197" s="8">
        <v>0</v>
      </c>
      <c r="AA2197">
        <v>0</v>
      </c>
      <c r="AB2197" t="s">
        <v>1635</v>
      </c>
      <c r="AC2197" t="s">
        <v>1635</v>
      </c>
      <c r="AD2197" s="1" t="s">
        <v>1635</v>
      </c>
      <c r="AE2197" s="2" t="s">
        <v>1635</v>
      </c>
      <c r="AF2197" s="2" t="s">
        <v>1635</v>
      </c>
      <c r="AG2197" s="2" t="s">
        <v>1635</v>
      </c>
      <c r="AH2197">
        <v>0</v>
      </c>
      <c r="AI2197" s="3" t="s">
        <v>1635</v>
      </c>
      <c r="AJ2197" s="1" t="s">
        <v>1635</v>
      </c>
      <c r="AK2197" s="2" t="s">
        <v>1635</v>
      </c>
      <c r="AL2197" s="4" t="s">
        <v>1658</v>
      </c>
      <c r="AM2197" s="5" t="s">
        <v>1658</v>
      </c>
      <c r="AN2197" s="4">
        <v>0</v>
      </c>
      <c r="AO2197" t="s">
        <v>1635</v>
      </c>
      <c r="AP2197" s="4" t="s">
        <v>1658</v>
      </c>
      <c r="AQ2197" t="s">
        <v>1619</v>
      </c>
      <c r="AR2197" t="s">
        <v>1620</v>
      </c>
      <c r="AT2197" s="16" t="str">
        <f>_xlfn.XLOOKUP(B2197,'SWiSH Demand Forecast Sep-26'!D:D,'SWiSH Demand Forecast Sep-26'!G:G,"Not Exist")</f>
        <v>Not Exist</v>
      </c>
    </row>
    <row r="2198" spans="1:46" x14ac:dyDescent="0.3">
      <c r="A2198">
        <v>101100044</v>
      </c>
      <c r="B2198" t="s">
        <v>4083</v>
      </c>
      <c r="C2198" t="s">
        <v>10</v>
      </c>
      <c r="D2198" t="s">
        <v>1675</v>
      </c>
      <c r="E2198" t="s">
        <v>1643</v>
      </c>
      <c r="F2198" t="s">
        <v>1650</v>
      </c>
      <c r="G2198" t="s">
        <v>1624</v>
      </c>
      <c r="H2198" t="s">
        <v>1953</v>
      </c>
      <c r="I2198" t="s">
        <v>1634</v>
      </c>
      <c r="J2198" t="s">
        <v>10</v>
      </c>
      <c r="K2198">
        <v>9.75</v>
      </c>
      <c r="L2198">
        <v>19.5</v>
      </c>
      <c r="M2198" s="1">
        <v>3</v>
      </c>
      <c r="N2198">
        <v>0</v>
      </c>
      <c r="O2198">
        <v>0</v>
      </c>
      <c r="P2198">
        <v>2</v>
      </c>
      <c r="Q2198" s="1">
        <v>2</v>
      </c>
      <c r="R2198">
        <v>9.75</v>
      </c>
      <c r="S2198" s="2">
        <v>46100</v>
      </c>
      <c r="T2198" s="2">
        <v>46020</v>
      </c>
      <c r="U2198">
        <v>0</v>
      </c>
      <c r="V2198">
        <v>0</v>
      </c>
      <c r="W2198">
        <v>0</v>
      </c>
      <c r="X2198">
        <v>0</v>
      </c>
      <c r="Y2198">
        <v>0</v>
      </c>
      <c r="Z2198" s="8">
        <v>0</v>
      </c>
      <c r="AA2198">
        <v>0</v>
      </c>
      <c r="AB2198" t="s">
        <v>1635</v>
      </c>
      <c r="AC2198" t="s">
        <v>1635</v>
      </c>
      <c r="AD2198" s="1" t="s">
        <v>1635</v>
      </c>
      <c r="AE2198" s="2" t="s">
        <v>1635</v>
      </c>
      <c r="AF2198" s="2" t="s">
        <v>1635</v>
      </c>
      <c r="AG2198" s="2" t="s">
        <v>1635</v>
      </c>
      <c r="AH2198">
        <v>0</v>
      </c>
      <c r="AI2198" s="3" t="s">
        <v>1635</v>
      </c>
      <c r="AJ2198" s="1" t="s">
        <v>1635</v>
      </c>
      <c r="AK2198" s="2" t="s">
        <v>1635</v>
      </c>
      <c r="AL2198" s="4" t="s">
        <v>1658</v>
      </c>
      <c r="AM2198" s="5" t="s">
        <v>1658</v>
      </c>
      <c r="AN2198" s="4">
        <v>0</v>
      </c>
      <c r="AO2198" t="s">
        <v>1635</v>
      </c>
      <c r="AP2198" s="4" t="s">
        <v>1658</v>
      </c>
      <c r="AQ2198" t="s">
        <v>1619</v>
      </c>
      <c r="AR2198" t="s">
        <v>1620</v>
      </c>
      <c r="AT2198" s="16" t="str">
        <f>_xlfn.XLOOKUP(B2198,'SWiSH Demand Forecast Sep-26'!D:D,'SWiSH Demand Forecast Sep-26'!G:G,"Not Exist")</f>
        <v>Not Exist</v>
      </c>
    </row>
    <row r="2199" spans="1:46" x14ac:dyDescent="0.3">
      <c r="A2199">
        <v>101100045</v>
      </c>
      <c r="B2199" t="s">
        <v>4084</v>
      </c>
      <c r="C2199" t="s">
        <v>10</v>
      </c>
      <c r="D2199" t="s">
        <v>1675</v>
      </c>
      <c r="E2199" t="s">
        <v>1643</v>
      </c>
      <c r="F2199" t="s">
        <v>1650</v>
      </c>
      <c r="G2199" t="s">
        <v>1624</v>
      </c>
      <c r="H2199" t="s">
        <v>1953</v>
      </c>
      <c r="I2199" t="s">
        <v>1634</v>
      </c>
      <c r="J2199" t="s">
        <v>10</v>
      </c>
      <c r="K2199">
        <v>7</v>
      </c>
      <c r="L2199">
        <v>14</v>
      </c>
      <c r="M2199" s="1">
        <v>3</v>
      </c>
      <c r="N2199">
        <v>0</v>
      </c>
      <c r="O2199">
        <v>0</v>
      </c>
      <c r="P2199">
        <v>2</v>
      </c>
      <c r="Q2199" s="1">
        <v>2</v>
      </c>
      <c r="R2199">
        <v>7</v>
      </c>
      <c r="S2199" s="2">
        <v>46100</v>
      </c>
      <c r="T2199" s="2">
        <v>46054</v>
      </c>
      <c r="U2199">
        <v>0</v>
      </c>
      <c r="V2199">
        <v>0</v>
      </c>
      <c r="W2199">
        <v>0</v>
      </c>
      <c r="X2199">
        <v>0</v>
      </c>
      <c r="Y2199">
        <v>0</v>
      </c>
      <c r="Z2199" s="8">
        <v>0</v>
      </c>
      <c r="AA2199">
        <v>0</v>
      </c>
      <c r="AB2199" t="s">
        <v>1635</v>
      </c>
      <c r="AC2199" t="s">
        <v>1635</v>
      </c>
      <c r="AD2199" s="1" t="s">
        <v>1635</v>
      </c>
      <c r="AE2199" s="2" t="s">
        <v>1635</v>
      </c>
      <c r="AF2199" s="2" t="s">
        <v>1635</v>
      </c>
      <c r="AG2199" s="2" t="s">
        <v>1635</v>
      </c>
      <c r="AH2199">
        <v>0</v>
      </c>
      <c r="AI2199" s="3" t="s">
        <v>1635</v>
      </c>
      <c r="AJ2199" s="1" t="s">
        <v>1635</v>
      </c>
      <c r="AK2199" s="2" t="s">
        <v>1635</v>
      </c>
      <c r="AL2199" s="4" t="s">
        <v>1658</v>
      </c>
      <c r="AM2199" s="5" t="s">
        <v>1658</v>
      </c>
      <c r="AN2199" s="4">
        <v>0</v>
      </c>
      <c r="AO2199" t="s">
        <v>1635</v>
      </c>
      <c r="AP2199" s="4" t="s">
        <v>1658</v>
      </c>
      <c r="AQ2199" t="s">
        <v>1619</v>
      </c>
      <c r="AR2199" t="s">
        <v>1620</v>
      </c>
      <c r="AT2199" s="16" t="str">
        <f>_xlfn.XLOOKUP(B2199,'SWiSH Demand Forecast Sep-26'!D:D,'SWiSH Demand Forecast Sep-26'!G:G,"Not Exist")</f>
        <v>Not Exist</v>
      </c>
    </row>
    <row r="2200" spans="1:46" x14ac:dyDescent="0.3">
      <c r="A2200">
        <v>107400065</v>
      </c>
      <c r="B2200" t="s">
        <v>4085</v>
      </c>
      <c r="C2200" t="s">
        <v>10</v>
      </c>
      <c r="D2200" t="s">
        <v>1675</v>
      </c>
      <c r="E2200" t="s">
        <v>1638</v>
      </c>
      <c r="F2200" t="s">
        <v>1664</v>
      </c>
      <c r="G2200" t="s">
        <v>1704</v>
      </c>
      <c r="H2200" t="s">
        <v>2016</v>
      </c>
      <c r="I2200" t="s">
        <v>1634</v>
      </c>
      <c r="J2200" t="s">
        <v>10</v>
      </c>
      <c r="K2200">
        <v>0.01</v>
      </c>
      <c r="L2200">
        <v>0</v>
      </c>
      <c r="M2200" s="1">
        <v>15</v>
      </c>
      <c r="N2200">
        <v>0</v>
      </c>
      <c r="O2200">
        <v>0</v>
      </c>
      <c r="P2200">
        <v>0</v>
      </c>
      <c r="Q2200" s="1">
        <v>0</v>
      </c>
      <c r="R2200">
        <v>0.01</v>
      </c>
      <c r="S2200" s="2">
        <v>45719</v>
      </c>
      <c r="T2200" s="2">
        <v>45777</v>
      </c>
      <c r="U2200">
        <v>0</v>
      </c>
      <c r="V2200">
        <v>0</v>
      </c>
      <c r="W2200">
        <v>0</v>
      </c>
      <c r="X2200">
        <v>0</v>
      </c>
      <c r="Y2200">
        <v>0</v>
      </c>
      <c r="Z2200" s="8">
        <v>0</v>
      </c>
      <c r="AA2200">
        <v>0</v>
      </c>
      <c r="AB2200" t="s">
        <v>1635</v>
      </c>
      <c r="AC2200" t="s">
        <v>1635</v>
      </c>
      <c r="AD2200" s="1" t="s">
        <v>1635</v>
      </c>
      <c r="AE2200" s="2" t="s">
        <v>1635</v>
      </c>
      <c r="AF2200" s="2" t="s">
        <v>1635</v>
      </c>
      <c r="AG2200" s="2" t="s">
        <v>1635</v>
      </c>
      <c r="AH2200">
        <v>0</v>
      </c>
      <c r="AI2200" s="3" t="s">
        <v>1635</v>
      </c>
      <c r="AJ2200" s="1" t="s">
        <v>1635</v>
      </c>
      <c r="AK2200" s="2" t="s">
        <v>1635</v>
      </c>
      <c r="AL2200" s="4" t="s">
        <v>1658</v>
      </c>
      <c r="AM2200" s="5" t="s">
        <v>1658</v>
      </c>
      <c r="AN2200" s="4">
        <v>0</v>
      </c>
      <c r="AO2200" t="s">
        <v>1635</v>
      </c>
      <c r="AP2200" s="4" t="s">
        <v>1658</v>
      </c>
      <c r="AQ2200" t="s">
        <v>1619</v>
      </c>
      <c r="AR2200" t="s">
        <v>1620</v>
      </c>
      <c r="AT2200" s="16" t="str">
        <f>_xlfn.XLOOKUP(B2200,'SWiSH Demand Forecast Sep-26'!D:D,'SWiSH Demand Forecast Sep-26'!G:G,"Not Exist")</f>
        <v>Not Exist</v>
      </c>
    </row>
    <row r="2201" spans="1:46" x14ac:dyDescent="0.3">
      <c r="A2201">
        <v>107400067</v>
      </c>
      <c r="B2201" t="s">
        <v>4086</v>
      </c>
      <c r="C2201" t="s">
        <v>10</v>
      </c>
      <c r="D2201" t="s">
        <v>1675</v>
      </c>
      <c r="E2201" t="s">
        <v>1638</v>
      </c>
      <c r="F2201" t="s">
        <v>1664</v>
      </c>
      <c r="G2201" t="s">
        <v>1704</v>
      </c>
      <c r="H2201" t="s">
        <v>2016</v>
      </c>
      <c r="I2201" t="s">
        <v>1634</v>
      </c>
      <c r="J2201" t="s">
        <v>10</v>
      </c>
      <c r="K2201">
        <v>6.0000000000000001E-3</v>
      </c>
      <c r="L2201">
        <v>0</v>
      </c>
      <c r="M2201" s="1">
        <v>15</v>
      </c>
      <c r="N2201">
        <v>0</v>
      </c>
      <c r="O2201">
        <v>0</v>
      </c>
      <c r="P2201">
        <v>0</v>
      </c>
      <c r="Q2201" s="1">
        <v>0</v>
      </c>
      <c r="R2201">
        <v>6.0000000000000001E-3</v>
      </c>
      <c r="S2201" s="2">
        <v>45724</v>
      </c>
      <c r="T2201" s="2">
        <v>45777</v>
      </c>
      <c r="U2201">
        <v>0</v>
      </c>
      <c r="V2201">
        <v>0</v>
      </c>
      <c r="W2201">
        <v>0</v>
      </c>
      <c r="X2201">
        <v>0</v>
      </c>
      <c r="Y2201">
        <v>0</v>
      </c>
      <c r="Z2201" s="8">
        <v>0</v>
      </c>
      <c r="AA2201">
        <v>0</v>
      </c>
      <c r="AB2201" t="s">
        <v>1635</v>
      </c>
      <c r="AC2201" t="s">
        <v>1635</v>
      </c>
      <c r="AD2201" s="1" t="s">
        <v>1635</v>
      </c>
      <c r="AE2201" s="2" t="s">
        <v>1635</v>
      </c>
      <c r="AF2201" s="2" t="s">
        <v>1635</v>
      </c>
      <c r="AG2201" s="2" t="s">
        <v>1635</v>
      </c>
      <c r="AH2201">
        <v>0</v>
      </c>
      <c r="AI2201" s="3" t="s">
        <v>1635</v>
      </c>
      <c r="AJ2201" s="1" t="s">
        <v>1635</v>
      </c>
      <c r="AK2201" s="2" t="s">
        <v>1635</v>
      </c>
      <c r="AL2201" s="4" t="s">
        <v>1658</v>
      </c>
      <c r="AM2201" s="5" t="s">
        <v>1658</v>
      </c>
      <c r="AN2201" s="4">
        <v>0</v>
      </c>
      <c r="AO2201" t="s">
        <v>1635</v>
      </c>
      <c r="AP2201" s="4" t="s">
        <v>1658</v>
      </c>
      <c r="AQ2201" t="s">
        <v>1619</v>
      </c>
      <c r="AR2201" t="s">
        <v>1620</v>
      </c>
      <c r="AT2201" s="16" t="str">
        <f>_xlfn.XLOOKUP(B2201,'SWiSH Demand Forecast Sep-26'!D:D,'SWiSH Demand Forecast Sep-26'!G:G,"Not Exist")</f>
        <v>Not Exist</v>
      </c>
    </row>
    <row r="2202" spans="1:46" x14ac:dyDescent="0.3">
      <c r="A2202">
        <v>107400036</v>
      </c>
      <c r="B2202" t="s">
        <v>4087</v>
      </c>
      <c r="C2202" t="s">
        <v>10</v>
      </c>
      <c r="D2202" t="s">
        <v>1675</v>
      </c>
      <c r="E2202" t="s">
        <v>1655</v>
      </c>
      <c r="F2202" t="s">
        <v>1664</v>
      </c>
      <c r="G2202" t="s">
        <v>1704</v>
      </c>
      <c r="H2202" t="s">
        <v>2016</v>
      </c>
      <c r="I2202" t="s">
        <v>1634</v>
      </c>
      <c r="J2202" t="s">
        <v>10</v>
      </c>
      <c r="K2202">
        <v>8.0000000000000002E-3</v>
      </c>
      <c r="L2202">
        <v>0</v>
      </c>
      <c r="M2202" s="1">
        <v>30</v>
      </c>
      <c r="N2202">
        <v>0</v>
      </c>
      <c r="O2202">
        <v>0</v>
      </c>
      <c r="P2202">
        <v>0</v>
      </c>
      <c r="Q2202" s="1">
        <v>0</v>
      </c>
      <c r="R2202">
        <v>0</v>
      </c>
      <c r="S2202" s="2">
        <v>45879</v>
      </c>
      <c r="T2202" s="2">
        <v>45995</v>
      </c>
      <c r="U2202">
        <v>0</v>
      </c>
      <c r="V2202">
        <v>0</v>
      </c>
      <c r="W2202">
        <v>0</v>
      </c>
      <c r="X2202">
        <v>0</v>
      </c>
      <c r="Y2202">
        <v>0</v>
      </c>
      <c r="Z2202" s="8">
        <v>0</v>
      </c>
      <c r="AA2202">
        <v>0</v>
      </c>
      <c r="AB2202" t="s">
        <v>1635</v>
      </c>
      <c r="AC2202" t="s">
        <v>1635</v>
      </c>
      <c r="AD2202" s="1" t="s">
        <v>1635</v>
      </c>
      <c r="AE2202" s="2" t="s">
        <v>1635</v>
      </c>
      <c r="AF2202" s="2" t="s">
        <v>1635</v>
      </c>
      <c r="AG2202" s="2" t="s">
        <v>1635</v>
      </c>
      <c r="AH2202">
        <v>0</v>
      </c>
      <c r="AI2202" s="3" t="s">
        <v>1635</v>
      </c>
      <c r="AJ2202" s="1" t="s">
        <v>1635</v>
      </c>
      <c r="AK2202" s="2" t="s">
        <v>1635</v>
      </c>
      <c r="AL2202" s="4" t="s">
        <v>1658</v>
      </c>
      <c r="AM2202" s="5" t="s">
        <v>1658</v>
      </c>
      <c r="AN2202" s="4">
        <v>0</v>
      </c>
      <c r="AO2202" t="s">
        <v>1635</v>
      </c>
      <c r="AP2202" s="4" t="s">
        <v>1658</v>
      </c>
      <c r="AQ2202" t="s">
        <v>1619</v>
      </c>
      <c r="AR2202" t="s">
        <v>1620</v>
      </c>
      <c r="AT2202" s="16" t="str">
        <f>_xlfn.XLOOKUP(B2202,'SWiSH Demand Forecast Sep-26'!D:D,'SWiSH Demand Forecast Sep-26'!G:G,"Not Exist")</f>
        <v>Not Exist</v>
      </c>
    </row>
    <row r="2203" spans="1:46" x14ac:dyDescent="0.3">
      <c r="A2203">
        <v>107400056</v>
      </c>
      <c r="B2203" t="s">
        <v>4088</v>
      </c>
      <c r="C2203" t="s">
        <v>10</v>
      </c>
      <c r="D2203" t="s">
        <v>1675</v>
      </c>
      <c r="E2203" t="s">
        <v>1796</v>
      </c>
      <c r="F2203" t="s">
        <v>1664</v>
      </c>
      <c r="G2203" t="s">
        <v>1704</v>
      </c>
      <c r="H2203" t="s">
        <v>2016</v>
      </c>
      <c r="I2203" t="s">
        <v>1634</v>
      </c>
      <c r="J2203" t="s">
        <v>10</v>
      </c>
      <c r="K2203">
        <v>6.0000000000000001E-3</v>
      </c>
      <c r="L2203">
        <v>306</v>
      </c>
      <c r="M2203" s="1">
        <v>15</v>
      </c>
      <c r="N2203">
        <v>0</v>
      </c>
      <c r="O2203">
        <v>0</v>
      </c>
      <c r="P2203">
        <v>51000</v>
      </c>
      <c r="Q2203" s="1">
        <v>51000</v>
      </c>
      <c r="R2203">
        <v>6.0000000000000001E-3</v>
      </c>
      <c r="S2203" s="2">
        <v>45966</v>
      </c>
      <c r="T2203" s="2">
        <v>46107</v>
      </c>
      <c r="U2203">
        <v>0</v>
      </c>
      <c r="V2203">
        <v>0</v>
      </c>
      <c r="W2203">
        <v>0</v>
      </c>
      <c r="X2203">
        <v>0</v>
      </c>
      <c r="Y2203">
        <v>0</v>
      </c>
      <c r="Z2203" s="8">
        <v>0</v>
      </c>
      <c r="AA2203">
        <v>0</v>
      </c>
      <c r="AB2203" t="s">
        <v>1635</v>
      </c>
      <c r="AC2203" t="s">
        <v>1635</v>
      </c>
      <c r="AD2203" s="1" t="s">
        <v>1635</v>
      </c>
      <c r="AE2203" s="2" t="s">
        <v>1635</v>
      </c>
      <c r="AF2203" s="2" t="s">
        <v>1635</v>
      </c>
      <c r="AG2203" s="2" t="s">
        <v>1635</v>
      </c>
      <c r="AH2203">
        <v>0</v>
      </c>
      <c r="AI2203" s="3" t="s">
        <v>1635</v>
      </c>
      <c r="AJ2203" s="1" t="s">
        <v>1635</v>
      </c>
      <c r="AK2203" s="2" t="s">
        <v>1635</v>
      </c>
      <c r="AL2203" s="4" t="s">
        <v>1658</v>
      </c>
      <c r="AM2203" s="5" t="s">
        <v>1658</v>
      </c>
      <c r="AN2203" s="4">
        <v>0</v>
      </c>
      <c r="AO2203" t="s">
        <v>1635</v>
      </c>
      <c r="AP2203" s="4" t="s">
        <v>1658</v>
      </c>
      <c r="AQ2203" t="s">
        <v>1619</v>
      </c>
      <c r="AR2203" t="s">
        <v>1620</v>
      </c>
      <c r="AS2203" t="s">
        <v>1666</v>
      </c>
      <c r="AT2203" s="16" t="str">
        <f>_xlfn.XLOOKUP(B2203,'SWiSH Demand Forecast Sep-26'!D:D,'SWiSH Demand Forecast Sep-26'!G:G,"Not Exist")</f>
        <v>Not Exist</v>
      </c>
    </row>
    <row r="2204" spans="1:46" x14ac:dyDescent="0.3">
      <c r="A2204">
        <v>101100047</v>
      </c>
      <c r="B2204" t="s">
        <v>4089</v>
      </c>
      <c r="C2204" t="s">
        <v>10</v>
      </c>
      <c r="D2204" t="s">
        <v>1675</v>
      </c>
      <c r="E2204" t="s">
        <v>1643</v>
      </c>
      <c r="F2204" t="s">
        <v>1650</v>
      </c>
      <c r="G2204" t="s">
        <v>1624</v>
      </c>
      <c r="H2204" t="s">
        <v>1953</v>
      </c>
      <c r="I2204" t="s">
        <v>1634</v>
      </c>
      <c r="J2204" t="s">
        <v>10</v>
      </c>
      <c r="K2204">
        <v>7</v>
      </c>
      <c r="L2204">
        <v>14</v>
      </c>
      <c r="M2204" s="1">
        <v>3</v>
      </c>
      <c r="N2204">
        <v>0</v>
      </c>
      <c r="O2204">
        <v>0</v>
      </c>
      <c r="P2204">
        <v>2</v>
      </c>
      <c r="Q2204" s="1">
        <v>2</v>
      </c>
      <c r="R2204">
        <v>7</v>
      </c>
      <c r="S2204" s="2">
        <v>46100</v>
      </c>
      <c r="T2204" s="2">
        <v>46020</v>
      </c>
      <c r="U2204">
        <v>0</v>
      </c>
      <c r="V2204">
        <v>0</v>
      </c>
      <c r="W2204">
        <v>0</v>
      </c>
      <c r="X2204">
        <v>0</v>
      </c>
      <c r="Y2204">
        <v>0</v>
      </c>
      <c r="Z2204" s="8">
        <v>0</v>
      </c>
      <c r="AA2204">
        <v>0</v>
      </c>
      <c r="AB2204" t="s">
        <v>1635</v>
      </c>
      <c r="AC2204" t="s">
        <v>1635</v>
      </c>
      <c r="AD2204" s="1" t="s">
        <v>1635</v>
      </c>
      <c r="AE2204" s="2" t="s">
        <v>1635</v>
      </c>
      <c r="AF2204" s="2" t="s">
        <v>1635</v>
      </c>
      <c r="AG2204" s="2" t="s">
        <v>1635</v>
      </c>
      <c r="AH2204">
        <v>0</v>
      </c>
      <c r="AI2204" s="3" t="s">
        <v>1635</v>
      </c>
      <c r="AJ2204" s="1" t="s">
        <v>1635</v>
      </c>
      <c r="AK2204" s="2" t="s">
        <v>1635</v>
      </c>
      <c r="AL2204" s="4" t="s">
        <v>1658</v>
      </c>
      <c r="AM2204" s="5" t="s">
        <v>1658</v>
      </c>
      <c r="AN2204" s="4">
        <v>0</v>
      </c>
      <c r="AO2204" t="s">
        <v>1635</v>
      </c>
      <c r="AP2204" s="4" t="s">
        <v>1658</v>
      </c>
      <c r="AQ2204" t="s">
        <v>1619</v>
      </c>
      <c r="AR2204" t="s">
        <v>1620</v>
      </c>
      <c r="AT2204" s="16" t="str">
        <f>_xlfn.XLOOKUP(B2204,'SWiSH Demand Forecast Sep-26'!D:D,'SWiSH Demand Forecast Sep-26'!G:G,"Not Exist")</f>
        <v>Not Exist</v>
      </c>
    </row>
    <row r="2205" spans="1:46" x14ac:dyDescent="0.3">
      <c r="A2205">
        <v>101100046</v>
      </c>
      <c r="B2205" t="s">
        <v>4090</v>
      </c>
      <c r="C2205" t="s">
        <v>10</v>
      </c>
      <c r="D2205" t="s">
        <v>1675</v>
      </c>
      <c r="E2205" t="s">
        <v>1643</v>
      </c>
      <c r="F2205" t="s">
        <v>1650</v>
      </c>
      <c r="G2205" t="s">
        <v>1632</v>
      </c>
      <c r="H2205" t="s">
        <v>1953</v>
      </c>
      <c r="I2205" t="s">
        <v>1634</v>
      </c>
      <c r="J2205" t="s">
        <v>10</v>
      </c>
      <c r="K2205">
        <v>7</v>
      </c>
      <c r="L2205">
        <v>0</v>
      </c>
      <c r="M2205" s="1">
        <v>3</v>
      </c>
      <c r="N2205">
        <v>0</v>
      </c>
      <c r="O2205">
        <v>0</v>
      </c>
      <c r="P2205">
        <v>0</v>
      </c>
      <c r="Q2205" s="1">
        <v>0</v>
      </c>
      <c r="R2205">
        <v>7</v>
      </c>
      <c r="S2205" s="2">
        <v>46100</v>
      </c>
      <c r="T2205" s="2">
        <v>46020</v>
      </c>
      <c r="U2205">
        <v>0</v>
      </c>
      <c r="V2205">
        <v>0</v>
      </c>
      <c r="W2205">
        <v>0</v>
      </c>
      <c r="X2205">
        <v>0</v>
      </c>
      <c r="Y2205">
        <v>0</v>
      </c>
      <c r="Z2205" s="8">
        <v>0</v>
      </c>
      <c r="AA2205">
        <v>0</v>
      </c>
      <c r="AB2205" t="s">
        <v>1635</v>
      </c>
      <c r="AC2205" t="s">
        <v>1635</v>
      </c>
      <c r="AD2205" s="1" t="s">
        <v>1635</v>
      </c>
      <c r="AE2205" s="2" t="s">
        <v>1635</v>
      </c>
      <c r="AF2205" s="2" t="s">
        <v>1635</v>
      </c>
      <c r="AG2205" s="2" t="s">
        <v>1635</v>
      </c>
      <c r="AH2205">
        <v>0</v>
      </c>
      <c r="AI2205" s="3" t="s">
        <v>1635</v>
      </c>
      <c r="AJ2205" s="1" t="s">
        <v>1635</v>
      </c>
      <c r="AK2205" s="2" t="s">
        <v>1635</v>
      </c>
      <c r="AL2205" s="4" t="s">
        <v>1658</v>
      </c>
      <c r="AM2205" s="5" t="s">
        <v>1658</v>
      </c>
      <c r="AN2205" s="4">
        <v>0</v>
      </c>
      <c r="AO2205" t="s">
        <v>1635</v>
      </c>
      <c r="AP2205" s="4" t="s">
        <v>1658</v>
      </c>
      <c r="AQ2205" t="s">
        <v>1619</v>
      </c>
      <c r="AR2205" t="s">
        <v>1620</v>
      </c>
      <c r="AT2205" s="16" t="str">
        <f>_xlfn.XLOOKUP(B2205,'SWiSH Demand Forecast Sep-26'!D:D,'SWiSH Demand Forecast Sep-26'!G:G,"Not Exist")</f>
        <v>Not Exist</v>
      </c>
    </row>
    <row r="2206" spans="1:46" x14ac:dyDescent="0.3">
      <c r="A2206">
        <v>100400207</v>
      </c>
      <c r="B2206" t="s">
        <v>4091</v>
      </c>
      <c r="C2206" t="s">
        <v>10</v>
      </c>
      <c r="D2206" t="s">
        <v>1675</v>
      </c>
      <c r="E2206" t="s">
        <v>1796</v>
      </c>
      <c r="F2206" t="s">
        <v>1664</v>
      </c>
      <c r="G2206" t="s">
        <v>1624</v>
      </c>
      <c r="H2206" t="s">
        <v>1810</v>
      </c>
      <c r="I2206" t="s">
        <v>1634</v>
      </c>
      <c r="J2206" t="s">
        <v>10</v>
      </c>
      <c r="K2206">
        <v>3.417647E-2</v>
      </c>
      <c r="L2206">
        <v>0</v>
      </c>
      <c r="M2206" s="1">
        <v>30</v>
      </c>
      <c r="N2206">
        <v>0</v>
      </c>
      <c r="O2206">
        <v>0</v>
      </c>
      <c r="P2206">
        <v>0</v>
      </c>
      <c r="Q2206" s="1">
        <v>0</v>
      </c>
      <c r="R2206">
        <v>3.5000000000000003E-2</v>
      </c>
      <c r="S2206" s="2">
        <v>45852</v>
      </c>
      <c r="T2206" s="2">
        <v>46064</v>
      </c>
      <c r="U2206">
        <v>0</v>
      </c>
      <c r="V2206">
        <v>0</v>
      </c>
      <c r="W2206">
        <v>0</v>
      </c>
      <c r="X2206">
        <v>0</v>
      </c>
      <c r="Y2206">
        <v>0</v>
      </c>
      <c r="Z2206" s="8">
        <v>0</v>
      </c>
      <c r="AA2206">
        <v>0</v>
      </c>
      <c r="AB2206" t="s">
        <v>1635</v>
      </c>
      <c r="AC2206" t="s">
        <v>1635</v>
      </c>
      <c r="AD2206" s="1" t="s">
        <v>1635</v>
      </c>
      <c r="AE2206" s="2" t="s">
        <v>1635</v>
      </c>
      <c r="AF2206" s="2" t="s">
        <v>1635</v>
      </c>
      <c r="AG2206" s="2" t="s">
        <v>1635</v>
      </c>
      <c r="AH2206">
        <v>0</v>
      </c>
      <c r="AI2206" s="3" t="s">
        <v>1635</v>
      </c>
      <c r="AJ2206" s="1" t="s">
        <v>1635</v>
      </c>
      <c r="AK2206" s="2" t="s">
        <v>1635</v>
      </c>
      <c r="AL2206" s="4" t="s">
        <v>1658</v>
      </c>
      <c r="AM2206" s="5" t="s">
        <v>1658</v>
      </c>
      <c r="AN2206" s="4">
        <v>0</v>
      </c>
      <c r="AO2206" t="s">
        <v>1635</v>
      </c>
      <c r="AP2206" s="4" t="s">
        <v>1658</v>
      </c>
      <c r="AQ2206" t="s">
        <v>1619</v>
      </c>
      <c r="AR2206" t="s">
        <v>1620</v>
      </c>
      <c r="AT2206" s="16" t="str">
        <f>_xlfn.XLOOKUP(B2206,'SWiSH Demand Forecast Sep-26'!D:D,'SWiSH Demand Forecast Sep-26'!G:G,"Not Exist")</f>
        <v>Not Exist</v>
      </c>
    </row>
    <row r="2207" spans="1:46" x14ac:dyDescent="0.3">
      <c r="A2207">
        <v>106700056</v>
      </c>
      <c r="B2207" t="s">
        <v>4092</v>
      </c>
      <c r="C2207" t="s">
        <v>10</v>
      </c>
      <c r="D2207" t="s">
        <v>1675</v>
      </c>
      <c r="E2207" t="s">
        <v>3232</v>
      </c>
      <c r="F2207" t="s">
        <v>1650</v>
      </c>
      <c r="G2207" t="s">
        <v>1624</v>
      </c>
      <c r="H2207" t="s">
        <v>1651</v>
      </c>
      <c r="I2207" t="s">
        <v>1634</v>
      </c>
      <c r="J2207" t="s">
        <v>10</v>
      </c>
      <c r="K2207">
        <v>8.5</v>
      </c>
      <c r="L2207">
        <v>25.5</v>
      </c>
      <c r="M2207" s="1">
        <v>3</v>
      </c>
      <c r="N2207">
        <v>0</v>
      </c>
      <c r="O2207">
        <v>0</v>
      </c>
      <c r="P2207">
        <v>3</v>
      </c>
      <c r="Q2207" s="1">
        <v>3</v>
      </c>
      <c r="R2207">
        <v>8.5</v>
      </c>
      <c r="S2207" s="2">
        <v>44809</v>
      </c>
      <c r="T2207" s="2">
        <v>46054</v>
      </c>
      <c r="U2207">
        <v>0</v>
      </c>
      <c r="V2207">
        <v>0</v>
      </c>
      <c r="W2207">
        <v>0</v>
      </c>
      <c r="X2207">
        <v>0</v>
      </c>
      <c r="Y2207">
        <v>0</v>
      </c>
      <c r="Z2207" s="8">
        <v>0</v>
      </c>
      <c r="AA2207">
        <v>0</v>
      </c>
      <c r="AB2207" t="s">
        <v>1635</v>
      </c>
      <c r="AC2207" t="s">
        <v>1635</v>
      </c>
      <c r="AD2207" s="1" t="s">
        <v>1635</v>
      </c>
      <c r="AE2207" s="2" t="s">
        <v>1635</v>
      </c>
      <c r="AF2207" s="2" t="s">
        <v>1635</v>
      </c>
      <c r="AG2207" s="2" t="s">
        <v>1635</v>
      </c>
      <c r="AH2207">
        <v>0</v>
      </c>
      <c r="AI2207" s="3" t="s">
        <v>1635</v>
      </c>
      <c r="AJ2207" s="1" t="s">
        <v>1635</v>
      </c>
      <c r="AK2207" s="2" t="s">
        <v>1635</v>
      </c>
      <c r="AL2207" s="4" t="s">
        <v>1658</v>
      </c>
      <c r="AM2207" s="5" t="s">
        <v>1658</v>
      </c>
      <c r="AN2207" s="4">
        <v>0</v>
      </c>
      <c r="AO2207" t="s">
        <v>1635</v>
      </c>
      <c r="AP2207" s="4" t="s">
        <v>1658</v>
      </c>
      <c r="AQ2207" t="s">
        <v>1619</v>
      </c>
      <c r="AR2207" t="s">
        <v>1620</v>
      </c>
      <c r="AS2207" t="s">
        <v>1666</v>
      </c>
      <c r="AT2207" s="16" t="str">
        <f>_xlfn.XLOOKUP(B2207,'SWiSH Demand Forecast Sep-26'!D:D,'SWiSH Demand Forecast Sep-26'!G:G,"Not Exist")</f>
        <v>Not Exist</v>
      </c>
    </row>
    <row r="2208" spans="1:46" x14ac:dyDescent="0.3">
      <c r="A2208">
        <v>107200124</v>
      </c>
      <c r="B2208" t="s">
        <v>4093</v>
      </c>
      <c r="C2208" t="s">
        <v>10</v>
      </c>
      <c r="D2208" t="s">
        <v>1675</v>
      </c>
      <c r="E2208" t="s">
        <v>3232</v>
      </c>
      <c r="F2208" t="s">
        <v>1656</v>
      </c>
      <c r="G2208" t="s">
        <v>1624</v>
      </c>
      <c r="H2208" t="s">
        <v>1657</v>
      </c>
      <c r="I2208" t="s">
        <v>1634</v>
      </c>
      <c r="J2208" t="s">
        <v>10</v>
      </c>
      <c r="K2208">
        <v>3.4981986699999998</v>
      </c>
      <c r="L2208">
        <v>6.9963973399999997</v>
      </c>
      <c r="M2208" s="1">
        <v>7</v>
      </c>
      <c r="N2208">
        <v>0</v>
      </c>
      <c r="O2208">
        <v>0</v>
      </c>
      <c r="P2208">
        <v>2</v>
      </c>
      <c r="Q2208" s="1">
        <v>2</v>
      </c>
      <c r="R2208">
        <v>2.75</v>
      </c>
      <c r="S2208" s="2">
        <v>43824</v>
      </c>
      <c r="T2208" s="2">
        <v>46054</v>
      </c>
      <c r="U2208">
        <v>0</v>
      </c>
      <c r="V2208">
        <v>0</v>
      </c>
      <c r="W2208">
        <v>0</v>
      </c>
      <c r="X2208">
        <v>0</v>
      </c>
      <c r="Y2208">
        <v>0</v>
      </c>
      <c r="Z2208" s="8">
        <v>0</v>
      </c>
      <c r="AA2208">
        <v>0</v>
      </c>
      <c r="AB2208" t="s">
        <v>1635</v>
      </c>
      <c r="AC2208" t="s">
        <v>1635</v>
      </c>
      <c r="AD2208" s="1" t="s">
        <v>1635</v>
      </c>
      <c r="AE2208" s="2" t="s">
        <v>1635</v>
      </c>
      <c r="AF2208" s="2" t="s">
        <v>1635</v>
      </c>
      <c r="AG2208" s="2" t="s">
        <v>1635</v>
      </c>
      <c r="AH2208">
        <v>0</v>
      </c>
      <c r="AI2208" s="3" t="s">
        <v>1635</v>
      </c>
      <c r="AJ2208" s="1" t="s">
        <v>1635</v>
      </c>
      <c r="AK2208" s="2" t="s">
        <v>1635</v>
      </c>
      <c r="AL2208" s="4" t="s">
        <v>1658</v>
      </c>
      <c r="AM2208" s="5" t="s">
        <v>1658</v>
      </c>
      <c r="AN2208" s="4">
        <v>0</v>
      </c>
      <c r="AO2208" t="s">
        <v>1635</v>
      </c>
      <c r="AP2208" s="4" t="s">
        <v>1658</v>
      </c>
      <c r="AQ2208" t="s">
        <v>1619</v>
      </c>
      <c r="AR2208" t="s">
        <v>1620</v>
      </c>
      <c r="AS2208" t="s">
        <v>1666</v>
      </c>
      <c r="AT2208" s="16" t="str">
        <f>_xlfn.XLOOKUP(B2208,'SWiSH Demand Forecast Sep-26'!D:D,'SWiSH Demand Forecast Sep-26'!G:G,"Not Exist")</f>
        <v>Not Exist</v>
      </c>
    </row>
    <row r="2209" spans="1:46" x14ac:dyDescent="0.3">
      <c r="A2209">
        <v>101100033</v>
      </c>
      <c r="B2209" t="s">
        <v>4094</v>
      </c>
      <c r="C2209" t="s">
        <v>10</v>
      </c>
      <c r="D2209" t="s">
        <v>1675</v>
      </c>
      <c r="E2209" t="s">
        <v>3232</v>
      </c>
      <c r="F2209" t="s">
        <v>1650</v>
      </c>
      <c r="G2209" t="s">
        <v>1624</v>
      </c>
      <c r="H2209" t="s">
        <v>1651</v>
      </c>
      <c r="I2209" t="s">
        <v>1634</v>
      </c>
      <c r="J2209" t="s">
        <v>10</v>
      </c>
      <c r="K2209">
        <v>4.5</v>
      </c>
      <c r="L2209">
        <v>4.5</v>
      </c>
      <c r="M2209" s="1">
        <v>3</v>
      </c>
      <c r="N2209">
        <v>0</v>
      </c>
      <c r="O2209">
        <v>0</v>
      </c>
      <c r="P2209">
        <v>1</v>
      </c>
      <c r="Q2209" s="1">
        <v>1</v>
      </c>
      <c r="R2209">
        <v>4.5</v>
      </c>
      <c r="S2209" s="2">
        <v>44682</v>
      </c>
      <c r="T2209" s="2">
        <v>45258</v>
      </c>
      <c r="U2209">
        <v>0</v>
      </c>
      <c r="V2209">
        <v>0</v>
      </c>
      <c r="W2209">
        <v>0</v>
      </c>
      <c r="X2209">
        <v>0</v>
      </c>
      <c r="Y2209">
        <v>0</v>
      </c>
      <c r="Z2209" s="8">
        <v>0</v>
      </c>
      <c r="AA2209">
        <v>0</v>
      </c>
      <c r="AB2209" t="s">
        <v>1635</v>
      </c>
      <c r="AC2209" t="s">
        <v>1635</v>
      </c>
      <c r="AD2209" s="1" t="s">
        <v>1635</v>
      </c>
      <c r="AE2209" s="2" t="s">
        <v>1635</v>
      </c>
      <c r="AF2209" s="2" t="s">
        <v>1635</v>
      </c>
      <c r="AG2209" s="2" t="s">
        <v>1635</v>
      </c>
      <c r="AH2209">
        <v>0</v>
      </c>
      <c r="AI2209" s="3" t="s">
        <v>1635</v>
      </c>
      <c r="AJ2209" s="1" t="s">
        <v>1635</v>
      </c>
      <c r="AK2209" s="2" t="s">
        <v>1635</v>
      </c>
      <c r="AL2209" s="4" t="s">
        <v>1658</v>
      </c>
      <c r="AM2209" s="5" t="s">
        <v>1658</v>
      </c>
      <c r="AN2209" s="4">
        <v>0</v>
      </c>
      <c r="AO2209" t="s">
        <v>1635</v>
      </c>
      <c r="AP2209" s="4" t="s">
        <v>1658</v>
      </c>
      <c r="AQ2209" t="s">
        <v>1619</v>
      </c>
      <c r="AR2209" t="s">
        <v>1620</v>
      </c>
      <c r="AS2209" t="s">
        <v>1666</v>
      </c>
      <c r="AT2209" s="16" t="str">
        <f>_xlfn.XLOOKUP(B2209,'SWiSH Demand Forecast Sep-26'!D:D,'SWiSH Demand Forecast Sep-26'!G:G,"Not Exist")</f>
        <v>Not Exist</v>
      </c>
    </row>
    <row r="2210" spans="1:46" x14ac:dyDescent="0.3">
      <c r="A2210">
        <v>107400000</v>
      </c>
      <c r="B2210" t="s">
        <v>4095</v>
      </c>
      <c r="C2210" t="s">
        <v>136</v>
      </c>
      <c r="D2210" t="s">
        <v>1675</v>
      </c>
      <c r="E2210" t="s">
        <v>1685</v>
      </c>
      <c r="F2210" t="s">
        <v>1631</v>
      </c>
      <c r="G2210" t="s">
        <v>1624</v>
      </c>
      <c r="H2210" t="s">
        <v>2016</v>
      </c>
      <c r="I2210" t="s">
        <v>1634</v>
      </c>
      <c r="J2210" t="s">
        <v>136</v>
      </c>
      <c r="K2210">
        <v>1.2</v>
      </c>
      <c r="L2210">
        <v>130.08000000000001</v>
      </c>
      <c r="M2210" s="1">
        <v>3</v>
      </c>
      <c r="N2210">
        <v>0</v>
      </c>
      <c r="O2210">
        <v>0</v>
      </c>
      <c r="P2210">
        <v>108.4</v>
      </c>
      <c r="Q2210" s="1">
        <v>108.4</v>
      </c>
      <c r="R2210">
        <v>1.2</v>
      </c>
      <c r="S2210" s="2">
        <v>46207</v>
      </c>
      <c r="T2210" s="2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 s="8">
        <v>0</v>
      </c>
      <c r="AA2210">
        <v>0</v>
      </c>
      <c r="AB2210" t="s">
        <v>1635</v>
      </c>
      <c r="AC2210" t="s">
        <v>1635</v>
      </c>
      <c r="AD2210" s="1" t="s">
        <v>1635</v>
      </c>
      <c r="AE2210" s="2" t="s">
        <v>1635</v>
      </c>
      <c r="AF2210" s="2" t="s">
        <v>1635</v>
      </c>
      <c r="AG2210" s="2" t="s">
        <v>1635</v>
      </c>
      <c r="AH2210">
        <v>0</v>
      </c>
      <c r="AI2210" s="3" t="s">
        <v>1635</v>
      </c>
      <c r="AJ2210" s="1" t="s">
        <v>1635</v>
      </c>
      <c r="AK2210" s="2" t="s">
        <v>1635</v>
      </c>
      <c r="AL2210" s="4" t="s">
        <v>1658</v>
      </c>
      <c r="AM2210" s="5" t="s">
        <v>1658</v>
      </c>
      <c r="AN2210" s="4">
        <v>0</v>
      </c>
      <c r="AO2210" t="s">
        <v>1635</v>
      </c>
      <c r="AP2210" s="4" t="s">
        <v>1658</v>
      </c>
      <c r="AQ2210" t="s">
        <v>1619</v>
      </c>
      <c r="AR2210" t="s">
        <v>1620</v>
      </c>
      <c r="AS2210" t="s">
        <v>1666</v>
      </c>
      <c r="AT2210" s="16" t="str">
        <f>_xlfn.XLOOKUP(B2210,'SWiSH Demand Forecast Sep-26'!D:D,'SWiSH Demand Forecast Sep-26'!G:G,"Not Exist")</f>
        <v>Not Exist</v>
      </c>
    </row>
    <row r="2211" spans="1:46" x14ac:dyDescent="0.3">
      <c r="A2211">
        <v>106800348</v>
      </c>
      <c r="B2211" t="s">
        <v>4096</v>
      </c>
      <c r="C2211" t="s">
        <v>10</v>
      </c>
      <c r="D2211" t="s">
        <v>1675</v>
      </c>
      <c r="E2211" t="s">
        <v>1638</v>
      </c>
      <c r="F2211" t="s">
        <v>1664</v>
      </c>
      <c r="G2211" t="s">
        <v>1624</v>
      </c>
      <c r="H2211" t="s">
        <v>1665</v>
      </c>
      <c r="I2211" t="s">
        <v>1634</v>
      </c>
      <c r="J2211" t="s">
        <v>10</v>
      </c>
      <c r="K2211">
        <v>3.0000000000000001E-3</v>
      </c>
      <c r="L2211">
        <v>0</v>
      </c>
      <c r="M2211" s="1">
        <v>7</v>
      </c>
      <c r="N2211">
        <v>0</v>
      </c>
      <c r="O2211">
        <v>0</v>
      </c>
      <c r="P2211">
        <v>0</v>
      </c>
      <c r="Q2211" s="1">
        <v>0</v>
      </c>
      <c r="R2211">
        <v>3.0000000000000001E-3</v>
      </c>
      <c r="S2211" s="2">
        <v>46149</v>
      </c>
      <c r="T2211" s="2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 s="8">
        <v>0</v>
      </c>
      <c r="AA2211">
        <v>0</v>
      </c>
      <c r="AB2211" t="s">
        <v>1635</v>
      </c>
      <c r="AC2211" t="s">
        <v>1635</v>
      </c>
      <c r="AD2211" s="1" t="s">
        <v>1635</v>
      </c>
      <c r="AE2211" s="2" t="s">
        <v>1635</v>
      </c>
      <c r="AF2211" s="2" t="s">
        <v>1635</v>
      </c>
      <c r="AG2211" s="2" t="s">
        <v>1635</v>
      </c>
      <c r="AH2211">
        <v>0</v>
      </c>
      <c r="AI2211" s="3" t="s">
        <v>1635</v>
      </c>
      <c r="AJ2211" s="1" t="s">
        <v>1635</v>
      </c>
      <c r="AK2211" s="2" t="s">
        <v>1635</v>
      </c>
      <c r="AL2211" s="4" t="s">
        <v>1658</v>
      </c>
      <c r="AM2211" s="5" t="s">
        <v>1658</v>
      </c>
      <c r="AN2211" s="4">
        <v>0</v>
      </c>
      <c r="AO2211" t="s">
        <v>1635</v>
      </c>
      <c r="AP2211" s="4" t="s">
        <v>1658</v>
      </c>
      <c r="AQ2211" t="s">
        <v>1619</v>
      </c>
      <c r="AR2211" t="s">
        <v>1620</v>
      </c>
      <c r="AT2211" s="16" t="str">
        <f>_xlfn.XLOOKUP(B2211,'SWiSH Demand Forecast Sep-26'!D:D,'SWiSH Demand Forecast Sep-26'!G:G,"Not Exist")</f>
        <v>Not Exist</v>
      </c>
    </row>
    <row r="2212" spans="1:46" x14ac:dyDescent="0.3">
      <c r="A2212">
        <v>106800357</v>
      </c>
      <c r="B2212" t="s">
        <v>4097</v>
      </c>
      <c r="C2212" t="s">
        <v>10</v>
      </c>
      <c r="D2212" t="s">
        <v>1675</v>
      </c>
      <c r="E2212" t="s">
        <v>1663</v>
      </c>
      <c r="F2212" t="s">
        <v>1664</v>
      </c>
      <c r="G2212" t="s">
        <v>1624</v>
      </c>
      <c r="H2212" t="s">
        <v>1665</v>
      </c>
      <c r="I2212" t="s">
        <v>1634</v>
      </c>
      <c r="J2212" t="s">
        <v>10</v>
      </c>
      <c r="K2212">
        <v>5.4999999999999997E-3</v>
      </c>
      <c r="L2212">
        <v>544.5</v>
      </c>
      <c r="M2212" s="1">
        <v>7</v>
      </c>
      <c r="N2212">
        <v>0</v>
      </c>
      <c r="O2212">
        <v>0</v>
      </c>
      <c r="P2212">
        <v>99000</v>
      </c>
      <c r="Q2212" s="1">
        <v>99000</v>
      </c>
      <c r="R2212">
        <v>5.4999999999999997E-3</v>
      </c>
      <c r="S2212" s="2">
        <v>46160</v>
      </c>
      <c r="T2212" s="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 s="8">
        <v>0</v>
      </c>
      <c r="AA2212">
        <v>0</v>
      </c>
      <c r="AB2212" t="s">
        <v>1635</v>
      </c>
      <c r="AC2212" t="s">
        <v>1635</v>
      </c>
      <c r="AD2212" s="1" t="s">
        <v>1635</v>
      </c>
      <c r="AE2212" s="2" t="s">
        <v>1635</v>
      </c>
      <c r="AF2212" s="2" t="s">
        <v>1635</v>
      </c>
      <c r="AG2212" s="2" t="s">
        <v>1635</v>
      </c>
      <c r="AH2212">
        <v>0</v>
      </c>
      <c r="AI2212" s="3" t="s">
        <v>1635</v>
      </c>
      <c r="AJ2212" s="1" t="s">
        <v>1635</v>
      </c>
      <c r="AK2212" s="2" t="s">
        <v>1635</v>
      </c>
      <c r="AL2212" s="4" t="s">
        <v>1658</v>
      </c>
      <c r="AM2212" s="5" t="s">
        <v>1658</v>
      </c>
      <c r="AN2212" s="4">
        <v>0</v>
      </c>
      <c r="AO2212" t="s">
        <v>1635</v>
      </c>
      <c r="AP2212" s="4" t="s">
        <v>1658</v>
      </c>
      <c r="AQ2212" t="s">
        <v>1619</v>
      </c>
      <c r="AR2212" t="s">
        <v>1620</v>
      </c>
      <c r="AT2212" s="16" t="str">
        <f>_xlfn.XLOOKUP(B2212,'SWiSH Demand Forecast Sep-26'!D:D,'SWiSH Demand Forecast Sep-26'!G:G,"Not Exist")</f>
        <v>Not Exist</v>
      </c>
    </row>
    <row r="2213" spans="1:46" x14ac:dyDescent="0.3">
      <c r="A2213">
        <v>106800369</v>
      </c>
      <c r="B2213" t="s">
        <v>4098</v>
      </c>
      <c r="C2213" t="s">
        <v>10</v>
      </c>
      <c r="D2213" t="s">
        <v>1675</v>
      </c>
      <c r="E2213" t="s">
        <v>1638</v>
      </c>
      <c r="F2213" t="s">
        <v>1664</v>
      </c>
      <c r="G2213" t="s">
        <v>1624</v>
      </c>
      <c r="H2213" t="s">
        <v>1665</v>
      </c>
      <c r="I2213" t="s">
        <v>1634</v>
      </c>
      <c r="J2213" t="s">
        <v>10</v>
      </c>
      <c r="K2213">
        <v>3.0000000000000001E-3</v>
      </c>
      <c r="L2213">
        <v>0</v>
      </c>
      <c r="M2213" s="1">
        <v>7</v>
      </c>
      <c r="N2213">
        <v>0</v>
      </c>
      <c r="O2213">
        <v>0</v>
      </c>
      <c r="P2213">
        <v>0</v>
      </c>
      <c r="Q2213" s="1">
        <v>0</v>
      </c>
      <c r="R2213">
        <v>3.0000000000000001E-3</v>
      </c>
      <c r="S2213" s="2">
        <v>46165</v>
      </c>
      <c r="T2213" s="2">
        <v>46203</v>
      </c>
      <c r="U2213">
        <v>0</v>
      </c>
      <c r="V2213">
        <v>0</v>
      </c>
      <c r="W2213">
        <v>0</v>
      </c>
      <c r="X2213">
        <v>0</v>
      </c>
      <c r="Y2213">
        <v>0</v>
      </c>
      <c r="Z2213" s="8">
        <v>0</v>
      </c>
      <c r="AA2213">
        <v>0</v>
      </c>
      <c r="AB2213" t="s">
        <v>1635</v>
      </c>
      <c r="AC2213" t="s">
        <v>1635</v>
      </c>
      <c r="AD2213" s="1" t="s">
        <v>1635</v>
      </c>
      <c r="AE2213" s="2" t="s">
        <v>1635</v>
      </c>
      <c r="AF2213" s="2" t="s">
        <v>1635</v>
      </c>
      <c r="AG2213" s="2" t="s">
        <v>1635</v>
      </c>
      <c r="AH2213">
        <v>0</v>
      </c>
      <c r="AI2213" s="3" t="s">
        <v>1635</v>
      </c>
      <c r="AJ2213" s="1" t="s">
        <v>1635</v>
      </c>
      <c r="AK2213" s="2" t="s">
        <v>1635</v>
      </c>
      <c r="AL2213" s="4" t="s">
        <v>1658</v>
      </c>
      <c r="AM2213" s="5" t="s">
        <v>1658</v>
      </c>
      <c r="AN2213" s="4">
        <v>0</v>
      </c>
      <c r="AO2213" t="s">
        <v>1635</v>
      </c>
      <c r="AP2213" s="4" t="s">
        <v>1658</v>
      </c>
      <c r="AQ2213" t="s">
        <v>1619</v>
      </c>
      <c r="AR2213" t="s">
        <v>1620</v>
      </c>
      <c r="AT2213" s="16" t="str">
        <f>_xlfn.XLOOKUP(B2213,'SWiSH Demand Forecast Sep-26'!D:D,'SWiSH Demand Forecast Sep-26'!G:G,"Not Exist")</f>
        <v>Not Exist</v>
      </c>
    </row>
    <row r="2214" spans="1:46" x14ac:dyDescent="0.3">
      <c r="A2214">
        <v>107400100</v>
      </c>
      <c r="B2214" t="s">
        <v>4099</v>
      </c>
      <c r="C2214" t="s">
        <v>10</v>
      </c>
      <c r="D2214" t="s">
        <v>1675</v>
      </c>
      <c r="E2214" t="s">
        <v>1663</v>
      </c>
      <c r="F2214" t="s">
        <v>1664</v>
      </c>
      <c r="G2214" t="s">
        <v>1624</v>
      </c>
      <c r="H2214" t="s">
        <v>2016</v>
      </c>
      <c r="I2214" t="s">
        <v>1634</v>
      </c>
      <c r="J2214" t="s">
        <v>10</v>
      </c>
      <c r="K2214">
        <v>6.0000000000000001E-3</v>
      </c>
      <c r="L2214">
        <v>228</v>
      </c>
      <c r="M2214" s="1">
        <v>15</v>
      </c>
      <c r="N2214">
        <v>0</v>
      </c>
      <c r="O2214">
        <v>0</v>
      </c>
      <c r="P2214">
        <v>38000</v>
      </c>
      <c r="Q2214" s="1">
        <v>38000</v>
      </c>
      <c r="R2214">
        <v>6.0000000000000001E-3</v>
      </c>
      <c r="S2214" s="2">
        <v>46184</v>
      </c>
      <c r="T2214" s="2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 s="8">
        <v>0</v>
      </c>
      <c r="AA2214">
        <v>0</v>
      </c>
      <c r="AB2214" t="s">
        <v>1635</v>
      </c>
      <c r="AC2214" t="s">
        <v>1635</v>
      </c>
      <c r="AD2214" s="1" t="s">
        <v>1635</v>
      </c>
      <c r="AE2214" s="2" t="s">
        <v>1635</v>
      </c>
      <c r="AF2214" s="2" t="s">
        <v>1635</v>
      </c>
      <c r="AG2214" s="2" t="s">
        <v>1635</v>
      </c>
      <c r="AH2214">
        <v>0</v>
      </c>
      <c r="AI2214" s="3" t="s">
        <v>1635</v>
      </c>
      <c r="AJ2214" s="1" t="s">
        <v>1635</v>
      </c>
      <c r="AK2214" s="2" t="s">
        <v>1635</v>
      </c>
      <c r="AL2214" s="4" t="s">
        <v>1658</v>
      </c>
      <c r="AM2214" s="5" t="s">
        <v>1658</v>
      </c>
      <c r="AN2214" s="4">
        <v>0</v>
      </c>
      <c r="AO2214" t="s">
        <v>1635</v>
      </c>
      <c r="AP2214" s="4" t="s">
        <v>1658</v>
      </c>
      <c r="AQ2214">
        <v>8000</v>
      </c>
      <c r="AR2214" t="s">
        <v>2034</v>
      </c>
      <c r="AT2214" s="16" t="str">
        <f>_xlfn.XLOOKUP(B2214,'SWiSH Demand Forecast Sep-26'!D:D,'SWiSH Demand Forecast Sep-26'!G:G,"Not Exist")</f>
        <v>Not Exist</v>
      </c>
    </row>
    <row r="2215" spans="1:46" x14ac:dyDescent="0.3">
      <c r="A2215">
        <v>103400031</v>
      </c>
      <c r="B2215" t="s">
        <v>4100</v>
      </c>
      <c r="C2215" t="s">
        <v>10</v>
      </c>
      <c r="D2215" t="s">
        <v>1613</v>
      </c>
      <c r="E2215" t="s">
        <v>3651</v>
      </c>
      <c r="F2215" t="s">
        <v>1752</v>
      </c>
      <c r="G2215" t="s">
        <v>1616</v>
      </c>
      <c r="H2215" t="s">
        <v>1931</v>
      </c>
      <c r="I2215" t="s">
        <v>1754</v>
      </c>
      <c r="J2215" t="s">
        <v>10</v>
      </c>
      <c r="K2215">
        <v>0.4</v>
      </c>
      <c r="L2215">
        <v>360</v>
      </c>
      <c r="M2215" s="1">
        <v>3</v>
      </c>
      <c r="N2215">
        <v>0</v>
      </c>
      <c r="O2215">
        <v>0</v>
      </c>
      <c r="P2215">
        <v>900</v>
      </c>
      <c r="Q2215" s="1">
        <v>900</v>
      </c>
      <c r="R2215">
        <v>0.4</v>
      </c>
      <c r="S2215" s="2">
        <v>46242</v>
      </c>
      <c r="T2215" s="2">
        <v>46054</v>
      </c>
      <c r="U2215">
        <v>0</v>
      </c>
      <c r="V2215">
        <v>0</v>
      </c>
      <c r="W2215">
        <v>0</v>
      </c>
      <c r="X2215">
        <v>0</v>
      </c>
      <c r="Y2215">
        <v>0</v>
      </c>
      <c r="Z2215" s="8">
        <v>0</v>
      </c>
      <c r="AA2215">
        <v>0</v>
      </c>
      <c r="AC2215" t="s">
        <v>1635</v>
      </c>
      <c r="AD2215" s="1" t="s">
        <v>1635</v>
      </c>
      <c r="AE2215" s="2" t="s">
        <v>1635</v>
      </c>
      <c r="AF2215" s="2" t="s">
        <v>1635</v>
      </c>
      <c r="AG2215" s="2" t="s">
        <v>1635</v>
      </c>
      <c r="AH2215">
        <v>0</v>
      </c>
      <c r="AI2215" s="3" t="s">
        <v>1635</v>
      </c>
      <c r="AJ2215" s="1" t="s">
        <v>1635</v>
      </c>
      <c r="AK2215" s="2" t="s">
        <v>1635</v>
      </c>
      <c r="AL2215" s="4" t="s">
        <v>1658</v>
      </c>
      <c r="AM2215" s="5" t="s">
        <v>1658</v>
      </c>
      <c r="AN2215" s="4">
        <v>0</v>
      </c>
      <c r="AO2215" t="s">
        <v>1635</v>
      </c>
      <c r="AP2215" s="4" t="s">
        <v>1658</v>
      </c>
      <c r="AQ2215" t="s">
        <v>1619</v>
      </c>
      <c r="AR2215" t="s">
        <v>1620</v>
      </c>
      <c r="AT2215" s="16" t="str">
        <f>_xlfn.XLOOKUP(B2215,'SWiSH Demand Forecast Sep-26'!D:D,'SWiSH Demand Forecast Sep-26'!G:G,"Not Exist")</f>
        <v>Not Exist</v>
      </c>
    </row>
    <row r="2216" spans="1:46" x14ac:dyDescent="0.3">
      <c r="A2216">
        <v>103400026</v>
      </c>
      <c r="B2216" t="s">
        <v>4101</v>
      </c>
      <c r="C2216" t="s">
        <v>10</v>
      </c>
      <c r="D2216" t="s">
        <v>1613</v>
      </c>
      <c r="E2216" t="s">
        <v>3651</v>
      </c>
      <c r="F2216" t="s">
        <v>1752</v>
      </c>
      <c r="G2216" t="s">
        <v>1616</v>
      </c>
      <c r="H2216" t="s">
        <v>1931</v>
      </c>
      <c r="I2216" t="s">
        <v>1754</v>
      </c>
      <c r="J2216" t="s">
        <v>10</v>
      </c>
      <c r="K2216">
        <v>3.24</v>
      </c>
      <c r="L2216">
        <v>972.00000000000011</v>
      </c>
      <c r="M2216" s="1">
        <v>3</v>
      </c>
      <c r="N2216">
        <v>0</v>
      </c>
      <c r="O2216">
        <v>0</v>
      </c>
      <c r="P2216">
        <v>300</v>
      </c>
      <c r="Q2216" s="1">
        <v>300</v>
      </c>
      <c r="R2216">
        <v>4.0199999999999996</v>
      </c>
      <c r="S2216" s="2">
        <v>46261</v>
      </c>
      <c r="T2216" s="2">
        <v>46054</v>
      </c>
      <c r="U2216">
        <v>0</v>
      </c>
      <c r="V2216">
        <v>0</v>
      </c>
      <c r="W2216">
        <v>0</v>
      </c>
      <c r="X2216">
        <v>0</v>
      </c>
      <c r="Y2216">
        <v>0</v>
      </c>
      <c r="Z2216" s="8">
        <v>0</v>
      </c>
      <c r="AA2216">
        <v>0</v>
      </c>
      <c r="AB2216" t="s">
        <v>1635</v>
      </c>
      <c r="AC2216" t="s">
        <v>1635</v>
      </c>
      <c r="AD2216" s="1" t="s">
        <v>1635</v>
      </c>
      <c r="AE2216" s="2" t="s">
        <v>1635</v>
      </c>
      <c r="AF2216" s="2" t="s">
        <v>1635</v>
      </c>
      <c r="AG2216" s="2" t="s">
        <v>1635</v>
      </c>
      <c r="AH2216">
        <v>0</v>
      </c>
      <c r="AI2216" s="3" t="s">
        <v>1635</v>
      </c>
      <c r="AJ2216" s="1" t="s">
        <v>1635</v>
      </c>
      <c r="AK2216" s="2" t="s">
        <v>1635</v>
      </c>
      <c r="AL2216" s="4" t="s">
        <v>1658</v>
      </c>
      <c r="AM2216" s="5" t="s">
        <v>1658</v>
      </c>
      <c r="AN2216" s="4">
        <v>0</v>
      </c>
      <c r="AO2216" t="s">
        <v>1635</v>
      </c>
      <c r="AP2216" s="4" t="s">
        <v>1658</v>
      </c>
      <c r="AQ2216" t="s">
        <v>1619</v>
      </c>
      <c r="AR2216" t="s">
        <v>1620</v>
      </c>
      <c r="AT2216" s="16" t="str">
        <f>_xlfn.XLOOKUP(B2216,'SWiSH Demand Forecast Sep-26'!D:D,'SWiSH Demand Forecast Sep-26'!G:G,"Not Exist")</f>
        <v>Not Exist</v>
      </c>
    </row>
    <row r="2217" spans="1:46" x14ac:dyDescent="0.3">
      <c r="A2217">
        <v>105600027</v>
      </c>
      <c r="B2217" t="s">
        <v>4102</v>
      </c>
      <c r="C2217" t="s">
        <v>136</v>
      </c>
      <c r="D2217" t="s">
        <v>1613</v>
      </c>
      <c r="E2217" t="s">
        <v>2266</v>
      </c>
      <c r="F2217" t="s">
        <v>1664</v>
      </c>
      <c r="G2217" t="s">
        <v>1624</v>
      </c>
      <c r="H2217" t="s">
        <v>1679</v>
      </c>
      <c r="I2217" t="s">
        <v>1634</v>
      </c>
      <c r="J2217" t="s">
        <v>136</v>
      </c>
      <c r="K2217">
        <v>0.61122882000000001</v>
      </c>
      <c r="L2217">
        <v>140.58262859999999</v>
      </c>
      <c r="M2217" s="1">
        <v>30</v>
      </c>
      <c r="N2217">
        <v>0</v>
      </c>
      <c r="O2217">
        <v>0</v>
      </c>
      <c r="P2217">
        <v>230</v>
      </c>
      <c r="Q2217" s="1">
        <v>230</v>
      </c>
      <c r="R2217">
        <v>0.61</v>
      </c>
      <c r="S2217" s="2">
        <v>45819</v>
      </c>
      <c r="T2217" s="2">
        <v>46055</v>
      </c>
      <c r="U2217">
        <v>0</v>
      </c>
      <c r="V2217">
        <v>0</v>
      </c>
      <c r="W2217">
        <v>0</v>
      </c>
      <c r="X2217">
        <v>0</v>
      </c>
      <c r="Y2217">
        <v>0</v>
      </c>
      <c r="Z2217" s="8">
        <v>0</v>
      </c>
      <c r="AA2217">
        <v>0</v>
      </c>
      <c r="AB2217" t="s">
        <v>1635</v>
      </c>
      <c r="AC2217" t="s">
        <v>1635</v>
      </c>
      <c r="AD2217" s="1" t="s">
        <v>1635</v>
      </c>
      <c r="AE2217" s="2" t="s">
        <v>1635</v>
      </c>
      <c r="AF2217" s="2" t="s">
        <v>1635</v>
      </c>
      <c r="AG2217" s="2" t="s">
        <v>1635</v>
      </c>
      <c r="AH2217">
        <v>0</v>
      </c>
      <c r="AI2217" s="3" t="s">
        <v>1635</v>
      </c>
      <c r="AJ2217" s="1" t="s">
        <v>1635</v>
      </c>
      <c r="AK2217" s="2" t="s">
        <v>1635</v>
      </c>
      <c r="AL2217" s="4">
        <v>30</v>
      </c>
      <c r="AM2217" s="5">
        <v>15</v>
      </c>
      <c r="AN2217" s="4">
        <v>0</v>
      </c>
      <c r="AO2217" t="s">
        <v>1635</v>
      </c>
      <c r="AP2217" s="4">
        <v>1</v>
      </c>
      <c r="AQ2217" t="s">
        <v>1619</v>
      </c>
      <c r="AR2217" t="s">
        <v>1620</v>
      </c>
      <c r="AT2217" s="16" t="str">
        <f>_xlfn.XLOOKUP(B2217,'SWiSH Demand Forecast Sep-26'!D:D,'SWiSH Demand Forecast Sep-26'!G:G,"Not Exist")</f>
        <v>Not Exist</v>
      </c>
    </row>
    <row r="2218" spans="1:46" hidden="1" x14ac:dyDescent="0.3">
      <c r="A2218">
        <v>106700032</v>
      </c>
      <c r="B2218" t="s">
        <v>124</v>
      </c>
      <c r="C2218" t="s">
        <v>10</v>
      </c>
      <c r="D2218" t="s">
        <v>1613</v>
      </c>
      <c r="E2218" t="s">
        <v>2266</v>
      </c>
      <c r="F2218" t="s">
        <v>1631</v>
      </c>
      <c r="G2218" t="s">
        <v>1624</v>
      </c>
      <c r="H2218" t="s">
        <v>1651</v>
      </c>
      <c r="I2218" t="s">
        <v>1634</v>
      </c>
      <c r="J2218" t="s">
        <v>3380</v>
      </c>
      <c r="K2218">
        <v>1.458333E-2</v>
      </c>
      <c r="L2218">
        <v>-72.799983359999999</v>
      </c>
      <c r="M2218" s="1">
        <v>3</v>
      </c>
      <c r="N2218">
        <v>0</v>
      </c>
      <c r="O2218">
        <v>0</v>
      </c>
      <c r="P2218">
        <v>-4992</v>
      </c>
      <c r="Q2218" s="1">
        <v>-4992</v>
      </c>
      <c r="R2218">
        <v>0.35</v>
      </c>
      <c r="S2218" s="2">
        <v>46253</v>
      </c>
      <c r="T2218" s="2">
        <v>46054</v>
      </c>
      <c r="U2218">
        <v>0</v>
      </c>
      <c r="V2218">
        <v>0</v>
      </c>
      <c r="W2218">
        <v>0</v>
      </c>
      <c r="X2218">
        <v>0</v>
      </c>
      <c r="Y2218">
        <v>0</v>
      </c>
      <c r="Z2218" s="8">
        <v>0</v>
      </c>
      <c r="AA2218">
        <v>0</v>
      </c>
      <c r="AB2218" t="s">
        <v>1635</v>
      </c>
      <c r="AC2218" t="s">
        <v>1635</v>
      </c>
      <c r="AD2218" s="1" t="s">
        <v>1635</v>
      </c>
      <c r="AE2218" s="2" t="s">
        <v>1635</v>
      </c>
      <c r="AF2218" s="2" t="s">
        <v>1635</v>
      </c>
      <c r="AG2218" s="2" t="s">
        <v>1635</v>
      </c>
      <c r="AH2218">
        <v>0</v>
      </c>
      <c r="AI2218" s="3" t="s">
        <v>1635</v>
      </c>
      <c r="AJ2218" s="1" t="s">
        <v>1635</v>
      </c>
      <c r="AK2218" s="2" t="s">
        <v>1635</v>
      </c>
      <c r="AL2218" s="4">
        <v>15</v>
      </c>
      <c r="AM2218" s="5">
        <v>15</v>
      </c>
      <c r="AN2218" s="4">
        <v>0</v>
      </c>
      <c r="AO2218" t="s">
        <v>1635</v>
      </c>
      <c r="AP2218" s="4">
        <v>2</v>
      </c>
      <c r="AQ2218" t="s">
        <v>1619</v>
      </c>
      <c r="AR2218" t="s">
        <v>2626</v>
      </c>
      <c r="AT2218" s="16">
        <f>_xlfn.XLOOKUP(B2218,'SWiSH Demand Forecast Sep-26'!D:D,'SWiSH Demand Forecast Sep-26'!G:G,"Not Exist")</f>
        <v>14902</v>
      </c>
    </row>
    <row r="2219" spans="1:46" x14ac:dyDescent="0.3">
      <c r="A2219">
        <v>104200034</v>
      </c>
      <c r="B2219" t="s">
        <v>4103</v>
      </c>
      <c r="C2219" t="s">
        <v>10</v>
      </c>
      <c r="D2219" t="s">
        <v>1613</v>
      </c>
      <c r="E2219" t="s">
        <v>3232</v>
      </c>
      <c r="F2219" t="s">
        <v>1631</v>
      </c>
      <c r="G2219" t="s">
        <v>1624</v>
      </c>
      <c r="H2219" t="s">
        <v>1633</v>
      </c>
      <c r="I2219" t="s">
        <v>1634</v>
      </c>
      <c r="J2219" t="s">
        <v>10</v>
      </c>
      <c r="K2219">
        <v>6.4999999999999997E-3</v>
      </c>
      <c r="L2219">
        <v>0</v>
      </c>
      <c r="M2219" s="1">
        <v>3</v>
      </c>
      <c r="N2219">
        <v>0</v>
      </c>
      <c r="O2219">
        <v>0</v>
      </c>
      <c r="P2219">
        <v>0</v>
      </c>
      <c r="Q2219" s="1">
        <v>0</v>
      </c>
      <c r="R2219">
        <v>5.25</v>
      </c>
      <c r="S2219" s="2">
        <v>46180</v>
      </c>
      <c r="T2219" s="2">
        <v>46034</v>
      </c>
      <c r="U2219">
        <v>0</v>
      </c>
      <c r="V2219">
        <v>0</v>
      </c>
      <c r="W2219">
        <v>0</v>
      </c>
      <c r="X2219">
        <v>0</v>
      </c>
      <c r="Y2219">
        <v>0</v>
      </c>
      <c r="Z2219" s="8">
        <v>0</v>
      </c>
      <c r="AA2219">
        <v>0</v>
      </c>
      <c r="AB2219" t="s">
        <v>1635</v>
      </c>
      <c r="AC2219" t="s">
        <v>1635</v>
      </c>
      <c r="AD2219" s="1" t="s">
        <v>1635</v>
      </c>
      <c r="AE2219" s="2" t="s">
        <v>1635</v>
      </c>
      <c r="AF2219" s="2" t="s">
        <v>1635</v>
      </c>
      <c r="AG2219" s="2" t="s">
        <v>1635</v>
      </c>
      <c r="AH2219">
        <v>0</v>
      </c>
      <c r="AI2219" s="3" t="s">
        <v>1635</v>
      </c>
      <c r="AJ2219" s="1" t="s">
        <v>1635</v>
      </c>
      <c r="AK2219" s="2" t="s">
        <v>1635</v>
      </c>
      <c r="AL2219" s="4">
        <v>8</v>
      </c>
      <c r="AM2219" s="5">
        <v>5</v>
      </c>
      <c r="AN2219" s="4">
        <v>0</v>
      </c>
      <c r="AO2219" t="s">
        <v>1635</v>
      </c>
      <c r="AP2219" s="4">
        <v>4</v>
      </c>
      <c r="AQ2219" t="s">
        <v>1619</v>
      </c>
      <c r="AR2219" t="s">
        <v>1620</v>
      </c>
      <c r="AS2219" t="s">
        <v>1666</v>
      </c>
      <c r="AT2219" s="16" t="str">
        <f>_xlfn.XLOOKUP(B2219,'SWiSH Demand Forecast Sep-26'!D:D,'SWiSH Demand Forecast Sep-26'!G:G,"Not Exist")</f>
        <v>Not Exist</v>
      </c>
    </row>
    <row r="2220" spans="1:46" x14ac:dyDescent="0.3">
      <c r="A2220">
        <v>105700018</v>
      </c>
      <c r="B2220" t="s">
        <v>4104</v>
      </c>
      <c r="C2220" t="s">
        <v>10</v>
      </c>
      <c r="D2220" t="s">
        <v>1955</v>
      </c>
      <c r="E2220" t="s">
        <v>1655</v>
      </c>
      <c r="F2220" t="s">
        <v>1631</v>
      </c>
      <c r="G2220" t="s">
        <v>1624</v>
      </c>
      <c r="H2220" t="s">
        <v>2574</v>
      </c>
      <c r="I2220" t="s">
        <v>1634</v>
      </c>
      <c r="J2220" t="s">
        <v>10</v>
      </c>
      <c r="K2220">
        <v>0.03</v>
      </c>
      <c r="L2220">
        <v>90</v>
      </c>
      <c r="M2220" s="1">
        <v>3</v>
      </c>
      <c r="N2220">
        <v>0</v>
      </c>
      <c r="O2220">
        <v>0</v>
      </c>
      <c r="P2220">
        <v>3000</v>
      </c>
      <c r="Q2220" s="1">
        <v>3000</v>
      </c>
      <c r="R2220">
        <v>0.03</v>
      </c>
      <c r="S2220" s="2">
        <v>46203</v>
      </c>
      <c r="T2220" s="2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 s="8">
        <v>0</v>
      </c>
      <c r="AA2220">
        <v>0</v>
      </c>
      <c r="AB2220" t="s">
        <v>1635</v>
      </c>
      <c r="AC2220" t="s">
        <v>1635</v>
      </c>
      <c r="AD2220" s="1" t="s">
        <v>1635</v>
      </c>
      <c r="AE2220" s="2" t="s">
        <v>1635</v>
      </c>
      <c r="AF2220" s="2" t="s">
        <v>1635</v>
      </c>
      <c r="AG2220" s="2" t="s">
        <v>1635</v>
      </c>
      <c r="AH2220">
        <v>0</v>
      </c>
      <c r="AI2220" s="3" t="s">
        <v>1635</v>
      </c>
      <c r="AJ2220" s="1" t="s">
        <v>1635</v>
      </c>
      <c r="AK2220" s="2" t="s">
        <v>1635</v>
      </c>
      <c r="AL2220" s="4" t="s">
        <v>1658</v>
      </c>
      <c r="AM2220" s="5" t="s">
        <v>1658</v>
      </c>
      <c r="AN2220" s="4">
        <v>0</v>
      </c>
      <c r="AO2220" t="s">
        <v>1635</v>
      </c>
      <c r="AP2220" s="4" t="s">
        <v>1658</v>
      </c>
      <c r="AQ2220" t="s">
        <v>1619</v>
      </c>
      <c r="AR2220" t="s">
        <v>1620</v>
      </c>
      <c r="AS2220" t="s">
        <v>1666</v>
      </c>
      <c r="AT2220" s="16" t="str">
        <f>_xlfn.XLOOKUP(B2220,'SWiSH Demand Forecast Sep-26'!D:D,'SWiSH Demand Forecast Sep-26'!G:G,"Not Exist")</f>
        <v>Not Exist</v>
      </c>
    </row>
    <row r="2221" spans="1:46" hidden="1" x14ac:dyDescent="0.3">
      <c r="A2221">
        <v>106800135</v>
      </c>
      <c r="B2221" t="s">
        <v>231</v>
      </c>
      <c r="C2221" t="s">
        <v>10</v>
      </c>
      <c r="D2221" t="s">
        <v>1613</v>
      </c>
      <c r="E2221" t="s">
        <v>2266</v>
      </c>
      <c r="F2221" t="s">
        <v>1664</v>
      </c>
      <c r="G2221" t="s">
        <v>1624</v>
      </c>
      <c r="H2221" t="s">
        <v>1665</v>
      </c>
      <c r="I2221" t="s">
        <v>1634</v>
      </c>
      <c r="J2221" t="s">
        <v>10</v>
      </c>
      <c r="K2221">
        <v>1.7500000000000002E-2</v>
      </c>
      <c r="L2221">
        <v>-35</v>
      </c>
      <c r="M2221" s="1">
        <v>7</v>
      </c>
      <c r="N2221">
        <v>0</v>
      </c>
      <c r="O2221">
        <v>0</v>
      </c>
      <c r="P2221">
        <v>-2000</v>
      </c>
      <c r="Q2221" s="1">
        <v>-2000</v>
      </c>
      <c r="R2221">
        <v>1.7500000000000002E-2</v>
      </c>
      <c r="S2221" s="2">
        <v>46243</v>
      </c>
      <c r="T2221" s="2">
        <v>46055</v>
      </c>
      <c r="U2221">
        <v>0</v>
      </c>
      <c r="V2221">
        <v>0</v>
      </c>
      <c r="W2221">
        <v>0</v>
      </c>
      <c r="X2221">
        <v>0</v>
      </c>
      <c r="Y2221">
        <v>0</v>
      </c>
      <c r="Z2221" s="8">
        <v>0</v>
      </c>
      <c r="AA2221">
        <v>0</v>
      </c>
      <c r="AB2221" t="s">
        <v>1635</v>
      </c>
      <c r="AC2221" t="s">
        <v>1635</v>
      </c>
      <c r="AD2221" s="1" t="s">
        <v>1635</v>
      </c>
      <c r="AE2221" s="2" t="s">
        <v>1635</v>
      </c>
      <c r="AF2221" s="2" t="s">
        <v>1635</v>
      </c>
      <c r="AG2221" s="2" t="s">
        <v>1635</v>
      </c>
      <c r="AH2221">
        <v>0</v>
      </c>
      <c r="AI2221" s="3" t="s">
        <v>1635</v>
      </c>
      <c r="AJ2221" s="1" t="s">
        <v>1635</v>
      </c>
      <c r="AK2221" s="2" t="s">
        <v>1635</v>
      </c>
      <c r="AL2221" s="4">
        <v>30</v>
      </c>
      <c r="AM2221" s="5">
        <v>15</v>
      </c>
      <c r="AN2221" s="4">
        <v>0</v>
      </c>
      <c r="AO2221" t="s">
        <v>1635</v>
      </c>
      <c r="AP2221" s="4">
        <v>1</v>
      </c>
      <c r="AQ2221">
        <v>15000</v>
      </c>
      <c r="AR2221" t="s">
        <v>4105</v>
      </c>
      <c r="AT2221" s="16">
        <f>_xlfn.XLOOKUP(B2221,'SWiSH Demand Forecast Sep-26'!D:D,'SWiSH Demand Forecast Sep-26'!G:G,"Not Exist")</f>
        <v>7451</v>
      </c>
    </row>
    <row r="2222" spans="1:46" x14ac:dyDescent="0.3">
      <c r="A2222" t="s">
        <v>1635</v>
      </c>
      <c r="B2222" t="s">
        <v>4106</v>
      </c>
      <c r="C2222" t="s">
        <v>10</v>
      </c>
      <c r="D2222" t="s">
        <v>1613</v>
      </c>
      <c r="E2222" t="s">
        <v>1638</v>
      </c>
      <c r="F2222" t="s">
        <v>1664</v>
      </c>
      <c r="G2222" t="s">
        <v>1616</v>
      </c>
      <c r="H2222" t="s">
        <v>1729</v>
      </c>
      <c r="I2222" t="s">
        <v>1634</v>
      </c>
      <c r="J2222" t="s">
        <v>10</v>
      </c>
      <c r="K2222">
        <v>5.4799999999999996E-3</v>
      </c>
      <c r="L2222">
        <v>158.91999999999999</v>
      </c>
      <c r="M2222" s="1">
        <v>90</v>
      </c>
      <c r="N2222">
        <v>0</v>
      </c>
      <c r="O2222">
        <v>0</v>
      </c>
      <c r="P2222">
        <v>29000</v>
      </c>
      <c r="Q2222" s="1">
        <v>29000</v>
      </c>
      <c r="R2222">
        <v>5.4799999999999996E-3</v>
      </c>
      <c r="S2222" s="2">
        <v>46214</v>
      </c>
      <c r="T2222" s="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 s="8">
        <v>0</v>
      </c>
      <c r="AA2222">
        <v>0</v>
      </c>
      <c r="AB2222" t="s">
        <v>1635</v>
      </c>
      <c r="AC2222" t="s">
        <v>1635</v>
      </c>
      <c r="AD2222" s="1" t="s">
        <v>1635</v>
      </c>
      <c r="AE2222" s="2" t="s">
        <v>1635</v>
      </c>
      <c r="AF2222" s="2" t="s">
        <v>1635</v>
      </c>
      <c r="AG2222" s="2" t="s">
        <v>1635</v>
      </c>
      <c r="AH2222">
        <v>0</v>
      </c>
      <c r="AI2222" s="3" t="s">
        <v>1635</v>
      </c>
      <c r="AJ2222" s="1" t="s">
        <v>1635</v>
      </c>
      <c r="AK2222" s="2" t="s">
        <v>1635</v>
      </c>
      <c r="AL2222" s="4">
        <v>120</v>
      </c>
      <c r="AM2222" s="5">
        <v>100</v>
      </c>
      <c r="AN2222" s="4">
        <v>0</v>
      </c>
      <c r="AO2222" t="s">
        <v>1635</v>
      </c>
      <c r="AP2222" s="4">
        <v>1</v>
      </c>
      <c r="AQ2222" t="s">
        <v>1619</v>
      </c>
      <c r="AR2222" t="s">
        <v>1620</v>
      </c>
      <c r="AS2222" t="s">
        <v>1666</v>
      </c>
      <c r="AT2222" s="16" t="str">
        <f>_xlfn.XLOOKUP(B2222,'SWiSH Demand Forecast Sep-26'!D:D,'SWiSH Demand Forecast Sep-26'!G:G,"Not Exist")</f>
        <v>Not Exist</v>
      </c>
    </row>
    <row r="2223" spans="1:46" x14ac:dyDescent="0.3">
      <c r="A2223" t="s">
        <v>1635</v>
      </c>
      <c r="B2223" t="s">
        <v>4107</v>
      </c>
      <c r="C2223" t="s">
        <v>10</v>
      </c>
      <c r="D2223" t="s">
        <v>1613</v>
      </c>
      <c r="E2223" t="s">
        <v>1796</v>
      </c>
      <c r="F2223" t="s">
        <v>1664</v>
      </c>
      <c r="G2223" t="s">
        <v>1616</v>
      </c>
      <c r="H2223" t="s">
        <v>1729</v>
      </c>
      <c r="I2223" t="s">
        <v>1634</v>
      </c>
      <c r="J2223" t="s">
        <v>10</v>
      </c>
      <c r="K2223">
        <v>5.4799999999999996E-3</v>
      </c>
      <c r="L2223">
        <v>139.73999999999998</v>
      </c>
      <c r="M2223" s="1">
        <v>90</v>
      </c>
      <c r="N2223">
        <v>0</v>
      </c>
      <c r="O2223">
        <v>0</v>
      </c>
      <c r="P2223">
        <v>25500</v>
      </c>
      <c r="Q2223" s="1">
        <v>25500</v>
      </c>
      <c r="R2223">
        <v>5.4799999999999996E-3</v>
      </c>
      <c r="S2223" s="2">
        <v>46214</v>
      </c>
      <c r="T2223" s="2">
        <v>46256</v>
      </c>
      <c r="U2223">
        <v>0</v>
      </c>
      <c r="V2223">
        <v>0</v>
      </c>
      <c r="W2223">
        <v>0</v>
      </c>
      <c r="X2223">
        <v>0</v>
      </c>
      <c r="Y2223">
        <v>0</v>
      </c>
      <c r="Z2223" s="8">
        <v>0</v>
      </c>
      <c r="AA2223">
        <v>0</v>
      </c>
      <c r="AB2223" t="s">
        <v>1635</v>
      </c>
      <c r="AC2223" t="s">
        <v>1635</v>
      </c>
      <c r="AD2223" s="1" t="s">
        <v>1635</v>
      </c>
      <c r="AE2223" s="2" t="s">
        <v>1635</v>
      </c>
      <c r="AF2223" s="2" t="s">
        <v>1635</v>
      </c>
      <c r="AG2223" s="2" t="s">
        <v>1635</v>
      </c>
      <c r="AH2223">
        <v>8500</v>
      </c>
      <c r="AI2223" s="3" t="s">
        <v>1635</v>
      </c>
      <c r="AJ2223" s="1">
        <v>87</v>
      </c>
      <c r="AK2223" s="2">
        <v>46350</v>
      </c>
      <c r="AL2223" s="4">
        <v>120</v>
      </c>
      <c r="AM2223" s="5">
        <v>100</v>
      </c>
      <c r="AN2223" s="4">
        <v>87</v>
      </c>
      <c r="AO2223" t="s">
        <v>1635</v>
      </c>
      <c r="AP2223" s="4">
        <v>1</v>
      </c>
      <c r="AQ2223" t="s">
        <v>1619</v>
      </c>
      <c r="AR2223" t="s">
        <v>1620</v>
      </c>
      <c r="AS2223" t="s">
        <v>1666</v>
      </c>
      <c r="AT2223" s="16" t="str">
        <f>_xlfn.XLOOKUP(B2223,'SWiSH Demand Forecast Sep-26'!D:D,'SWiSH Demand Forecast Sep-26'!G:G,"Not Exist")</f>
        <v>Not Exist</v>
      </c>
    </row>
    <row r="2224" spans="1:46" x14ac:dyDescent="0.3">
      <c r="A2224">
        <v>106800379</v>
      </c>
      <c r="B2224" t="s">
        <v>4108</v>
      </c>
      <c r="C2224" t="s">
        <v>10</v>
      </c>
      <c r="D2224" t="s">
        <v>1613</v>
      </c>
      <c r="E2224" t="s">
        <v>1663</v>
      </c>
      <c r="F2224" t="s">
        <v>1664</v>
      </c>
      <c r="G2224" t="s">
        <v>1624</v>
      </c>
      <c r="H2224">
        <v>0</v>
      </c>
      <c r="I2224" t="s">
        <v>1634</v>
      </c>
      <c r="J2224" t="s">
        <v>10</v>
      </c>
      <c r="K2224">
        <v>4.0000000000000001E-3</v>
      </c>
      <c r="L2224">
        <v>131.99199999999999</v>
      </c>
      <c r="M2224" s="1">
        <v>7</v>
      </c>
      <c r="N2224">
        <v>0</v>
      </c>
      <c r="O2224">
        <v>0</v>
      </c>
      <c r="P2224">
        <v>32998</v>
      </c>
      <c r="Q2224" s="1">
        <v>32998</v>
      </c>
      <c r="R2224">
        <v>4.0000000000000001E-3</v>
      </c>
      <c r="S2224" s="2">
        <v>46239</v>
      </c>
      <c r="T2224" s="2">
        <v>46260</v>
      </c>
      <c r="U2224">
        <v>0</v>
      </c>
      <c r="V2224">
        <v>0</v>
      </c>
      <c r="W2224">
        <v>0</v>
      </c>
      <c r="X2224">
        <v>0</v>
      </c>
      <c r="Y2224">
        <v>0</v>
      </c>
      <c r="Z2224" s="8">
        <v>0</v>
      </c>
      <c r="AA2224">
        <v>0</v>
      </c>
      <c r="AB2224" t="s">
        <v>1635</v>
      </c>
      <c r="AC2224" t="s">
        <v>1635</v>
      </c>
      <c r="AD2224" s="1" t="s">
        <v>1635</v>
      </c>
      <c r="AE2224" s="2" t="s">
        <v>1635</v>
      </c>
      <c r="AF2224" s="2" t="s">
        <v>1635</v>
      </c>
      <c r="AG2224" s="2" t="s">
        <v>1635</v>
      </c>
      <c r="AH2224">
        <v>17002</v>
      </c>
      <c r="AI2224" s="3" t="s">
        <v>1635</v>
      </c>
      <c r="AJ2224" s="1">
        <v>56</v>
      </c>
      <c r="AK2224" s="2">
        <v>46319</v>
      </c>
      <c r="AL2224" s="4">
        <v>30</v>
      </c>
      <c r="AM2224" s="5">
        <v>15</v>
      </c>
      <c r="AN2224" s="4">
        <v>56</v>
      </c>
      <c r="AO2224" t="s">
        <v>1635</v>
      </c>
      <c r="AP2224" s="4">
        <v>1</v>
      </c>
      <c r="AQ2224" t="s">
        <v>1619</v>
      </c>
      <c r="AR2224" t="s">
        <v>1620</v>
      </c>
      <c r="AS2224" t="s">
        <v>1666</v>
      </c>
      <c r="AT2224" s="16" t="str">
        <f>_xlfn.XLOOKUP(B2224,'SWiSH Demand Forecast Sep-26'!D:D,'SWiSH Demand Forecast Sep-26'!G:G,"Not Exist")</f>
        <v>Not Exist</v>
      </c>
    </row>
    <row r="2225" spans="1:46" x14ac:dyDescent="0.3">
      <c r="A2225">
        <v>105700019</v>
      </c>
      <c r="B2225" t="s">
        <v>4109</v>
      </c>
      <c r="C2225" t="s">
        <v>10</v>
      </c>
      <c r="D2225" t="s">
        <v>1613</v>
      </c>
      <c r="E2225" t="s">
        <v>1622</v>
      </c>
      <c r="F2225" t="s">
        <v>1664</v>
      </c>
      <c r="G2225" t="s">
        <v>1624</v>
      </c>
      <c r="H2225">
        <v>0</v>
      </c>
      <c r="I2225" t="s">
        <v>1634</v>
      </c>
      <c r="J2225" t="s">
        <v>10</v>
      </c>
      <c r="K2225">
        <v>2.7E-2</v>
      </c>
      <c r="L2225">
        <v>0</v>
      </c>
      <c r="M2225" s="1">
        <v>7</v>
      </c>
      <c r="N2225">
        <v>0</v>
      </c>
      <c r="O2225">
        <v>0</v>
      </c>
      <c r="P2225">
        <v>0</v>
      </c>
      <c r="Q2225" s="1">
        <v>0</v>
      </c>
      <c r="R2225">
        <v>27</v>
      </c>
      <c r="S2225" s="2">
        <v>46233</v>
      </c>
      <c r="T2225" s="2">
        <v>46235</v>
      </c>
      <c r="U2225">
        <v>0</v>
      </c>
      <c r="V2225">
        <v>0</v>
      </c>
      <c r="W2225">
        <v>0</v>
      </c>
      <c r="X2225">
        <v>0</v>
      </c>
      <c r="Y2225">
        <v>0</v>
      </c>
      <c r="Z2225" s="8">
        <v>0</v>
      </c>
      <c r="AA2225">
        <v>0</v>
      </c>
      <c r="AB2225" t="s">
        <v>1635</v>
      </c>
      <c r="AC2225" t="s">
        <v>1635</v>
      </c>
      <c r="AD2225" s="1" t="s">
        <v>1635</v>
      </c>
      <c r="AE2225" s="2" t="s">
        <v>1635</v>
      </c>
      <c r="AF2225" s="2" t="s">
        <v>1635</v>
      </c>
      <c r="AG2225" s="2" t="s">
        <v>1635</v>
      </c>
      <c r="AH2225">
        <v>1000</v>
      </c>
      <c r="AI2225" s="3" t="s">
        <v>1635</v>
      </c>
      <c r="AJ2225" s="1">
        <v>0</v>
      </c>
      <c r="AK2225" s="2">
        <v>46263</v>
      </c>
      <c r="AL2225" s="4">
        <v>15</v>
      </c>
      <c r="AM2225" s="5">
        <v>15</v>
      </c>
      <c r="AN2225" s="4">
        <v>0</v>
      </c>
      <c r="AO2225" t="s">
        <v>1635</v>
      </c>
      <c r="AP2225" s="4">
        <v>2</v>
      </c>
      <c r="AQ2225" t="s">
        <v>1619</v>
      </c>
      <c r="AR2225" t="s">
        <v>1620</v>
      </c>
      <c r="AS2225" t="s">
        <v>1666</v>
      </c>
      <c r="AT2225" s="16" t="str">
        <f>_xlfn.XLOOKUP(B2225,'SWiSH Demand Forecast Sep-26'!D:D,'SWiSH Demand Forecast Sep-26'!G:G,"Not Exist")</f>
        <v>Not Exist</v>
      </c>
    </row>
    <row r="2226" spans="1:46" x14ac:dyDescent="0.3">
      <c r="A2226">
        <v>107400104</v>
      </c>
      <c r="B2226" t="s">
        <v>4110</v>
      </c>
      <c r="C2226" t="s">
        <v>10</v>
      </c>
      <c r="D2226" t="s">
        <v>1613</v>
      </c>
      <c r="E2226" t="s">
        <v>1701</v>
      </c>
      <c r="F2226" t="s">
        <v>1664</v>
      </c>
      <c r="G2226" t="s">
        <v>1624</v>
      </c>
      <c r="H2226">
        <v>0</v>
      </c>
      <c r="I2226" t="s">
        <v>1634</v>
      </c>
      <c r="J2226" t="s">
        <v>10</v>
      </c>
      <c r="K2226">
        <v>3.5000000000000003E-2</v>
      </c>
      <c r="L2226">
        <v>0</v>
      </c>
      <c r="M2226" s="1">
        <v>15</v>
      </c>
      <c r="N2226">
        <v>0</v>
      </c>
      <c r="O2226">
        <v>0</v>
      </c>
      <c r="P2226">
        <v>0</v>
      </c>
      <c r="Q2226" s="1">
        <v>0</v>
      </c>
      <c r="R2226">
        <v>3.5000000000000003E-2</v>
      </c>
      <c r="S2226" s="2">
        <v>46238</v>
      </c>
      <c r="T2226" s="2">
        <v>46240</v>
      </c>
      <c r="U2226">
        <v>0</v>
      </c>
      <c r="V2226">
        <v>0</v>
      </c>
      <c r="W2226">
        <v>0</v>
      </c>
      <c r="X2226">
        <v>0</v>
      </c>
      <c r="Y2226">
        <v>0</v>
      </c>
      <c r="Z2226" s="8">
        <v>0</v>
      </c>
      <c r="AA2226">
        <v>0</v>
      </c>
      <c r="AB2226" t="s">
        <v>1635</v>
      </c>
      <c r="AC2226" t="s">
        <v>1635</v>
      </c>
      <c r="AD2226" s="1" t="s">
        <v>1635</v>
      </c>
      <c r="AE2226" s="2" t="s">
        <v>1635</v>
      </c>
      <c r="AF2226" s="2" t="s">
        <v>1635</v>
      </c>
      <c r="AG2226" s="2" t="s">
        <v>1635</v>
      </c>
      <c r="AH2226">
        <v>7450</v>
      </c>
      <c r="AI2226" s="3" t="s">
        <v>1635</v>
      </c>
      <c r="AJ2226" s="1">
        <v>0</v>
      </c>
      <c r="AK2226" s="2">
        <v>46263</v>
      </c>
      <c r="AL2226" s="4">
        <v>30</v>
      </c>
      <c r="AM2226" s="5">
        <v>15</v>
      </c>
      <c r="AN2226" s="4">
        <v>0</v>
      </c>
      <c r="AO2226" t="s">
        <v>1635</v>
      </c>
      <c r="AP2226" s="4">
        <v>1</v>
      </c>
      <c r="AQ2226" t="s">
        <v>1619</v>
      </c>
      <c r="AR2226" t="s">
        <v>1620</v>
      </c>
      <c r="AS2226" t="s">
        <v>1666</v>
      </c>
      <c r="AT2226" s="16" t="str">
        <f>_xlfn.XLOOKUP(B2226,'SWiSH Demand Forecast Sep-26'!D:D,'SWiSH Demand Forecast Sep-26'!G:G,"Not Exist")</f>
        <v>Not Exist</v>
      </c>
    </row>
    <row r="2227" spans="1:46" x14ac:dyDescent="0.3">
      <c r="A2227">
        <v>105200035</v>
      </c>
      <c r="B2227" t="s">
        <v>4111</v>
      </c>
      <c r="C2227" t="s">
        <v>10</v>
      </c>
      <c r="D2227" t="s">
        <v>1613</v>
      </c>
      <c r="E2227" t="s">
        <v>1926</v>
      </c>
      <c r="F2227" t="s">
        <v>1664</v>
      </c>
      <c r="G2227" t="s">
        <v>1624</v>
      </c>
      <c r="H2227">
        <v>0</v>
      </c>
      <c r="I2227" t="s">
        <v>1634</v>
      </c>
      <c r="J2227" t="s">
        <v>10</v>
      </c>
      <c r="K2227">
        <v>1.4500000000000001E-2</v>
      </c>
      <c r="L2227">
        <v>0</v>
      </c>
      <c r="M2227" s="1">
        <v>15</v>
      </c>
      <c r="N2227">
        <v>0</v>
      </c>
      <c r="O2227">
        <v>0</v>
      </c>
      <c r="P2227">
        <v>0</v>
      </c>
      <c r="Q2227" s="1">
        <v>0</v>
      </c>
      <c r="R2227">
        <v>2.1000000000000001E-2</v>
      </c>
      <c r="S2227" s="2">
        <v>44376</v>
      </c>
      <c r="T2227" s="2">
        <v>46240</v>
      </c>
      <c r="U2227">
        <v>0</v>
      </c>
      <c r="V2227">
        <v>0</v>
      </c>
      <c r="W2227">
        <v>0</v>
      </c>
      <c r="X2227">
        <v>0</v>
      </c>
      <c r="Y2227">
        <v>0</v>
      </c>
      <c r="Z2227" s="8">
        <v>0</v>
      </c>
      <c r="AA2227">
        <v>0</v>
      </c>
      <c r="AB2227" t="s">
        <v>1635</v>
      </c>
      <c r="AC2227" t="s">
        <v>1635</v>
      </c>
      <c r="AD2227" s="1" t="s">
        <v>1635</v>
      </c>
      <c r="AE2227" s="2" t="s">
        <v>1635</v>
      </c>
      <c r="AF2227" s="2" t="s">
        <v>1635</v>
      </c>
      <c r="AG2227" s="2" t="s">
        <v>1635</v>
      </c>
      <c r="AH2227">
        <v>300</v>
      </c>
      <c r="AI2227" s="3" t="s">
        <v>1635</v>
      </c>
      <c r="AJ2227" s="1">
        <v>0</v>
      </c>
      <c r="AK2227" s="2">
        <v>46263</v>
      </c>
      <c r="AL2227" s="4">
        <v>15</v>
      </c>
      <c r="AM2227" s="5">
        <v>15</v>
      </c>
      <c r="AN2227" s="4">
        <v>0</v>
      </c>
      <c r="AO2227" t="s">
        <v>1635</v>
      </c>
      <c r="AP2227" s="4">
        <v>2</v>
      </c>
      <c r="AQ2227" t="s">
        <v>1619</v>
      </c>
      <c r="AR2227" t="s">
        <v>1620</v>
      </c>
      <c r="AS2227" t="s">
        <v>1666</v>
      </c>
      <c r="AT2227" s="16" t="str">
        <f>_xlfn.XLOOKUP(B2227,'SWiSH Demand Forecast Sep-26'!D:D,'SWiSH Demand Forecast Sep-26'!G:G,"Not Exist")</f>
        <v>Not Exist</v>
      </c>
    </row>
    <row r="2228" spans="1:46" x14ac:dyDescent="0.3">
      <c r="A2228">
        <v>100200012</v>
      </c>
      <c r="B2228" t="s">
        <v>4112</v>
      </c>
      <c r="C2228" t="s">
        <v>136</v>
      </c>
      <c r="D2228" t="s">
        <v>1613</v>
      </c>
      <c r="E2228" t="s">
        <v>1655</v>
      </c>
      <c r="F2228" t="s">
        <v>1752</v>
      </c>
      <c r="G2228" t="s">
        <v>1616</v>
      </c>
      <c r="H2228">
        <v>0</v>
      </c>
      <c r="I2228" t="s">
        <v>1754</v>
      </c>
      <c r="J2228" t="s">
        <v>136</v>
      </c>
      <c r="K2228">
        <v>2.2000000000000002</v>
      </c>
      <c r="L2228">
        <v>0</v>
      </c>
      <c r="M2228" s="1">
        <v>5</v>
      </c>
      <c r="N2228">
        <v>0</v>
      </c>
      <c r="O2228">
        <v>0</v>
      </c>
      <c r="P2228">
        <v>0</v>
      </c>
      <c r="Q2228" s="1">
        <v>0</v>
      </c>
      <c r="R2228">
        <v>22</v>
      </c>
      <c r="S2228" s="2">
        <v>46240</v>
      </c>
      <c r="T2228" s="2">
        <v>46263</v>
      </c>
      <c r="U2228">
        <v>0</v>
      </c>
      <c r="V2228">
        <v>0</v>
      </c>
      <c r="W2228">
        <v>0</v>
      </c>
      <c r="X2228">
        <v>0</v>
      </c>
      <c r="Y2228">
        <v>0</v>
      </c>
      <c r="Z2228" s="8">
        <v>0</v>
      </c>
      <c r="AA2228">
        <v>0</v>
      </c>
      <c r="AB2228" t="s">
        <v>1635</v>
      </c>
      <c r="AC2228" t="s">
        <v>1635</v>
      </c>
      <c r="AD2228" s="1" t="s">
        <v>1635</v>
      </c>
      <c r="AE2228" s="2" t="s">
        <v>1635</v>
      </c>
      <c r="AF2228" s="2" t="s">
        <v>1635</v>
      </c>
      <c r="AG2228" s="2" t="s">
        <v>1635</v>
      </c>
      <c r="AH2228">
        <v>1300</v>
      </c>
      <c r="AI2228" s="3" t="s">
        <v>1635</v>
      </c>
      <c r="AJ2228" s="1">
        <v>0</v>
      </c>
      <c r="AK2228" s="2">
        <v>46263</v>
      </c>
      <c r="AL2228" s="4">
        <v>15</v>
      </c>
      <c r="AM2228" s="5">
        <v>15</v>
      </c>
      <c r="AN2228" s="4">
        <v>0</v>
      </c>
      <c r="AO2228" t="s">
        <v>1635</v>
      </c>
      <c r="AP2228" s="4">
        <v>2</v>
      </c>
      <c r="AQ2228">
        <v>150</v>
      </c>
      <c r="AR2228" t="s">
        <v>2019</v>
      </c>
      <c r="AS2228" t="s">
        <v>1666</v>
      </c>
      <c r="AT2228" s="16" t="str">
        <f>_xlfn.XLOOKUP(B2228,'SWiSH Demand Forecast Sep-26'!D:D,'SWiSH Demand Forecast Sep-26'!G:G,"Not Exist")</f>
        <v>Not Exist</v>
      </c>
    </row>
    <row r="2229" spans="1:46" x14ac:dyDescent="0.3">
      <c r="A2229">
        <v>106600157</v>
      </c>
      <c r="B2229" t="s">
        <v>4113</v>
      </c>
      <c r="C2229" t="s">
        <v>10</v>
      </c>
      <c r="D2229" t="s">
        <v>1613</v>
      </c>
      <c r="E2229" t="s">
        <v>1655</v>
      </c>
      <c r="F2229" t="s">
        <v>1664</v>
      </c>
      <c r="G2229" t="s">
        <v>1624</v>
      </c>
      <c r="H2229">
        <v>0</v>
      </c>
      <c r="I2229" t="s">
        <v>1634</v>
      </c>
      <c r="J2229" t="s">
        <v>10</v>
      </c>
      <c r="K2229">
        <v>5.0000000000000001E-3</v>
      </c>
      <c r="L2229">
        <v>142.5</v>
      </c>
      <c r="M2229" s="1">
        <v>15</v>
      </c>
      <c r="N2229">
        <v>0</v>
      </c>
      <c r="O2229">
        <v>0</v>
      </c>
      <c r="P2229">
        <v>28500</v>
      </c>
      <c r="Q2229" s="1">
        <v>28500</v>
      </c>
      <c r="R2229">
        <v>5.4000000000000003E-3</v>
      </c>
      <c r="S2229" s="2">
        <v>46247</v>
      </c>
      <c r="T2229" s="2">
        <v>46243</v>
      </c>
      <c r="U2229">
        <v>0</v>
      </c>
      <c r="V2229">
        <v>0</v>
      </c>
      <c r="W2229">
        <v>0</v>
      </c>
      <c r="X2229">
        <v>0</v>
      </c>
      <c r="Y2229">
        <v>0</v>
      </c>
      <c r="Z2229" s="8">
        <v>0</v>
      </c>
      <c r="AA2229">
        <v>0</v>
      </c>
      <c r="AB2229" t="s">
        <v>1635</v>
      </c>
      <c r="AC2229" t="s">
        <v>1635</v>
      </c>
      <c r="AD2229" s="1" t="s">
        <v>1635</v>
      </c>
      <c r="AE2229" s="2" t="s">
        <v>1635</v>
      </c>
      <c r="AF2229" s="2" t="s">
        <v>1635</v>
      </c>
      <c r="AG2229" s="2" t="s">
        <v>1635</v>
      </c>
      <c r="AH2229">
        <v>15000</v>
      </c>
      <c r="AI2229" s="3" t="s">
        <v>1635</v>
      </c>
      <c r="AJ2229" s="1">
        <v>55</v>
      </c>
      <c r="AK2229" s="2">
        <v>46318</v>
      </c>
      <c r="AL2229" s="4">
        <v>15</v>
      </c>
      <c r="AM2229" s="5">
        <v>15</v>
      </c>
      <c r="AN2229" s="4">
        <v>55</v>
      </c>
      <c r="AO2229" t="s">
        <v>1635</v>
      </c>
      <c r="AP2229" s="4">
        <v>2</v>
      </c>
      <c r="AQ2229">
        <v>6500</v>
      </c>
      <c r="AR2229" t="s">
        <v>2034</v>
      </c>
      <c r="AS2229" t="s">
        <v>1666</v>
      </c>
      <c r="AT2229" s="16" t="str">
        <f>_xlfn.XLOOKUP(B2229,'SWiSH Demand Forecast Sep-26'!D:D,'SWiSH Demand Forecast Sep-26'!G:G,"Not Exist")</f>
        <v>Not Exist</v>
      </c>
    </row>
    <row r="2230" spans="1:46" x14ac:dyDescent="0.3">
      <c r="A2230">
        <v>103700139</v>
      </c>
      <c r="B2230" t="s">
        <v>4114</v>
      </c>
      <c r="C2230" t="s">
        <v>136</v>
      </c>
      <c r="D2230" t="s">
        <v>1613</v>
      </c>
      <c r="E2230" t="s">
        <v>1622</v>
      </c>
      <c r="F2230" t="s">
        <v>1615</v>
      </c>
      <c r="G2230" t="s">
        <v>1616</v>
      </c>
      <c r="H2230">
        <v>0</v>
      </c>
      <c r="I2230" t="s">
        <v>1618</v>
      </c>
      <c r="J2230" t="s">
        <v>136</v>
      </c>
      <c r="K2230">
        <v>0.82</v>
      </c>
      <c r="L2230">
        <v>32.799999999999997</v>
      </c>
      <c r="M2230" s="1">
        <v>3</v>
      </c>
      <c r="N2230">
        <v>0</v>
      </c>
      <c r="O2230">
        <v>0</v>
      </c>
      <c r="P2230">
        <v>40</v>
      </c>
      <c r="Q2230" s="1">
        <v>40</v>
      </c>
      <c r="R2230">
        <v>0.41</v>
      </c>
      <c r="S2230" s="2">
        <v>46263</v>
      </c>
      <c r="T2230" s="2">
        <v>46263</v>
      </c>
      <c r="U2230">
        <v>0</v>
      </c>
      <c r="V2230">
        <v>0</v>
      </c>
      <c r="W2230">
        <v>0</v>
      </c>
      <c r="X2230">
        <v>0</v>
      </c>
      <c r="Y2230">
        <v>0</v>
      </c>
      <c r="Z2230" s="8">
        <v>0</v>
      </c>
      <c r="AA2230">
        <v>0</v>
      </c>
      <c r="AB2230" t="s">
        <v>1635</v>
      </c>
      <c r="AC2230" t="s">
        <v>1635</v>
      </c>
      <c r="AD2230" s="1" t="s">
        <v>1635</v>
      </c>
      <c r="AE2230" s="2" t="s">
        <v>1635</v>
      </c>
      <c r="AF2230" s="2" t="s">
        <v>1635</v>
      </c>
      <c r="AG2230" s="2" t="s">
        <v>1635</v>
      </c>
      <c r="AH2230">
        <v>31</v>
      </c>
      <c r="AI2230" s="3" t="s">
        <v>1635</v>
      </c>
      <c r="AJ2230" s="1">
        <v>37</v>
      </c>
      <c r="AK2230" s="2">
        <v>46300</v>
      </c>
      <c r="AL2230" s="4">
        <v>30</v>
      </c>
      <c r="AM2230" s="5">
        <v>15</v>
      </c>
      <c r="AN2230" s="4">
        <v>37</v>
      </c>
      <c r="AO2230" t="s">
        <v>1635</v>
      </c>
      <c r="AP2230" s="4">
        <v>1</v>
      </c>
      <c r="AQ2230" t="s">
        <v>1619</v>
      </c>
      <c r="AR2230" t="s">
        <v>1620</v>
      </c>
      <c r="AS2230" t="s">
        <v>1666</v>
      </c>
      <c r="AT2230" s="16" t="str">
        <f>_xlfn.XLOOKUP(B2230,'SWiSH Demand Forecast Sep-26'!D:D,'SWiSH Demand Forecast Sep-26'!G:G,"Not Exist")</f>
        <v>Not Exist</v>
      </c>
    </row>
    <row r="2231" spans="1:46" x14ac:dyDescent="0.3">
      <c r="A2231">
        <v>106800380</v>
      </c>
      <c r="B2231" t="s">
        <v>4115</v>
      </c>
      <c r="C2231" t="s">
        <v>10</v>
      </c>
      <c r="D2231" t="s">
        <v>1613</v>
      </c>
      <c r="E2231" t="s">
        <v>1655</v>
      </c>
      <c r="F2231" t="s">
        <v>1664</v>
      </c>
      <c r="G2231" t="s">
        <v>1624</v>
      </c>
      <c r="H2231">
        <v>0</v>
      </c>
      <c r="I2231" t="s">
        <v>1634</v>
      </c>
      <c r="J2231" t="s">
        <v>10</v>
      </c>
      <c r="K2231">
        <v>8.9999999999999993E-3</v>
      </c>
      <c r="L2231">
        <v>234.54</v>
      </c>
      <c r="M2231" s="1">
        <v>7</v>
      </c>
      <c r="N2231">
        <v>0</v>
      </c>
      <c r="O2231">
        <v>0</v>
      </c>
      <c r="P2231">
        <v>26060</v>
      </c>
      <c r="Q2231" s="1">
        <v>26060</v>
      </c>
      <c r="R2231">
        <v>8.9999999999999993E-3</v>
      </c>
      <c r="S2231" s="2">
        <v>46249</v>
      </c>
      <c r="T2231" s="2">
        <v>46260</v>
      </c>
      <c r="U2231">
        <v>0</v>
      </c>
      <c r="V2231">
        <v>0</v>
      </c>
      <c r="W2231">
        <v>0</v>
      </c>
      <c r="X2231">
        <v>0</v>
      </c>
      <c r="Y2231">
        <v>0</v>
      </c>
      <c r="Z2231" s="8">
        <v>0</v>
      </c>
      <c r="AA2231">
        <v>0</v>
      </c>
      <c r="AB2231" t="s">
        <v>1635</v>
      </c>
      <c r="AC2231" t="s">
        <v>1635</v>
      </c>
      <c r="AD2231" s="1" t="s">
        <v>1635</v>
      </c>
      <c r="AE2231" s="2" t="s">
        <v>1635</v>
      </c>
      <c r="AF2231" s="2" t="s">
        <v>1635</v>
      </c>
      <c r="AG2231" s="2" t="s">
        <v>1635</v>
      </c>
      <c r="AH2231">
        <v>27940</v>
      </c>
      <c r="AI2231" s="3" t="s">
        <v>1635</v>
      </c>
      <c r="AJ2231" s="1">
        <v>27</v>
      </c>
      <c r="AK2231" s="2">
        <v>46290</v>
      </c>
      <c r="AL2231" s="4">
        <v>30</v>
      </c>
      <c r="AM2231" s="5">
        <v>15</v>
      </c>
      <c r="AN2231" s="4">
        <v>27</v>
      </c>
      <c r="AO2231" t="s">
        <v>1635</v>
      </c>
      <c r="AP2231" s="4">
        <v>1</v>
      </c>
      <c r="AQ2231" t="s">
        <v>1619</v>
      </c>
      <c r="AR2231" t="s">
        <v>1620</v>
      </c>
      <c r="AS2231" t="s">
        <v>1666</v>
      </c>
      <c r="AT2231" s="16" t="str">
        <f>_xlfn.XLOOKUP(B2231,'SWiSH Demand Forecast Sep-26'!D:D,'SWiSH Demand Forecast Sep-26'!G:G,"Not Exist")</f>
        <v>Not Exist</v>
      </c>
    </row>
    <row r="2232" spans="1:46" x14ac:dyDescent="0.3">
      <c r="A2232">
        <v>106800381</v>
      </c>
      <c r="B2232" t="s">
        <v>4116</v>
      </c>
      <c r="C2232" t="s">
        <v>10</v>
      </c>
      <c r="D2232" t="s">
        <v>1613</v>
      </c>
      <c r="E2232" t="s">
        <v>1685</v>
      </c>
      <c r="F2232" t="s">
        <v>1664</v>
      </c>
      <c r="G2232" t="s">
        <v>1624</v>
      </c>
      <c r="H2232">
        <v>0</v>
      </c>
      <c r="I2232" t="s">
        <v>1634</v>
      </c>
      <c r="J2232" t="s">
        <v>10</v>
      </c>
      <c r="K2232">
        <v>1.2E-2</v>
      </c>
      <c r="L2232">
        <v>0</v>
      </c>
      <c r="M2232" s="1">
        <v>7</v>
      </c>
      <c r="N2232">
        <v>0</v>
      </c>
      <c r="O2232">
        <v>0</v>
      </c>
      <c r="P2232">
        <v>0</v>
      </c>
      <c r="Q2232" s="1">
        <v>0</v>
      </c>
      <c r="R2232">
        <v>1.2E-2</v>
      </c>
      <c r="S2232" s="2">
        <v>46244</v>
      </c>
      <c r="T2232" s="2">
        <v>46247</v>
      </c>
      <c r="U2232">
        <v>0</v>
      </c>
      <c r="V2232">
        <v>0</v>
      </c>
      <c r="W2232">
        <v>0</v>
      </c>
      <c r="X2232">
        <v>0</v>
      </c>
      <c r="Y2232">
        <v>0</v>
      </c>
      <c r="Z2232" s="8">
        <v>0</v>
      </c>
      <c r="AA2232">
        <v>0</v>
      </c>
      <c r="AB2232" t="s">
        <v>1635</v>
      </c>
      <c r="AC2232" t="s">
        <v>1635</v>
      </c>
      <c r="AD2232" s="1" t="s">
        <v>1635</v>
      </c>
      <c r="AE2232" s="2" t="s">
        <v>1635</v>
      </c>
      <c r="AF2232" s="2" t="s">
        <v>1635</v>
      </c>
      <c r="AG2232" s="2" t="s">
        <v>1635</v>
      </c>
      <c r="AH2232">
        <v>5000</v>
      </c>
      <c r="AI2232" s="3" t="s">
        <v>1635</v>
      </c>
      <c r="AJ2232" s="1">
        <v>0</v>
      </c>
      <c r="AK2232" s="2">
        <v>46263</v>
      </c>
      <c r="AL2232" s="4">
        <v>0</v>
      </c>
      <c r="AM2232" s="5">
        <v>0</v>
      </c>
      <c r="AN2232" s="4">
        <v>0</v>
      </c>
      <c r="AO2232" t="s">
        <v>1635</v>
      </c>
      <c r="AP2232" s="4">
        <v>0</v>
      </c>
      <c r="AQ2232" t="s">
        <v>1619</v>
      </c>
      <c r="AR2232" t="s">
        <v>1620</v>
      </c>
      <c r="AS2232" t="s">
        <v>1666</v>
      </c>
      <c r="AT2232" s="16" t="str">
        <f>_xlfn.XLOOKUP(B2232,'SWiSH Demand Forecast Sep-26'!D:D,'SWiSH Demand Forecast Sep-26'!G:G,"Not Exist")</f>
        <v>Not Exist</v>
      </c>
    </row>
    <row r="2233" spans="1:46" x14ac:dyDescent="0.3">
      <c r="A2233">
        <v>100400256</v>
      </c>
      <c r="B2233" t="s">
        <v>4117</v>
      </c>
      <c r="C2233" t="s">
        <v>10</v>
      </c>
      <c r="D2233" t="s">
        <v>1613</v>
      </c>
      <c r="E2233" t="s">
        <v>1655</v>
      </c>
      <c r="F2233" t="s">
        <v>1664</v>
      </c>
      <c r="G2233" t="s">
        <v>1624</v>
      </c>
      <c r="H2233">
        <v>0</v>
      </c>
      <c r="I2233" t="s">
        <v>1634</v>
      </c>
      <c r="J2233" t="s">
        <v>10</v>
      </c>
      <c r="K2233">
        <v>7.4999999999999997E-2</v>
      </c>
      <c r="L2233">
        <v>210</v>
      </c>
      <c r="M2233" s="1">
        <v>15</v>
      </c>
      <c r="N2233">
        <v>0</v>
      </c>
      <c r="O2233">
        <v>0</v>
      </c>
      <c r="P2233">
        <v>2800</v>
      </c>
      <c r="Q2233" s="1">
        <v>2800</v>
      </c>
      <c r="R2233">
        <v>7.4999999999999997E-2</v>
      </c>
      <c r="S2233" s="2">
        <v>46258</v>
      </c>
      <c r="T2233" s="2">
        <v>46254</v>
      </c>
      <c r="U2233">
        <v>0</v>
      </c>
      <c r="V2233">
        <v>0</v>
      </c>
      <c r="W2233">
        <v>0</v>
      </c>
      <c r="X2233">
        <v>0</v>
      </c>
      <c r="Y2233">
        <v>0</v>
      </c>
      <c r="Z2233" s="8">
        <v>0</v>
      </c>
      <c r="AA2233">
        <v>0</v>
      </c>
      <c r="AB2233" t="s">
        <v>1635</v>
      </c>
      <c r="AC2233" t="s">
        <v>1635</v>
      </c>
      <c r="AD2233" s="1" t="s">
        <v>1635</v>
      </c>
      <c r="AE2233" s="2" t="s">
        <v>1635</v>
      </c>
      <c r="AF2233" s="2" t="s">
        <v>1635</v>
      </c>
      <c r="AG2233" s="2" t="s">
        <v>1635</v>
      </c>
      <c r="AH2233">
        <v>700</v>
      </c>
      <c r="AI2233" s="3" t="s">
        <v>1635</v>
      </c>
      <c r="AJ2233" s="1">
        <v>116</v>
      </c>
      <c r="AK2233" s="2">
        <v>46379</v>
      </c>
      <c r="AL2233" s="4">
        <v>0</v>
      </c>
      <c r="AM2233" s="5">
        <v>0</v>
      </c>
      <c r="AN2233" s="4">
        <v>116</v>
      </c>
      <c r="AO2233" t="s">
        <v>1635</v>
      </c>
      <c r="AP2233" s="4">
        <v>0</v>
      </c>
      <c r="AQ2233">
        <v>1500</v>
      </c>
      <c r="AR2233" t="s">
        <v>3109</v>
      </c>
      <c r="AS2233" t="s">
        <v>1666</v>
      </c>
      <c r="AT2233" s="16" t="str">
        <f>_xlfn.XLOOKUP(B2233,'SWiSH Demand Forecast Sep-26'!D:D,'SWiSH Demand Forecast Sep-26'!G:G,"Not Exist")</f>
        <v>Not Exist</v>
      </c>
    </row>
    <row r="2234" spans="1:46" x14ac:dyDescent="0.3">
      <c r="A2234">
        <v>100300031</v>
      </c>
      <c r="B2234" t="s">
        <v>4118</v>
      </c>
      <c r="C2234" t="s">
        <v>136</v>
      </c>
      <c r="D2234" t="s">
        <v>1613</v>
      </c>
      <c r="E2234" t="s">
        <v>1655</v>
      </c>
      <c r="F2234" t="s">
        <v>1752</v>
      </c>
      <c r="G2234" t="s">
        <v>1616</v>
      </c>
      <c r="H2234">
        <v>0</v>
      </c>
      <c r="I2234" t="s">
        <v>1754</v>
      </c>
      <c r="J2234" t="s">
        <v>136</v>
      </c>
      <c r="K2234">
        <v>3.15</v>
      </c>
      <c r="L2234">
        <v>409.5</v>
      </c>
      <c r="M2234" s="1">
        <v>5</v>
      </c>
      <c r="N2234">
        <v>0</v>
      </c>
      <c r="O2234">
        <v>7.5</v>
      </c>
      <c r="P2234">
        <v>130</v>
      </c>
      <c r="Q2234" s="1">
        <v>122.5</v>
      </c>
      <c r="R2234">
        <v>3.15</v>
      </c>
      <c r="S2234" s="2">
        <v>46261</v>
      </c>
      <c r="T2234" s="2">
        <v>46262</v>
      </c>
      <c r="U2234">
        <v>0</v>
      </c>
      <c r="V2234">
        <v>0</v>
      </c>
      <c r="W2234">
        <v>0</v>
      </c>
      <c r="X2234">
        <v>0</v>
      </c>
      <c r="Y2234">
        <v>0</v>
      </c>
      <c r="Z2234" s="8">
        <v>0</v>
      </c>
      <c r="AA2234">
        <v>0</v>
      </c>
      <c r="AB2234" t="s">
        <v>1635</v>
      </c>
      <c r="AC2234" t="s">
        <v>1635</v>
      </c>
      <c r="AD2234" s="1" t="s">
        <v>1635</v>
      </c>
      <c r="AE2234" s="2" t="s">
        <v>1635</v>
      </c>
      <c r="AF2234" s="2" t="s">
        <v>1635</v>
      </c>
      <c r="AG2234" s="2" t="s">
        <v>1635</v>
      </c>
      <c r="AH2234">
        <v>116.25</v>
      </c>
      <c r="AI2234" s="3" t="s">
        <v>1635</v>
      </c>
      <c r="AJ2234" s="1">
        <v>30</v>
      </c>
      <c r="AK2234" s="2">
        <v>46293</v>
      </c>
      <c r="AL2234" s="4">
        <v>0</v>
      </c>
      <c r="AM2234" s="5">
        <v>0</v>
      </c>
      <c r="AN2234" s="4">
        <v>30</v>
      </c>
      <c r="AO2234" t="s">
        <v>1635</v>
      </c>
      <c r="AP2234" s="4">
        <v>0</v>
      </c>
      <c r="AQ2234" t="s">
        <v>1619</v>
      </c>
      <c r="AR2234" t="s">
        <v>1620</v>
      </c>
      <c r="AS2234" t="s">
        <v>1666</v>
      </c>
      <c r="AT2234" s="16" t="str">
        <f>_xlfn.XLOOKUP(B2234,'SWiSH Demand Forecast Sep-26'!D:D,'SWiSH Demand Forecast Sep-26'!G:G,"Not Exist")</f>
        <v>Not Exist</v>
      </c>
    </row>
    <row r="2235" spans="1:46" x14ac:dyDescent="0.3">
      <c r="A2235">
        <v>103100003</v>
      </c>
      <c r="B2235" t="s">
        <v>4119</v>
      </c>
      <c r="C2235" t="s">
        <v>10</v>
      </c>
      <c r="D2235" t="s">
        <v>1613</v>
      </c>
      <c r="E2235" t="s">
        <v>1685</v>
      </c>
      <c r="F2235" t="s">
        <v>1752</v>
      </c>
      <c r="G2235" t="s">
        <v>1681</v>
      </c>
      <c r="H2235">
        <v>0</v>
      </c>
      <c r="I2235" t="s">
        <v>1754</v>
      </c>
      <c r="J2235" t="s">
        <v>10</v>
      </c>
      <c r="K2235">
        <v>0.140625</v>
      </c>
      <c r="L2235">
        <v>0</v>
      </c>
      <c r="M2235" s="1">
        <v>3</v>
      </c>
      <c r="N2235">
        <v>0</v>
      </c>
      <c r="O2235">
        <v>0</v>
      </c>
      <c r="P2235">
        <v>0</v>
      </c>
      <c r="Q2235" s="1">
        <v>0</v>
      </c>
      <c r="R2235">
        <v>10.5</v>
      </c>
      <c r="S2235" s="2">
        <v>45658</v>
      </c>
      <c r="T2235" s="2">
        <v>46251</v>
      </c>
      <c r="U2235">
        <v>0</v>
      </c>
      <c r="V2235">
        <v>0</v>
      </c>
      <c r="W2235">
        <v>0</v>
      </c>
      <c r="X2235">
        <v>0</v>
      </c>
      <c r="Y2235">
        <v>0</v>
      </c>
      <c r="Z2235" s="8">
        <v>0</v>
      </c>
      <c r="AA2235">
        <v>0</v>
      </c>
      <c r="AB2235" t="s">
        <v>1635</v>
      </c>
      <c r="AC2235" t="s">
        <v>1635</v>
      </c>
      <c r="AD2235" s="1" t="s">
        <v>1635</v>
      </c>
      <c r="AE2235" s="2" t="s">
        <v>1635</v>
      </c>
      <c r="AF2235" s="2" t="s">
        <v>1635</v>
      </c>
      <c r="AG2235" s="2" t="s">
        <v>1635</v>
      </c>
      <c r="AH2235">
        <v>1</v>
      </c>
      <c r="AI2235" s="3" t="s">
        <v>1635</v>
      </c>
      <c r="AJ2235" s="1">
        <v>0</v>
      </c>
      <c r="AK2235" s="2">
        <v>46263</v>
      </c>
      <c r="AL2235" s="4">
        <v>0</v>
      </c>
      <c r="AM2235" s="5">
        <v>0</v>
      </c>
      <c r="AN2235" s="4">
        <v>0</v>
      </c>
      <c r="AO2235" t="s">
        <v>1635</v>
      </c>
      <c r="AP2235" s="4">
        <v>0</v>
      </c>
      <c r="AQ2235" t="s">
        <v>1619</v>
      </c>
      <c r="AR2235" t="s">
        <v>1620</v>
      </c>
      <c r="AS2235" t="s">
        <v>1666</v>
      </c>
      <c r="AT2235" s="16" t="str">
        <f>_xlfn.XLOOKUP(B2235,'SWiSH Demand Forecast Sep-26'!D:D,'SWiSH Demand Forecast Sep-26'!G:G,"Not Exist")</f>
        <v>Not Exist</v>
      </c>
    </row>
    <row r="2236" spans="1:46" x14ac:dyDescent="0.3">
      <c r="A2236">
        <v>106700001</v>
      </c>
      <c r="B2236" t="s">
        <v>4120</v>
      </c>
      <c r="C2236" t="s">
        <v>10</v>
      </c>
      <c r="D2236" t="s">
        <v>1613</v>
      </c>
      <c r="E2236" t="s">
        <v>1643</v>
      </c>
      <c r="F2236" t="s">
        <v>1650</v>
      </c>
      <c r="G2236" t="s">
        <v>1632</v>
      </c>
      <c r="H2236">
        <v>0</v>
      </c>
      <c r="I2236" t="s">
        <v>1634</v>
      </c>
      <c r="J2236" t="s">
        <v>10</v>
      </c>
      <c r="K2236">
        <v>2.5</v>
      </c>
      <c r="L2236">
        <v>0</v>
      </c>
      <c r="M2236" s="1">
        <v>3</v>
      </c>
      <c r="N2236">
        <v>0</v>
      </c>
      <c r="O2236">
        <v>0</v>
      </c>
      <c r="P2236">
        <v>0</v>
      </c>
      <c r="Q2236" s="1">
        <v>0</v>
      </c>
      <c r="R2236">
        <v>2.5</v>
      </c>
      <c r="S2236" s="2">
        <v>46249</v>
      </c>
      <c r="T2236" s="2">
        <v>46250</v>
      </c>
      <c r="U2236">
        <v>0</v>
      </c>
      <c r="V2236">
        <v>0</v>
      </c>
      <c r="W2236">
        <v>0</v>
      </c>
      <c r="X2236">
        <v>0</v>
      </c>
      <c r="Y2236">
        <v>0</v>
      </c>
      <c r="Z2236" s="8">
        <v>0</v>
      </c>
      <c r="AA2236">
        <v>0</v>
      </c>
      <c r="AB2236" t="s">
        <v>1635</v>
      </c>
      <c r="AC2236" t="s">
        <v>1635</v>
      </c>
      <c r="AD2236" s="1" t="s">
        <v>1635</v>
      </c>
      <c r="AE2236" s="2" t="s">
        <v>1635</v>
      </c>
      <c r="AF2236" s="2" t="s">
        <v>1635</v>
      </c>
      <c r="AG2236" s="2" t="s">
        <v>1635</v>
      </c>
      <c r="AH2236">
        <v>10</v>
      </c>
      <c r="AI2236" s="3" t="s">
        <v>1635</v>
      </c>
      <c r="AJ2236" s="1">
        <v>0</v>
      </c>
      <c r="AK2236" s="2">
        <v>46263</v>
      </c>
      <c r="AL2236" s="4">
        <v>0</v>
      </c>
      <c r="AM2236" s="5">
        <v>0</v>
      </c>
      <c r="AN2236" s="4">
        <v>0</v>
      </c>
      <c r="AO2236" t="s">
        <v>1635</v>
      </c>
      <c r="AP2236" s="4">
        <v>0</v>
      </c>
      <c r="AQ2236" t="s">
        <v>1619</v>
      </c>
      <c r="AR2236" t="s">
        <v>1620</v>
      </c>
      <c r="AS2236" t="s">
        <v>1666</v>
      </c>
      <c r="AT2236" s="16" t="str">
        <f>_xlfn.XLOOKUP(B2236,'SWiSH Demand Forecast Sep-26'!D:D,'SWiSH Demand Forecast Sep-26'!G:G,"Not Exist")</f>
        <v>Not Exist</v>
      </c>
    </row>
    <row r="2237" spans="1:46" x14ac:dyDescent="0.3">
      <c r="A2237">
        <v>101100061</v>
      </c>
      <c r="B2237" t="s">
        <v>4121</v>
      </c>
      <c r="C2237" t="s">
        <v>10</v>
      </c>
      <c r="D2237" t="s">
        <v>1613</v>
      </c>
      <c r="E2237" t="s">
        <v>1995</v>
      </c>
      <c r="F2237" t="s">
        <v>1650</v>
      </c>
      <c r="G2237" t="s">
        <v>1624</v>
      </c>
      <c r="H2237">
        <v>0</v>
      </c>
      <c r="I2237" t="s">
        <v>1634</v>
      </c>
      <c r="J2237" t="s">
        <v>10</v>
      </c>
      <c r="K2237">
        <v>24.5</v>
      </c>
      <c r="L2237">
        <v>0</v>
      </c>
      <c r="M2237" s="1">
        <v>3</v>
      </c>
      <c r="N2237">
        <v>0</v>
      </c>
      <c r="O2237">
        <v>0</v>
      </c>
      <c r="P2237">
        <v>0</v>
      </c>
      <c r="Q2237" s="1">
        <v>0</v>
      </c>
      <c r="R2237">
        <v>24.5</v>
      </c>
      <c r="S2237" s="2">
        <v>46246</v>
      </c>
      <c r="T2237" s="2">
        <v>46250</v>
      </c>
      <c r="U2237">
        <v>0</v>
      </c>
      <c r="V2237">
        <v>0</v>
      </c>
      <c r="W2237">
        <v>0</v>
      </c>
      <c r="X2237">
        <v>0</v>
      </c>
      <c r="Y2237">
        <v>0</v>
      </c>
      <c r="Z2237" s="8">
        <v>0</v>
      </c>
      <c r="AA2237">
        <v>0</v>
      </c>
      <c r="AB2237" t="s">
        <v>1635</v>
      </c>
      <c r="AC2237" t="s">
        <v>1635</v>
      </c>
      <c r="AD2237" s="1" t="s">
        <v>1635</v>
      </c>
      <c r="AE2237" s="2" t="s">
        <v>1635</v>
      </c>
      <c r="AF2237" s="2" t="s">
        <v>1635</v>
      </c>
      <c r="AG2237" s="2" t="s">
        <v>1635</v>
      </c>
      <c r="AH2237">
        <v>1</v>
      </c>
      <c r="AI2237" s="3" t="s">
        <v>1635</v>
      </c>
      <c r="AJ2237" s="1">
        <v>0</v>
      </c>
      <c r="AK2237" s="2">
        <v>46263</v>
      </c>
      <c r="AL2237" s="4">
        <v>0</v>
      </c>
      <c r="AM2237" s="5">
        <v>0</v>
      </c>
      <c r="AN2237" s="4">
        <v>0</v>
      </c>
      <c r="AO2237" t="s">
        <v>1635</v>
      </c>
      <c r="AP2237" s="4">
        <v>0</v>
      </c>
      <c r="AQ2237" t="s">
        <v>1619</v>
      </c>
      <c r="AR2237" t="s">
        <v>1620</v>
      </c>
      <c r="AS2237" t="s">
        <v>1666</v>
      </c>
      <c r="AT2237" s="16" t="str">
        <f>_xlfn.XLOOKUP(B2237,'SWiSH Demand Forecast Sep-26'!D:D,'SWiSH Demand Forecast Sep-26'!G:G,"Not Exist")</f>
        <v>Not Exist</v>
      </c>
    </row>
    <row r="2238" spans="1:46" x14ac:dyDescent="0.3">
      <c r="A2238">
        <v>101100063</v>
      </c>
      <c r="B2238" t="s">
        <v>4122</v>
      </c>
      <c r="C2238" t="s">
        <v>10</v>
      </c>
      <c r="D2238" t="s">
        <v>1613</v>
      </c>
      <c r="E2238" t="s">
        <v>1995</v>
      </c>
      <c r="F2238" t="s">
        <v>1650</v>
      </c>
      <c r="G2238" t="s">
        <v>1624</v>
      </c>
      <c r="H2238">
        <v>0</v>
      </c>
      <c r="I2238" t="s">
        <v>1634</v>
      </c>
      <c r="J2238" t="s">
        <v>10</v>
      </c>
      <c r="K2238">
        <v>26.5</v>
      </c>
      <c r="L2238">
        <v>0</v>
      </c>
      <c r="M2238" s="1">
        <v>3</v>
      </c>
      <c r="N2238">
        <v>0</v>
      </c>
      <c r="O2238">
        <v>0</v>
      </c>
      <c r="P2238">
        <v>0</v>
      </c>
      <c r="Q2238" s="1">
        <v>0</v>
      </c>
      <c r="R2238">
        <v>26.5</v>
      </c>
      <c r="S2238" s="2">
        <v>46246</v>
      </c>
      <c r="T2238" s="2">
        <v>46250</v>
      </c>
      <c r="U2238">
        <v>0</v>
      </c>
      <c r="V2238">
        <v>0</v>
      </c>
      <c r="W2238">
        <v>0</v>
      </c>
      <c r="X2238">
        <v>0</v>
      </c>
      <c r="Y2238">
        <v>0</v>
      </c>
      <c r="Z2238" s="8">
        <v>0</v>
      </c>
      <c r="AA2238">
        <v>0</v>
      </c>
      <c r="AB2238" t="s">
        <v>1635</v>
      </c>
      <c r="AC2238" t="s">
        <v>1635</v>
      </c>
      <c r="AD2238" s="1" t="s">
        <v>1635</v>
      </c>
      <c r="AE2238" s="2" t="s">
        <v>1635</v>
      </c>
      <c r="AF2238" s="2" t="s">
        <v>1635</v>
      </c>
      <c r="AG2238" s="2" t="s">
        <v>1635</v>
      </c>
      <c r="AH2238">
        <v>1</v>
      </c>
      <c r="AI2238" s="3" t="s">
        <v>1635</v>
      </c>
      <c r="AJ2238" s="1">
        <v>0</v>
      </c>
      <c r="AK2238" s="2">
        <v>46263</v>
      </c>
      <c r="AL2238" s="4">
        <v>0</v>
      </c>
      <c r="AM2238" s="5">
        <v>0</v>
      </c>
      <c r="AN2238" s="4">
        <v>0</v>
      </c>
      <c r="AO2238" t="s">
        <v>1635</v>
      </c>
      <c r="AP2238" s="4">
        <v>0</v>
      </c>
      <c r="AQ2238" t="s">
        <v>1619</v>
      </c>
      <c r="AR2238" t="s">
        <v>1620</v>
      </c>
      <c r="AS2238" t="s">
        <v>1666</v>
      </c>
      <c r="AT2238" s="16" t="str">
        <f>_xlfn.XLOOKUP(B2238,'SWiSH Demand Forecast Sep-26'!D:D,'SWiSH Demand Forecast Sep-26'!G:G,"Not Exist")</f>
        <v>Not Exist</v>
      </c>
    </row>
    <row r="2239" spans="1:46" x14ac:dyDescent="0.3">
      <c r="A2239">
        <v>101100064</v>
      </c>
      <c r="B2239" t="s">
        <v>4123</v>
      </c>
      <c r="C2239" t="s">
        <v>10</v>
      </c>
      <c r="D2239" t="s">
        <v>1613</v>
      </c>
      <c r="E2239" t="s">
        <v>1995</v>
      </c>
      <c r="F2239" t="s">
        <v>1650</v>
      </c>
      <c r="G2239" t="s">
        <v>1624</v>
      </c>
      <c r="H2239">
        <v>0</v>
      </c>
      <c r="I2239" t="s">
        <v>1634</v>
      </c>
      <c r="J2239" t="s">
        <v>10</v>
      </c>
      <c r="K2239">
        <v>26.5</v>
      </c>
      <c r="L2239">
        <v>0</v>
      </c>
      <c r="M2239" s="1">
        <v>3</v>
      </c>
      <c r="N2239">
        <v>0</v>
      </c>
      <c r="O2239">
        <v>0</v>
      </c>
      <c r="P2239">
        <v>0</v>
      </c>
      <c r="Q2239" s="1">
        <v>0</v>
      </c>
      <c r="R2239">
        <v>26.5</v>
      </c>
      <c r="S2239" s="2">
        <v>46246</v>
      </c>
      <c r="T2239" s="2">
        <v>46250</v>
      </c>
      <c r="U2239">
        <v>0</v>
      </c>
      <c r="V2239">
        <v>0</v>
      </c>
      <c r="W2239">
        <v>0</v>
      </c>
      <c r="X2239">
        <v>0</v>
      </c>
      <c r="Y2239">
        <v>0</v>
      </c>
      <c r="Z2239" s="8">
        <v>0</v>
      </c>
      <c r="AA2239">
        <v>0</v>
      </c>
      <c r="AB2239" t="s">
        <v>1635</v>
      </c>
      <c r="AC2239" t="s">
        <v>1635</v>
      </c>
      <c r="AD2239" s="1" t="s">
        <v>1635</v>
      </c>
      <c r="AE2239" s="2" t="s">
        <v>1635</v>
      </c>
      <c r="AF2239" s="2" t="s">
        <v>1635</v>
      </c>
      <c r="AG2239" s="2" t="s">
        <v>1635</v>
      </c>
      <c r="AH2239">
        <v>1</v>
      </c>
      <c r="AI2239" s="3" t="s">
        <v>1635</v>
      </c>
      <c r="AJ2239" s="1">
        <v>0</v>
      </c>
      <c r="AK2239" s="2">
        <v>46263</v>
      </c>
      <c r="AL2239" s="4">
        <v>0</v>
      </c>
      <c r="AM2239" s="5">
        <v>0</v>
      </c>
      <c r="AN2239" s="4">
        <v>0</v>
      </c>
      <c r="AO2239" t="s">
        <v>1635</v>
      </c>
      <c r="AP2239" s="4">
        <v>0</v>
      </c>
      <c r="AQ2239" t="s">
        <v>1619</v>
      </c>
      <c r="AR2239" t="s">
        <v>1620</v>
      </c>
      <c r="AS2239" t="s">
        <v>1666</v>
      </c>
      <c r="AT2239" s="16" t="str">
        <f>_xlfn.XLOOKUP(B2239,'SWiSH Demand Forecast Sep-26'!D:D,'SWiSH Demand Forecast Sep-26'!G:G,"Not Exist")</f>
        <v>Not Exist</v>
      </c>
    </row>
    <row r="2240" spans="1:46" x14ac:dyDescent="0.3">
      <c r="A2240">
        <v>101100062</v>
      </c>
      <c r="B2240" t="s">
        <v>4124</v>
      </c>
      <c r="C2240" t="s">
        <v>10</v>
      </c>
      <c r="D2240" t="s">
        <v>1613</v>
      </c>
      <c r="E2240" t="s">
        <v>1995</v>
      </c>
      <c r="F2240" t="s">
        <v>1650</v>
      </c>
      <c r="G2240" t="s">
        <v>1624</v>
      </c>
      <c r="H2240">
        <v>0</v>
      </c>
      <c r="I2240" t="s">
        <v>1634</v>
      </c>
      <c r="J2240" t="s">
        <v>10</v>
      </c>
      <c r="K2240">
        <v>26.5</v>
      </c>
      <c r="L2240">
        <v>0</v>
      </c>
      <c r="M2240" s="1">
        <v>3</v>
      </c>
      <c r="N2240">
        <v>0</v>
      </c>
      <c r="O2240">
        <v>0</v>
      </c>
      <c r="P2240">
        <v>0</v>
      </c>
      <c r="Q2240" s="1">
        <v>0</v>
      </c>
      <c r="R2240">
        <v>26.5</v>
      </c>
      <c r="S2240" s="2">
        <v>46246</v>
      </c>
      <c r="T2240" s="2">
        <v>46250</v>
      </c>
      <c r="U2240">
        <v>0</v>
      </c>
      <c r="V2240">
        <v>0</v>
      </c>
      <c r="W2240">
        <v>0</v>
      </c>
      <c r="X2240">
        <v>0</v>
      </c>
      <c r="Y2240">
        <v>0</v>
      </c>
      <c r="Z2240" s="8">
        <v>0</v>
      </c>
      <c r="AA2240">
        <v>0</v>
      </c>
      <c r="AB2240" t="s">
        <v>1635</v>
      </c>
      <c r="AC2240" t="s">
        <v>1635</v>
      </c>
      <c r="AD2240" s="1" t="s">
        <v>1635</v>
      </c>
      <c r="AE2240" s="2" t="s">
        <v>1635</v>
      </c>
      <c r="AF2240" s="2" t="s">
        <v>1635</v>
      </c>
      <c r="AG2240" s="2" t="s">
        <v>1635</v>
      </c>
      <c r="AH2240">
        <v>1</v>
      </c>
      <c r="AI2240" s="3" t="s">
        <v>1635</v>
      </c>
      <c r="AJ2240" s="1">
        <v>0</v>
      </c>
      <c r="AK2240" s="2">
        <v>46263</v>
      </c>
      <c r="AL2240" s="4">
        <v>0</v>
      </c>
      <c r="AM2240" s="5">
        <v>0</v>
      </c>
      <c r="AN2240" s="4">
        <v>0</v>
      </c>
      <c r="AO2240" t="s">
        <v>1635</v>
      </c>
      <c r="AP2240" s="4">
        <v>0</v>
      </c>
      <c r="AQ2240" t="s">
        <v>1619</v>
      </c>
      <c r="AR2240" t="s">
        <v>1620</v>
      </c>
      <c r="AS2240" t="s">
        <v>1666</v>
      </c>
      <c r="AT2240" s="16" t="str">
        <f>_xlfn.XLOOKUP(B2240,'SWiSH Demand Forecast Sep-26'!D:D,'SWiSH Demand Forecast Sep-26'!G:G,"Not Exist")</f>
        <v>Not Exist</v>
      </c>
    </row>
    <row r="2241" spans="1:46" x14ac:dyDescent="0.3">
      <c r="A2241">
        <v>100400258</v>
      </c>
      <c r="B2241" t="s">
        <v>4125</v>
      </c>
      <c r="C2241" t="s">
        <v>10</v>
      </c>
      <c r="D2241" t="s">
        <v>1613</v>
      </c>
      <c r="E2241" t="s">
        <v>1638</v>
      </c>
      <c r="F2241" t="s">
        <v>1664</v>
      </c>
      <c r="G2241" t="s">
        <v>1624</v>
      </c>
      <c r="H2241">
        <v>0</v>
      </c>
      <c r="I2241" t="s">
        <v>1634</v>
      </c>
      <c r="J2241" t="s">
        <v>10</v>
      </c>
      <c r="K2241">
        <v>0.115</v>
      </c>
      <c r="L2241">
        <v>414</v>
      </c>
      <c r="M2241" s="1">
        <v>15</v>
      </c>
      <c r="N2241">
        <v>0</v>
      </c>
      <c r="O2241">
        <v>0</v>
      </c>
      <c r="P2241">
        <v>3600</v>
      </c>
      <c r="Q2241" s="1">
        <v>3600</v>
      </c>
      <c r="R2241">
        <v>0.115</v>
      </c>
      <c r="S2241" s="2">
        <v>46240</v>
      </c>
      <c r="T2241" s="2">
        <v>46253</v>
      </c>
      <c r="U2241">
        <v>0</v>
      </c>
      <c r="V2241">
        <v>0</v>
      </c>
      <c r="W2241">
        <v>0</v>
      </c>
      <c r="X2241">
        <v>0</v>
      </c>
      <c r="Y2241">
        <v>0</v>
      </c>
      <c r="Z2241" s="8">
        <v>0</v>
      </c>
      <c r="AA2241">
        <v>0</v>
      </c>
      <c r="AB2241" t="s">
        <v>1635</v>
      </c>
      <c r="AC2241" t="s">
        <v>1635</v>
      </c>
      <c r="AD2241" s="1" t="s">
        <v>1635</v>
      </c>
      <c r="AE2241" s="2" t="s">
        <v>1635</v>
      </c>
      <c r="AF2241" s="2" t="s">
        <v>1635</v>
      </c>
      <c r="AG2241" s="2" t="s">
        <v>1635</v>
      </c>
      <c r="AH2241">
        <v>500</v>
      </c>
      <c r="AI2241" s="3" t="s">
        <v>1635</v>
      </c>
      <c r="AJ2241" s="1">
        <v>208</v>
      </c>
      <c r="AK2241" s="2">
        <v>46471</v>
      </c>
      <c r="AL2241" s="4">
        <v>0</v>
      </c>
      <c r="AM2241" s="5">
        <v>0</v>
      </c>
      <c r="AN2241" s="4">
        <v>208</v>
      </c>
      <c r="AO2241" t="s">
        <v>1635</v>
      </c>
      <c r="AP2241" s="4">
        <v>0</v>
      </c>
      <c r="AQ2241" t="s">
        <v>1619</v>
      </c>
      <c r="AR2241" t="s">
        <v>1620</v>
      </c>
      <c r="AS2241" t="s">
        <v>1666</v>
      </c>
      <c r="AT2241" s="16" t="str">
        <f>_xlfn.XLOOKUP(B2241,'SWiSH Demand Forecast Sep-26'!D:D,'SWiSH Demand Forecast Sep-26'!G:G,"Not Exist")</f>
        <v>Not Exist</v>
      </c>
    </row>
    <row r="2242" spans="1:46" x14ac:dyDescent="0.3">
      <c r="A2242">
        <v>105700020</v>
      </c>
      <c r="B2242" t="s">
        <v>4126</v>
      </c>
      <c r="C2242" t="s">
        <v>10</v>
      </c>
      <c r="D2242" t="s">
        <v>1613</v>
      </c>
      <c r="E2242" t="s">
        <v>1638</v>
      </c>
      <c r="F2242" t="s">
        <v>1664</v>
      </c>
      <c r="G2242" t="s">
        <v>1624</v>
      </c>
      <c r="H2242">
        <v>0</v>
      </c>
      <c r="I2242" t="s">
        <v>1634</v>
      </c>
      <c r="J2242" t="s">
        <v>10</v>
      </c>
      <c r="K2242">
        <v>3.5000000000000003E-2</v>
      </c>
      <c r="L2242">
        <v>385.00000000000006</v>
      </c>
      <c r="M2242" s="1">
        <v>15</v>
      </c>
      <c r="N2242">
        <v>0</v>
      </c>
      <c r="O2242">
        <v>0</v>
      </c>
      <c r="P2242">
        <v>11000</v>
      </c>
      <c r="Q2242" s="1">
        <v>11000</v>
      </c>
      <c r="R2242">
        <v>35</v>
      </c>
      <c r="S2242" s="2">
        <v>46244</v>
      </c>
      <c r="T2242" s="2">
        <v>46261</v>
      </c>
      <c r="U2242">
        <v>0</v>
      </c>
      <c r="V2242">
        <v>0</v>
      </c>
      <c r="W2242">
        <v>0</v>
      </c>
      <c r="X2242">
        <v>0</v>
      </c>
      <c r="Y2242">
        <v>0</v>
      </c>
      <c r="Z2242" s="8">
        <v>0</v>
      </c>
      <c r="AA2242">
        <v>0</v>
      </c>
      <c r="AB2242" t="s">
        <v>1635</v>
      </c>
      <c r="AC2242" t="s">
        <v>1635</v>
      </c>
      <c r="AD2242" s="1" t="s">
        <v>1635</v>
      </c>
      <c r="AE2242" s="2" t="s">
        <v>1635</v>
      </c>
      <c r="AF2242" s="2" t="s">
        <v>1635</v>
      </c>
      <c r="AG2242" s="2" t="s">
        <v>1635</v>
      </c>
      <c r="AH2242">
        <v>4000</v>
      </c>
      <c r="AI2242" s="3" t="s">
        <v>1635</v>
      </c>
      <c r="AJ2242" s="1">
        <v>79</v>
      </c>
      <c r="AK2242" s="2">
        <v>46342</v>
      </c>
      <c r="AL2242" s="4">
        <v>0</v>
      </c>
      <c r="AM2242" s="5">
        <v>0</v>
      </c>
      <c r="AN2242" s="4">
        <v>79</v>
      </c>
      <c r="AO2242" t="s">
        <v>1635</v>
      </c>
      <c r="AP2242" s="4">
        <v>0</v>
      </c>
      <c r="AQ2242" t="s">
        <v>1619</v>
      </c>
      <c r="AR2242" t="s">
        <v>1620</v>
      </c>
      <c r="AS2242" t="s">
        <v>1666</v>
      </c>
      <c r="AT2242" s="16" t="str">
        <f>_xlfn.XLOOKUP(B2242,'SWiSH Demand Forecast Sep-26'!D:D,'SWiSH Demand Forecast Sep-26'!G:G,"Not Exist")</f>
        <v>Not Exist</v>
      </c>
    </row>
    <row r="2243" spans="1:46" x14ac:dyDescent="0.3">
      <c r="A2243">
        <v>100400257</v>
      </c>
      <c r="B2243" t="s">
        <v>4127</v>
      </c>
      <c r="C2243" t="s">
        <v>10</v>
      </c>
      <c r="D2243" t="s">
        <v>1613</v>
      </c>
      <c r="E2243" t="s">
        <v>1638</v>
      </c>
      <c r="F2243" t="s">
        <v>1664</v>
      </c>
      <c r="G2243" t="s">
        <v>1624</v>
      </c>
      <c r="H2243">
        <v>0</v>
      </c>
      <c r="I2243" t="s">
        <v>1634</v>
      </c>
      <c r="J2243" t="s">
        <v>10</v>
      </c>
      <c r="K2243">
        <v>9.2999999999999999E-2</v>
      </c>
      <c r="L2243">
        <v>712.84500000000003</v>
      </c>
      <c r="M2243" s="1">
        <v>15</v>
      </c>
      <c r="N2243">
        <v>0</v>
      </c>
      <c r="O2243">
        <v>0</v>
      </c>
      <c r="P2243">
        <v>7665</v>
      </c>
      <c r="Q2243" s="1">
        <v>7665</v>
      </c>
      <c r="R2243">
        <v>9.2999999999999999E-2</v>
      </c>
      <c r="S2243" s="2">
        <v>46240</v>
      </c>
      <c r="T2243" s="2">
        <v>46253</v>
      </c>
      <c r="U2243">
        <v>0</v>
      </c>
      <c r="V2243">
        <v>0</v>
      </c>
      <c r="W2243">
        <v>0</v>
      </c>
      <c r="X2243">
        <v>0</v>
      </c>
      <c r="Y2243">
        <v>0</v>
      </c>
      <c r="Z2243" s="8">
        <v>0</v>
      </c>
      <c r="AA2243">
        <v>0</v>
      </c>
      <c r="AB2243" t="s">
        <v>1635</v>
      </c>
      <c r="AC2243" t="s">
        <v>1635</v>
      </c>
      <c r="AD2243" s="1" t="s">
        <v>1635</v>
      </c>
      <c r="AE2243" s="2" t="s">
        <v>1635</v>
      </c>
      <c r="AF2243" s="2" t="s">
        <v>1635</v>
      </c>
      <c r="AG2243" s="2" t="s">
        <v>1635</v>
      </c>
      <c r="AH2243">
        <v>500</v>
      </c>
      <c r="AI2243" s="3" t="s">
        <v>1635</v>
      </c>
      <c r="AJ2243" s="1">
        <v>444</v>
      </c>
      <c r="AK2243" s="2">
        <v>46707</v>
      </c>
      <c r="AL2243" s="4">
        <v>0</v>
      </c>
      <c r="AM2243" s="5">
        <v>0</v>
      </c>
      <c r="AN2243" s="4">
        <v>444</v>
      </c>
      <c r="AO2243" t="s">
        <v>1635</v>
      </c>
      <c r="AP2243" s="4">
        <v>0</v>
      </c>
      <c r="AQ2243" t="s">
        <v>1619</v>
      </c>
      <c r="AR2243" t="s">
        <v>1620</v>
      </c>
      <c r="AS2243" t="s">
        <v>1666</v>
      </c>
      <c r="AT2243" s="16" t="str">
        <f>_xlfn.XLOOKUP(B2243,'SWiSH Demand Forecast Sep-26'!D:D,'SWiSH Demand Forecast Sep-26'!G:G,"Not Exist")</f>
        <v>Not Exist</v>
      </c>
    </row>
    <row r="2244" spans="1:46" x14ac:dyDescent="0.3">
      <c r="A2244">
        <v>100900108</v>
      </c>
      <c r="B2244" t="s">
        <v>4128</v>
      </c>
      <c r="C2244" t="s">
        <v>10</v>
      </c>
      <c r="D2244" t="s">
        <v>1613</v>
      </c>
      <c r="E2244" t="s">
        <v>1685</v>
      </c>
      <c r="F2244" t="s">
        <v>1664</v>
      </c>
      <c r="G2244" t="s">
        <v>1616</v>
      </c>
      <c r="H2244">
        <v>0</v>
      </c>
      <c r="I2244" t="s">
        <v>1634</v>
      </c>
      <c r="J2244" t="s">
        <v>10</v>
      </c>
      <c r="K2244">
        <v>0.81</v>
      </c>
      <c r="L2244">
        <v>77.760000000000005</v>
      </c>
      <c r="M2244" s="1">
        <v>3</v>
      </c>
      <c r="N2244">
        <v>0</v>
      </c>
      <c r="O2244">
        <v>0</v>
      </c>
      <c r="P2244">
        <v>96</v>
      </c>
      <c r="Q2244" s="1">
        <v>96</v>
      </c>
      <c r="R2244">
        <v>19.440000000000001</v>
      </c>
      <c r="S2244" s="2">
        <v>46257</v>
      </c>
      <c r="T2244" s="2">
        <v>46263</v>
      </c>
      <c r="U2244">
        <v>0</v>
      </c>
      <c r="V2244">
        <v>0</v>
      </c>
      <c r="W2244">
        <v>0</v>
      </c>
      <c r="X2244">
        <v>0</v>
      </c>
      <c r="Y2244">
        <v>0</v>
      </c>
      <c r="Z2244" s="8">
        <v>0</v>
      </c>
      <c r="AA2244">
        <v>0</v>
      </c>
      <c r="AB2244" t="s">
        <v>1635</v>
      </c>
      <c r="AC2244" t="s">
        <v>1635</v>
      </c>
      <c r="AD2244" s="1" t="s">
        <v>1635</v>
      </c>
      <c r="AE2244" s="2" t="s">
        <v>1635</v>
      </c>
      <c r="AF2244" s="2" t="s">
        <v>1635</v>
      </c>
      <c r="AG2244" s="2" t="s">
        <v>1635</v>
      </c>
      <c r="AH2244">
        <v>144</v>
      </c>
      <c r="AI2244" s="3" t="s">
        <v>1635</v>
      </c>
      <c r="AJ2244" s="1">
        <v>19</v>
      </c>
      <c r="AK2244" s="2">
        <v>46282</v>
      </c>
      <c r="AL2244" s="4">
        <v>0</v>
      </c>
      <c r="AM2244" s="5">
        <v>0</v>
      </c>
      <c r="AN2244" s="4">
        <v>19</v>
      </c>
      <c r="AO2244" t="s">
        <v>1635</v>
      </c>
      <c r="AP2244" s="4">
        <v>0</v>
      </c>
      <c r="AQ2244" t="s">
        <v>1619</v>
      </c>
      <c r="AR2244" t="s">
        <v>1620</v>
      </c>
      <c r="AS2244" t="s">
        <v>1666</v>
      </c>
      <c r="AT2244" s="16" t="str">
        <f>_xlfn.XLOOKUP(B2244,'SWiSH Demand Forecast Sep-26'!D:D,'SWiSH Demand Forecast Sep-26'!G:G,"Not Exist")</f>
        <v>Not Exist</v>
      </c>
    </row>
    <row r="2245" spans="1:46" x14ac:dyDescent="0.3">
      <c r="A2245">
        <v>106600164</v>
      </c>
      <c r="B2245" t="s">
        <v>4129</v>
      </c>
      <c r="C2245" t="s">
        <v>10</v>
      </c>
      <c r="D2245" t="s">
        <v>1613</v>
      </c>
      <c r="E2245" t="s">
        <v>4130</v>
      </c>
      <c r="F2245" t="s">
        <v>1664</v>
      </c>
      <c r="G2245" t="s">
        <v>1624</v>
      </c>
      <c r="H2245">
        <v>0</v>
      </c>
      <c r="I2245" t="s">
        <v>1634</v>
      </c>
      <c r="J2245" t="s">
        <v>10</v>
      </c>
      <c r="K2245">
        <v>5.4000000000000003E-3</v>
      </c>
      <c r="L2245">
        <v>252.72000000000003</v>
      </c>
      <c r="M2245" s="1">
        <v>15</v>
      </c>
      <c r="N2245">
        <v>0</v>
      </c>
      <c r="O2245">
        <v>0</v>
      </c>
      <c r="P2245">
        <v>46800</v>
      </c>
      <c r="Q2245" s="1">
        <v>46800</v>
      </c>
      <c r="R2245">
        <v>5.4000000000000003E-3</v>
      </c>
      <c r="S2245" s="2">
        <v>46253</v>
      </c>
      <c r="T2245" s="2">
        <v>46263</v>
      </c>
      <c r="U2245">
        <v>0</v>
      </c>
      <c r="V2245">
        <v>0</v>
      </c>
      <c r="W2245">
        <v>0</v>
      </c>
      <c r="X2245">
        <v>0</v>
      </c>
      <c r="Y2245">
        <v>0</v>
      </c>
      <c r="Z2245" s="8">
        <v>0</v>
      </c>
      <c r="AA2245">
        <v>0</v>
      </c>
      <c r="AB2245" t="s">
        <v>1635</v>
      </c>
      <c r="AC2245" t="s">
        <v>1635</v>
      </c>
      <c r="AD2245" s="1" t="s">
        <v>1635</v>
      </c>
      <c r="AE2245" s="2" t="s">
        <v>1635</v>
      </c>
      <c r="AF2245" s="2" t="s">
        <v>1635</v>
      </c>
      <c r="AG2245" s="2" t="s">
        <v>1635</v>
      </c>
      <c r="AH2245">
        <v>5000</v>
      </c>
      <c r="AI2245" s="3" t="s">
        <v>1635</v>
      </c>
      <c r="AJ2245" s="1">
        <v>271</v>
      </c>
      <c r="AK2245" s="2">
        <v>46534</v>
      </c>
      <c r="AL2245" s="4">
        <v>0</v>
      </c>
      <c r="AM2245" s="5">
        <v>0</v>
      </c>
      <c r="AN2245" s="4">
        <v>271</v>
      </c>
      <c r="AO2245" t="s">
        <v>1635</v>
      </c>
      <c r="AP2245" s="4">
        <v>0</v>
      </c>
      <c r="AQ2245" t="s">
        <v>1619</v>
      </c>
      <c r="AR2245" t="s">
        <v>1620</v>
      </c>
      <c r="AS2245" t="s">
        <v>1666</v>
      </c>
      <c r="AT2245" s="16" t="str">
        <f>_xlfn.XLOOKUP(B2245,'SWiSH Demand Forecast Sep-26'!D:D,'SWiSH Demand Forecast Sep-26'!G:G,"Not Exist")</f>
        <v>Not Exist</v>
      </c>
    </row>
    <row r="2246" spans="1:46" hidden="1" x14ac:dyDescent="0.3">
      <c r="A2246">
        <v>100700053</v>
      </c>
      <c r="B2246" t="s">
        <v>1481</v>
      </c>
      <c r="C2246" t="s">
        <v>136</v>
      </c>
      <c r="D2246" t="s">
        <v>1613</v>
      </c>
      <c r="E2246" t="s">
        <v>1732</v>
      </c>
      <c r="F2246" t="s">
        <v>1999</v>
      </c>
      <c r="G2246" t="s">
        <v>1616</v>
      </c>
      <c r="H2246">
        <v>0</v>
      </c>
      <c r="I2246" t="s">
        <v>1618</v>
      </c>
      <c r="J2246" t="s">
        <v>136</v>
      </c>
      <c r="K2246">
        <v>0.4</v>
      </c>
      <c r="L2246">
        <v>12</v>
      </c>
      <c r="M2246" s="1">
        <v>3</v>
      </c>
      <c r="N2246">
        <v>0</v>
      </c>
      <c r="O2246">
        <v>0</v>
      </c>
      <c r="P2246">
        <v>30</v>
      </c>
      <c r="Q2246" s="1">
        <v>30</v>
      </c>
      <c r="R2246">
        <v>4</v>
      </c>
      <c r="S2246" s="2">
        <v>46263</v>
      </c>
      <c r="T2246" s="2">
        <v>46263</v>
      </c>
      <c r="U2246">
        <v>0</v>
      </c>
      <c r="V2246">
        <v>0</v>
      </c>
      <c r="W2246">
        <v>0</v>
      </c>
      <c r="X2246">
        <v>0</v>
      </c>
      <c r="Y2246">
        <v>0</v>
      </c>
      <c r="Z2246" s="8">
        <v>0</v>
      </c>
      <c r="AA2246">
        <v>0</v>
      </c>
      <c r="AB2246" t="s">
        <v>1635</v>
      </c>
      <c r="AC2246" t="s">
        <v>1635</v>
      </c>
      <c r="AD2246" s="1" t="s">
        <v>1635</v>
      </c>
      <c r="AE2246" s="2" t="s">
        <v>1635</v>
      </c>
      <c r="AF2246" s="2" t="s">
        <v>1635</v>
      </c>
      <c r="AG2246" s="2" t="s">
        <v>1635</v>
      </c>
      <c r="AH2246">
        <v>20</v>
      </c>
      <c r="AI2246" s="3" t="s">
        <v>1635</v>
      </c>
      <c r="AJ2246" s="1">
        <v>43</v>
      </c>
      <c r="AK2246" s="2">
        <v>46306</v>
      </c>
      <c r="AL2246" s="4">
        <v>0</v>
      </c>
      <c r="AM2246" s="5">
        <v>0</v>
      </c>
      <c r="AN2246" s="4">
        <v>43</v>
      </c>
      <c r="AO2246" t="s">
        <v>1635</v>
      </c>
      <c r="AP2246" s="4">
        <v>0</v>
      </c>
      <c r="AQ2246" t="s">
        <v>1619</v>
      </c>
      <c r="AR2246" t="s">
        <v>1620</v>
      </c>
      <c r="AS2246" t="s">
        <v>1666</v>
      </c>
      <c r="AT2246" s="16">
        <f>_xlfn.XLOOKUP(B2246,'SWiSH Demand Forecast Sep-26'!D:D,'SWiSH Demand Forecast Sep-26'!G:G,"Not Exist")</f>
        <v>4.6049999999999898</v>
      </c>
    </row>
    <row r="2247" spans="1:46" s="1" customFormat="1" x14ac:dyDescent="0.3">
      <c r="S2247" s="6"/>
      <c r="T2247" s="6"/>
      <c r="Z2247" s="8"/>
      <c r="AE2247" s="6"/>
      <c r="AF2247" s="6"/>
      <c r="AG2247" s="6"/>
      <c r="AI2247" s="7"/>
      <c r="AK2247" s="6"/>
      <c r="AL2247" s="5"/>
      <c r="AM2247" s="5"/>
      <c r="AN2247" s="5"/>
      <c r="AP2247" s="5"/>
      <c r="AT2247" s="16"/>
    </row>
  </sheetData>
  <autoFilter ref="A1:AT2246" xr:uid="{F00F662A-6E68-4A65-A551-64F85955BF74}">
    <filterColumn colId="45">
      <filters>
        <filter val="Not Exi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SWiSH Demand Forecast Sep-26</vt:lpstr>
      <vt:lpstr>SPS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hafiz</dc:creator>
  <cp:lastModifiedBy>Fathima Farha Thoufeeq Mahal</cp:lastModifiedBy>
  <dcterms:created xsi:type="dcterms:W3CDTF">2026-08-29T15:14:42Z</dcterms:created>
  <dcterms:modified xsi:type="dcterms:W3CDTF">2026-08-31T07:33:46Z</dcterms:modified>
</cp:coreProperties>
</file>